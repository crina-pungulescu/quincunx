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" sheetId="1" r:id="rId5"/>
    <sheet state="visible" name="Daily" sheetId="2" r:id="rId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IFERROR(__xludf.DUMMYFUNCTION("GOOGLEFINANCE(""PG"", ""all"", DATE(2000, 1, 1), DATE(2025, 12, 31), ""WEEKLY"")"),"Date")</f>
        <v>Date</v>
      </c>
      <c r="B1" s="1" t="str">
        <f>IFERROR(__xludf.DUMMYFUNCTION("""COMPUTED_VALUE"""),"Open")</f>
        <v>Open</v>
      </c>
      <c r="C1" s="1" t="str">
        <f>IFERROR(__xludf.DUMMYFUNCTION("""COMPUTED_VALUE"""),"High")</f>
        <v>High</v>
      </c>
      <c r="D1" s="1" t="str">
        <f>IFERROR(__xludf.DUMMYFUNCTION("""COMPUTED_VALUE"""),"Low")</f>
        <v>Low</v>
      </c>
      <c r="E1" s="1" t="str">
        <f>IFERROR(__xludf.DUMMYFUNCTION("""COMPUTED_VALUE"""),"Close")</f>
        <v>Close</v>
      </c>
      <c r="F1" s="1" t="str">
        <f>IFERROR(__xludf.DUMMYFUNCTION("""COMPUTED_VALUE"""),"Volume")</f>
        <v>Volume</v>
      </c>
    </row>
    <row r="2">
      <c r="A2" s="2">
        <f>IFERROR(__xludf.DUMMYFUNCTION("""COMPUTED_VALUE"""),36525.666666666664)</f>
        <v>36525.66667</v>
      </c>
      <c r="B2" s="1">
        <f>IFERROR(__xludf.DUMMYFUNCTION("""COMPUTED_VALUE"""),54.07)</f>
        <v>54.07</v>
      </c>
      <c r="C2" s="1">
        <f>IFERROR(__xludf.DUMMYFUNCTION("""COMPUTED_VALUE"""),55.15)</f>
        <v>55.15</v>
      </c>
      <c r="D2" s="1">
        <f>IFERROR(__xludf.DUMMYFUNCTION("""COMPUTED_VALUE"""),53.61)</f>
        <v>53.61</v>
      </c>
      <c r="E2" s="1">
        <f>IFERROR(__xludf.DUMMYFUNCTION("""COMPUTED_VALUE"""),54.1)</f>
        <v>54.1</v>
      </c>
      <c r="F2" s="1">
        <f>IFERROR(__xludf.DUMMYFUNCTION("""COMPUTED_VALUE"""),3656200.0)</f>
        <v>3656200</v>
      </c>
    </row>
    <row r="3">
      <c r="A3" s="2">
        <f>IFERROR(__xludf.DUMMYFUNCTION("""COMPUTED_VALUE"""),36532.666666666664)</f>
        <v>36532.66667</v>
      </c>
      <c r="B3" s="1">
        <f>IFERROR(__xludf.DUMMYFUNCTION("""COMPUTED_VALUE"""),53.24)</f>
        <v>53.24</v>
      </c>
      <c r="C3" s="1">
        <f>IFERROR(__xludf.DUMMYFUNCTION("""COMPUTED_VALUE"""),57.78)</f>
        <v>57.78</v>
      </c>
      <c r="D3" s="1">
        <f>IFERROR(__xludf.DUMMYFUNCTION("""COMPUTED_VALUE"""),50.62)</f>
        <v>50.62</v>
      </c>
      <c r="E3" s="1">
        <f>IFERROR(__xludf.DUMMYFUNCTION("""COMPUTED_VALUE"""),57.53)</f>
        <v>57.53</v>
      </c>
      <c r="F3" s="1">
        <f>IFERROR(__xludf.DUMMYFUNCTION("""COMPUTED_VALUE"""),1.29724E7)</f>
        <v>12972400</v>
      </c>
    </row>
    <row r="4">
      <c r="A4" s="2">
        <f>IFERROR(__xludf.DUMMYFUNCTION("""COMPUTED_VALUE"""),36539.666666666664)</f>
        <v>36539.66667</v>
      </c>
      <c r="B4" s="1">
        <f>IFERROR(__xludf.DUMMYFUNCTION("""COMPUTED_VALUE"""),57.19)</f>
        <v>57.19</v>
      </c>
      <c r="C4" s="1">
        <f>IFERROR(__xludf.DUMMYFUNCTION("""COMPUTED_VALUE"""),58.46)</f>
        <v>58.46</v>
      </c>
      <c r="D4" s="1">
        <f>IFERROR(__xludf.DUMMYFUNCTION("""COMPUTED_VALUE"""),56.48)</f>
        <v>56.48</v>
      </c>
      <c r="E4" s="1">
        <f>IFERROR(__xludf.DUMMYFUNCTION("""COMPUTED_VALUE"""),57.78)</f>
        <v>57.78</v>
      </c>
      <c r="F4" s="1">
        <f>IFERROR(__xludf.DUMMYFUNCTION("""COMPUTED_VALUE"""),1.1759E7)</f>
        <v>11759000</v>
      </c>
    </row>
    <row r="5">
      <c r="A5" s="2">
        <f>IFERROR(__xludf.DUMMYFUNCTION("""COMPUTED_VALUE"""),36546.666666666664)</f>
        <v>36546.66667</v>
      </c>
      <c r="B5" s="1">
        <f>IFERROR(__xludf.DUMMYFUNCTION("""COMPUTED_VALUE"""),57.75)</f>
        <v>57.75</v>
      </c>
      <c r="C5" s="1">
        <f>IFERROR(__xludf.DUMMYFUNCTION("""COMPUTED_VALUE"""),58.27)</f>
        <v>58.27</v>
      </c>
      <c r="D5" s="1">
        <f>IFERROR(__xludf.DUMMYFUNCTION("""COMPUTED_VALUE"""),49.14)</f>
        <v>49.14</v>
      </c>
      <c r="E5" s="1">
        <f>IFERROR(__xludf.DUMMYFUNCTION("""COMPUTED_VALUE"""),50.71)</f>
        <v>50.71</v>
      </c>
      <c r="F5" s="1">
        <f>IFERROR(__xludf.DUMMYFUNCTION("""COMPUTED_VALUE"""),1.95872E7)</f>
        <v>19587200</v>
      </c>
    </row>
    <row r="6">
      <c r="A6" s="2">
        <f>IFERROR(__xludf.DUMMYFUNCTION("""COMPUTED_VALUE"""),36553.666666666664)</f>
        <v>36553.66667</v>
      </c>
      <c r="B6" s="1">
        <f>IFERROR(__xludf.DUMMYFUNCTION("""COMPUTED_VALUE"""),47.9)</f>
        <v>47.9</v>
      </c>
      <c r="C6" s="1">
        <f>IFERROR(__xludf.DUMMYFUNCTION("""COMPUTED_VALUE"""),53.77)</f>
        <v>53.77</v>
      </c>
      <c r="D6" s="1">
        <f>IFERROR(__xludf.DUMMYFUNCTION("""COMPUTED_VALUE"""),46.82)</f>
        <v>46.82</v>
      </c>
      <c r="E6" s="1">
        <f>IFERROR(__xludf.DUMMYFUNCTION("""COMPUTED_VALUE"""),49.54)</f>
        <v>49.54</v>
      </c>
      <c r="F6" s="1">
        <f>IFERROR(__xludf.DUMMYFUNCTION("""COMPUTED_VALUE"""),2.98992E7)</f>
        <v>29899200</v>
      </c>
    </row>
    <row r="7">
      <c r="A7" s="2">
        <f>IFERROR(__xludf.DUMMYFUNCTION("""COMPUTED_VALUE"""),36560.666666666664)</f>
        <v>36560.66667</v>
      </c>
      <c r="B7" s="1">
        <f>IFERROR(__xludf.DUMMYFUNCTION("""COMPUTED_VALUE"""),49.51)</f>
        <v>49.51</v>
      </c>
      <c r="C7" s="1">
        <f>IFERROR(__xludf.DUMMYFUNCTION("""COMPUTED_VALUE"""),49.94)</f>
        <v>49.94</v>
      </c>
      <c r="D7" s="1">
        <f>IFERROR(__xludf.DUMMYFUNCTION("""COMPUTED_VALUE"""),46.42)</f>
        <v>46.42</v>
      </c>
      <c r="E7" s="1">
        <f>IFERROR(__xludf.DUMMYFUNCTION("""COMPUTED_VALUE"""),46.79)</f>
        <v>46.79</v>
      </c>
      <c r="F7" s="1">
        <f>IFERROR(__xludf.DUMMYFUNCTION("""COMPUTED_VALUE"""),1.11946E7)</f>
        <v>11194600</v>
      </c>
    </row>
    <row r="8">
      <c r="A8" s="2">
        <f>IFERROR(__xludf.DUMMYFUNCTION("""COMPUTED_VALUE"""),36567.666666666664)</f>
        <v>36567.66667</v>
      </c>
      <c r="B8" s="1">
        <f>IFERROR(__xludf.DUMMYFUNCTION("""COMPUTED_VALUE"""),46.42)</f>
        <v>46.42</v>
      </c>
      <c r="C8" s="1">
        <f>IFERROR(__xludf.DUMMYFUNCTION("""COMPUTED_VALUE"""),47.35)</f>
        <v>47.35</v>
      </c>
      <c r="D8" s="1">
        <f>IFERROR(__xludf.DUMMYFUNCTION("""COMPUTED_VALUE"""),44.51)</f>
        <v>44.51</v>
      </c>
      <c r="E8" s="1">
        <f>IFERROR(__xludf.DUMMYFUNCTION("""COMPUTED_VALUE"""),46.3)</f>
        <v>46.3</v>
      </c>
      <c r="F8" s="1">
        <f>IFERROR(__xludf.DUMMYFUNCTION("""COMPUTED_VALUE"""),1.28324E7)</f>
        <v>12832400</v>
      </c>
    </row>
    <row r="9">
      <c r="A9" s="2">
        <f>IFERROR(__xludf.DUMMYFUNCTION("""COMPUTED_VALUE"""),36574.666666666664)</f>
        <v>36574.66667</v>
      </c>
      <c r="B9" s="1">
        <f>IFERROR(__xludf.DUMMYFUNCTION("""COMPUTED_VALUE"""),46.27)</f>
        <v>46.27</v>
      </c>
      <c r="C9" s="1">
        <f>IFERROR(__xludf.DUMMYFUNCTION("""COMPUTED_VALUE"""),47.41)</f>
        <v>47.41</v>
      </c>
      <c r="D9" s="1">
        <f>IFERROR(__xludf.DUMMYFUNCTION("""COMPUTED_VALUE"""),44.94)</f>
        <v>44.94</v>
      </c>
      <c r="E9" s="1">
        <f>IFERROR(__xludf.DUMMYFUNCTION("""COMPUTED_VALUE"""),45.89)</f>
        <v>45.89</v>
      </c>
      <c r="F9" s="1">
        <f>IFERROR(__xludf.DUMMYFUNCTION("""COMPUTED_VALUE"""),1.18935E7)</f>
        <v>11893500</v>
      </c>
    </row>
    <row r="10">
      <c r="A10" s="2">
        <f>IFERROR(__xludf.DUMMYFUNCTION("""COMPUTED_VALUE"""),36581.666666666664)</f>
        <v>36581.66667</v>
      </c>
      <c r="B10" s="1">
        <f>IFERROR(__xludf.DUMMYFUNCTION("""COMPUTED_VALUE"""),45.59)</f>
        <v>45.59</v>
      </c>
      <c r="C10" s="1">
        <f>IFERROR(__xludf.DUMMYFUNCTION("""COMPUTED_VALUE"""),46.14)</f>
        <v>46.14</v>
      </c>
      <c r="D10" s="1">
        <f>IFERROR(__xludf.DUMMYFUNCTION("""COMPUTED_VALUE"""),42.04)</f>
        <v>42.04</v>
      </c>
      <c r="E10" s="1">
        <f>IFERROR(__xludf.DUMMYFUNCTION("""COMPUTED_VALUE"""),42.04)</f>
        <v>42.04</v>
      </c>
      <c r="F10" s="1">
        <f>IFERROR(__xludf.DUMMYFUNCTION("""COMPUTED_VALUE"""),1.03796E7)</f>
        <v>10379600</v>
      </c>
    </row>
    <row r="11">
      <c r="A11" s="2">
        <f>IFERROR(__xludf.DUMMYFUNCTION("""COMPUTED_VALUE"""),36588.666666666664)</f>
        <v>36588.66667</v>
      </c>
      <c r="B11" s="1">
        <f>IFERROR(__xludf.DUMMYFUNCTION("""COMPUTED_VALUE"""),42.38)</f>
        <v>42.38</v>
      </c>
      <c r="C11" s="1">
        <f>IFERROR(__xludf.DUMMYFUNCTION("""COMPUTED_VALUE"""),44.44)</f>
        <v>44.44</v>
      </c>
      <c r="D11" s="1">
        <f>IFERROR(__xludf.DUMMYFUNCTION("""COMPUTED_VALUE"""),42.01)</f>
        <v>42.01</v>
      </c>
      <c r="E11" s="1">
        <f>IFERROR(__xludf.DUMMYFUNCTION("""COMPUTED_VALUE"""),43.67)</f>
        <v>43.67</v>
      </c>
      <c r="F11" s="1">
        <f>IFERROR(__xludf.DUMMYFUNCTION("""COMPUTED_VALUE"""),1.15324E7)</f>
        <v>11532400</v>
      </c>
    </row>
    <row r="12">
      <c r="A12" s="2">
        <f>IFERROR(__xludf.DUMMYFUNCTION("""COMPUTED_VALUE"""),36595.666666666664)</f>
        <v>36595.66667</v>
      </c>
      <c r="B12" s="1">
        <f>IFERROR(__xludf.DUMMYFUNCTION("""COMPUTED_VALUE"""),43.64)</f>
        <v>43.64</v>
      </c>
      <c r="C12" s="1">
        <f>IFERROR(__xludf.DUMMYFUNCTION("""COMPUTED_VALUE"""),43.67)</f>
        <v>43.67</v>
      </c>
      <c r="D12" s="1">
        <f>IFERROR(__xludf.DUMMYFUNCTION("""COMPUTED_VALUE"""),26.17)</f>
        <v>26.17</v>
      </c>
      <c r="E12" s="1">
        <f>IFERROR(__xludf.DUMMYFUNCTION("""COMPUTED_VALUE"""),26.2)</f>
        <v>26.2</v>
      </c>
      <c r="F12" s="1">
        <f>IFERROR(__xludf.DUMMYFUNCTION("""COMPUTED_VALUE"""),1.080626E8)</f>
        <v>108062600</v>
      </c>
    </row>
    <row r="13">
      <c r="A13" s="2">
        <f>IFERROR(__xludf.DUMMYFUNCTION("""COMPUTED_VALUE"""),36602.666666666664)</f>
        <v>36602.66667</v>
      </c>
      <c r="B13" s="1">
        <f>IFERROR(__xludf.DUMMYFUNCTION("""COMPUTED_VALUE"""),26.54)</f>
        <v>26.54</v>
      </c>
      <c r="C13" s="1">
        <f>IFERROR(__xludf.DUMMYFUNCTION("""COMPUTED_VALUE"""),29.88)</f>
        <v>29.88</v>
      </c>
      <c r="D13" s="1">
        <f>IFERROR(__xludf.DUMMYFUNCTION("""COMPUTED_VALUE"""),26.33)</f>
        <v>26.33</v>
      </c>
      <c r="E13" s="1">
        <f>IFERROR(__xludf.DUMMYFUNCTION("""COMPUTED_VALUE"""),28.46)</f>
        <v>28.46</v>
      </c>
      <c r="F13" s="1">
        <f>IFERROR(__xludf.DUMMYFUNCTION("""COMPUTED_VALUE"""),4.62448E7)</f>
        <v>46244800</v>
      </c>
    </row>
    <row r="14">
      <c r="A14" s="2">
        <f>IFERROR(__xludf.DUMMYFUNCTION("""COMPUTED_VALUE"""),36609.666666666664)</f>
        <v>36609.66667</v>
      </c>
      <c r="B14" s="1">
        <f>IFERROR(__xludf.DUMMYFUNCTION("""COMPUTED_VALUE"""),28.92)</f>
        <v>28.92</v>
      </c>
      <c r="C14" s="1">
        <f>IFERROR(__xludf.DUMMYFUNCTION("""COMPUTED_VALUE"""),28.92)</f>
        <v>28.92</v>
      </c>
      <c r="D14" s="1">
        <f>IFERROR(__xludf.DUMMYFUNCTION("""COMPUTED_VALUE"""),27.22)</f>
        <v>27.22</v>
      </c>
      <c r="E14" s="1">
        <f>IFERROR(__xludf.DUMMYFUNCTION("""COMPUTED_VALUE"""),27.87)</f>
        <v>27.87</v>
      </c>
      <c r="F14" s="1">
        <f>IFERROR(__xludf.DUMMYFUNCTION("""COMPUTED_VALUE"""),2.64322E7)</f>
        <v>26432200</v>
      </c>
    </row>
    <row r="15">
      <c r="A15" s="2">
        <f>IFERROR(__xludf.DUMMYFUNCTION("""COMPUTED_VALUE"""),36616.666666666664)</f>
        <v>36616.66667</v>
      </c>
      <c r="B15" s="1">
        <f>IFERROR(__xludf.DUMMYFUNCTION("""COMPUTED_VALUE"""),27.78)</f>
        <v>27.78</v>
      </c>
      <c r="C15" s="1">
        <f>IFERROR(__xludf.DUMMYFUNCTION("""COMPUTED_VALUE"""),29.63)</f>
        <v>29.63</v>
      </c>
      <c r="D15" s="1">
        <f>IFERROR(__xludf.DUMMYFUNCTION("""COMPUTED_VALUE"""),27.22)</f>
        <v>27.22</v>
      </c>
      <c r="E15" s="1">
        <f>IFERROR(__xludf.DUMMYFUNCTION("""COMPUTED_VALUE"""),27.78)</f>
        <v>27.78</v>
      </c>
      <c r="F15" s="1">
        <f>IFERROR(__xludf.DUMMYFUNCTION("""COMPUTED_VALUE"""),2.54157E7)</f>
        <v>25415700</v>
      </c>
    </row>
    <row r="16">
      <c r="A16" s="2">
        <f>IFERROR(__xludf.DUMMYFUNCTION("""COMPUTED_VALUE"""),36623.666666666664)</f>
        <v>36623.66667</v>
      </c>
      <c r="B16" s="1">
        <f>IFERROR(__xludf.DUMMYFUNCTION("""COMPUTED_VALUE"""),28.02)</f>
        <v>28.02</v>
      </c>
      <c r="C16" s="1">
        <f>IFERROR(__xludf.DUMMYFUNCTION("""COMPUTED_VALUE"""),31.48)</f>
        <v>31.48</v>
      </c>
      <c r="D16" s="1">
        <f>IFERROR(__xludf.DUMMYFUNCTION("""COMPUTED_VALUE"""),28.02)</f>
        <v>28.02</v>
      </c>
      <c r="E16" s="1">
        <f>IFERROR(__xludf.DUMMYFUNCTION("""COMPUTED_VALUE"""),31.33)</f>
        <v>31.33</v>
      </c>
      <c r="F16" s="1">
        <f>IFERROR(__xludf.DUMMYFUNCTION("""COMPUTED_VALUE"""),2.37958E7)</f>
        <v>23795800</v>
      </c>
    </row>
    <row r="17">
      <c r="A17" s="2">
        <f>IFERROR(__xludf.DUMMYFUNCTION("""COMPUTED_VALUE"""),36630.666666666664)</f>
        <v>36630.66667</v>
      </c>
      <c r="B17" s="1">
        <f>IFERROR(__xludf.DUMMYFUNCTION("""COMPUTED_VALUE"""),31.57)</f>
        <v>31.57</v>
      </c>
      <c r="C17" s="1">
        <f>IFERROR(__xludf.DUMMYFUNCTION("""COMPUTED_VALUE"""),35.86)</f>
        <v>35.86</v>
      </c>
      <c r="D17" s="1">
        <f>IFERROR(__xludf.DUMMYFUNCTION("""COMPUTED_VALUE"""),30.62)</f>
        <v>30.62</v>
      </c>
      <c r="E17" s="1">
        <f>IFERROR(__xludf.DUMMYFUNCTION("""COMPUTED_VALUE"""),30.93)</f>
        <v>30.93</v>
      </c>
      <c r="F17" s="1">
        <f>IFERROR(__xludf.DUMMYFUNCTION("""COMPUTED_VALUE"""),2.76888E7)</f>
        <v>27688800</v>
      </c>
    </row>
    <row r="18">
      <c r="A18" s="2">
        <f>IFERROR(__xludf.DUMMYFUNCTION("""COMPUTED_VALUE"""),36636.666666666664)</f>
        <v>36636.66667</v>
      </c>
      <c r="B18" s="1">
        <f>IFERROR(__xludf.DUMMYFUNCTION("""COMPUTED_VALUE"""),31.05)</f>
        <v>31.05</v>
      </c>
      <c r="C18" s="1">
        <f>IFERROR(__xludf.DUMMYFUNCTION("""COMPUTED_VALUE"""),34.07)</f>
        <v>34.07</v>
      </c>
      <c r="D18" s="1">
        <f>IFERROR(__xludf.DUMMYFUNCTION("""COMPUTED_VALUE"""),31.05)</f>
        <v>31.05</v>
      </c>
      <c r="E18" s="1">
        <f>IFERROR(__xludf.DUMMYFUNCTION("""COMPUTED_VALUE"""),34.04)</f>
        <v>34.04</v>
      </c>
      <c r="F18" s="1">
        <f>IFERROR(__xludf.DUMMYFUNCTION("""COMPUTED_VALUE"""),1.82015E7)</f>
        <v>18201500</v>
      </c>
    </row>
    <row r="19">
      <c r="A19" s="2">
        <f>IFERROR(__xludf.DUMMYFUNCTION("""COMPUTED_VALUE"""),36644.666666666664)</f>
        <v>36644.66667</v>
      </c>
      <c r="B19" s="1">
        <f>IFERROR(__xludf.DUMMYFUNCTION("""COMPUTED_VALUE"""),34.04)</f>
        <v>34.04</v>
      </c>
      <c r="C19" s="1">
        <f>IFERROR(__xludf.DUMMYFUNCTION("""COMPUTED_VALUE"""),35.06)</f>
        <v>35.06</v>
      </c>
      <c r="D19" s="1">
        <f>IFERROR(__xludf.DUMMYFUNCTION("""COMPUTED_VALUE"""),29.23)</f>
        <v>29.23</v>
      </c>
      <c r="E19" s="1">
        <f>IFERROR(__xludf.DUMMYFUNCTION("""COMPUTED_VALUE"""),29.44)</f>
        <v>29.44</v>
      </c>
      <c r="F19" s="1">
        <f>IFERROR(__xludf.DUMMYFUNCTION("""COMPUTED_VALUE"""),3.03322E7)</f>
        <v>30332200</v>
      </c>
    </row>
    <row r="20">
      <c r="A20" s="2">
        <f>IFERROR(__xludf.DUMMYFUNCTION("""COMPUTED_VALUE"""),36651.666666666664)</f>
        <v>36651.66667</v>
      </c>
      <c r="B20" s="1">
        <f>IFERROR(__xludf.DUMMYFUNCTION("""COMPUTED_VALUE"""),29.54)</f>
        <v>29.54</v>
      </c>
      <c r="C20" s="1">
        <f>IFERROR(__xludf.DUMMYFUNCTION("""COMPUTED_VALUE"""),30.43)</f>
        <v>30.43</v>
      </c>
      <c r="D20" s="1">
        <f>IFERROR(__xludf.DUMMYFUNCTION("""COMPUTED_VALUE"""),29.04)</f>
        <v>29.04</v>
      </c>
      <c r="E20" s="1">
        <f>IFERROR(__xludf.DUMMYFUNCTION("""COMPUTED_VALUE"""),30.06)</f>
        <v>30.06</v>
      </c>
      <c r="F20" s="1">
        <f>IFERROR(__xludf.DUMMYFUNCTION("""COMPUTED_VALUE"""),1.19684E7)</f>
        <v>11968400</v>
      </c>
    </row>
    <row r="21">
      <c r="A21" s="2">
        <f>IFERROR(__xludf.DUMMYFUNCTION("""COMPUTED_VALUE"""),36658.666666666664)</f>
        <v>36658.66667</v>
      </c>
      <c r="B21" s="1">
        <f>IFERROR(__xludf.DUMMYFUNCTION("""COMPUTED_VALUE"""),29.69)</f>
        <v>29.69</v>
      </c>
      <c r="C21" s="1">
        <f>IFERROR(__xludf.DUMMYFUNCTION("""COMPUTED_VALUE"""),32.35)</f>
        <v>32.35</v>
      </c>
      <c r="D21" s="1">
        <f>IFERROR(__xludf.DUMMYFUNCTION("""COMPUTED_VALUE"""),29.66)</f>
        <v>29.66</v>
      </c>
      <c r="E21" s="1">
        <f>IFERROR(__xludf.DUMMYFUNCTION("""COMPUTED_VALUE"""),31.64)</f>
        <v>31.64</v>
      </c>
      <c r="F21" s="1">
        <f>IFERROR(__xludf.DUMMYFUNCTION("""COMPUTED_VALUE"""),1.32415E7)</f>
        <v>13241500</v>
      </c>
    </row>
    <row r="22">
      <c r="A22" s="2">
        <f>IFERROR(__xludf.DUMMYFUNCTION("""COMPUTED_VALUE"""),36665.666666666664)</f>
        <v>36665.66667</v>
      </c>
      <c r="B22" s="1">
        <f>IFERROR(__xludf.DUMMYFUNCTION("""COMPUTED_VALUE"""),31.54)</f>
        <v>31.54</v>
      </c>
      <c r="C22" s="1">
        <f>IFERROR(__xludf.DUMMYFUNCTION("""COMPUTED_VALUE"""),32.25)</f>
        <v>32.25</v>
      </c>
      <c r="D22" s="1">
        <f>IFERROR(__xludf.DUMMYFUNCTION("""COMPUTED_VALUE"""),31.3)</f>
        <v>31.3</v>
      </c>
      <c r="E22" s="1">
        <f>IFERROR(__xludf.DUMMYFUNCTION("""COMPUTED_VALUE"""),32.13)</f>
        <v>32.13</v>
      </c>
      <c r="F22" s="1">
        <f>IFERROR(__xludf.DUMMYFUNCTION("""COMPUTED_VALUE"""),1.18076E7)</f>
        <v>11807600</v>
      </c>
    </row>
    <row r="23">
      <c r="A23" s="2">
        <f>IFERROR(__xludf.DUMMYFUNCTION("""COMPUTED_VALUE"""),36672.666666666664)</f>
        <v>36672.66667</v>
      </c>
      <c r="B23" s="1">
        <f>IFERROR(__xludf.DUMMYFUNCTION("""COMPUTED_VALUE"""),32.19)</f>
        <v>32.19</v>
      </c>
      <c r="C23" s="1">
        <f>IFERROR(__xludf.DUMMYFUNCTION("""COMPUTED_VALUE"""),32.81)</f>
        <v>32.81</v>
      </c>
      <c r="D23" s="1">
        <f>IFERROR(__xludf.DUMMYFUNCTION("""COMPUTED_VALUE"""),31.48)</f>
        <v>31.48</v>
      </c>
      <c r="E23" s="1">
        <f>IFERROR(__xludf.DUMMYFUNCTION("""COMPUTED_VALUE"""),32.72)</f>
        <v>32.72</v>
      </c>
      <c r="F23" s="1">
        <f>IFERROR(__xludf.DUMMYFUNCTION("""COMPUTED_VALUE"""),1.17081E7)</f>
        <v>11708100</v>
      </c>
    </row>
    <row r="24">
      <c r="A24" s="2">
        <f>IFERROR(__xludf.DUMMYFUNCTION("""COMPUTED_VALUE"""),36679.666666666664)</f>
        <v>36679.66667</v>
      </c>
      <c r="B24" s="1">
        <f>IFERROR(__xludf.DUMMYFUNCTION("""COMPUTED_VALUE"""),32.75)</f>
        <v>32.75</v>
      </c>
      <c r="C24" s="1">
        <f>IFERROR(__xludf.DUMMYFUNCTION("""COMPUTED_VALUE"""),33.02)</f>
        <v>33.02</v>
      </c>
      <c r="D24" s="1">
        <f>IFERROR(__xludf.DUMMYFUNCTION("""COMPUTED_VALUE"""),31.36)</f>
        <v>31.36</v>
      </c>
      <c r="E24" s="1">
        <f>IFERROR(__xludf.DUMMYFUNCTION("""COMPUTED_VALUE"""),31.6)</f>
        <v>31.6</v>
      </c>
      <c r="F24" s="1">
        <f>IFERROR(__xludf.DUMMYFUNCTION("""COMPUTED_VALUE"""),1.09498E7)</f>
        <v>10949800</v>
      </c>
    </row>
    <row r="25">
      <c r="A25" s="2">
        <f>IFERROR(__xludf.DUMMYFUNCTION("""COMPUTED_VALUE"""),36686.666666666664)</f>
        <v>36686.66667</v>
      </c>
      <c r="B25" s="1">
        <f>IFERROR(__xludf.DUMMYFUNCTION("""COMPUTED_VALUE"""),32.65)</f>
        <v>32.65</v>
      </c>
      <c r="C25" s="1">
        <f>IFERROR(__xludf.DUMMYFUNCTION("""COMPUTED_VALUE"""),32.78)</f>
        <v>32.78</v>
      </c>
      <c r="D25" s="1">
        <f>IFERROR(__xludf.DUMMYFUNCTION("""COMPUTED_VALUE"""),27.56)</f>
        <v>27.56</v>
      </c>
      <c r="E25" s="1">
        <f>IFERROR(__xludf.DUMMYFUNCTION("""COMPUTED_VALUE"""),27.99)</f>
        <v>27.99</v>
      </c>
      <c r="F25" s="1">
        <f>IFERROR(__xludf.DUMMYFUNCTION("""COMPUTED_VALUE"""),3.30271E7)</f>
        <v>33027100</v>
      </c>
    </row>
    <row r="26">
      <c r="A26" s="2">
        <f>IFERROR(__xludf.DUMMYFUNCTION("""COMPUTED_VALUE"""),36693.666666666664)</f>
        <v>36693.66667</v>
      </c>
      <c r="B26" s="1">
        <f>IFERROR(__xludf.DUMMYFUNCTION("""COMPUTED_VALUE"""),28.15)</f>
        <v>28.15</v>
      </c>
      <c r="C26" s="1">
        <f>IFERROR(__xludf.DUMMYFUNCTION("""COMPUTED_VALUE"""),28.39)</f>
        <v>28.39</v>
      </c>
      <c r="D26" s="1">
        <f>IFERROR(__xludf.DUMMYFUNCTION("""COMPUTED_VALUE"""),27.41)</f>
        <v>27.41</v>
      </c>
      <c r="E26" s="1">
        <f>IFERROR(__xludf.DUMMYFUNCTION("""COMPUTED_VALUE"""),27.41)</f>
        <v>27.41</v>
      </c>
      <c r="F26" s="1">
        <f>IFERROR(__xludf.DUMMYFUNCTION("""COMPUTED_VALUE"""),2.01826E7)</f>
        <v>20182600</v>
      </c>
    </row>
    <row r="27">
      <c r="A27" s="2">
        <f>IFERROR(__xludf.DUMMYFUNCTION("""COMPUTED_VALUE"""),36700.666666666664)</f>
        <v>36700.66667</v>
      </c>
      <c r="B27" s="1">
        <f>IFERROR(__xludf.DUMMYFUNCTION("""COMPUTED_VALUE"""),27.75)</f>
        <v>27.75</v>
      </c>
      <c r="C27" s="1">
        <f>IFERROR(__xludf.DUMMYFUNCTION("""COMPUTED_VALUE"""),27.9)</f>
        <v>27.9</v>
      </c>
      <c r="D27" s="1">
        <f>IFERROR(__xludf.DUMMYFUNCTION("""COMPUTED_VALUE"""),26.7)</f>
        <v>26.7</v>
      </c>
      <c r="E27" s="1">
        <f>IFERROR(__xludf.DUMMYFUNCTION("""COMPUTED_VALUE"""),27.13)</f>
        <v>27.13</v>
      </c>
      <c r="F27" s="1">
        <f>IFERROR(__xludf.DUMMYFUNCTION("""COMPUTED_VALUE"""),1.51113E7)</f>
        <v>15111300</v>
      </c>
    </row>
    <row r="28">
      <c r="A28" s="2">
        <f>IFERROR(__xludf.DUMMYFUNCTION("""COMPUTED_VALUE"""),36707.666666666664)</f>
        <v>36707.66667</v>
      </c>
      <c r="B28" s="1">
        <f>IFERROR(__xludf.DUMMYFUNCTION("""COMPUTED_VALUE"""),27.16)</f>
        <v>27.16</v>
      </c>
      <c r="C28" s="1">
        <f>IFERROR(__xludf.DUMMYFUNCTION("""COMPUTED_VALUE"""),28.27)</f>
        <v>28.27</v>
      </c>
      <c r="D28" s="1">
        <f>IFERROR(__xludf.DUMMYFUNCTION("""COMPUTED_VALUE"""),26.3)</f>
        <v>26.3</v>
      </c>
      <c r="E28" s="1">
        <f>IFERROR(__xludf.DUMMYFUNCTION("""COMPUTED_VALUE"""),28.27)</f>
        <v>28.27</v>
      </c>
      <c r="F28" s="1">
        <f>IFERROR(__xludf.DUMMYFUNCTION("""COMPUTED_VALUE"""),2.26747E7)</f>
        <v>22674700</v>
      </c>
    </row>
    <row r="29">
      <c r="A29" s="2">
        <f>IFERROR(__xludf.DUMMYFUNCTION("""COMPUTED_VALUE"""),36714.666666666664)</f>
        <v>36714.66667</v>
      </c>
      <c r="B29" s="1">
        <f>IFERROR(__xludf.DUMMYFUNCTION("""COMPUTED_VALUE"""),27.25)</f>
        <v>27.25</v>
      </c>
      <c r="C29" s="1">
        <f>IFERROR(__xludf.DUMMYFUNCTION("""COMPUTED_VALUE"""),28.27)</f>
        <v>28.27</v>
      </c>
      <c r="D29" s="1">
        <f>IFERROR(__xludf.DUMMYFUNCTION("""COMPUTED_VALUE"""),26.76)</f>
        <v>26.76</v>
      </c>
      <c r="E29" s="1">
        <f>IFERROR(__xludf.DUMMYFUNCTION("""COMPUTED_VALUE"""),27.13)</f>
        <v>27.13</v>
      </c>
      <c r="F29" s="1">
        <f>IFERROR(__xludf.DUMMYFUNCTION("""COMPUTED_VALUE"""),1.25131E7)</f>
        <v>12513100</v>
      </c>
    </row>
    <row r="30">
      <c r="A30" s="2">
        <f>IFERROR(__xludf.DUMMYFUNCTION("""COMPUTED_VALUE"""),36721.666666666664)</f>
        <v>36721.66667</v>
      </c>
      <c r="B30" s="1">
        <f>IFERROR(__xludf.DUMMYFUNCTION("""COMPUTED_VALUE"""),27.19)</f>
        <v>27.19</v>
      </c>
      <c r="C30" s="1">
        <f>IFERROR(__xludf.DUMMYFUNCTION("""COMPUTED_VALUE"""),27.78)</f>
        <v>27.78</v>
      </c>
      <c r="D30" s="1">
        <f>IFERROR(__xludf.DUMMYFUNCTION("""COMPUTED_VALUE"""),26.73)</f>
        <v>26.73</v>
      </c>
      <c r="E30" s="1">
        <f>IFERROR(__xludf.DUMMYFUNCTION("""COMPUTED_VALUE"""),27.65)</f>
        <v>27.65</v>
      </c>
      <c r="F30" s="1">
        <f>IFERROR(__xludf.DUMMYFUNCTION("""COMPUTED_VALUE"""),1.72842E7)</f>
        <v>17284200</v>
      </c>
    </row>
    <row r="31">
      <c r="A31" s="2">
        <f>IFERROR(__xludf.DUMMYFUNCTION("""COMPUTED_VALUE"""),36728.666666666664)</f>
        <v>36728.66667</v>
      </c>
      <c r="B31" s="1">
        <f>IFERROR(__xludf.DUMMYFUNCTION("""COMPUTED_VALUE"""),27.69)</f>
        <v>27.69</v>
      </c>
      <c r="C31" s="1">
        <f>IFERROR(__xludf.DUMMYFUNCTION("""COMPUTED_VALUE"""),29.41)</f>
        <v>29.41</v>
      </c>
      <c r="D31" s="1">
        <f>IFERROR(__xludf.DUMMYFUNCTION("""COMPUTED_VALUE"""),27.65)</f>
        <v>27.65</v>
      </c>
      <c r="E31" s="1">
        <f>IFERROR(__xludf.DUMMYFUNCTION("""COMPUTED_VALUE"""),29.2)</f>
        <v>29.2</v>
      </c>
      <c r="F31" s="1">
        <f>IFERROR(__xludf.DUMMYFUNCTION("""COMPUTED_VALUE"""),1.76988E7)</f>
        <v>17698800</v>
      </c>
    </row>
    <row r="32">
      <c r="A32" s="2">
        <f>IFERROR(__xludf.DUMMYFUNCTION("""COMPUTED_VALUE"""),36735.666666666664)</f>
        <v>36735.66667</v>
      </c>
      <c r="B32" s="1">
        <f>IFERROR(__xludf.DUMMYFUNCTION("""COMPUTED_VALUE"""),29.23)</f>
        <v>29.23</v>
      </c>
      <c r="C32" s="1">
        <f>IFERROR(__xludf.DUMMYFUNCTION("""COMPUTED_VALUE"""),30.03)</f>
        <v>30.03</v>
      </c>
      <c r="D32" s="1">
        <f>IFERROR(__xludf.DUMMYFUNCTION("""COMPUTED_VALUE"""),29.14)</f>
        <v>29.14</v>
      </c>
      <c r="E32" s="1">
        <f>IFERROR(__xludf.DUMMYFUNCTION("""COMPUTED_VALUE"""),29.23)</f>
        <v>29.23</v>
      </c>
      <c r="F32" s="1">
        <f>IFERROR(__xludf.DUMMYFUNCTION("""COMPUTED_VALUE"""),1.59036E7)</f>
        <v>15903600</v>
      </c>
    </row>
    <row r="33">
      <c r="A33" s="2">
        <f>IFERROR(__xludf.DUMMYFUNCTION("""COMPUTED_VALUE"""),36742.666666666664)</f>
        <v>36742.66667</v>
      </c>
      <c r="B33" s="1">
        <f>IFERROR(__xludf.DUMMYFUNCTION("""COMPUTED_VALUE"""),29.01)</f>
        <v>29.01</v>
      </c>
      <c r="C33" s="1">
        <f>IFERROR(__xludf.DUMMYFUNCTION("""COMPUTED_VALUE"""),29.6)</f>
        <v>29.6</v>
      </c>
      <c r="D33" s="1">
        <f>IFERROR(__xludf.DUMMYFUNCTION("""COMPUTED_VALUE"""),27.35)</f>
        <v>27.35</v>
      </c>
      <c r="E33" s="1">
        <f>IFERROR(__xludf.DUMMYFUNCTION("""COMPUTED_VALUE"""),28.33)</f>
        <v>28.33</v>
      </c>
      <c r="F33" s="1">
        <f>IFERROR(__xludf.DUMMYFUNCTION("""COMPUTED_VALUE"""),2.00011E7)</f>
        <v>20001100</v>
      </c>
    </row>
    <row r="34">
      <c r="A34" s="2">
        <f>IFERROR(__xludf.DUMMYFUNCTION("""COMPUTED_VALUE"""),36749.666666666664)</f>
        <v>36749.66667</v>
      </c>
      <c r="B34" s="1">
        <f>IFERROR(__xludf.DUMMYFUNCTION("""COMPUTED_VALUE"""),28.3)</f>
        <v>28.3</v>
      </c>
      <c r="C34" s="1">
        <f>IFERROR(__xludf.DUMMYFUNCTION("""COMPUTED_VALUE"""),28.89)</f>
        <v>28.89</v>
      </c>
      <c r="D34" s="1">
        <f>IFERROR(__xludf.DUMMYFUNCTION("""COMPUTED_VALUE"""),27.65)</f>
        <v>27.65</v>
      </c>
      <c r="E34" s="1">
        <f>IFERROR(__xludf.DUMMYFUNCTION("""COMPUTED_VALUE"""),28.77)</f>
        <v>28.77</v>
      </c>
      <c r="F34" s="1">
        <f>IFERROR(__xludf.DUMMYFUNCTION("""COMPUTED_VALUE"""),1.03925E7)</f>
        <v>10392500</v>
      </c>
    </row>
    <row r="35">
      <c r="A35" s="2">
        <f>IFERROR(__xludf.DUMMYFUNCTION("""COMPUTED_VALUE"""),36756.666666666664)</f>
        <v>36756.66667</v>
      </c>
      <c r="B35" s="1">
        <f>IFERROR(__xludf.DUMMYFUNCTION("""COMPUTED_VALUE"""),28.8)</f>
        <v>28.8</v>
      </c>
      <c r="C35" s="1">
        <f>IFERROR(__xludf.DUMMYFUNCTION("""COMPUTED_VALUE"""),31.2)</f>
        <v>31.2</v>
      </c>
      <c r="D35" s="1">
        <f>IFERROR(__xludf.DUMMYFUNCTION("""COMPUTED_VALUE"""),28.67)</f>
        <v>28.67</v>
      </c>
      <c r="E35" s="1">
        <f>IFERROR(__xludf.DUMMYFUNCTION("""COMPUTED_VALUE"""),31.11)</f>
        <v>31.11</v>
      </c>
      <c r="F35" s="1">
        <f>IFERROR(__xludf.DUMMYFUNCTION("""COMPUTED_VALUE"""),1.51927E7)</f>
        <v>15192700</v>
      </c>
    </row>
    <row r="36">
      <c r="A36" s="2">
        <f>IFERROR(__xludf.DUMMYFUNCTION("""COMPUTED_VALUE"""),36763.666666666664)</f>
        <v>36763.66667</v>
      </c>
      <c r="B36" s="1">
        <f>IFERROR(__xludf.DUMMYFUNCTION("""COMPUTED_VALUE"""),31.2)</f>
        <v>31.2</v>
      </c>
      <c r="C36" s="1">
        <f>IFERROR(__xludf.DUMMYFUNCTION("""COMPUTED_VALUE"""),31.85)</f>
        <v>31.85</v>
      </c>
      <c r="D36" s="1">
        <f>IFERROR(__xludf.DUMMYFUNCTION("""COMPUTED_VALUE"""),30.31)</f>
        <v>30.31</v>
      </c>
      <c r="E36" s="1">
        <f>IFERROR(__xludf.DUMMYFUNCTION("""COMPUTED_VALUE"""),30.99)</f>
        <v>30.99</v>
      </c>
      <c r="F36" s="1">
        <f>IFERROR(__xludf.DUMMYFUNCTION("""COMPUTED_VALUE"""),1.19892E7)</f>
        <v>11989200</v>
      </c>
    </row>
    <row r="37">
      <c r="A37" s="2">
        <f>IFERROR(__xludf.DUMMYFUNCTION("""COMPUTED_VALUE"""),36770.666666666664)</f>
        <v>36770.66667</v>
      </c>
      <c r="B37" s="1">
        <f>IFERROR(__xludf.DUMMYFUNCTION("""COMPUTED_VALUE"""),30.99)</f>
        <v>30.99</v>
      </c>
      <c r="C37" s="1">
        <f>IFERROR(__xludf.DUMMYFUNCTION("""COMPUTED_VALUE"""),31.23)</f>
        <v>31.23</v>
      </c>
      <c r="D37" s="1">
        <f>IFERROR(__xludf.DUMMYFUNCTION("""COMPUTED_VALUE"""),30.15)</f>
        <v>30.15</v>
      </c>
      <c r="E37" s="1">
        <f>IFERROR(__xludf.DUMMYFUNCTION("""COMPUTED_VALUE"""),30.31)</f>
        <v>30.31</v>
      </c>
      <c r="F37" s="1">
        <f>IFERROR(__xludf.DUMMYFUNCTION("""COMPUTED_VALUE"""),8456700.0)</f>
        <v>8456700</v>
      </c>
    </row>
    <row r="38">
      <c r="A38" s="2">
        <f>IFERROR(__xludf.DUMMYFUNCTION("""COMPUTED_VALUE"""),36777.666666666664)</f>
        <v>36777.66667</v>
      </c>
      <c r="B38" s="1">
        <f>IFERROR(__xludf.DUMMYFUNCTION("""COMPUTED_VALUE"""),30.34)</f>
        <v>30.34</v>
      </c>
      <c r="C38" s="1">
        <f>IFERROR(__xludf.DUMMYFUNCTION("""COMPUTED_VALUE"""),31.79)</f>
        <v>31.79</v>
      </c>
      <c r="D38" s="1">
        <f>IFERROR(__xludf.DUMMYFUNCTION("""COMPUTED_VALUE"""),30.19)</f>
        <v>30.19</v>
      </c>
      <c r="E38" s="1">
        <f>IFERROR(__xludf.DUMMYFUNCTION("""COMPUTED_VALUE"""),31.33)</f>
        <v>31.33</v>
      </c>
      <c r="F38" s="1">
        <f>IFERROR(__xludf.DUMMYFUNCTION("""COMPUTED_VALUE"""),1.27741E7)</f>
        <v>12774100</v>
      </c>
    </row>
    <row r="39">
      <c r="A39" s="2">
        <f>IFERROR(__xludf.DUMMYFUNCTION("""COMPUTED_VALUE"""),36784.666666666664)</f>
        <v>36784.66667</v>
      </c>
      <c r="B39" s="1">
        <f>IFERROR(__xludf.DUMMYFUNCTION("""COMPUTED_VALUE"""),31.27)</f>
        <v>31.27</v>
      </c>
      <c r="C39" s="1">
        <f>IFERROR(__xludf.DUMMYFUNCTION("""COMPUTED_VALUE"""),31.48)</f>
        <v>31.48</v>
      </c>
      <c r="D39" s="1">
        <f>IFERROR(__xludf.DUMMYFUNCTION("""COMPUTED_VALUE"""),29.66)</f>
        <v>29.66</v>
      </c>
      <c r="E39" s="1">
        <f>IFERROR(__xludf.DUMMYFUNCTION("""COMPUTED_VALUE"""),30.59)</f>
        <v>30.59</v>
      </c>
      <c r="F39" s="1">
        <f>IFERROR(__xludf.DUMMYFUNCTION("""COMPUTED_VALUE"""),1.54347E7)</f>
        <v>15434700</v>
      </c>
    </row>
    <row r="40">
      <c r="A40" s="2">
        <f>IFERROR(__xludf.DUMMYFUNCTION("""COMPUTED_VALUE"""),36791.666666666664)</f>
        <v>36791.66667</v>
      </c>
      <c r="B40" s="1">
        <f>IFERROR(__xludf.DUMMYFUNCTION("""COMPUTED_VALUE"""),30.59)</f>
        <v>30.59</v>
      </c>
      <c r="C40" s="1">
        <f>IFERROR(__xludf.DUMMYFUNCTION("""COMPUTED_VALUE"""),31.67)</f>
        <v>31.67</v>
      </c>
      <c r="D40" s="1">
        <f>IFERROR(__xludf.DUMMYFUNCTION("""COMPUTED_VALUE"""),29.88)</f>
        <v>29.88</v>
      </c>
      <c r="E40" s="1">
        <f>IFERROR(__xludf.DUMMYFUNCTION("""COMPUTED_VALUE"""),31.54)</f>
        <v>31.54</v>
      </c>
      <c r="F40" s="1">
        <f>IFERROR(__xludf.DUMMYFUNCTION("""COMPUTED_VALUE"""),1.60493E7)</f>
        <v>16049300</v>
      </c>
    </row>
    <row r="41">
      <c r="A41" s="2">
        <f>IFERROR(__xludf.DUMMYFUNCTION("""COMPUTED_VALUE"""),36798.666666666664)</f>
        <v>36798.66667</v>
      </c>
      <c r="B41" s="1">
        <f>IFERROR(__xludf.DUMMYFUNCTION("""COMPUTED_VALUE"""),31.64)</f>
        <v>31.64</v>
      </c>
      <c r="C41" s="1">
        <f>IFERROR(__xludf.DUMMYFUNCTION("""COMPUTED_VALUE"""),33.49)</f>
        <v>33.49</v>
      </c>
      <c r="D41" s="1">
        <f>IFERROR(__xludf.DUMMYFUNCTION("""COMPUTED_VALUE"""),29.69)</f>
        <v>29.69</v>
      </c>
      <c r="E41" s="1">
        <f>IFERROR(__xludf.DUMMYFUNCTION("""COMPUTED_VALUE"""),33.09)</f>
        <v>33.09</v>
      </c>
      <c r="F41" s="1">
        <f>IFERROR(__xludf.DUMMYFUNCTION("""COMPUTED_VALUE"""),2.6370225E7)</f>
        <v>26370225</v>
      </c>
    </row>
    <row r="42">
      <c r="A42" s="2">
        <f>IFERROR(__xludf.DUMMYFUNCTION("""COMPUTED_VALUE"""),36805.666666666664)</f>
        <v>36805.66667</v>
      </c>
      <c r="B42" s="1">
        <f>IFERROR(__xludf.DUMMYFUNCTION("""COMPUTED_VALUE"""),33.12)</f>
        <v>33.12</v>
      </c>
      <c r="C42" s="1">
        <f>IFERROR(__xludf.DUMMYFUNCTION("""COMPUTED_VALUE"""),36.98)</f>
        <v>36.98</v>
      </c>
      <c r="D42" s="1">
        <f>IFERROR(__xludf.DUMMYFUNCTION("""COMPUTED_VALUE"""),32.87)</f>
        <v>32.87</v>
      </c>
      <c r="E42" s="1">
        <f>IFERROR(__xludf.DUMMYFUNCTION("""COMPUTED_VALUE"""),36.51)</f>
        <v>36.51</v>
      </c>
      <c r="F42" s="1">
        <f>IFERROR(__xludf.DUMMYFUNCTION("""COMPUTED_VALUE"""),2.05131E7)</f>
        <v>20513100</v>
      </c>
    </row>
    <row r="43">
      <c r="A43" s="2">
        <f>IFERROR(__xludf.DUMMYFUNCTION("""COMPUTED_VALUE"""),36812.666666666664)</f>
        <v>36812.66667</v>
      </c>
      <c r="B43" s="1">
        <f>IFERROR(__xludf.DUMMYFUNCTION("""COMPUTED_VALUE"""),36.05)</f>
        <v>36.05</v>
      </c>
      <c r="C43" s="1">
        <f>IFERROR(__xludf.DUMMYFUNCTION("""COMPUTED_VALUE"""),36.76)</f>
        <v>36.76</v>
      </c>
      <c r="D43" s="1">
        <f>IFERROR(__xludf.DUMMYFUNCTION("""COMPUTED_VALUE"""),35.59)</f>
        <v>35.59</v>
      </c>
      <c r="E43" s="1">
        <f>IFERROR(__xludf.DUMMYFUNCTION("""COMPUTED_VALUE"""),35.86)</f>
        <v>35.86</v>
      </c>
      <c r="F43" s="1">
        <f>IFERROR(__xludf.DUMMYFUNCTION("""COMPUTED_VALUE"""),1.38057E7)</f>
        <v>13805700</v>
      </c>
    </row>
    <row r="44">
      <c r="A44" s="2">
        <f>IFERROR(__xludf.DUMMYFUNCTION("""COMPUTED_VALUE"""),36819.666666666664)</f>
        <v>36819.66667</v>
      </c>
      <c r="B44" s="1">
        <f>IFERROR(__xludf.DUMMYFUNCTION("""COMPUTED_VALUE"""),35.74)</f>
        <v>35.74</v>
      </c>
      <c r="C44" s="1">
        <f>IFERROR(__xludf.DUMMYFUNCTION("""COMPUTED_VALUE"""),37.01)</f>
        <v>37.01</v>
      </c>
      <c r="D44" s="1">
        <f>IFERROR(__xludf.DUMMYFUNCTION("""COMPUTED_VALUE"""),35.09)</f>
        <v>35.09</v>
      </c>
      <c r="E44" s="1">
        <f>IFERROR(__xludf.DUMMYFUNCTION("""COMPUTED_VALUE"""),35.99)</f>
        <v>35.99</v>
      </c>
      <c r="F44" s="1">
        <f>IFERROR(__xludf.DUMMYFUNCTION("""COMPUTED_VALUE"""),1.38741E7)</f>
        <v>13874100</v>
      </c>
    </row>
    <row r="45">
      <c r="A45" s="2">
        <f>IFERROR(__xludf.DUMMYFUNCTION("""COMPUTED_VALUE"""),36826.666666666664)</f>
        <v>36826.66667</v>
      </c>
      <c r="B45" s="1">
        <f>IFERROR(__xludf.DUMMYFUNCTION("""COMPUTED_VALUE"""),35.89)</f>
        <v>35.89</v>
      </c>
      <c r="C45" s="1">
        <f>IFERROR(__xludf.DUMMYFUNCTION("""COMPUTED_VALUE"""),37.99)</f>
        <v>37.99</v>
      </c>
      <c r="D45" s="1">
        <f>IFERROR(__xludf.DUMMYFUNCTION("""COMPUTED_VALUE"""),34.35)</f>
        <v>34.35</v>
      </c>
      <c r="E45" s="1">
        <f>IFERROR(__xludf.DUMMYFUNCTION("""COMPUTED_VALUE"""),37.99)</f>
        <v>37.99</v>
      </c>
      <c r="F45" s="1">
        <f>IFERROR(__xludf.DUMMYFUNCTION("""COMPUTED_VALUE"""),1.53538E7)</f>
        <v>15353800</v>
      </c>
    </row>
    <row r="46">
      <c r="A46" s="2">
        <f>IFERROR(__xludf.DUMMYFUNCTION("""COMPUTED_VALUE"""),36833.666666666664)</f>
        <v>36833.66667</v>
      </c>
      <c r="B46" s="1">
        <f>IFERROR(__xludf.DUMMYFUNCTION("""COMPUTED_VALUE"""),37.53)</f>
        <v>37.53</v>
      </c>
      <c r="C46" s="1">
        <f>IFERROR(__xludf.DUMMYFUNCTION("""COMPUTED_VALUE"""),37.96)</f>
        <v>37.96</v>
      </c>
      <c r="D46" s="1">
        <f>IFERROR(__xludf.DUMMYFUNCTION("""COMPUTED_VALUE"""),33.15)</f>
        <v>33.15</v>
      </c>
      <c r="E46" s="1">
        <f>IFERROR(__xludf.DUMMYFUNCTION("""COMPUTED_VALUE"""),33.7)</f>
        <v>33.7</v>
      </c>
      <c r="F46" s="1">
        <f>IFERROR(__xludf.DUMMYFUNCTION("""COMPUTED_VALUE"""),2.79066E7)</f>
        <v>27906600</v>
      </c>
    </row>
    <row r="47">
      <c r="A47" s="2">
        <f>IFERROR(__xludf.DUMMYFUNCTION("""COMPUTED_VALUE"""),36840.666666666664)</f>
        <v>36840.66667</v>
      </c>
      <c r="B47" s="1">
        <f>IFERROR(__xludf.DUMMYFUNCTION("""COMPUTED_VALUE"""),33.7)</f>
        <v>33.7</v>
      </c>
      <c r="C47" s="1">
        <f>IFERROR(__xludf.DUMMYFUNCTION("""COMPUTED_VALUE"""),35.8)</f>
        <v>35.8</v>
      </c>
      <c r="D47" s="1">
        <f>IFERROR(__xludf.DUMMYFUNCTION("""COMPUTED_VALUE"""),33.33)</f>
        <v>33.33</v>
      </c>
      <c r="E47" s="1">
        <f>IFERROR(__xludf.DUMMYFUNCTION("""COMPUTED_VALUE"""),35.37)</f>
        <v>35.37</v>
      </c>
      <c r="F47" s="1">
        <f>IFERROR(__xludf.DUMMYFUNCTION("""COMPUTED_VALUE"""),1.44978E7)</f>
        <v>14497800</v>
      </c>
    </row>
    <row r="48">
      <c r="A48" s="2">
        <f>IFERROR(__xludf.DUMMYFUNCTION("""COMPUTED_VALUE"""),36847.666666666664)</f>
        <v>36847.66667</v>
      </c>
      <c r="B48" s="1">
        <f>IFERROR(__xludf.DUMMYFUNCTION("""COMPUTED_VALUE"""),35.31)</f>
        <v>35.31</v>
      </c>
      <c r="C48" s="1">
        <f>IFERROR(__xludf.DUMMYFUNCTION("""COMPUTED_VALUE"""),37.41)</f>
        <v>37.41</v>
      </c>
      <c r="D48" s="1">
        <f>IFERROR(__xludf.DUMMYFUNCTION("""COMPUTED_VALUE"""),35.22)</f>
        <v>35.22</v>
      </c>
      <c r="E48" s="1">
        <f>IFERROR(__xludf.DUMMYFUNCTION("""COMPUTED_VALUE"""),37.41)</f>
        <v>37.41</v>
      </c>
      <c r="F48" s="1">
        <f>IFERROR(__xludf.DUMMYFUNCTION("""COMPUTED_VALUE"""),1.38413E7)</f>
        <v>13841300</v>
      </c>
    </row>
    <row r="49">
      <c r="A49" s="2">
        <f>IFERROR(__xludf.DUMMYFUNCTION("""COMPUTED_VALUE"""),36854.666666666664)</f>
        <v>36854.66667</v>
      </c>
      <c r="B49" s="1">
        <f>IFERROR(__xludf.DUMMYFUNCTION("""COMPUTED_VALUE"""),36.91)</f>
        <v>36.91</v>
      </c>
      <c r="C49" s="1">
        <f>IFERROR(__xludf.DUMMYFUNCTION("""COMPUTED_VALUE"""),37.5)</f>
        <v>37.5</v>
      </c>
      <c r="D49" s="1">
        <f>IFERROR(__xludf.DUMMYFUNCTION("""COMPUTED_VALUE"""),35.93)</f>
        <v>35.93</v>
      </c>
      <c r="E49" s="1">
        <f>IFERROR(__xludf.DUMMYFUNCTION("""COMPUTED_VALUE"""),36.36)</f>
        <v>36.36</v>
      </c>
      <c r="F49" s="1">
        <f>IFERROR(__xludf.DUMMYFUNCTION("""COMPUTED_VALUE"""),9235900.0)</f>
        <v>9235900</v>
      </c>
    </row>
    <row r="50">
      <c r="A50" s="2">
        <f>IFERROR(__xludf.DUMMYFUNCTION("""COMPUTED_VALUE"""),36861.666666666664)</f>
        <v>36861.66667</v>
      </c>
      <c r="B50" s="1">
        <f>IFERROR(__xludf.DUMMYFUNCTION("""COMPUTED_VALUE"""),35.99)</f>
        <v>35.99</v>
      </c>
      <c r="C50" s="1">
        <f>IFERROR(__xludf.DUMMYFUNCTION("""COMPUTED_VALUE"""),37.5)</f>
        <v>37.5</v>
      </c>
      <c r="D50" s="1">
        <f>IFERROR(__xludf.DUMMYFUNCTION("""COMPUTED_VALUE"""),35.8)</f>
        <v>35.8</v>
      </c>
      <c r="E50" s="1">
        <f>IFERROR(__xludf.DUMMYFUNCTION("""COMPUTED_VALUE"""),36.51)</f>
        <v>36.51</v>
      </c>
      <c r="F50" s="1">
        <f>IFERROR(__xludf.DUMMYFUNCTION("""COMPUTED_VALUE"""),1.24265E7)</f>
        <v>12426500</v>
      </c>
    </row>
    <row r="51">
      <c r="A51" s="2">
        <f>IFERROR(__xludf.DUMMYFUNCTION("""COMPUTED_VALUE"""),36868.666666666664)</f>
        <v>36868.66667</v>
      </c>
      <c r="B51" s="1">
        <f>IFERROR(__xludf.DUMMYFUNCTION("""COMPUTED_VALUE"""),36.42)</f>
        <v>36.42</v>
      </c>
      <c r="C51" s="1">
        <f>IFERROR(__xludf.DUMMYFUNCTION("""COMPUTED_VALUE"""),37.62)</f>
        <v>37.62</v>
      </c>
      <c r="D51" s="1">
        <f>IFERROR(__xludf.DUMMYFUNCTION("""COMPUTED_VALUE"""),35.0)</f>
        <v>35</v>
      </c>
      <c r="E51" s="1">
        <f>IFERROR(__xludf.DUMMYFUNCTION("""COMPUTED_VALUE"""),35.19)</f>
        <v>35.19</v>
      </c>
      <c r="F51" s="1">
        <f>IFERROR(__xludf.DUMMYFUNCTION("""COMPUTED_VALUE"""),1.28171E7)</f>
        <v>12817100</v>
      </c>
    </row>
    <row r="52">
      <c r="A52" s="2">
        <f>IFERROR(__xludf.DUMMYFUNCTION("""COMPUTED_VALUE"""),36875.666666666664)</f>
        <v>36875.66667</v>
      </c>
      <c r="B52" s="1">
        <f>IFERROR(__xludf.DUMMYFUNCTION("""COMPUTED_VALUE"""),34.94)</f>
        <v>34.94</v>
      </c>
      <c r="C52" s="1">
        <f>IFERROR(__xludf.DUMMYFUNCTION("""COMPUTED_VALUE"""),36.91)</f>
        <v>36.91</v>
      </c>
      <c r="D52" s="1">
        <f>IFERROR(__xludf.DUMMYFUNCTION("""COMPUTED_VALUE"""),34.01)</f>
        <v>34.01</v>
      </c>
      <c r="E52" s="1">
        <f>IFERROR(__xludf.DUMMYFUNCTION("""COMPUTED_VALUE"""),35.25)</f>
        <v>35.25</v>
      </c>
      <c r="F52" s="1">
        <f>IFERROR(__xludf.DUMMYFUNCTION("""COMPUTED_VALUE"""),1.63368E7)</f>
        <v>16336800</v>
      </c>
    </row>
    <row r="53">
      <c r="A53" s="2">
        <f>IFERROR(__xludf.DUMMYFUNCTION("""COMPUTED_VALUE"""),36882.666666666664)</f>
        <v>36882.66667</v>
      </c>
      <c r="B53" s="1">
        <f>IFERROR(__xludf.DUMMYFUNCTION("""COMPUTED_VALUE"""),35.86)</f>
        <v>35.86</v>
      </c>
      <c r="C53" s="1">
        <f>IFERROR(__xludf.DUMMYFUNCTION("""COMPUTED_VALUE"""),36.98)</f>
        <v>36.98</v>
      </c>
      <c r="D53" s="1">
        <f>IFERROR(__xludf.DUMMYFUNCTION("""COMPUTED_VALUE"""),35.46)</f>
        <v>35.46</v>
      </c>
      <c r="E53" s="1">
        <f>IFERROR(__xludf.DUMMYFUNCTION("""COMPUTED_VALUE"""),36.42)</f>
        <v>36.42</v>
      </c>
      <c r="F53" s="1">
        <f>IFERROR(__xludf.DUMMYFUNCTION("""COMPUTED_VALUE"""),1.24975E7)</f>
        <v>12497500</v>
      </c>
    </row>
    <row r="54">
      <c r="A54" s="2">
        <f>IFERROR(__xludf.DUMMYFUNCTION("""COMPUTED_VALUE"""),36889.666666666664)</f>
        <v>36889.66667</v>
      </c>
      <c r="B54" s="1">
        <f>IFERROR(__xludf.DUMMYFUNCTION("""COMPUTED_VALUE"""),36.39)</f>
        <v>36.39</v>
      </c>
      <c r="C54" s="1">
        <f>IFERROR(__xludf.DUMMYFUNCTION("""COMPUTED_VALUE"""),39.17)</f>
        <v>39.17</v>
      </c>
      <c r="D54" s="1">
        <f>IFERROR(__xludf.DUMMYFUNCTION("""COMPUTED_VALUE"""),35.93)</f>
        <v>35.93</v>
      </c>
      <c r="E54" s="1">
        <f>IFERROR(__xludf.DUMMYFUNCTION("""COMPUTED_VALUE"""),38.73)</f>
        <v>38.73</v>
      </c>
      <c r="F54" s="1">
        <f>IFERROR(__xludf.DUMMYFUNCTION("""COMPUTED_VALUE"""),1.28118E7)</f>
        <v>12811800</v>
      </c>
    </row>
    <row r="55">
      <c r="A55" s="2">
        <f>IFERROR(__xludf.DUMMYFUNCTION("""COMPUTED_VALUE"""),36896.666666666664)</f>
        <v>36896.66667</v>
      </c>
      <c r="B55" s="1">
        <f>IFERROR(__xludf.DUMMYFUNCTION("""COMPUTED_VALUE"""),38.58)</f>
        <v>38.58</v>
      </c>
      <c r="C55" s="1">
        <f>IFERROR(__xludf.DUMMYFUNCTION("""COMPUTED_VALUE"""),39.1)</f>
        <v>39.1</v>
      </c>
      <c r="D55" s="1">
        <f>IFERROR(__xludf.DUMMYFUNCTION("""COMPUTED_VALUE"""),35.22)</f>
        <v>35.22</v>
      </c>
      <c r="E55" s="1">
        <f>IFERROR(__xludf.DUMMYFUNCTION("""COMPUTED_VALUE"""),37.01)</f>
        <v>37.01</v>
      </c>
      <c r="F55" s="1">
        <f>IFERROR(__xludf.DUMMYFUNCTION("""COMPUTED_VALUE"""),1.50296E7)</f>
        <v>15029600</v>
      </c>
    </row>
    <row r="56">
      <c r="A56" s="2">
        <f>IFERROR(__xludf.DUMMYFUNCTION("""COMPUTED_VALUE"""),36903.666666666664)</f>
        <v>36903.66667</v>
      </c>
      <c r="B56" s="1">
        <f>IFERROR(__xludf.DUMMYFUNCTION("""COMPUTED_VALUE"""),36.7)</f>
        <v>36.7</v>
      </c>
      <c r="C56" s="1">
        <f>IFERROR(__xludf.DUMMYFUNCTION("""COMPUTED_VALUE"""),38.18)</f>
        <v>38.18</v>
      </c>
      <c r="D56" s="1">
        <f>IFERROR(__xludf.DUMMYFUNCTION("""COMPUTED_VALUE"""),34.6)</f>
        <v>34.6</v>
      </c>
      <c r="E56" s="1">
        <f>IFERROR(__xludf.DUMMYFUNCTION("""COMPUTED_VALUE"""),34.72)</f>
        <v>34.72</v>
      </c>
      <c r="F56" s="1">
        <f>IFERROR(__xludf.DUMMYFUNCTION("""COMPUTED_VALUE"""),1.45347E7)</f>
        <v>14534700</v>
      </c>
    </row>
    <row r="57">
      <c r="A57" s="2">
        <f>IFERROR(__xludf.DUMMYFUNCTION("""COMPUTED_VALUE"""),36910.666666666664)</f>
        <v>36910.66667</v>
      </c>
      <c r="B57" s="1">
        <f>IFERROR(__xludf.DUMMYFUNCTION("""COMPUTED_VALUE"""),35.03)</f>
        <v>35.03</v>
      </c>
      <c r="C57" s="1">
        <f>IFERROR(__xludf.DUMMYFUNCTION("""COMPUTED_VALUE"""),35.8)</f>
        <v>35.8</v>
      </c>
      <c r="D57" s="1">
        <f>IFERROR(__xludf.DUMMYFUNCTION("""COMPUTED_VALUE"""),34.44)</f>
        <v>34.44</v>
      </c>
      <c r="E57" s="1">
        <f>IFERROR(__xludf.DUMMYFUNCTION("""COMPUTED_VALUE"""),34.54)</f>
        <v>34.54</v>
      </c>
      <c r="F57" s="1">
        <f>IFERROR(__xludf.DUMMYFUNCTION("""COMPUTED_VALUE"""),1.02891E7)</f>
        <v>10289100</v>
      </c>
    </row>
    <row r="58">
      <c r="A58" s="2">
        <f>IFERROR(__xludf.DUMMYFUNCTION("""COMPUTED_VALUE"""),36917.666666666664)</f>
        <v>36917.66667</v>
      </c>
      <c r="B58" s="1">
        <f>IFERROR(__xludf.DUMMYFUNCTION("""COMPUTED_VALUE"""),33.92)</f>
        <v>33.92</v>
      </c>
      <c r="C58" s="1">
        <f>IFERROR(__xludf.DUMMYFUNCTION("""COMPUTED_VALUE"""),35.31)</f>
        <v>35.31</v>
      </c>
      <c r="D58" s="1">
        <f>IFERROR(__xludf.DUMMYFUNCTION("""COMPUTED_VALUE"""),33.64)</f>
        <v>33.64</v>
      </c>
      <c r="E58" s="1">
        <f>IFERROR(__xludf.DUMMYFUNCTION("""COMPUTED_VALUE"""),34.2)</f>
        <v>34.2</v>
      </c>
      <c r="F58" s="1">
        <f>IFERROR(__xludf.DUMMYFUNCTION("""COMPUTED_VALUE"""),1.13222E7)</f>
        <v>11322200</v>
      </c>
    </row>
    <row r="59">
      <c r="A59" s="2">
        <f>IFERROR(__xludf.DUMMYFUNCTION("""COMPUTED_VALUE"""),36924.666666666664)</f>
        <v>36924.66667</v>
      </c>
      <c r="B59" s="1">
        <f>IFERROR(__xludf.DUMMYFUNCTION("""COMPUTED_VALUE"""),34.07)</f>
        <v>34.07</v>
      </c>
      <c r="C59" s="1">
        <f>IFERROR(__xludf.DUMMYFUNCTION("""COMPUTED_VALUE"""),36.8)</f>
        <v>36.8</v>
      </c>
      <c r="D59" s="1">
        <f>IFERROR(__xludf.DUMMYFUNCTION("""COMPUTED_VALUE"""),33.01)</f>
        <v>33.01</v>
      </c>
      <c r="E59" s="1">
        <f>IFERROR(__xludf.DUMMYFUNCTION("""COMPUTED_VALUE"""),36.42)</f>
        <v>36.42</v>
      </c>
      <c r="F59" s="1">
        <f>IFERROR(__xludf.DUMMYFUNCTION("""COMPUTED_VALUE"""),1.82771E7)</f>
        <v>18277100</v>
      </c>
    </row>
    <row r="60">
      <c r="A60" s="2">
        <f>IFERROR(__xludf.DUMMYFUNCTION("""COMPUTED_VALUE"""),36931.666666666664)</f>
        <v>36931.66667</v>
      </c>
      <c r="B60" s="1">
        <f>IFERROR(__xludf.DUMMYFUNCTION("""COMPUTED_VALUE"""),36.54)</f>
        <v>36.54</v>
      </c>
      <c r="C60" s="1">
        <f>IFERROR(__xludf.DUMMYFUNCTION("""COMPUTED_VALUE"""),37.28)</f>
        <v>37.28</v>
      </c>
      <c r="D60" s="1">
        <f>IFERROR(__xludf.DUMMYFUNCTION("""COMPUTED_VALUE"""),35.7)</f>
        <v>35.7</v>
      </c>
      <c r="E60" s="1">
        <f>IFERROR(__xludf.DUMMYFUNCTION("""COMPUTED_VALUE"""),37.03)</f>
        <v>37.03</v>
      </c>
      <c r="F60" s="1">
        <f>IFERROR(__xludf.DUMMYFUNCTION("""COMPUTED_VALUE"""),1.21697E7)</f>
        <v>12169700</v>
      </c>
    </row>
    <row r="61">
      <c r="A61" s="2">
        <f>IFERROR(__xludf.DUMMYFUNCTION("""COMPUTED_VALUE"""),36938.666666666664)</f>
        <v>36938.66667</v>
      </c>
      <c r="B61" s="1">
        <f>IFERROR(__xludf.DUMMYFUNCTION("""COMPUTED_VALUE"""),37.03)</f>
        <v>37.03</v>
      </c>
      <c r="C61" s="1">
        <f>IFERROR(__xludf.DUMMYFUNCTION("""COMPUTED_VALUE"""),37.25)</f>
        <v>37.25</v>
      </c>
      <c r="D61" s="1">
        <f>IFERROR(__xludf.DUMMYFUNCTION("""COMPUTED_VALUE"""),36.12)</f>
        <v>36.12</v>
      </c>
      <c r="E61" s="1">
        <f>IFERROR(__xludf.DUMMYFUNCTION("""COMPUTED_VALUE"""),36.96)</f>
        <v>36.96</v>
      </c>
      <c r="F61" s="1">
        <f>IFERROR(__xludf.DUMMYFUNCTION("""COMPUTED_VALUE"""),1.24467E7)</f>
        <v>12446700</v>
      </c>
    </row>
    <row r="62">
      <c r="A62" s="2">
        <f>IFERROR(__xludf.DUMMYFUNCTION("""COMPUTED_VALUE"""),36945.666666666664)</f>
        <v>36945.66667</v>
      </c>
      <c r="B62" s="1">
        <f>IFERROR(__xludf.DUMMYFUNCTION("""COMPUTED_VALUE"""),37.26)</f>
        <v>37.26</v>
      </c>
      <c r="C62" s="1">
        <f>IFERROR(__xludf.DUMMYFUNCTION("""COMPUTED_VALUE"""),38.1)</f>
        <v>38.1</v>
      </c>
      <c r="D62" s="1">
        <f>IFERROR(__xludf.DUMMYFUNCTION("""COMPUTED_VALUE"""),36.39)</f>
        <v>36.39</v>
      </c>
      <c r="E62" s="1">
        <f>IFERROR(__xludf.DUMMYFUNCTION("""COMPUTED_VALUE"""),37.05)</f>
        <v>37.05</v>
      </c>
      <c r="F62" s="1">
        <f>IFERROR(__xludf.DUMMYFUNCTION("""COMPUTED_VALUE"""),1.10708E7)</f>
        <v>11070800</v>
      </c>
    </row>
    <row r="63">
      <c r="A63" s="2">
        <f>IFERROR(__xludf.DUMMYFUNCTION("""COMPUTED_VALUE"""),36952.666666666664)</f>
        <v>36952.66667</v>
      </c>
      <c r="B63" s="1">
        <f>IFERROR(__xludf.DUMMYFUNCTION("""COMPUTED_VALUE"""),35.68)</f>
        <v>35.68</v>
      </c>
      <c r="C63" s="1">
        <f>IFERROR(__xludf.DUMMYFUNCTION("""COMPUTED_VALUE"""),35.68)</f>
        <v>35.68</v>
      </c>
      <c r="D63" s="1">
        <f>IFERROR(__xludf.DUMMYFUNCTION("""COMPUTED_VALUE"""),33.46)</f>
        <v>33.46</v>
      </c>
      <c r="E63" s="1">
        <f>IFERROR(__xludf.DUMMYFUNCTION("""COMPUTED_VALUE"""),34.39)</f>
        <v>34.39</v>
      </c>
      <c r="F63" s="1">
        <f>IFERROR(__xludf.DUMMYFUNCTION("""COMPUTED_VALUE"""),1.85317E7)</f>
        <v>18531700</v>
      </c>
    </row>
    <row r="64">
      <c r="A64" s="2">
        <f>IFERROR(__xludf.DUMMYFUNCTION("""COMPUTED_VALUE"""),36959.666666666664)</f>
        <v>36959.66667</v>
      </c>
      <c r="B64" s="1">
        <f>IFERROR(__xludf.DUMMYFUNCTION("""COMPUTED_VALUE"""),35.01)</f>
        <v>35.01</v>
      </c>
      <c r="C64" s="1">
        <f>IFERROR(__xludf.DUMMYFUNCTION("""COMPUTED_VALUE"""),35.26)</f>
        <v>35.26</v>
      </c>
      <c r="D64" s="1">
        <f>IFERROR(__xludf.DUMMYFUNCTION("""COMPUTED_VALUE"""),33.59)</f>
        <v>33.59</v>
      </c>
      <c r="E64" s="1">
        <f>IFERROR(__xludf.DUMMYFUNCTION("""COMPUTED_VALUE"""),34.14)</f>
        <v>34.14</v>
      </c>
      <c r="F64" s="1">
        <f>IFERROR(__xludf.DUMMYFUNCTION("""COMPUTED_VALUE"""),1.07632E7)</f>
        <v>10763200</v>
      </c>
    </row>
    <row r="65">
      <c r="A65" s="2">
        <f>IFERROR(__xludf.DUMMYFUNCTION("""COMPUTED_VALUE"""),36966.666666666664)</f>
        <v>36966.66667</v>
      </c>
      <c r="B65" s="1">
        <f>IFERROR(__xludf.DUMMYFUNCTION("""COMPUTED_VALUE"""),33.95)</f>
        <v>33.95</v>
      </c>
      <c r="C65" s="1">
        <f>IFERROR(__xludf.DUMMYFUNCTION("""COMPUTED_VALUE"""),34.86)</f>
        <v>34.86</v>
      </c>
      <c r="D65" s="1">
        <f>IFERROR(__xludf.DUMMYFUNCTION("""COMPUTED_VALUE"""),31.55)</f>
        <v>31.55</v>
      </c>
      <c r="E65" s="1">
        <f>IFERROR(__xludf.DUMMYFUNCTION("""COMPUTED_VALUE"""),31.95)</f>
        <v>31.95</v>
      </c>
      <c r="F65" s="1">
        <f>IFERROR(__xludf.DUMMYFUNCTION("""COMPUTED_VALUE"""),1.6146E7)</f>
        <v>16146000</v>
      </c>
    </row>
    <row r="66">
      <c r="A66" s="2">
        <f>IFERROR(__xludf.DUMMYFUNCTION("""COMPUTED_VALUE"""),36973.666666666664)</f>
        <v>36973.66667</v>
      </c>
      <c r="B66" s="1">
        <f>IFERROR(__xludf.DUMMYFUNCTION("""COMPUTED_VALUE"""),32.05)</f>
        <v>32.05</v>
      </c>
      <c r="C66" s="1">
        <f>IFERROR(__xludf.DUMMYFUNCTION("""COMPUTED_VALUE"""),33.68)</f>
        <v>33.68</v>
      </c>
      <c r="D66" s="1">
        <f>IFERROR(__xludf.DUMMYFUNCTION("""COMPUTED_VALUE"""),29.56)</f>
        <v>29.56</v>
      </c>
      <c r="E66" s="1">
        <f>IFERROR(__xludf.DUMMYFUNCTION("""COMPUTED_VALUE"""),29.73)</f>
        <v>29.73</v>
      </c>
      <c r="F66" s="1">
        <f>IFERROR(__xludf.DUMMYFUNCTION("""COMPUTED_VALUE"""),2.02475E7)</f>
        <v>20247500</v>
      </c>
    </row>
    <row r="67">
      <c r="A67" s="2">
        <f>IFERROR(__xludf.DUMMYFUNCTION("""COMPUTED_VALUE"""),36980.666666666664)</f>
        <v>36980.66667</v>
      </c>
      <c r="B67" s="1">
        <f>IFERROR(__xludf.DUMMYFUNCTION("""COMPUTED_VALUE"""),30.12)</f>
        <v>30.12</v>
      </c>
      <c r="C67" s="1">
        <f>IFERROR(__xludf.DUMMYFUNCTION("""COMPUTED_VALUE"""),31.14)</f>
        <v>31.14</v>
      </c>
      <c r="D67" s="1">
        <f>IFERROR(__xludf.DUMMYFUNCTION("""COMPUTED_VALUE"""),29.26)</f>
        <v>29.26</v>
      </c>
      <c r="E67" s="1">
        <f>IFERROR(__xludf.DUMMYFUNCTION("""COMPUTED_VALUE"""),30.91)</f>
        <v>30.91</v>
      </c>
      <c r="F67" s="1">
        <f>IFERROR(__xludf.DUMMYFUNCTION("""COMPUTED_VALUE"""),1.60141E7)</f>
        <v>16014100</v>
      </c>
    </row>
    <row r="68">
      <c r="A68" s="2">
        <f>IFERROR(__xludf.DUMMYFUNCTION("""COMPUTED_VALUE"""),36987.666666666664)</f>
        <v>36987.66667</v>
      </c>
      <c r="B68" s="1">
        <f>IFERROR(__xludf.DUMMYFUNCTION("""COMPUTED_VALUE"""),31.11)</f>
        <v>31.11</v>
      </c>
      <c r="C68" s="1">
        <f>IFERROR(__xludf.DUMMYFUNCTION("""COMPUTED_VALUE"""),31.43)</f>
        <v>31.43</v>
      </c>
      <c r="D68" s="1">
        <f>IFERROR(__xludf.DUMMYFUNCTION("""COMPUTED_VALUE"""),29.09)</f>
        <v>29.09</v>
      </c>
      <c r="E68" s="1">
        <f>IFERROR(__xludf.DUMMYFUNCTION("""COMPUTED_VALUE"""),30.46)</f>
        <v>30.46</v>
      </c>
      <c r="F68" s="1">
        <f>IFERROR(__xludf.DUMMYFUNCTION("""COMPUTED_VALUE"""),1.40614E7)</f>
        <v>14061400</v>
      </c>
    </row>
    <row r="69">
      <c r="A69" s="2">
        <f>IFERROR(__xludf.DUMMYFUNCTION("""COMPUTED_VALUE"""),36993.666666666664)</f>
        <v>36993.66667</v>
      </c>
      <c r="B69" s="1">
        <f>IFERROR(__xludf.DUMMYFUNCTION("""COMPUTED_VALUE"""),30.62)</f>
        <v>30.62</v>
      </c>
      <c r="C69" s="1">
        <f>IFERROR(__xludf.DUMMYFUNCTION("""COMPUTED_VALUE"""),30.62)</f>
        <v>30.62</v>
      </c>
      <c r="D69" s="1">
        <f>IFERROR(__xludf.DUMMYFUNCTION("""COMPUTED_VALUE"""),28.38)</f>
        <v>28.38</v>
      </c>
      <c r="E69" s="1">
        <f>IFERROR(__xludf.DUMMYFUNCTION("""COMPUTED_VALUE"""),29.04)</f>
        <v>29.04</v>
      </c>
      <c r="F69" s="1">
        <f>IFERROR(__xludf.DUMMYFUNCTION("""COMPUTED_VALUE"""),1.22609E7)</f>
        <v>12260900</v>
      </c>
    </row>
    <row r="70">
      <c r="A70" s="2">
        <f>IFERROR(__xludf.DUMMYFUNCTION("""COMPUTED_VALUE"""),37001.666666666664)</f>
        <v>37001.66667</v>
      </c>
      <c r="B70" s="1">
        <f>IFERROR(__xludf.DUMMYFUNCTION("""COMPUTED_VALUE"""),29.24)</f>
        <v>29.24</v>
      </c>
      <c r="C70" s="1">
        <f>IFERROR(__xludf.DUMMYFUNCTION("""COMPUTED_VALUE"""),29.6)</f>
        <v>29.6</v>
      </c>
      <c r="D70" s="1">
        <f>IFERROR(__xludf.DUMMYFUNCTION("""COMPUTED_VALUE"""),27.65)</f>
        <v>27.65</v>
      </c>
      <c r="E70" s="1">
        <f>IFERROR(__xludf.DUMMYFUNCTION("""COMPUTED_VALUE"""),28.64)</f>
        <v>28.64</v>
      </c>
      <c r="F70" s="1">
        <f>IFERROR(__xludf.DUMMYFUNCTION("""COMPUTED_VALUE"""),1.93082E7)</f>
        <v>19308200</v>
      </c>
    </row>
    <row r="71">
      <c r="A71" s="2">
        <f>IFERROR(__xludf.DUMMYFUNCTION("""COMPUTED_VALUE"""),37008.666666666664)</f>
        <v>37008.66667</v>
      </c>
      <c r="B71" s="1">
        <f>IFERROR(__xludf.DUMMYFUNCTION("""COMPUTED_VALUE"""),28.64)</f>
        <v>28.64</v>
      </c>
      <c r="C71" s="1">
        <f>IFERROR(__xludf.DUMMYFUNCTION("""COMPUTED_VALUE"""),29.55)</f>
        <v>29.55</v>
      </c>
      <c r="D71" s="1">
        <f>IFERROR(__xludf.DUMMYFUNCTION("""COMPUTED_VALUE"""),27.75)</f>
        <v>27.75</v>
      </c>
      <c r="E71" s="1">
        <f>IFERROR(__xludf.DUMMYFUNCTION("""COMPUTED_VALUE"""),29.55)</f>
        <v>29.55</v>
      </c>
      <c r="F71" s="1">
        <f>IFERROR(__xludf.DUMMYFUNCTION("""COMPUTED_VALUE"""),1.57765E7)</f>
        <v>15776500</v>
      </c>
    </row>
    <row r="72">
      <c r="A72" s="2">
        <f>IFERROR(__xludf.DUMMYFUNCTION("""COMPUTED_VALUE"""),37015.666666666664)</f>
        <v>37015.66667</v>
      </c>
      <c r="B72" s="1">
        <f>IFERROR(__xludf.DUMMYFUNCTION("""COMPUTED_VALUE"""),29.65)</f>
        <v>29.65</v>
      </c>
      <c r="C72" s="1">
        <f>IFERROR(__xludf.DUMMYFUNCTION("""COMPUTED_VALUE"""),32.02)</f>
        <v>32.02</v>
      </c>
      <c r="D72" s="1">
        <f>IFERROR(__xludf.DUMMYFUNCTION("""COMPUTED_VALUE"""),29.26)</f>
        <v>29.26</v>
      </c>
      <c r="E72" s="1">
        <f>IFERROR(__xludf.DUMMYFUNCTION("""COMPUTED_VALUE"""),31.74)</f>
        <v>31.74</v>
      </c>
      <c r="F72" s="1">
        <f>IFERROR(__xludf.DUMMYFUNCTION("""COMPUTED_VALUE"""),2.28241E7)</f>
        <v>22824100</v>
      </c>
    </row>
    <row r="73">
      <c r="A73" s="2">
        <f>IFERROR(__xludf.DUMMYFUNCTION("""COMPUTED_VALUE"""),37022.666666666664)</f>
        <v>37022.66667</v>
      </c>
      <c r="B73" s="1">
        <f>IFERROR(__xludf.DUMMYFUNCTION("""COMPUTED_VALUE"""),31.8)</f>
        <v>31.8</v>
      </c>
      <c r="C73" s="1">
        <f>IFERROR(__xludf.DUMMYFUNCTION("""COMPUTED_VALUE"""),32.84)</f>
        <v>32.84</v>
      </c>
      <c r="D73" s="1">
        <f>IFERROR(__xludf.DUMMYFUNCTION("""COMPUTED_VALUE"""),31.38)</f>
        <v>31.38</v>
      </c>
      <c r="E73" s="1">
        <f>IFERROR(__xludf.DUMMYFUNCTION("""COMPUTED_VALUE"""),32.35)</f>
        <v>32.35</v>
      </c>
      <c r="F73" s="1">
        <f>IFERROR(__xludf.DUMMYFUNCTION("""COMPUTED_VALUE"""),1.02844E7)</f>
        <v>10284400</v>
      </c>
    </row>
    <row r="74">
      <c r="A74" s="2">
        <f>IFERROR(__xludf.DUMMYFUNCTION("""COMPUTED_VALUE"""),37029.666666666664)</f>
        <v>37029.66667</v>
      </c>
      <c r="B74" s="1">
        <f>IFERROR(__xludf.DUMMYFUNCTION("""COMPUTED_VALUE"""),32.59)</f>
        <v>32.59</v>
      </c>
      <c r="C74" s="1">
        <f>IFERROR(__xludf.DUMMYFUNCTION("""COMPUTED_VALUE"""),33.73)</f>
        <v>33.73</v>
      </c>
      <c r="D74" s="1">
        <f>IFERROR(__xludf.DUMMYFUNCTION("""COMPUTED_VALUE"""),32.25)</f>
        <v>32.25</v>
      </c>
      <c r="E74" s="1">
        <f>IFERROR(__xludf.DUMMYFUNCTION("""COMPUTED_VALUE"""),33.32)</f>
        <v>33.32</v>
      </c>
      <c r="F74" s="1">
        <f>IFERROR(__xludf.DUMMYFUNCTION("""COMPUTED_VALUE"""),1.08517E7)</f>
        <v>10851700</v>
      </c>
    </row>
    <row r="75">
      <c r="A75" s="2">
        <f>IFERROR(__xludf.DUMMYFUNCTION("""COMPUTED_VALUE"""),37036.666666666664)</f>
        <v>37036.66667</v>
      </c>
      <c r="B75" s="1">
        <f>IFERROR(__xludf.DUMMYFUNCTION("""COMPUTED_VALUE"""),32.1)</f>
        <v>32.1</v>
      </c>
      <c r="C75" s="1">
        <f>IFERROR(__xludf.DUMMYFUNCTION("""COMPUTED_VALUE"""),32.67)</f>
        <v>32.67</v>
      </c>
      <c r="D75" s="1">
        <f>IFERROR(__xludf.DUMMYFUNCTION("""COMPUTED_VALUE"""),31.24)</f>
        <v>31.24</v>
      </c>
      <c r="E75" s="1">
        <f>IFERROR(__xludf.DUMMYFUNCTION("""COMPUTED_VALUE"""),31.36)</f>
        <v>31.36</v>
      </c>
      <c r="F75" s="1">
        <f>IFERROR(__xludf.DUMMYFUNCTION("""COMPUTED_VALUE"""),1.53338E7)</f>
        <v>15333800</v>
      </c>
    </row>
    <row r="76">
      <c r="A76" s="2">
        <f>IFERROR(__xludf.DUMMYFUNCTION("""COMPUTED_VALUE"""),37043.666666666664)</f>
        <v>37043.66667</v>
      </c>
      <c r="B76" s="1">
        <f>IFERROR(__xludf.DUMMYFUNCTION("""COMPUTED_VALUE"""),31.51)</f>
        <v>31.51</v>
      </c>
      <c r="C76" s="1">
        <f>IFERROR(__xludf.DUMMYFUNCTION("""COMPUTED_VALUE"""),32.08)</f>
        <v>32.08</v>
      </c>
      <c r="D76" s="1">
        <f>IFERROR(__xludf.DUMMYFUNCTION("""COMPUTED_VALUE"""),31.23)</f>
        <v>31.23</v>
      </c>
      <c r="E76" s="1">
        <f>IFERROR(__xludf.DUMMYFUNCTION("""COMPUTED_VALUE"""),31.36)</f>
        <v>31.36</v>
      </c>
      <c r="F76" s="1">
        <f>IFERROR(__xludf.DUMMYFUNCTION("""COMPUTED_VALUE"""),7885300.0)</f>
        <v>7885300</v>
      </c>
    </row>
    <row r="77">
      <c r="A77" s="2">
        <f>IFERROR(__xludf.DUMMYFUNCTION("""COMPUTED_VALUE"""),37050.666666666664)</f>
        <v>37050.66667</v>
      </c>
      <c r="B77" s="1">
        <f>IFERROR(__xludf.DUMMYFUNCTION("""COMPUTED_VALUE"""),31.36)</f>
        <v>31.36</v>
      </c>
      <c r="C77" s="1">
        <f>IFERROR(__xludf.DUMMYFUNCTION("""COMPUTED_VALUE"""),32.72)</f>
        <v>32.72</v>
      </c>
      <c r="D77" s="1">
        <f>IFERROR(__xludf.DUMMYFUNCTION("""COMPUTED_VALUE"""),31.13)</f>
        <v>31.13</v>
      </c>
      <c r="E77" s="1">
        <f>IFERROR(__xludf.DUMMYFUNCTION("""COMPUTED_VALUE"""),31.74)</f>
        <v>31.74</v>
      </c>
      <c r="F77" s="1">
        <f>IFERROR(__xludf.DUMMYFUNCTION("""COMPUTED_VALUE"""),1.1814E7)</f>
        <v>11814000</v>
      </c>
    </row>
    <row r="78">
      <c r="A78" s="2">
        <f>IFERROR(__xludf.DUMMYFUNCTION("""COMPUTED_VALUE"""),37057.666666666664)</f>
        <v>37057.66667</v>
      </c>
      <c r="B78" s="1">
        <f>IFERROR(__xludf.DUMMYFUNCTION("""COMPUTED_VALUE"""),31.85)</f>
        <v>31.85</v>
      </c>
      <c r="C78" s="1">
        <f>IFERROR(__xludf.DUMMYFUNCTION("""COMPUTED_VALUE"""),32.57)</f>
        <v>32.57</v>
      </c>
      <c r="D78" s="1">
        <f>IFERROR(__xludf.DUMMYFUNCTION("""COMPUTED_VALUE"""),30.85)</f>
        <v>30.85</v>
      </c>
      <c r="E78" s="1">
        <f>IFERROR(__xludf.DUMMYFUNCTION("""COMPUTED_VALUE"""),30.91)</f>
        <v>30.91</v>
      </c>
      <c r="F78" s="1">
        <f>IFERROR(__xludf.DUMMYFUNCTION("""COMPUTED_VALUE"""),1.45034E7)</f>
        <v>14503400</v>
      </c>
    </row>
    <row r="79">
      <c r="A79" s="2">
        <f>IFERROR(__xludf.DUMMYFUNCTION("""COMPUTED_VALUE"""),37064.666666666664)</f>
        <v>37064.66667</v>
      </c>
      <c r="B79" s="1">
        <f>IFERROR(__xludf.DUMMYFUNCTION("""COMPUTED_VALUE"""),30.81)</f>
        <v>30.81</v>
      </c>
      <c r="C79" s="1">
        <f>IFERROR(__xludf.DUMMYFUNCTION("""COMPUTED_VALUE"""),31.35)</f>
        <v>31.35</v>
      </c>
      <c r="D79" s="1">
        <f>IFERROR(__xludf.DUMMYFUNCTION("""COMPUTED_VALUE"""),30.46)</f>
        <v>30.46</v>
      </c>
      <c r="E79" s="1">
        <f>IFERROR(__xludf.DUMMYFUNCTION("""COMPUTED_VALUE"""),31.25)</f>
        <v>31.25</v>
      </c>
      <c r="F79" s="1">
        <f>IFERROR(__xludf.DUMMYFUNCTION("""COMPUTED_VALUE"""),1.1794075E7)</f>
        <v>11794075</v>
      </c>
    </row>
    <row r="80">
      <c r="A80" s="2">
        <f>IFERROR(__xludf.DUMMYFUNCTION("""COMPUTED_VALUE"""),37071.666666666664)</f>
        <v>37071.66667</v>
      </c>
      <c r="B80" s="1">
        <f>IFERROR(__xludf.DUMMYFUNCTION("""COMPUTED_VALUE"""),31.23)</f>
        <v>31.23</v>
      </c>
      <c r="C80" s="1">
        <f>IFERROR(__xludf.DUMMYFUNCTION("""COMPUTED_VALUE"""),32.59)</f>
        <v>32.59</v>
      </c>
      <c r="D80" s="1">
        <f>IFERROR(__xludf.DUMMYFUNCTION("""COMPUTED_VALUE"""),30.96)</f>
        <v>30.96</v>
      </c>
      <c r="E80" s="1">
        <f>IFERROR(__xludf.DUMMYFUNCTION("""COMPUTED_VALUE"""),31.51)</f>
        <v>31.51</v>
      </c>
      <c r="F80" s="1">
        <f>IFERROR(__xludf.DUMMYFUNCTION("""COMPUTED_VALUE"""),1.18909E7)</f>
        <v>11890900</v>
      </c>
    </row>
    <row r="81">
      <c r="A81" s="2">
        <f>IFERROR(__xludf.DUMMYFUNCTION("""COMPUTED_VALUE"""),37078.666666666664)</f>
        <v>37078.66667</v>
      </c>
      <c r="B81" s="1">
        <f>IFERROR(__xludf.DUMMYFUNCTION("""COMPUTED_VALUE"""),31.6)</f>
        <v>31.6</v>
      </c>
      <c r="C81" s="1">
        <f>IFERROR(__xludf.DUMMYFUNCTION("""COMPUTED_VALUE"""),32.12)</f>
        <v>32.12</v>
      </c>
      <c r="D81" s="1">
        <f>IFERROR(__xludf.DUMMYFUNCTION("""COMPUTED_VALUE"""),31.48)</f>
        <v>31.48</v>
      </c>
      <c r="E81" s="1">
        <f>IFERROR(__xludf.DUMMYFUNCTION("""COMPUTED_VALUE"""),32.1)</f>
        <v>32.1</v>
      </c>
      <c r="F81" s="1">
        <f>IFERROR(__xludf.DUMMYFUNCTION("""COMPUTED_VALUE"""),7646100.0)</f>
        <v>7646100</v>
      </c>
    </row>
    <row r="82">
      <c r="A82" s="2">
        <f>IFERROR(__xludf.DUMMYFUNCTION("""COMPUTED_VALUE"""),37085.666666666664)</f>
        <v>37085.66667</v>
      </c>
      <c r="B82" s="1">
        <f>IFERROR(__xludf.DUMMYFUNCTION("""COMPUTED_VALUE"""),32.1)</f>
        <v>32.1</v>
      </c>
      <c r="C82" s="1">
        <f>IFERROR(__xludf.DUMMYFUNCTION("""COMPUTED_VALUE"""),34.07)</f>
        <v>34.07</v>
      </c>
      <c r="D82" s="1">
        <f>IFERROR(__xludf.DUMMYFUNCTION("""COMPUTED_VALUE"""),32.1)</f>
        <v>32.1</v>
      </c>
      <c r="E82" s="1">
        <f>IFERROR(__xludf.DUMMYFUNCTION("""COMPUTED_VALUE"""),33.65)</f>
        <v>33.65</v>
      </c>
      <c r="F82" s="1">
        <f>IFERROR(__xludf.DUMMYFUNCTION("""COMPUTED_VALUE"""),1.80466E7)</f>
        <v>18046600</v>
      </c>
    </row>
    <row r="83">
      <c r="A83" s="2">
        <f>IFERROR(__xludf.DUMMYFUNCTION("""COMPUTED_VALUE"""),37092.666666666664)</f>
        <v>37092.66667</v>
      </c>
      <c r="B83" s="1">
        <f>IFERROR(__xludf.DUMMYFUNCTION("""COMPUTED_VALUE"""),33.65)</f>
        <v>33.65</v>
      </c>
      <c r="C83" s="1">
        <f>IFERROR(__xludf.DUMMYFUNCTION("""COMPUTED_VALUE"""),34.56)</f>
        <v>34.56</v>
      </c>
      <c r="D83" s="1">
        <f>IFERROR(__xludf.DUMMYFUNCTION("""COMPUTED_VALUE"""),33.38)</f>
        <v>33.38</v>
      </c>
      <c r="E83" s="1">
        <f>IFERROR(__xludf.DUMMYFUNCTION("""COMPUTED_VALUE"""),33.62)</f>
        <v>33.62</v>
      </c>
      <c r="F83" s="1">
        <f>IFERROR(__xludf.DUMMYFUNCTION("""COMPUTED_VALUE"""),1.28646E7)</f>
        <v>12864600</v>
      </c>
    </row>
    <row r="84">
      <c r="A84" s="2">
        <f>IFERROR(__xludf.DUMMYFUNCTION("""COMPUTED_VALUE"""),37099.666666666664)</f>
        <v>37099.66667</v>
      </c>
      <c r="B84" s="1">
        <f>IFERROR(__xludf.DUMMYFUNCTION("""COMPUTED_VALUE"""),33.65)</f>
        <v>33.65</v>
      </c>
      <c r="C84" s="1">
        <f>IFERROR(__xludf.DUMMYFUNCTION("""COMPUTED_VALUE"""),35.06)</f>
        <v>35.06</v>
      </c>
      <c r="D84" s="1">
        <f>IFERROR(__xludf.DUMMYFUNCTION("""COMPUTED_VALUE"""),33.19)</f>
        <v>33.19</v>
      </c>
      <c r="E84" s="1">
        <f>IFERROR(__xludf.DUMMYFUNCTION("""COMPUTED_VALUE"""),34.8)</f>
        <v>34.8</v>
      </c>
      <c r="F84" s="1">
        <f>IFERROR(__xludf.DUMMYFUNCTION("""COMPUTED_VALUE"""),1.2623E7)</f>
        <v>12623000</v>
      </c>
    </row>
    <row r="85">
      <c r="A85" s="2">
        <f>IFERROR(__xludf.DUMMYFUNCTION("""COMPUTED_VALUE"""),37106.666666666664)</f>
        <v>37106.66667</v>
      </c>
      <c r="B85" s="1">
        <f>IFERROR(__xludf.DUMMYFUNCTION("""COMPUTED_VALUE"""),34.59)</f>
        <v>34.59</v>
      </c>
      <c r="C85" s="1">
        <f>IFERROR(__xludf.DUMMYFUNCTION("""COMPUTED_VALUE"""),35.53)</f>
        <v>35.53</v>
      </c>
      <c r="D85" s="1">
        <f>IFERROR(__xludf.DUMMYFUNCTION("""COMPUTED_VALUE"""),34.33)</f>
        <v>34.33</v>
      </c>
      <c r="E85" s="1">
        <f>IFERROR(__xludf.DUMMYFUNCTION("""COMPUTED_VALUE"""),34.68)</f>
        <v>34.68</v>
      </c>
      <c r="F85" s="1">
        <f>IFERROR(__xludf.DUMMYFUNCTION("""COMPUTED_VALUE"""),1.09705E7)</f>
        <v>10970500</v>
      </c>
    </row>
    <row r="86">
      <c r="A86" s="2">
        <f>IFERROR(__xludf.DUMMYFUNCTION("""COMPUTED_VALUE"""),37113.666666666664)</f>
        <v>37113.66667</v>
      </c>
      <c r="B86" s="1">
        <f>IFERROR(__xludf.DUMMYFUNCTION("""COMPUTED_VALUE"""),34.77)</f>
        <v>34.77</v>
      </c>
      <c r="C86" s="1">
        <f>IFERROR(__xludf.DUMMYFUNCTION("""COMPUTED_VALUE"""),35.82)</f>
        <v>35.82</v>
      </c>
      <c r="D86" s="1">
        <f>IFERROR(__xludf.DUMMYFUNCTION("""COMPUTED_VALUE"""),34.25)</f>
        <v>34.25</v>
      </c>
      <c r="E86" s="1">
        <f>IFERROR(__xludf.DUMMYFUNCTION("""COMPUTED_VALUE"""),35.49)</f>
        <v>35.49</v>
      </c>
      <c r="F86" s="1">
        <f>IFERROR(__xludf.DUMMYFUNCTION("""COMPUTED_VALUE"""),1.30641E7)</f>
        <v>13064100</v>
      </c>
    </row>
    <row r="87">
      <c r="A87" s="2">
        <f>IFERROR(__xludf.DUMMYFUNCTION("""COMPUTED_VALUE"""),37120.666666666664)</f>
        <v>37120.66667</v>
      </c>
      <c r="B87" s="1">
        <f>IFERROR(__xludf.DUMMYFUNCTION("""COMPUTED_VALUE"""),35.51)</f>
        <v>35.51</v>
      </c>
      <c r="C87" s="1">
        <f>IFERROR(__xludf.DUMMYFUNCTION("""COMPUTED_VALUE"""),36.91)</f>
        <v>36.91</v>
      </c>
      <c r="D87" s="1">
        <f>IFERROR(__xludf.DUMMYFUNCTION("""COMPUTED_VALUE"""),35.42)</f>
        <v>35.42</v>
      </c>
      <c r="E87" s="1">
        <f>IFERROR(__xludf.DUMMYFUNCTION("""COMPUTED_VALUE"""),36.91)</f>
        <v>36.91</v>
      </c>
      <c r="F87" s="1">
        <f>IFERROR(__xludf.DUMMYFUNCTION("""COMPUTED_VALUE"""),1.52241E7)</f>
        <v>15224100</v>
      </c>
    </row>
    <row r="88">
      <c r="A88" s="2">
        <f>IFERROR(__xludf.DUMMYFUNCTION("""COMPUTED_VALUE"""),37127.666666666664)</f>
        <v>37127.66667</v>
      </c>
      <c r="B88" s="1">
        <f>IFERROR(__xludf.DUMMYFUNCTION("""COMPUTED_VALUE"""),36.99)</f>
        <v>36.99</v>
      </c>
      <c r="C88" s="1">
        <f>IFERROR(__xludf.DUMMYFUNCTION("""COMPUTED_VALUE"""),38.16)</f>
        <v>38.16</v>
      </c>
      <c r="D88" s="1">
        <f>IFERROR(__xludf.DUMMYFUNCTION("""COMPUTED_VALUE"""),36.68)</f>
        <v>36.68</v>
      </c>
      <c r="E88" s="1">
        <f>IFERROR(__xludf.DUMMYFUNCTION("""COMPUTED_VALUE"""),38.02)</f>
        <v>38.02</v>
      </c>
      <c r="F88" s="1">
        <f>IFERROR(__xludf.DUMMYFUNCTION("""COMPUTED_VALUE"""),1.88596E7)</f>
        <v>18859600</v>
      </c>
    </row>
    <row r="89">
      <c r="A89" s="2">
        <f>IFERROR(__xludf.DUMMYFUNCTION("""COMPUTED_VALUE"""),37134.666666666664)</f>
        <v>37134.66667</v>
      </c>
      <c r="B89" s="1">
        <f>IFERROR(__xludf.DUMMYFUNCTION("""COMPUTED_VALUE"""),38.02)</f>
        <v>38.02</v>
      </c>
      <c r="C89" s="1">
        <f>IFERROR(__xludf.DUMMYFUNCTION("""COMPUTED_VALUE"""),38.04)</f>
        <v>38.04</v>
      </c>
      <c r="D89" s="1">
        <f>IFERROR(__xludf.DUMMYFUNCTION("""COMPUTED_VALUE"""),36.37)</f>
        <v>36.37</v>
      </c>
      <c r="E89" s="1">
        <f>IFERROR(__xludf.DUMMYFUNCTION("""COMPUTED_VALUE"""),36.62)</f>
        <v>36.62</v>
      </c>
      <c r="F89" s="1">
        <f>IFERROR(__xludf.DUMMYFUNCTION("""COMPUTED_VALUE"""),1.30563E7)</f>
        <v>13056300</v>
      </c>
    </row>
    <row r="90">
      <c r="A90" s="2">
        <f>IFERROR(__xludf.DUMMYFUNCTION("""COMPUTED_VALUE"""),37141.666666666664)</f>
        <v>37141.66667</v>
      </c>
      <c r="B90" s="1">
        <f>IFERROR(__xludf.DUMMYFUNCTION("""COMPUTED_VALUE"""),36.39)</f>
        <v>36.39</v>
      </c>
      <c r="C90" s="1">
        <f>IFERROR(__xludf.DUMMYFUNCTION("""COMPUTED_VALUE"""),37.65)</f>
        <v>37.65</v>
      </c>
      <c r="D90" s="1">
        <f>IFERROR(__xludf.DUMMYFUNCTION("""COMPUTED_VALUE"""),36.25)</f>
        <v>36.25</v>
      </c>
      <c r="E90" s="1">
        <f>IFERROR(__xludf.DUMMYFUNCTION("""COMPUTED_VALUE"""),36.72)</f>
        <v>36.72</v>
      </c>
      <c r="F90" s="1">
        <f>IFERROR(__xludf.DUMMYFUNCTION("""COMPUTED_VALUE"""),1.2947E7)</f>
        <v>12947000</v>
      </c>
    </row>
    <row r="91">
      <c r="A91" s="2">
        <f>IFERROR(__xludf.DUMMYFUNCTION("""COMPUTED_VALUE"""),37144.666666666664)</f>
        <v>37144.66667</v>
      </c>
      <c r="B91" s="1">
        <f>IFERROR(__xludf.DUMMYFUNCTION("""COMPUTED_VALUE"""),36.27)</f>
        <v>36.27</v>
      </c>
      <c r="C91" s="1">
        <f>IFERROR(__xludf.DUMMYFUNCTION("""COMPUTED_VALUE"""),36.74)</f>
        <v>36.74</v>
      </c>
      <c r="D91" s="1">
        <f>IFERROR(__xludf.DUMMYFUNCTION("""COMPUTED_VALUE"""),36.24)</f>
        <v>36.24</v>
      </c>
      <c r="E91" s="1">
        <f>IFERROR(__xludf.DUMMYFUNCTION("""COMPUTED_VALUE"""),36.64)</f>
        <v>36.64</v>
      </c>
      <c r="F91" s="1">
        <f>IFERROR(__xludf.DUMMYFUNCTION("""COMPUTED_VALUE"""),3165500.0)</f>
        <v>3165500</v>
      </c>
    </row>
    <row r="92">
      <c r="A92" s="2">
        <f>IFERROR(__xludf.DUMMYFUNCTION("""COMPUTED_VALUE"""),37155.666666666664)</f>
        <v>37155.66667</v>
      </c>
      <c r="B92" s="1">
        <f>IFERROR(__xludf.DUMMYFUNCTION("""COMPUTED_VALUE"""),36.35)</f>
        <v>36.35</v>
      </c>
      <c r="C92" s="1">
        <f>IFERROR(__xludf.DUMMYFUNCTION("""COMPUTED_VALUE"""),37.05)</f>
        <v>37.05</v>
      </c>
      <c r="D92" s="1">
        <f>IFERROR(__xludf.DUMMYFUNCTION("""COMPUTED_VALUE"""),33.09)</f>
        <v>33.09</v>
      </c>
      <c r="E92" s="1">
        <f>IFERROR(__xludf.DUMMYFUNCTION("""COMPUTED_VALUE"""),33.53)</f>
        <v>33.53</v>
      </c>
      <c r="F92" s="1">
        <f>IFERROR(__xludf.DUMMYFUNCTION("""COMPUTED_VALUE"""),3.13737E7)</f>
        <v>31373700</v>
      </c>
    </row>
    <row r="93">
      <c r="A93" s="2">
        <f>IFERROR(__xludf.DUMMYFUNCTION("""COMPUTED_VALUE"""),37162.666666666664)</f>
        <v>37162.66667</v>
      </c>
      <c r="B93" s="1">
        <f>IFERROR(__xludf.DUMMYFUNCTION("""COMPUTED_VALUE"""),34.07)</f>
        <v>34.07</v>
      </c>
      <c r="C93" s="1">
        <f>IFERROR(__xludf.DUMMYFUNCTION("""COMPUTED_VALUE"""),36.12)</f>
        <v>36.12</v>
      </c>
      <c r="D93" s="1">
        <f>IFERROR(__xludf.DUMMYFUNCTION("""COMPUTED_VALUE"""),34.02)</f>
        <v>34.02</v>
      </c>
      <c r="E93" s="1">
        <f>IFERROR(__xludf.DUMMYFUNCTION("""COMPUTED_VALUE"""),35.95)</f>
        <v>35.95</v>
      </c>
      <c r="F93" s="1">
        <f>IFERROR(__xludf.DUMMYFUNCTION("""COMPUTED_VALUE"""),2.11674E7)</f>
        <v>21167400</v>
      </c>
    </row>
    <row r="94">
      <c r="A94" s="2">
        <f>IFERROR(__xludf.DUMMYFUNCTION("""COMPUTED_VALUE"""),37169.666666666664)</f>
        <v>37169.66667</v>
      </c>
      <c r="B94" s="1">
        <f>IFERROR(__xludf.DUMMYFUNCTION("""COMPUTED_VALUE"""),35.8)</f>
        <v>35.8</v>
      </c>
      <c r="C94" s="1">
        <f>IFERROR(__xludf.DUMMYFUNCTION("""COMPUTED_VALUE"""),36.27)</f>
        <v>36.27</v>
      </c>
      <c r="D94" s="1">
        <f>IFERROR(__xludf.DUMMYFUNCTION("""COMPUTED_VALUE"""),35.14)</f>
        <v>35.14</v>
      </c>
      <c r="E94" s="1">
        <f>IFERROR(__xludf.DUMMYFUNCTION("""COMPUTED_VALUE"""),35.9)</f>
        <v>35.9</v>
      </c>
      <c r="F94" s="1">
        <f>IFERROR(__xludf.DUMMYFUNCTION("""COMPUTED_VALUE"""),1.7499E7)</f>
        <v>17499000</v>
      </c>
    </row>
    <row r="95">
      <c r="A95" s="2">
        <f>IFERROR(__xludf.DUMMYFUNCTION("""COMPUTED_VALUE"""),37176.666666666664)</f>
        <v>37176.66667</v>
      </c>
      <c r="B95" s="1">
        <f>IFERROR(__xludf.DUMMYFUNCTION("""COMPUTED_VALUE"""),35.56)</f>
        <v>35.56</v>
      </c>
      <c r="C95" s="1">
        <f>IFERROR(__xludf.DUMMYFUNCTION("""COMPUTED_VALUE"""),36.61)</f>
        <v>36.61</v>
      </c>
      <c r="D95" s="1">
        <f>IFERROR(__xludf.DUMMYFUNCTION("""COMPUTED_VALUE"""),35.31)</f>
        <v>35.31</v>
      </c>
      <c r="E95" s="1">
        <f>IFERROR(__xludf.DUMMYFUNCTION("""COMPUTED_VALUE"""),35.53)</f>
        <v>35.53</v>
      </c>
      <c r="F95" s="1">
        <f>IFERROR(__xludf.DUMMYFUNCTION("""COMPUTED_VALUE"""),1.37384E7)</f>
        <v>13738400</v>
      </c>
    </row>
    <row r="96">
      <c r="A96" s="2">
        <f>IFERROR(__xludf.DUMMYFUNCTION("""COMPUTED_VALUE"""),37183.666666666664)</f>
        <v>37183.66667</v>
      </c>
      <c r="B96" s="1">
        <f>IFERROR(__xludf.DUMMYFUNCTION("""COMPUTED_VALUE"""),35.31)</f>
        <v>35.31</v>
      </c>
      <c r="C96" s="1">
        <f>IFERROR(__xludf.DUMMYFUNCTION("""COMPUTED_VALUE"""),35.65)</f>
        <v>35.65</v>
      </c>
      <c r="D96" s="1">
        <f>IFERROR(__xludf.DUMMYFUNCTION("""COMPUTED_VALUE"""),34.43)</f>
        <v>34.43</v>
      </c>
      <c r="E96" s="1">
        <f>IFERROR(__xludf.DUMMYFUNCTION("""COMPUTED_VALUE"""),35.43)</f>
        <v>35.43</v>
      </c>
      <c r="F96" s="1">
        <f>IFERROR(__xludf.DUMMYFUNCTION("""COMPUTED_VALUE"""),1.71501E7)</f>
        <v>17150100</v>
      </c>
    </row>
    <row r="97">
      <c r="A97" s="2">
        <f>IFERROR(__xludf.DUMMYFUNCTION("""COMPUTED_VALUE"""),37190.666666666664)</f>
        <v>37190.66667</v>
      </c>
      <c r="B97" s="1">
        <f>IFERROR(__xludf.DUMMYFUNCTION("""COMPUTED_VALUE"""),35.43)</f>
        <v>35.43</v>
      </c>
      <c r="C97" s="1">
        <f>IFERROR(__xludf.DUMMYFUNCTION("""COMPUTED_VALUE"""),36.32)</f>
        <v>36.32</v>
      </c>
      <c r="D97" s="1">
        <f>IFERROR(__xludf.DUMMYFUNCTION("""COMPUTED_VALUE"""),34.82)</f>
        <v>34.82</v>
      </c>
      <c r="E97" s="1">
        <f>IFERROR(__xludf.DUMMYFUNCTION("""COMPUTED_VALUE"""),35.99)</f>
        <v>35.99</v>
      </c>
      <c r="F97" s="1">
        <f>IFERROR(__xludf.DUMMYFUNCTION("""COMPUTED_VALUE"""),1.12761E7)</f>
        <v>11276100</v>
      </c>
    </row>
    <row r="98">
      <c r="A98" s="2">
        <f>IFERROR(__xludf.DUMMYFUNCTION("""COMPUTED_VALUE"""),37197.666666666664)</f>
        <v>37197.66667</v>
      </c>
      <c r="B98" s="1">
        <f>IFERROR(__xludf.DUMMYFUNCTION("""COMPUTED_VALUE"""),36.05)</f>
        <v>36.05</v>
      </c>
      <c r="C98" s="1">
        <f>IFERROR(__xludf.DUMMYFUNCTION("""COMPUTED_VALUE"""),37.83)</f>
        <v>37.83</v>
      </c>
      <c r="D98" s="1">
        <f>IFERROR(__xludf.DUMMYFUNCTION("""COMPUTED_VALUE"""),35.21)</f>
        <v>35.21</v>
      </c>
      <c r="E98" s="1">
        <f>IFERROR(__xludf.DUMMYFUNCTION("""COMPUTED_VALUE"""),37.53)</f>
        <v>37.53</v>
      </c>
      <c r="F98" s="1">
        <f>IFERROR(__xludf.DUMMYFUNCTION("""COMPUTED_VALUE"""),1.95965E7)</f>
        <v>19596500</v>
      </c>
    </row>
    <row r="99">
      <c r="A99" s="2">
        <f>IFERROR(__xludf.DUMMYFUNCTION("""COMPUTED_VALUE"""),37204.666666666664)</f>
        <v>37204.66667</v>
      </c>
      <c r="B99" s="1">
        <f>IFERROR(__xludf.DUMMYFUNCTION("""COMPUTED_VALUE"""),37.58)</f>
        <v>37.58</v>
      </c>
      <c r="C99" s="1">
        <f>IFERROR(__xludf.DUMMYFUNCTION("""COMPUTED_VALUE"""),38.62)</f>
        <v>38.62</v>
      </c>
      <c r="D99" s="1">
        <f>IFERROR(__xludf.DUMMYFUNCTION("""COMPUTED_VALUE"""),37.5)</f>
        <v>37.5</v>
      </c>
      <c r="E99" s="1">
        <f>IFERROR(__xludf.DUMMYFUNCTION("""COMPUTED_VALUE"""),38.18)</f>
        <v>38.18</v>
      </c>
      <c r="F99" s="1">
        <f>IFERROR(__xludf.DUMMYFUNCTION("""COMPUTED_VALUE"""),1.42025E7)</f>
        <v>14202500</v>
      </c>
    </row>
    <row r="100">
      <c r="A100" s="2">
        <f>IFERROR(__xludf.DUMMYFUNCTION("""COMPUTED_VALUE"""),37211.666666666664)</f>
        <v>37211.66667</v>
      </c>
      <c r="B100" s="1">
        <f>IFERROR(__xludf.DUMMYFUNCTION("""COMPUTED_VALUE"""),37.85)</f>
        <v>37.85</v>
      </c>
      <c r="C100" s="1">
        <f>IFERROR(__xludf.DUMMYFUNCTION("""COMPUTED_VALUE"""),38.94)</f>
        <v>38.94</v>
      </c>
      <c r="D100" s="1">
        <f>IFERROR(__xludf.DUMMYFUNCTION("""COMPUTED_VALUE"""),37.76)</f>
        <v>37.76</v>
      </c>
      <c r="E100" s="1">
        <f>IFERROR(__xludf.DUMMYFUNCTION("""COMPUTED_VALUE"""),38.88)</f>
        <v>38.88</v>
      </c>
      <c r="F100" s="1">
        <f>IFERROR(__xludf.DUMMYFUNCTION("""COMPUTED_VALUE"""),1.3383E7)</f>
        <v>13383000</v>
      </c>
    </row>
    <row r="101">
      <c r="A101" s="2">
        <f>IFERROR(__xludf.DUMMYFUNCTION("""COMPUTED_VALUE"""),37218.666666666664)</f>
        <v>37218.66667</v>
      </c>
      <c r="B101" s="1">
        <f>IFERROR(__xludf.DUMMYFUNCTION("""COMPUTED_VALUE"""),38.94)</f>
        <v>38.94</v>
      </c>
      <c r="C101" s="1">
        <f>IFERROR(__xludf.DUMMYFUNCTION("""COMPUTED_VALUE"""),39.01)</f>
        <v>39.01</v>
      </c>
      <c r="D101" s="1">
        <f>IFERROR(__xludf.DUMMYFUNCTION("""COMPUTED_VALUE"""),38.38)</f>
        <v>38.38</v>
      </c>
      <c r="E101" s="1">
        <f>IFERROR(__xludf.DUMMYFUNCTION("""COMPUTED_VALUE"""),38.74)</f>
        <v>38.74</v>
      </c>
      <c r="F101" s="1">
        <f>IFERROR(__xludf.DUMMYFUNCTION("""COMPUTED_VALUE"""),8290800.0)</f>
        <v>8290800</v>
      </c>
    </row>
    <row r="102">
      <c r="A102" s="2">
        <f>IFERROR(__xludf.DUMMYFUNCTION("""COMPUTED_VALUE"""),37225.666666666664)</f>
        <v>37225.66667</v>
      </c>
      <c r="B102" s="1">
        <f>IFERROR(__xludf.DUMMYFUNCTION("""COMPUTED_VALUE"""),38.54)</f>
        <v>38.54</v>
      </c>
      <c r="C102" s="1">
        <f>IFERROR(__xludf.DUMMYFUNCTION("""COMPUTED_VALUE"""),38.71)</f>
        <v>38.71</v>
      </c>
      <c r="D102" s="1">
        <f>IFERROR(__xludf.DUMMYFUNCTION("""COMPUTED_VALUE"""),37.16)</f>
        <v>37.16</v>
      </c>
      <c r="E102" s="1">
        <f>IFERROR(__xludf.DUMMYFUNCTION("""COMPUTED_VALUE"""),38.25)</f>
        <v>38.25</v>
      </c>
      <c r="F102" s="1">
        <f>IFERROR(__xludf.DUMMYFUNCTION("""COMPUTED_VALUE"""),1.46378E7)</f>
        <v>14637800</v>
      </c>
    </row>
    <row r="103">
      <c r="A103" s="2">
        <f>IFERROR(__xludf.DUMMYFUNCTION("""COMPUTED_VALUE"""),37232.666666666664)</f>
        <v>37232.66667</v>
      </c>
      <c r="B103" s="1">
        <f>IFERROR(__xludf.DUMMYFUNCTION("""COMPUTED_VALUE"""),38.43)</f>
        <v>38.43</v>
      </c>
      <c r="C103" s="1">
        <f>IFERROR(__xludf.DUMMYFUNCTION("""COMPUTED_VALUE"""),38.44)</f>
        <v>38.44</v>
      </c>
      <c r="D103" s="1">
        <f>IFERROR(__xludf.DUMMYFUNCTION("""COMPUTED_VALUE"""),36.92)</f>
        <v>36.92</v>
      </c>
      <c r="E103" s="1">
        <f>IFERROR(__xludf.DUMMYFUNCTION("""COMPUTED_VALUE"""),37.25)</f>
        <v>37.25</v>
      </c>
      <c r="F103" s="1">
        <f>IFERROR(__xludf.DUMMYFUNCTION("""COMPUTED_VALUE"""),1.1063175E7)</f>
        <v>11063175</v>
      </c>
    </row>
    <row r="104">
      <c r="A104" s="2">
        <f>IFERROR(__xludf.DUMMYFUNCTION("""COMPUTED_VALUE"""),37239.666666666664)</f>
        <v>37239.66667</v>
      </c>
      <c r="B104" s="1">
        <f>IFERROR(__xludf.DUMMYFUNCTION("""COMPUTED_VALUE"""),37.27)</f>
        <v>37.27</v>
      </c>
      <c r="C104" s="1">
        <f>IFERROR(__xludf.DUMMYFUNCTION("""COMPUTED_VALUE"""),40.05)</f>
        <v>40.05</v>
      </c>
      <c r="D104" s="1">
        <f>IFERROR(__xludf.DUMMYFUNCTION("""COMPUTED_VALUE"""),37.17)</f>
        <v>37.17</v>
      </c>
      <c r="E104" s="1">
        <f>IFERROR(__xludf.DUMMYFUNCTION("""COMPUTED_VALUE"""),39.52)</f>
        <v>39.52</v>
      </c>
      <c r="F104" s="1">
        <f>IFERROR(__xludf.DUMMYFUNCTION("""COMPUTED_VALUE"""),2.91549E7)</f>
        <v>29154900</v>
      </c>
    </row>
    <row r="105">
      <c r="A105" s="2">
        <f>IFERROR(__xludf.DUMMYFUNCTION("""COMPUTED_VALUE"""),37246.666666666664)</f>
        <v>37246.66667</v>
      </c>
      <c r="B105" s="1">
        <f>IFERROR(__xludf.DUMMYFUNCTION("""COMPUTED_VALUE"""),39.56)</f>
        <v>39.56</v>
      </c>
      <c r="C105" s="1">
        <f>IFERROR(__xludf.DUMMYFUNCTION("""COMPUTED_VALUE"""),40.36)</f>
        <v>40.36</v>
      </c>
      <c r="D105" s="1">
        <f>IFERROR(__xludf.DUMMYFUNCTION("""COMPUTED_VALUE"""),39.41)</f>
        <v>39.41</v>
      </c>
      <c r="E105" s="1">
        <f>IFERROR(__xludf.DUMMYFUNCTION("""COMPUTED_VALUE"""),39.82)</f>
        <v>39.82</v>
      </c>
      <c r="F105" s="1">
        <f>IFERROR(__xludf.DUMMYFUNCTION("""COMPUTED_VALUE"""),1.81102E7)</f>
        <v>18110200</v>
      </c>
    </row>
    <row r="106">
      <c r="A106" s="2">
        <f>IFERROR(__xludf.DUMMYFUNCTION("""COMPUTED_VALUE"""),37253.666666666664)</f>
        <v>37253.66667</v>
      </c>
      <c r="B106" s="1">
        <f>IFERROR(__xludf.DUMMYFUNCTION("""COMPUTED_VALUE"""),39.82)</f>
        <v>39.82</v>
      </c>
      <c r="C106" s="1">
        <f>IFERROR(__xludf.DUMMYFUNCTION("""COMPUTED_VALUE"""),40.09)</f>
        <v>40.09</v>
      </c>
      <c r="D106" s="1">
        <f>IFERROR(__xludf.DUMMYFUNCTION("""COMPUTED_VALUE"""),39.04)</f>
        <v>39.04</v>
      </c>
      <c r="E106" s="1">
        <f>IFERROR(__xludf.DUMMYFUNCTION("""COMPUTED_VALUE"""),39.26)</f>
        <v>39.26</v>
      </c>
      <c r="F106" s="1">
        <f>IFERROR(__xludf.DUMMYFUNCTION("""COMPUTED_VALUE"""),6853800.0)</f>
        <v>6853800</v>
      </c>
    </row>
    <row r="107">
      <c r="A107" s="2">
        <f>IFERROR(__xludf.DUMMYFUNCTION("""COMPUTED_VALUE"""),37260.666666666664)</f>
        <v>37260.66667</v>
      </c>
      <c r="B107" s="1">
        <f>IFERROR(__xludf.DUMMYFUNCTION("""COMPUTED_VALUE"""),38.96)</f>
        <v>38.96</v>
      </c>
      <c r="C107" s="1">
        <f>IFERROR(__xludf.DUMMYFUNCTION("""COMPUTED_VALUE"""),39.51)</f>
        <v>39.51</v>
      </c>
      <c r="D107" s="1">
        <f>IFERROR(__xludf.DUMMYFUNCTION("""COMPUTED_VALUE"""),38.53)</f>
        <v>38.53</v>
      </c>
      <c r="E107" s="1">
        <f>IFERROR(__xludf.DUMMYFUNCTION("""COMPUTED_VALUE"""),38.74)</f>
        <v>38.74</v>
      </c>
      <c r="F107" s="1">
        <f>IFERROR(__xludf.DUMMYFUNCTION("""COMPUTED_VALUE"""),1.08058E7)</f>
        <v>10805800</v>
      </c>
    </row>
    <row r="108">
      <c r="A108" s="2">
        <f>IFERROR(__xludf.DUMMYFUNCTION("""COMPUTED_VALUE"""),37267.666666666664)</f>
        <v>37267.66667</v>
      </c>
      <c r="B108" s="1">
        <f>IFERROR(__xludf.DUMMYFUNCTION("""COMPUTED_VALUE"""),38.63)</f>
        <v>38.63</v>
      </c>
      <c r="C108" s="1">
        <f>IFERROR(__xludf.DUMMYFUNCTION("""COMPUTED_VALUE"""),38.76)</f>
        <v>38.76</v>
      </c>
      <c r="D108" s="1">
        <f>IFERROR(__xludf.DUMMYFUNCTION("""COMPUTED_VALUE"""),37.72)</f>
        <v>37.72</v>
      </c>
      <c r="E108" s="1">
        <f>IFERROR(__xludf.DUMMYFUNCTION("""COMPUTED_VALUE"""),38.13)</f>
        <v>38.13</v>
      </c>
      <c r="F108" s="1">
        <f>IFERROR(__xludf.DUMMYFUNCTION("""COMPUTED_VALUE"""),1.4296E7)</f>
        <v>14296000</v>
      </c>
    </row>
    <row r="109">
      <c r="A109" s="2">
        <f>IFERROR(__xludf.DUMMYFUNCTION("""COMPUTED_VALUE"""),37274.666666666664)</f>
        <v>37274.66667</v>
      </c>
      <c r="B109" s="1">
        <f>IFERROR(__xludf.DUMMYFUNCTION("""COMPUTED_VALUE"""),38.35)</f>
        <v>38.35</v>
      </c>
      <c r="C109" s="1">
        <f>IFERROR(__xludf.DUMMYFUNCTION("""COMPUTED_VALUE"""),39.51)</f>
        <v>39.51</v>
      </c>
      <c r="D109" s="1">
        <f>IFERROR(__xludf.DUMMYFUNCTION("""COMPUTED_VALUE"""),38.15)</f>
        <v>38.15</v>
      </c>
      <c r="E109" s="1">
        <f>IFERROR(__xludf.DUMMYFUNCTION("""COMPUTED_VALUE"""),39.41)</f>
        <v>39.41</v>
      </c>
      <c r="F109" s="1">
        <f>IFERROR(__xludf.DUMMYFUNCTION("""COMPUTED_VALUE"""),1.37074E7)</f>
        <v>13707400</v>
      </c>
    </row>
    <row r="110">
      <c r="A110" s="2">
        <f>IFERROR(__xludf.DUMMYFUNCTION("""COMPUTED_VALUE"""),37281.666666666664)</f>
        <v>37281.66667</v>
      </c>
      <c r="B110" s="1">
        <f>IFERROR(__xludf.DUMMYFUNCTION("""COMPUTED_VALUE"""),39.41)</f>
        <v>39.41</v>
      </c>
      <c r="C110" s="1">
        <f>IFERROR(__xludf.DUMMYFUNCTION("""COMPUTED_VALUE"""),39.43)</f>
        <v>39.43</v>
      </c>
      <c r="D110" s="1">
        <f>IFERROR(__xludf.DUMMYFUNCTION("""COMPUTED_VALUE"""),38.12)</f>
        <v>38.12</v>
      </c>
      <c r="E110" s="1">
        <f>IFERROR(__xludf.DUMMYFUNCTION("""COMPUTED_VALUE"""),39.08)</f>
        <v>39.08</v>
      </c>
      <c r="F110" s="1">
        <f>IFERROR(__xludf.DUMMYFUNCTION("""COMPUTED_VALUE"""),1.08919E7)</f>
        <v>10891900</v>
      </c>
    </row>
    <row r="111">
      <c r="A111" s="2">
        <f>IFERROR(__xludf.DUMMYFUNCTION("""COMPUTED_VALUE"""),37288.666666666664)</f>
        <v>37288.66667</v>
      </c>
      <c r="B111" s="1">
        <f>IFERROR(__xludf.DUMMYFUNCTION("""COMPUTED_VALUE"""),38.81)</f>
        <v>38.81</v>
      </c>
      <c r="C111" s="1">
        <f>IFERROR(__xludf.DUMMYFUNCTION("""COMPUTED_VALUE"""),41.14)</f>
        <v>41.14</v>
      </c>
      <c r="D111" s="1">
        <f>IFERROR(__xludf.DUMMYFUNCTION("""COMPUTED_VALUE"""),38.15)</f>
        <v>38.15</v>
      </c>
      <c r="E111" s="1">
        <f>IFERROR(__xludf.DUMMYFUNCTION("""COMPUTED_VALUE"""),40.88)</f>
        <v>40.88</v>
      </c>
      <c r="F111" s="1">
        <f>IFERROR(__xludf.DUMMYFUNCTION("""COMPUTED_VALUE"""),2.15141E7)</f>
        <v>21514100</v>
      </c>
    </row>
    <row r="112">
      <c r="A112" s="2">
        <f>IFERROR(__xludf.DUMMYFUNCTION("""COMPUTED_VALUE"""),37295.666666666664)</f>
        <v>37295.66667</v>
      </c>
      <c r="B112" s="1">
        <f>IFERROR(__xludf.DUMMYFUNCTION("""COMPUTED_VALUE"""),40.78)</f>
        <v>40.78</v>
      </c>
      <c r="C112" s="1">
        <f>IFERROR(__xludf.DUMMYFUNCTION("""COMPUTED_VALUE"""),41.59)</f>
        <v>41.59</v>
      </c>
      <c r="D112" s="1">
        <f>IFERROR(__xludf.DUMMYFUNCTION("""COMPUTED_VALUE"""),39.88)</f>
        <v>39.88</v>
      </c>
      <c r="E112" s="1">
        <f>IFERROR(__xludf.DUMMYFUNCTION("""COMPUTED_VALUE"""),40.54)</f>
        <v>40.54</v>
      </c>
      <c r="F112" s="1">
        <f>IFERROR(__xludf.DUMMYFUNCTION("""COMPUTED_VALUE"""),1.6993E7)</f>
        <v>16993000</v>
      </c>
    </row>
    <row r="113">
      <c r="A113" s="2">
        <f>IFERROR(__xludf.DUMMYFUNCTION("""COMPUTED_VALUE"""),37302.666666666664)</f>
        <v>37302.66667</v>
      </c>
      <c r="B113" s="1">
        <f>IFERROR(__xludf.DUMMYFUNCTION("""COMPUTED_VALUE"""),40.54)</f>
        <v>40.54</v>
      </c>
      <c r="C113" s="1">
        <f>IFERROR(__xludf.DUMMYFUNCTION("""COMPUTED_VALUE"""),41.98)</f>
        <v>41.98</v>
      </c>
      <c r="D113" s="1">
        <f>IFERROR(__xludf.DUMMYFUNCTION("""COMPUTED_VALUE"""),40.13)</f>
        <v>40.13</v>
      </c>
      <c r="E113" s="1">
        <f>IFERROR(__xludf.DUMMYFUNCTION("""COMPUTED_VALUE"""),41.97)</f>
        <v>41.97</v>
      </c>
      <c r="F113" s="1">
        <f>IFERROR(__xludf.DUMMYFUNCTION("""COMPUTED_VALUE"""),1.58778E7)</f>
        <v>15877800</v>
      </c>
    </row>
    <row r="114">
      <c r="A114" s="2">
        <f>IFERROR(__xludf.DUMMYFUNCTION("""COMPUTED_VALUE"""),37309.666666666664)</f>
        <v>37309.66667</v>
      </c>
      <c r="B114" s="1">
        <f>IFERROR(__xludf.DUMMYFUNCTION("""COMPUTED_VALUE"""),41.53)</f>
        <v>41.53</v>
      </c>
      <c r="C114" s="1">
        <f>IFERROR(__xludf.DUMMYFUNCTION("""COMPUTED_VALUE"""),42.46)</f>
        <v>42.46</v>
      </c>
      <c r="D114" s="1">
        <f>IFERROR(__xludf.DUMMYFUNCTION("""COMPUTED_VALUE"""),41.04)</f>
        <v>41.04</v>
      </c>
      <c r="E114" s="1">
        <f>IFERROR(__xludf.DUMMYFUNCTION("""COMPUTED_VALUE"""),42.27)</f>
        <v>42.27</v>
      </c>
      <c r="F114" s="1">
        <f>IFERROR(__xludf.DUMMYFUNCTION("""COMPUTED_VALUE"""),1.37127E7)</f>
        <v>13712700</v>
      </c>
    </row>
    <row r="115">
      <c r="A115" s="2">
        <f>IFERROR(__xludf.DUMMYFUNCTION("""COMPUTED_VALUE"""),37316.666666666664)</f>
        <v>37316.66667</v>
      </c>
      <c r="B115" s="1">
        <f>IFERROR(__xludf.DUMMYFUNCTION("""COMPUTED_VALUE"""),42.2)</f>
        <v>42.2</v>
      </c>
      <c r="C115" s="1">
        <f>IFERROR(__xludf.DUMMYFUNCTION("""COMPUTED_VALUE"""),43.38)</f>
        <v>43.38</v>
      </c>
      <c r="D115" s="1">
        <f>IFERROR(__xludf.DUMMYFUNCTION("""COMPUTED_VALUE"""),41.73)</f>
        <v>41.73</v>
      </c>
      <c r="E115" s="1">
        <f>IFERROR(__xludf.DUMMYFUNCTION("""COMPUTED_VALUE"""),43.23)</f>
        <v>43.23</v>
      </c>
      <c r="F115" s="1">
        <f>IFERROR(__xludf.DUMMYFUNCTION("""COMPUTED_VALUE"""),1.92045E7)</f>
        <v>19204500</v>
      </c>
    </row>
    <row r="116">
      <c r="A116" s="2">
        <f>IFERROR(__xludf.DUMMYFUNCTION("""COMPUTED_VALUE"""),37323.666666666664)</f>
        <v>37323.66667</v>
      </c>
      <c r="B116" s="1">
        <f>IFERROR(__xludf.DUMMYFUNCTION("""COMPUTED_VALUE"""),42.96)</f>
        <v>42.96</v>
      </c>
      <c r="C116" s="1">
        <f>IFERROR(__xludf.DUMMYFUNCTION("""COMPUTED_VALUE"""),43.14)</f>
        <v>43.14</v>
      </c>
      <c r="D116" s="1">
        <f>IFERROR(__xludf.DUMMYFUNCTION("""COMPUTED_VALUE"""),41.09)</f>
        <v>41.09</v>
      </c>
      <c r="E116" s="1">
        <f>IFERROR(__xludf.DUMMYFUNCTION("""COMPUTED_VALUE"""),41.44)</f>
        <v>41.44</v>
      </c>
      <c r="F116" s="1">
        <f>IFERROR(__xludf.DUMMYFUNCTION("""COMPUTED_VALUE"""),1.542685E7)</f>
        <v>15426850</v>
      </c>
    </row>
    <row r="117">
      <c r="A117" s="2">
        <f>IFERROR(__xludf.DUMMYFUNCTION("""COMPUTED_VALUE"""),37330.666666666664)</f>
        <v>37330.66667</v>
      </c>
      <c r="B117" s="1">
        <f>IFERROR(__xludf.DUMMYFUNCTION("""COMPUTED_VALUE"""),41.41)</f>
        <v>41.41</v>
      </c>
      <c r="C117" s="1">
        <f>IFERROR(__xludf.DUMMYFUNCTION("""COMPUTED_VALUE"""),43.01)</f>
        <v>43.01</v>
      </c>
      <c r="D117" s="1">
        <f>IFERROR(__xludf.DUMMYFUNCTION("""COMPUTED_VALUE"""),40.8)</f>
        <v>40.8</v>
      </c>
      <c r="E117" s="1">
        <f>IFERROR(__xludf.DUMMYFUNCTION("""COMPUTED_VALUE"""),43.0)</f>
        <v>43</v>
      </c>
      <c r="F117" s="1">
        <f>IFERROR(__xludf.DUMMYFUNCTION("""COMPUTED_VALUE"""),1.5717E7)</f>
        <v>15717000</v>
      </c>
    </row>
    <row r="118">
      <c r="A118" s="2">
        <f>IFERROR(__xludf.DUMMYFUNCTION("""COMPUTED_VALUE"""),37337.666666666664)</f>
        <v>37337.66667</v>
      </c>
      <c r="B118" s="1">
        <f>IFERROR(__xludf.DUMMYFUNCTION("""COMPUTED_VALUE"""),43.21)</f>
        <v>43.21</v>
      </c>
      <c r="C118" s="1">
        <f>IFERROR(__xludf.DUMMYFUNCTION("""COMPUTED_VALUE"""),44.8)</f>
        <v>44.8</v>
      </c>
      <c r="D118" s="1">
        <f>IFERROR(__xludf.DUMMYFUNCTION("""COMPUTED_VALUE"""),43.05)</f>
        <v>43.05</v>
      </c>
      <c r="E118" s="1">
        <f>IFERROR(__xludf.DUMMYFUNCTION("""COMPUTED_VALUE"""),44.49)</f>
        <v>44.49</v>
      </c>
      <c r="F118" s="1">
        <f>IFERROR(__xludf.DUMMYFUNCTION("""COMPUTED_VALUE"""),2.09032E7)</f>
        <v>20903200</v>
      </c>
    </row>
    <row r="119">
      <c r="A119" s="2">
        <f>IFERROR(__xludf.DUMMYFUNCTION("""COMPUTED_VALUE"""),37343.666666666664)</f>
        <v>37343.66667</v>
      </c>
      <c r="B119" s="1">
        <f>IFERROR(__xludf.DUMMYFUNCTION("""COMPUTED_VALUE"""),44.32)</f>
        <v>44.32</v>
      </c>
      <c r="C119" s="1">
        <f>IFERROR(__xludf.DUMMYFUNCTION("""COMPUTED_VALUE"""),44.63)</f>
        <v>44.63</v>
      </c>
      <c r="D119" s="1">
        <f>IFERROR(__xludf.DUMMYFUNCTION("""COMPUTED_VALUE"""),43.88)</f>
        <v>43.88</v>
      </c>
      <c r="E119" s="1">
        <f>IFERROR(__xludf.DUMMYFUNCTION("""COMPUTED_VALUE"""),44.49)</f>
        <v>44.49</v>
      </c>
      <c r="F119" s="1">
        <f>IFERROR(__xludf.DUMMYFUNCTION("""COMPUTED_VALUE"""),1.00849E7)</f>
        <v>10084900</v>
      </c>
    </row>
    <row r="120">
      <c r="A120" s="2">
        <f>IFERROR(__xludf.DUMMYFUNCTION("""COMPUTED_VALUE"""),37351.666666666664)</f>
        <v>37351.66667</v>
      </c>
      <c r="B120" s="1">
        <f>IFERROR(__xludf.DUMMYFUNCTION("""COMPUTED_VALUE"""),44.12)</f>
        <v>44.12</v>
      </c>
      <c r="C120" s="1">
        <f>IFERROR(__xludf.DUMMYFUNCTION("""COMPUTED_VALUE"""),44.75)</f>
        <v>44.75</v>
      </c>
      <c r="D120" s="1">
        <f>IFERROR(__xludf.DUMMYFUNCTION("""COMPUTED_VALUE"""),43.65)</f>
        <v>43.65</v>
      </c>
      <c r="E120" s="1">
        <f>IFERROR(__xludf.DUMMYFUNCTION("""COMPUTED_VALUE"""),44.35)</f>
        <v>44.35</v>
      </c>
      <c r="F120" s="1">
        <f>IFERROR(__xludf.DUMMYFUNCTION("""COMPUTED_VALUE"""),1.69808E7)</f>
        <v>16980800</v>
      </c>
    </row>
    <row r="121">
      <c r="A121" s="2">
        <f>IFERROR(__xludf.DUMMYFUNCTION("""COMPUTED_VALUE"""),37358.666666666664)</f>
        <v>37358.66667</v>
      </c>
      <c r="B121" s="1">
        <f>IFERROR(__xludf.DUMMYFUNCTION("""COMPUTED_VALUE"""),44.15)</f>
        <v>44.15</v>
      </c>
      <c r="C121" s="1">
        <f>IFERROR(__xludf.DUMMYFUNCTION("""COMPUTED_VALUE"""),45.8)</f>
        <v>45.8</v>
      </c>
      <c r="D121" s="1">
        <f>IFERROR(__xludf.DUMMYFUNCTION("""COMPUTED_VALUE"""),44.07)</f>
        <v>44.07</v>
      </c>
      <c r="E121" s="1">
        <f>IFERROR(__xludf.DUMMYFUNCTION("""COMPUTED_VALUE"""),45.4)</f>
        <v>45.4</v>
      </c>
      <c r="F121" s="1">
        <f>IFERROR(__xludf.DUMMYFUNCTION("""COMPUTED_VALUE"""),1.633E7)</f>
        <v>16330000</v>
      </c>
    </row>
    <row r="122">
      <c r="A122" s="2">
        <f>IFERROR(__xludf.DUMMYFUNCTION("""COMPUTED_VALUE"""),37365.666666666664)</f>
        <v>37365.66667</v>
      </c>
      <c r="B122" s="1">
        <f>IFERROR(__xludf.DUMMYFUNCTION("""COMPUTED_VALUE"""),45.23)</f>
        <v>45.23</v>
      </c>
      <c r="C122" s="1">
        <f>IFERROR(__xludf.DUMMYFUNCTION("""COMPUTED_VALUE"""),45.36)</f>
        <v>45.36</v>
      </c>
      <c r="D122" s="1">
        <f>IFERROR(__xludf.DUMMYFUNCTION("""COMPUTED_VALUE"""),43.38)</f>
        <v>43.38</v>
      </c>
      <c r="E122" s="1">
        <f>IFERROR(__xludf.DUMMYFUNCTION("""COMPUTED_VALUE"""),43.89)</f>
        <v>43.89</v>
      </c>
      <c r="F122" s="1">
        <f>IFERROR(__xludf.DUMMYFUNCTION("""COMPUTED_VALUE"""),1.60648E7)</f>
        <v>16064800</v>
      </c>
    </row>
    <row r="123">
      <c r="A123" s="2">
        <f>IFERROR(__xludf.DUMMYFUNCTION("""COMPUTED_VALUE"""),37372.666666666664)</f>
        <v>37372.66667</v>
      </c>
      <c r="B123" s="1">
        <f>IFERROR(__xludf.DUMMYFUNCTION("""COMPUTED_VALUE"""),43.95)</f>
        <v>43.95</v>
      </c>
      <c r="C123" s="1">
        <f>IFERROR(__xludf.DUMMYFUNCTION("""COMPUTED_VALUE"""),44.8)</f>
        <v>44.8</v>
      </c>
      <c r="D123" s="1">
        <f>IFERROR(__xludf.DUMMYFUNCTION("""COMPUTED_VALUE"""),43.7)</f>
        <v>43.7</v>
      </c>
      <c r="E123" s="1">
        <f>IFERROR(__xludf.DUMMYFUNCTION("""COMPUTED_VALUE"""),44.35)</f>
        <v>44.35</v>
      </c>
      <c r="F123" s="1">
        <f>IFERROR(__xludf.DUMMYFUNCTION("""COMPUTED_VALUE"""),1.39214E7)</f>
        <v>13921400</v>
      </c>
    </row>
    <row r="124">
      <c r="A124" s="2">
        <f>IFERROR(__xludf.DUMMYFUNCTION("""COMPUTED_VALUE"""),37379.666666666664)</f>
        <v>37379.66667</v>
      </c>
      <c r="B124" s="1">
        <f>IFERROR(__xludf.DUMMYFUNCTION("""COMPUTED_VALUE"""),44.47)</f>
        <v>44.47</v>
      </c>
      <c r="C124" s="1">
        <f>IFERROR(__xludf.DUMMYFUNCTION("""COMPUTED_VALUE"""),46.16)</f>
        <v>46.16</v>
      </c>
      <c r="D124" s="1">
        <f>IFERROR(__xludf.DUMMYFUNCTION("""COMPUTED_VALUE"""),44.15)</f>
        <v>44.15</v>
      </c>
      <c r="E124" s="1">
        <f>IFERROR(__xludf.DUMMYFUNCTION("""COMPUTED_VALUE"""),45.41)</f>
        <v>45.41</v>
      </c>
      <c r="F124" s="1">
        <f>IFERROR(__xludf.DUMMYFUNCTION("""COMPUTED_VALUE"""),1.93713E7)</f>
        <v>19371300</v>
      </c>
    </row>
    <row r="125">
      <c r="A125" s="2">
        <f>IFERROR(__xludf.DUMMYFUNCTION("""COMPUTED_VALUE"""),37386.666666666664)</f>
        <v>37386.66667</v>
      </c>
      <c r="B125" s="1">
        <f>IFERROR(__xludf.DUMMYFUNCTION("""COMPUTED_VALUE"""),45.67)</f>
        <v>45.67</v>
      </c>
      <c r="C125" s="1">
        <f>IFERROR(__xludf.DUMMYFUNCTION("""COMPUTED_VALUE"""),46.16)</f>
        <v>46.16</v>
      </c>
      <c r="D125" s="1">
        <f>IFERROR(__xludf.DUMMYFUNCTION("""COMPUTED_VALUE"""),44.84)</f>
        <v>44.84</v>
      </c>
      <c r="E125" s="1">
        <f>IFERROR(__xludf.DUMMYFUNCTION("""COMPUTED_VALUE"""),45.63)</f>
        <v>45.63</v>
      </c>
      <c r="F125" s="1">
        <f>IFERROR(__xludf.DUMMYFUNCTION("""COMPUTED_VALUE"""),1.55109E7)</f>
        <v>15510900</v>
      </c>
    </row>
    <row r="126">
      <c r="A126" s="2">
        <f>IFERROR(__xludf.DUMMYFUNCTION("""COMPUTED_VALUE"""),37393.666666666664)</f>
        <v>37393.66667</v>
      </c>
      <c r="B126" s="1">
        <f>IFERROR(__xludf.DUMMYFUNCTION("""COMPUTED_VALUE"""),45.85)</f>
        <v>45.85</v>
      </c>
      <c r="C126" s="1">
        <f>IFERROR(__xludf.DUMMYFUNCTION("""COMPUTED_VALUE"""),46.24)</f>
        <v>46.24</v>
      </c>
      <c r="D126" s="1">
        <f>IFERROR(__xludf.DUMMYFUNCTION("""COMPUTED_VALUE"""),45.27)</f>
        <v>45.27</v>
      </c>
      <c r="E126" s="1">
        <f>IFERROR(__xludf.DUMMYFUNCTION("""COMPUTED_VALUE"""),46.02)</f>
        <v>46.02</v>
      </c>
      <c r="F126" s="1">
        <f>IFERROR(__xludf.DUMMYFUNCTION("""COMPUTED_VALUE"""),7654100.0)</f>
        <v>7654100</v>
      </c>
    </row>
    <row r="127">
      <c r="A127" s="2">
        <f>IFERROR(__xludf.DUMMYFUNCTION("""COMPUTED_VALUE"""),37400.666666666664)</f>
        <v>37400.66667</v>
      </c>
      <c r="B127" s="1">
        <f>IFERROR(__xludf.DUMMYFUNCTION("""COMPUTED_VALUE"""),46.02)</f>
        <v>46.02</v>
      </c>
      <c r="C127" s="1">
        <f>IFERROR(__xludf.DUMMYFUNCTION("""COMPUTED_VALUE"""),46.29)</f>
        <v>46.29</v>
      </c>
      <c r="D127" s="1">
        <f>IFERROR(__xludf.DUMMYFUNCTION("""COMPUTED_VALUE"""),44.3)</f>
        <v>44.3</v>
      </c>
      <c r="E127" s="1">
        <f>IFERROR(__xludf.DUMMYFUNCTION("""COMPUTED_VALUE"""),44.64)</f>
        <v>44.64</v>
      </c>
      <c r="F127" s="1">
        <f>IFERROR(__xludf.DUMMYFUNCTION("""COMPUTED_VALUE"""),1.23908E7)</f>
        <v>12390800</v>
      </c>
    </row>
    <row r="128">
      <c r="A128" s="2">
        <f>IFERROR(__xludf.DUMMYFUNCTION("""COMPUTED_VALUE"""),37407.666666666664)</f>
        <v>37407.66667</v>
      </c>
      <c r="B128" s="1">
        <f>IFERROR(__xludf.DUMMYFUNCTION("""COMPUTED_VALUE"""),44.74)</f>
        <v>44.74</v>
      </c>
      <c r="C128" s="1">
        <f>IFERROR(__xludf.DUMMYFUNCTION("""COMPUTED_VALUE"""),44.74)</f>
        <v>44.74</v>
      </c>
      <c r="D128" s="1">
        <f>IFERROR(__xludf.DUMMYFUNCTION("""COMPUTED_VALUE"""),42.67)</f>
        <v>42.67</v>
      </c>
      <c r="E128" s="1">
        <f>IFERROR(__xludf.DUMMYFUNCTION("""COMPUTED_VALUE"""),44.22)</f>
        <v>44.22</v>
      </c>
      <c r="F128" s="1">
        <f>IFERROR(__xludf.DUMMYFUNCTION("""COMPUTED_VALUE"""),1.54458E7)</f>
        <v>15445800</v>
      </c>
    </row>
    <row r="129">
      <c r="A129" s="2">
        <f>IFERROR(__xludf.DUMMYFUNCTION("""COMPUTED_VALUE"""),37414.666666666664)</f>
        <v>37414.66667</v>
      </c>
      <c r="B129" s="1">
        <f>IFERROR(__xludf.DUMMYFUNCTION("""COMPUTED_VALUE"""),44.56)</f>
        <v>44.56</v>
      </c>
      <c r="C129" s="1">
        <f>IFERROR(__xludf.DUMMYFUNCTION("""COMPUTED_VALUE"""),45.54)</f>
        <v>45.54</v>
      </c>
      <c r="D129" s="1">
        <f>IFERROR(__xludf.DUMMYFUNCTION("""COMPUTED_VALUE"""),44.04)</f>
        <v>44.04</v>
      </c>
      <c r="E129" s="1">
        <f>IFERROR(__xludf.DUMMYFUNCTION("""COMPUTED_VALUE"""),44.67)</f>
        <v>44.67</v>
      </c>
      <c r="F129" s="1">
        <f>IFERROR(__xludf.DUMMYFUNCTION("""COMPUTED_VALUE"""),1.59815E7)</f>
        <v>15981500</v>
      </c>
    </row>
    <row r="130">
      <c r="A130" s="2">
        <f>IFERROR(__xludf.DUMMYFUNCTION("""COMPUTED_VALUE"""),37421.666666666664)</f>
        <v>37421.66667</v>
      </c>
      <c r="B130" s="1">
        <f>IFERROR(__xludf.DUMMYFUNCTION("""COMPUTED_VALUE"""),44.48)</f>
        <v>44.48</v>
      </c>
      <c r="C130" s="1">
        <f>IFERROR(__xludf.DUMMYFUNCTION("""COMPUTED_VALUE"""),46.52)</f>
        <v>46.52</v>
      </c>
      <c r="D130" s="1">
        <f>IFERROR(__xludf.DUMMYFUNCTION("""COMPUTED_VALUE"""),44.08)</f>
        <v>44.08</v>
      </c>
      <c r="E130" s="1">
        <f>IFERROR(__xludf.DUMMYFUNCTION("""COMPUTED_VALUE"""),45.78)</f>
        <v>45.78</v>
      </c>
      <c r="F130" s="1">
        <f>IFERROR(__xludf.DUMMYFUNCTION("""COMPUTED_VALUE"""),2.26372E7)</f>
        <v>22637200</v>
      </c>
    </row>
    <row r="131">
      <c r="A131" s="2">
        <f>IFERROR(__xludf.DUMMYFUNCTION("""COMPUTED_VALUE"""),37428.666666666664)</f>
        <v>37428.66667</v>
      </c>
      <c r="B131" s="1">
        <f>IFERROR(__xludf.DUMMYFUNCTION("""COMPUTED_VALUE"""),45.78)</f>
        <v>45.78</v>
      </c>
      <c r="C131" s="1">
        <f>IFERROR(__xludf.DUMMYFUNCTION("""COMPUTED_VALUE"""),47.38)</f>
        <v>47.38</v>
      </c>
      <c r="D131" s="1">
        <f>IFERROR(__xludf.DUMMYFUNCTION("""COMPUTED_VALUE"""),45.78)</f>
        <v>45.78</v>
      </c>
      <c r="E131" s="1">
        <f>IFERROR(__xludf.DUMMYFUNCTION("""COMPUTED_VALUE"""),46.92)</f>
        <v>46.92</v>
      </c>
      <c r="F131" s="1">
        <f>IFERROR(__xludf.DUMMYFUNCTION("""COMPUTED_VALUE"""),2.06509E7)</f>
        <v>20650900</v>
      </c>
    </row>
    <row r="132">
      <c r="A132" s="2">
        <f>IFERROR(__xludf.DUMMYFUNCTION("""COMPUTED_VALUE"""),37435.666666666664)</f>
        <v>37435.66667</v>
      </c>
      <c r="B132" s="1">
        <f>IFERROR(__xludf.DUMMYFUNCTION("""COMPUTED_VALUE"""),46.88)</f>
        <v>46.88</v>
      </c>
      <c r="C132" s="1">
        <f>IFERROR(__xludf.DUMMYFUNCTION("""COMPUTED_VALUE"""),47.21)</f>
        <v>47.21</v>
      </c>
      <c r="D132" s="1">
        <f>IFERROR(__xludf.DUMMYFUNCTION("""COMPUTED_VALUE"""),43.97)</f>
        <v>43.97</v>
      </c>
      <c r="E132" s="1">
        <f>IFERROR(__xludf.DUMMYFUNCTION("""COMPUTED_VALUE"""),44.65)</f>
        <v>44.65</v>
      </c>
      <c r="F132" s="1">
        <f>IFERROR(__xludf.DUMMYFUNCTION("""COMPUTED_VALUE"""),2.98188E7)</f>
        <v>29818800</v>
      </c>
    </row>
    <row r="133">
      <c r="A133" s="2">
        <f>IFERROR(__xludf.DUMMYFUNCTION("""COMPUTED_VALUE"""),37442.666666666664)</f>
        <v>37442.66667</v>
      </c>
      <c r="B133" s="1">
        <f>IFERROR(__xludf.DUMMYFUNCTION("""COMPUTED_VALUE"""),44.67)</f>
        <v>44.67</v>
      </c>
      <c r="C133" s="1">
        <f>IFERROR(__xludf.DUMMYFUNCTION("""COMPUTED_VALUE"""),45.48)</f>
        <v>45.48</v>
      </c>
      <c r="D133" s="1">
        <f>IFERROR(__xludf.DUMMYFUNCTION("""COMPUTED_VALUE"""),43.51)</f>
        <v>43.51</v>
      </c>
      <c r="E133" s="1">
        <f>IFERROR(__xludf.DUMMYFUNCTION("""COMPUTED_VALUE"""),44.94)</f>
        <v>44.94</v>
      </c>
      <c r="F133" s="1">
        <f>IFERROR(__xludf.DUMMYFUNCTION("""COMPUTED_VALUE"""),1.16213E7)</f>
        <v>11621300</v>
      </c>
    </row>
    <row r="134">
      <c r="A134" s="2">
        <f>IFERROR(__xludf.DUMMYFUNCTION("""COMPUTED_VALUE"""),37449.666666666664)</f>
        <v>37449.66667</v>
      </c>
      <c r="B134" s="1">
        <f>IFERROR(__xludf.DUMMYFUNCTION("""COMPUTED_VALUE"""),44.94)</f>
        <v>44.94</v>
      </c>
      <c r="C134" s="1">
        <f>IFERROR(__xludf.DUMMYFUNCTION("""COMPUTED_VALUE"""),45.25)</f>
        <v>45.25</v>
      </c>
      <c r="D134" s="1">
        <f>IFERROR(__xludf.DUMMYFUNCTION("""COMPUTED_VALUE"""),41.05)</f>
        <v>41.05</v>
      </c>
      <c r="E134" s="1">
        <f>IFERROR(__xludf.DUMMYFUNCTION("""COMPUTED_VALUE"""),41.82)</f>
        <v>41.82</v>
      </c>
      <c r="F134" s="1">
        <f>IFERROR(__xludf.DUMMYFUNCTION("""COMPUTED_VALUE"""),2.44171E7)</f>
        <v>24417100</v>
      </c>
    </row>
    <row r="135">
      <c r="A135" s="2">
        <f>IFERROR(__xludf.DUMMYFUNCTION("""COMPUTED_VALUE"""),37456.666666666664)</f>
        <v>37456.66667</v>
      </c>
      <c r="B135" s="1">
        <f>IFERROR(__xludf.DUMMYFUNCTION("""COMPUTED_VALUE"""),41.3)</f>
        <v>41.3</v>
      </c>
      <c r="C135" s="1">
        <f>IFERROR(__xludf.DUMMYFUNCTION("""COMPUTED_VALUE"""),41.6)</f>
        <v>41.6</v>
      </c>
      <c r="D135" s="1">
        <f>IFERROR(__xludf.DUMMYFUNCTION("""COMPUTED_VALUE"""),37.04)</f>
        <v>37.04</v>
      </c>
      <c r="E135" s="1">
        <f>IFERROR(__xludf.DUMMYFUNCTION("""COMPUTED_VALUE"""),37.23)</f>
        <v>37.23</v>
      </c>
      <c r="F135" s="1">
        <f>IFERROR(__xludf.DUMMYFUNCTION("""COMPUTED_VALUE"""),2.57752E7)</f>
        <v>25775200</v>
      </c>
    </row>
    <row r="136">
      <c r="A136" s="2">
        <f>IFERROR(__xludf.DUMMYFUNCTION("""COMPUTED_VALUE"""),37463.666666666664)</f>
        <v>37463.66667</v>
      </c>
      <c r="B136" s="1">
        <f>IFERROR(__xludf.DUMMYFUNCTION("""COMPUTED_VALUE"""),37.87)</f>
        <v>37.87</v>
      </c>
      <c r="C136" s="1">
        <f>IFERROR(__xludf.DUMMYFUNCTION("""COMPUTED_VALUE"""),42.51)</f>
        <v>42.51</v>
      </c>
      <c r="D136" s="1">
        <f>IFERROR(__xludf.DUMMYFUNCTION("""COMPUTED_VALUE"""),37.5)</f>
        <v>37.5</v>
      </c>
      <c r="E136" s="1">
        <f>IFERROR(__xludf.DUMMYFUNCTION("""COMPUTED_VALUE"""),42.1)</f>
        <v>42.1</v>
      </c>
      <c r="F136" s="1">
        <f>IFERROR(__xludf.DUMMYFUNCTION("""COMPUTED_VALUE"""),3.45572E7)</f>
        <v>34557200</v>
      </c>
    </row>
    <row r="137">
      <c r="A137" s="2">
        <f>IFERROR(__xludf.DUMMYFUNCTION("""COMPUTED_VALUE"""),37470.666666666664)</f>
        <v>37470.66667</v>
      </c>
      <c r="B137" s="1">
        <f>IFERROR(__xludf.DUMMYFUNCTION("""COMPUTED_VALUE"""),42.31)</f>
        <v>42.31</v>
      </c>
      <c r="C137" s="1">
        <f>IFERROR(__xludf.DUMMYFUNCTION("""COMPUTED_VALUE"""),44.95)</f>
        <v>44.95</v>
      </c>
      <c r="D137" s="1">
        <f>IFERROR(__xludf.DUMMYFUNCTION("""COMPUTED_VALUE"""),42.23)</f>
        <v>42.23</v>
      </c>
      <c r="E137" s="1">
        <f>IFERROR(__xludf.DUMMYFUNCTION("""COMPUTED_VALUE"""),44.92)</f>
        <v>44.92</v>
      </c>
      <c r="F137" s="1">
        <f>IFERROR(__xludf.DUMMYFUNCTION("""COMPUTED_VALUE"""),2.672E7)</f>
        <v>26720000</v>
      </c>
    </row>
    <row r="138">
      <c r="A138" s="2">
        <f>IFERROR(__xludf.DUMMYFUNCTION("""COMPUTED_VALUE"""),37477.666666666664)</f>
        <v>37477.66667</v>
      </c>
      <c r="B138" s="1">
        <f>IFERROR(__xludf.DUMMYFUNCTION("""COMPUTED_VALUE"""),44.7)</f>
        <v>44.7</v>
      </c>
      <c r="C138" s="1">
        <f>IFERROR(__xludf.DUMMYFUNCTION("""COMPUTED_VALUE"""),45.75)</f>
        <v>45.75</v>
      </c>
      <c r="D138" s="1">
        <f>IFERROR(__xludf.DUMMYFUNCTION("""COMPUTED_VALUE"""),43.25)</f>
        <v>43.25</v>
      </c>
      <c r="E138" s="1">
        <f>IFERROR(__xludf.DUMMYFUNCTION("""COMPUTED_VALUE"""),45.57)</f>
        <v>45.57</v>
      </c>
      <c r="F138" s="1">
        <f>IFERROR(__xludf.DUMMYFUNCTION("""COMPUTED_VALUE"""),2.91877E7)</f>
        <v>29187700</v>
      </c>
    </row>
    <row r="139">
      <c r="A139" s="2">
        <f>IFERROR(__xludf.DUMMYFUNCTION("""COMPUTED_VALUE"""),37484.666666666664)</f>
        <v>37484.66667</v>
      </c>
      <c r="B139" s="1">
        <f>IFERROR(__xludf.DUMMYFUNCTION("""COMPUTED_VALUE"""),45.0)</f>
        <v>45</v>
      </c>
      <c r="C139" s="1">
        <f>IFERROR(__xludf.DUMMYFUNCTION("""COMPUTED_VALUE"""),46.45)</f>
        <v>46.45</v>
      </c>
      <c r="D139" s="1">
        <f>IFERROR(__xludf.DUMMYFUNCTION("""COMPUTED_VALUE"""),44.53)</f>
        <v>44.53</v>
      </c>
      <c r="E139" s="1">
        <f>IFERROR(__xludf.DUMMYFUNCTION("""COMPUTED_VALUE"""),45.5)</f>
        <v>45.5</v>
      </c>
      <c r="F139" s="1">
        <f>IFERROR(__xludf.DUMMYFUNCTION("""COMPUTED_VALUE"""),2.14597E7)</f>
        <v>21459700</v>
      </c>
    </row>
    <row r="140">
      <c r="A140" s="2">
        <f>IFERROR(__xludf.DUMMYFUNCTION("""COMPUTED_VALUE"""),37491.666666666664)</f>
        <v>37491.66667</v>
      </c>
      <c r="B140" s="1">
        <f>IFERROR(__xludf.DUMMYFUNCTION("""COMPUTED_VALUE"""),45.3)</f>
        <v>45.3</v>
      </c>
      <c r="C140" s="1">
        <f>IFERROR(__xludf.DUMMYFUNCTION("""COMPUTED_VALUE"""),45.76)</f>
        <v>45.76</v>
      </c>
      <c r="D140" s="1">
        <f>IFERROR(__xludf.DUMMYFUNCTION("""COMPUTED_VALUE"""),44.88)</f>
        <v>44.88</v>
      </c>
      <c r="E140" s="1">
        <f>IFERROR(__xludf.DUMMYFUNCTION("""COMPUTED_VALUE"""),45.13)</f>
        <v>45.13</v>
      </c>
      <c r="F140" s="1">
        <f>IFERROR(__xludf.DUMMYFUNCTION("""COMPUTED_VALUE"""),1.56662E7)</f>
        <v>15666200</v>
      </c>
    </row>
    <row r="141">
      <c r="A141" s="2">
        <f>IFERROR(__xludf.DUMMYFUNCTION("""COMPUTED_VALUE"""),37498.666666666664)</f>
        <v>37498.66667</v>
      </c>
      <c r="B141" s="1">
        <f>IFERROR(__xludf.DUMMYFUNCTION("""COMPUTED_VALUE"""),45.13)</f>
        <v>45.13</v>
      </c>
      <c r="C141" s="1">
        <f>IFERROR(__xludf.DUMMYFUNCTION("""COMPUTED_VALUE"""),45.46)</f>
        <v>45.46</v>
      </c>
      <c r="D141" s="1">
        <f>IFERROR(__xludf.DUMMYFUNCTION("""COMPUTED_VALUE"""),43.5)</f>
        <v>43.5</v>
      </c>
      <c r="E141" s="1">
        <f>IFERROR(__xludf.DUMMYFUNCTION("""COMPUTED_VALUE"""),44.33)</f>
        <v>44.33</v>
      </c>
      <c r="F141" s="1">
        <f>IFERROR(__xludf.DUMMYFUNCTION("""COMPUTED_VALUE"""),1.53498E7)</f>
        <v>15349800</v>
      </c>
    </row>
    <row r="142">
      <c r="A142" s="2">
        <f>IFERROR(__xludf.DUMMYFUNCTION("""COMPUTED_VALUE"""),37505.666666666664)</f>
        <v>37505.66667</v>
      </c>
      <c r="B142" s="1">
        <f>IFERROR(__xludf.DUMMYFUNCTION("""COMPUTED_VALUE"""),44.0)</f>
        <v>44</v>
      </c>
      <c r="C142" s="1">
        <f>IFERROR(__xludf.DUMMYFUNCTION("""COMPUTED_VALUE"""),45.48)</f>
        <v>45.48</v>
      </c>
      <c r="D142" s="1">
        <f>IFERROR(__xludf.DUMMYFUNCTION("""COMPUTED_VALUE"""),43.18)</f>
        <v>43.18</v>
      </c>
      <c r="E142" s="1">
        <f>IFERROR(__xludf.DUMMYFUNCTION("""COMPUTED_VALUE"""),44.98)</f>
        <v>44.98</v>
      </c>
      <c r="F142" s="1">
        <f>IFERROR(__xludf.DUMMYFUNCTION("""COMPUTED_VALUE"""),1.82163E7)</f>
        <v>18216300</v>
      </c>
    </row>
    <row r="143">
      <c r="A143" s="2">
        <f>IFERROR(__xludf.DUMMYFUNCTION("""COMPUTED_VALUE"""),37512.666666666664)</f>
        <v>37512.66667</v>
      </c>
      <c r="B143" s="1">
        <f>IFERROR(__xludf.DUMMYFUNCTION("""COMPUTED_VALUE"""),44.63)</f>
        <v>44.63</v>
      </c>
      <c r="C143" s="1">
        <f>IFERROR(__xludf.DUMMYFUNCTION("""COMPUTED_VALUE"""),46.0)</f>
        <v>46</v>
      </c>
      <c r="D143" s="1">
        <f>IFERROR(__xludf.DUMMYFUNCTION("""COMPUTED_VALUE"""),44.5)</f>
        <v>44.5</v>
      </c>
      <c r="E143" s="1">
        <f>IFERROR(__xludf.DUMMYFUNCTION("""COMPUTED_VALUE"""),46.0)</f>
        <v>46</v>
      </c>
      <c r="F143" s="1">
        <f>IFERROR(__xludf.DUMMYFUNCTION("""COMPUTED_VALUE"""),1.42146E7)</f>
        <v>14214600</v>
      </c>
    </row>
    <row r="144">
      <c r="A144" s="2">
        <f>IFERROR(__xludf.DUMMYFUNCTION("""COMPUTED_VALUE"""),37519.666666666664)</f>
        <v>37519.66667</v>
      </c>
      <c r="B144" s="1">
        <f>IFERROR(__xludf.DUMMYFUNCTION("""COMPUTED_VALUE"""),46.0)</f>
        <v>46</v>
      </c>
      <c r="C144" s="1">
        <f>IFERROR(__xludf.DUMMYFUNCTION("""COMPUTED_VALUE"""),46.75)</f>
        <v>46.75</v>
      </c>
      <c r="D144" s="1">
        <f>IFERROR(__xludf.DUMMYFUNCTION("""COMPUTED_VALUE"""),45.13)</f>
        <v>45.13</v>
      </c>
      <c r="E144" s="1">
        <f>IFERROR(__xludf.DUMMYFUNCTION("""COMPUTED_VALUE"""),45.55)</f>
        <v>45.55</v>
      </c>
      <c r="F144" s="1">
        <f>IFERROR(__xludf.DUMMYFUNCTION("""COMPUTED_VALUE"""),2.09746E7)</f>
        <v>20974600</v>
      </c>
    </row>
    <row r="145">
      <c r="A145" s="2">
        <f>IFERROR(__xludf.DUMMYFUNCTION("""COMPUTED_VALUE"""),37526.666666666664)</f>
        <v>37526.66667</v>
      </c>
      <c r="B145" s="1">
        <f>IFERROR(__xludf.DUMMYFUNCTION("""COMPUTED_VALUE"""),45.01)</f>
        <v>45.01</v>
      </c>
      <c r="C145" s="1">
        <f>IFERROR(__xludf.DUMMYFUNCTION("""COMPUTED_VALUE"""),45.55)</f>
        <v>45.55</v>
      </c>
      <c r="D145" s="1">
        <f>IFERROR(__xludf.DUMMYFUNCTION("""COMPUTED_VALUE"""),44.0)</f>
        <v>44</v>
      </c>
      <c r="E145" s="1">
        <f>IFERROR(__xludf.DUMMYFUNCTION("""COMPUTED_VALUE"""),44.07)</f>
        <v>44.07</v>
      </c>
      <c r="F145" s="1">
        <f>IFERROR(__xludf.DUMMYFUNCTION("""COMPUTED_VALUE"""),2.14618E7)</f>
        <v>21461800</v>
      </c>
    </row>
    <row r="146">
      <c r="A146" s="2">
        <f>IFERROR(__xludf.DUMMYFUNCTION("""COMPUTED_VALUE"""),37533.666666666664)</f>
        <v>37533.66667</v>
      </c>
      <c r="B146" s="1">
        <f>IFERROR(__xludf.DUMMYFUNCTION("""COMPUTED_VALUE"""),44.19)</f>
        <v>44.19</v>
      </c>
      <c r="C146" s="1">
        <f>IFERROR(__xludf.DUMMYFUNCTION("""COMPUTED_VALUE"""),46.18)</f>
        <v>46.18</v>
      </c>
      <c r="D146" s="1">
        <f>IFERROR(__xludf.DUMMYFUNCTION("""COMPUTED_VALUE"""),43.6)</f>
        <v>43.6</v>
      </c>
      <c r="E146" s="1">
        <f>IFERROR(__xludf.DUMMYFUNCTION("""COMPUTED_VALUE"""),44.26)</f>
        <v>44.26</v>
      </c>
      <c r="F146" s="1">
        <f>IFERROR(__xludf.DUMMYFUNCTION("""COMPUTED_VALUE"""),2.5951E7)</f>
        <v>25951000</v>
      </c>
    </row>
    <row r="147">
      <c r="A147" s="2">
        <f>IFERROR(__xludf.DUMMYFUNCTION("""COMPUTED_VALUE"""),37540.666666666664)</f>
        <v>37540.66667</v>
      </c>
      <c r="B147" s="1">
        <f>IFERROR(__xludf.DUMMYFUNCTION("""COMPUTED_VALUE"""),44.26)</f>
        <v>44.26</v>
      </c>
      <c r="C147" s="1">
        <f>IFERROR(__xludf.DUMMYFUNCTION("""COMPUTED_VALUE"""),45.42)</f>
        <v>45.42</v>
      </c>
      <c r="D147" s="1">
        <f>IFERROR(__xludf.DUMMYFUNCTION("""COMPUTED_VALUE"""),43.75)</f>
        <v>43.75</v>
      </c>
      <c r="E147" s="1">
        <f>IFERROR(__xludf.DUMMYFUNCTION("""COMPUTED_VALUE"""),45.12)</f>
        <v>45.12</v>
      </c>
      <c r="F147" s="1">
        <f>IFERROR(__xludf.DUMMYFUNCTION("""COMPUTED_VALUE"""),2.49212E7)</f>
        <v>24921200</v>
      </c>
    </row>
    <row r="148">
      <c r="A148" s="2">
        <f>IFERROR(__xludf.DUMMYFUNCTION("""COMPUTED_VALUE"""),37547.666666666664)</f>
        <v>37547.66667</v>
      </c>
      <c r="B148" s="1">
        <f>IFERROR(__xludf.DUMMYFUNCTION("""COMPUTED_VALUE"""),45.0)</f>
        <v>45</v>
      </c>
      <c r="C148" s="1">
        <f>IFERROR(__xludf.DUMMYFUNCTION("""COMPUTED_VALUE"""),46.08)</f>
        <v>46.08</v>
      </c>
      <c r="D148" s="1">
        <f>IFERROR(__xludf.DUMMYFUNCTION("""COMPUTED_VALUE"""),44.6)</f>
        <v>44.6</v>
      </c>
      <c r="E148" s="1">
        <f>IFERROR(__xludf.DUMMYFUNCTION("""COMPUTED_VALUE"""),45.88)</f>
        <v>45.88</v>
      </c>
      <c r="F148" s="1">
        <f>IFERROR(__xludf.DUMMYFUNCTION("""COMPUTED_VALUE"""),2.12091E7)</f>
        <v>21209100</v>
      </c>
    </row>
    <row r="149">
      <c r="A149" s="2">
        <f>IFERROR(__xludf.DUMMYFUNCTION("""COMPUTED_VALUE"""),37554.666666666664)</f>
        <v>37554.66667</v>
      </c>
      <c r="B149" s="1">
        <f>IFERROR(__xludf.DUMMYFUNCTION("""COMPUTED_VALUE"""),45.48)</f>
        <v>45.48</v>
      </c>
      <c r="C149" s="1">
        <f>IFERROR(__xludf.DUMMYFUNCTION("""COMPUTED_VALUE"""),46.1)</f>
        <v>46.1</v>
      </c>
      <c r="D149" s="1">
        <f>IFERROR(__xludf.DUMMYFUNCTION("""COMPUTED_VALUE"""),43.77)</f>
        <v>43.77</v>
      </c>
      <c r="E149" s="1">
        <f>IFERROR(__xludf.DUMMYFUNCTION("""COMPUTED_VALUE"""),44.35)</f>
        <v>44.35</v>
      </c>
      <c r="F149" s="1">
        <f>IFERROR(__xludf.DUMMYFUNCTION("""COMPUTED_VALUE"""),1.93799E7)</f>
        <v>19379900</v>
      </c>
    </row>
    <row r="150">
      <c r="A150" s="2">
        <f>IFERROR(__xludf.DUMMYFUNCTION("""COMPUTED_VALUE"""),37561.666666666664)</f>
        <v>37561.66667</v>
      </c>
      <c r="B150" s="1">
        <f>IFERROR(__xludf.DUMMYFUNCTION("""COMPUTED_VALUE"""),44.35)</f>
        <v>44.35</v>
      </c>
      <c r="C150" s="1">
        <f>IFERROR(__xludf.DUMMYFUNCTION("""COMPUTED_VALUE"""),44.95)</f>
        <v>44.95</v>
      </c>
      <c r="D150" s="1">
        <f>IFERROR(__xludf.DUMMYFUNCTION("""COMPUTED_VALUE"""),42.38)</f>
        <v>42.38</v>
      </c>
      <c r="E150" s="1">
        <f>IFERROR(__xludf.DUMMYFUNCTION("""COMPUTED_VALUE"""),44.0)</f>
        <v>44</v>
      </c>
      <c r="F150" s="1">
        <f>IFERROR(__xludf.DUMMYFUNCTION("""COMPUTED_VALUE"""),2.8204E7)</f>
        <v>28204000</v>
      </c>
    </row>
    <row r="151">
      <c r="A151" s="2">
        <f>IFERROR(__xludf.DUMMYFUNCTION("""COMPUTED_VALUE"""),37568.666666666664)</f>
        <v>37568.66667</v>
      </c>
      <c r="B151" s="1">
        <f>IFERROR(__xludf.DUMMYFUNCTION("""COMPUTED_VALUE"""),44.0)</f>
        <v>44</v>
      </c>
      <c r="C151" s="1">
        <f>IFERROR(__xludf.DUMMYFUNCTION("""COMPUTED_VALUE"""),44.53)</f>
        <v>44.53</v>
      </c>
      <c r="D151" s="1">
        <f>IFERROR(__xludf.DUMMYFUNCTION("""COMPUTED_VALUE"""),43.13)</f>
        <v>43.13</v>
      </c>
      <c r="E151" s="1">
        <f>IFERROR(__xludf.DUMMYFUNCTION("""COMPUTED_VALUE"""),43.85)</f>
        <v>43.85</v>
      </c>
      <c r="F151" s="1">
        <f>IFERROR(__xludf.DUMMYFUNCTION("""COMPUTED_VALUE"""),1.8719E7)</f>
        <v>18719000</v>
      </c>
    </row>
    <row r="152">
      <c r="A152" s="2">
        <f>IFERROR(__xludf.DUMMYFUNCTION("""COMPUTED_VALUE"""),37575.666666666664)</f>
        <v>37575.66667</v>
      </c>
      <c r="B152" s="1">
        <f>IFERROR(__xludf.DUMMYFUNCTION("""COMPUTED_VALUE"""),43.3)</f>
        <v>43.3</v>
      </c>
      <c r="C152" s="1">
        <f>IFERROR(__xludf.DUMMYFUNCTION("""COMPUTED_VALUE"""),43.85)</f>
        <v>43.85</v>
      </c>
      <c r="D152" s="1">
        <f>IFERROR(__xludf.DUMMYFUNCTION("""COMPUTED_VALUE"""),42.57)</f>
        <v>42.57</v>
      </c>
      <c r="E152" s="1">
        <f>IFERROR(__xludf.DUMMYFUNCTION("""COMPUTED_VALUE"""),43.64)</f>
        <v>43.64</v>
      </c>
      <c r="F152" s="1">
        <f>IFERROR(__xludf.DUMMYFUNCTION("""COMPUTED_VALUE"""),1.83259E7)</f>
        <v>18325900</v>
      </c>
    </row>
    <row r="153">
      <c r="A153" s="2">
        <f>IFERROR(__xludf.DUMMYFUNCTION("""COMPUTED_VALUE"""),37582.666666666664)</f>
        <v>37582.66667</v>
      </c>
      <c r="B153" s="1">
        <f>IFERROR(__xludf.DUMMYFUNCTION("""COMPUTED_VALUE"""),43.65)</f>
        <v>43.65</v>
      </c>
      <c r="C153" s="1">
        <f>IFERROR(__xludf.DUMMYFUNCTION("""COMPUTED_VALUE"""),44.15)</f>
        <v>44.15</v>
      </c>
      <c r="D153" s="1">
        <f>IFERROR(__xludf.DUMMYFUNCTION("""COMPUTED_VALUE"""),42.72)</f>
        <v>42.72</v>
      </c>
      <c r="E153" s="1">
        <f>IFERROR(__xludf.DUMMYFUNCTION("""COMPUTED_VALUE"""),43.29)</f>
        <v>43.29</v>
      </c>
      <c r="F153" s="1">
        <f>IFERROR(__xludf.DUMMYFUNCTION("""COMPUTED_VALUE"""),1.82363E7)</f>
        <v>18236300</v>
      </c>
    </row>
    <row r="154">
      <c r="A154" s="2">
        <f>IFERROR(__xludf.DUMMYFUNCTION("""COMPUTED_VALUE"""),37589.666666666664)</f>
        <v>37589.66667</v>
      </c>
      <c r="B154" s="1">
        <f>IFERROR(__xludf.DUMMYFUNCTION("""COMPUTED_VALUE"""),43.04)</f>
        <v>43.04</v>
      </c>
      <c r="C154" s="1">
        <f>IFERROR(__xludf.DUMMYFUNCTION("""COMPUTED_VALUE"""),43.12)</f>
        <v>43.12</v>
      </c>
      <c r="D154" s="1">
        <f>IFERROR(__xludf.DUMMYFUNCTION("""COMPUTED_VALUE"""),41.8)</f>
        <v>41.8</v>
      </c>
      <c r="E154" s="1">
        <f>IFERROR(__xludf.DUMMYFUNCTION("""COMPUTED_VALUE"""),42.27)</f>
        <v>42.27</v>
      </c>
      <c r="F154" s="1">
        <f>IFERROR(__xludf.DUMMYFUNCTION("""COMPUTED_VALUE"""),1.41663E7)</f>
        <v>14166300</v>
      </c>
    </row>
    <row r="155">
      <c r="A155" s="2">
        <f>IFERROR(__xludf.DUMMYFUNCTION("""COMPUTED_VALUE"""),37596.666666666664)</f>
        <v>37596.66667</v>
      </c>
      <c r="B155" s="1">
        <f>IFERROR(__xludf.DUMMYFUNCTION("""COMPUTED_VALUE"""),41.82)</f>
        <v>41.82</v>
      </c>
      <c r="C155" s="1">
        <f>IFERROR(__xludf.DUMMYFUNCTION("""COMPUTED_VALUE"""),43.75)</f>
        <v>43.75</v>
      </c>
      <c r="D155" s="1">
        <f>IFERROR(__xludf.DUMMYFUNCTION("""COMPUTED_VALUE"""),41.0)</f>
        <v>41</v>
      </c>
      <c r="E155" s="1">
        <f>IFERROR(__xludf.DUMMYFUNCTION("""COMPUTED_VALUE"""),42.98)</f>
        <v>42.98</v>
      </c>
      <c r="F155" s="1">
        <f>IFERROR(__xludf.DUMMYFUNCTION("""COMPUTED_VALUE"""),2.5201E7)</f>
        <v>25201000</v>
      </c>
    </row>
    <row r="156">
      <c r="A156" s="2">
        <f>IFERROR(__xludf.DUMMYFUNCTION("""COMPUTED_VALUE"""),37603.666666666664)</f>
        <v>37603.66667</v>
      </c>
      <c r="B156" s="1">
        <f>IFERROR(__xludf.DUMMYFUNCTION("""COMPUTED_VALUE"""),43.0)</f>
        <v>43</v>
      </c>
      <c r="C156" s="1">
        <f>IFERROR(__xludf.DUMMYFUNCTION("""COMPUTED_VALUE"""),44.15)</f>
        <v>44.15</v>
      </c>
      <c r="D156" s="1">
        <f>IFERROR(__xludf.DUMMYFUNCTION("""COMPUTED_VALUE"""),42.78)</f>
        <v>42.78</v>
      </c>
      <c r="E156" s="1">
        <f>IFERROR(__xludf.DUMMYFUNCTION("""COMPUTED_VALUE"""),43.71)</f>
        <v>43.71</v>
      </c>
      <c r="F156" s="1">
        <f>IFERROR(__xludf.DUMMYFUNCTION("""COMPUTED_VALUE"""),2.14018E7)</f>
        <v>21401800</v>
      </c>
    </row>
    <row r="157">
      <c r="A157" s="2">
        <f>IFERROR(__xludf.DUMMYFUNCTION("""COMPUTED_VALUE"""),37610.666666666664)</f>
        <v>37610.66667</v>
      </c>
      <c r="B157" s="1">
        <f>IFERROR(__xludf.DUMMYFUNCTION("""COMPUTED_VALUE"""),43.71)</f>
        <v>43.71</v>
      </c>
      <c r="C157" s="1">
        <f>IFERROR(__xludf.DUMMYFUNCTION("""COMPUTED_VALUE"""),44.03)</f>
        <v>44.03</v>
      </c>
      <c r="D157" s="1">
        <f>IFERROR(__xludf.DUMMYFUNCTION("""COMPUTED_VALUE"""),42.68)</f>
        <v>42.68</v>
      </c>
      <c r="E157" s="1">
        <f>IFERROR(__xludf.DUMMYFUNCTION("""COMPUTED_VALUE"""),43.84)</f>
        <v>43.84</v>
      </c>
      <c r="F157" s="1">
        <f>IFERROR(__xludf.DUMMYFUNCTION("""COMPUTED_VALUE"""),2.02023E7)</f>
        <v>20202300</v>
      </c>
    </row>
    <row r="158">
      <c r="A158" s="2">
        <f>IFERROR(__xludf.DUMMYFUNCTION("""COMPUTED_VALUE"""),37617.666666666664)</f>
        <v>37617.66667</v>
      </c>
      <c r="B158" s="1">
        <f>IFERROR(__xludf.DUMMYFUNCTION("""COMPUTED_VALUE"""),43.95)</f>
        <v>43.95</v>
      </c>
      <c r="C158" s="1">
        <f>IFERROR(__xludf.DUMMYFUNCTION("""COMPUTED_VALUE"""),44.12)</f>
        <v>44.12</v>
      </c>
      <c r="D158" s="1">
        <f>IFERROR(__xludf.DUMMYFUNCTION("""COMPUTED_VALUE"""),43.11)</f>
        <v>43.11</v>
      </c>
      <c r="E158" s="1">
        <f>IFERROR(__xludf.DUMMYFUNCTION("""COMPUTED_VALUE"""),43.28)</f>
        <v>43.28</v>
      </c>
      <c r="F158" s="1">
        <f>IFERROR(__xludf.DUMMYFUNCTION("""COMPUTED_VALUE"""),7280000.0)</f>
        <v>7280000</v>
      </c>
    </row>
    <row r="159">
      <c r="A159" s="2">
        <f>IFERROR(__xludf.DUMMYFUNCTION("""COMPUTED_VALUE"""),37624.666666666664)</f>
        <v>37624.66667</v>
      </c>
      <c r="B159" s="1">
        <f>IFERROR(__xludf.DUMMYFUNCTION("""COMPUTED_VALUE"""),43.08)</f>
        <v>43.08</v>
      </c>
      <c r="C159" s="1">
        <f>IFERROR(__xludf.DUMMYFUNCTION("""COMPUTED_VALUE"""),43.97)</f>
        <v>43.97</v>
      </c>
      <c r="D159" s="1">
        <f>IFERROR(__xludf.DUMMYFUNCTION("""COMPUTED_VALUE"""),42.56)</f>
        <v>42.56</v>
      </c>
      <c r="E159" s="1">
        <f>IFERROR(__xludf.DUMMYFUNCTION("""COMPUTED_VALUE"""),43.43)</f>
        <v>43.43</v>
      </c>
      <c r="F159" s="1">
        <f>IFERROR(__xludf.DUMMYFUNCTION("""COMPUTED_VALUE"""),1.22185E7)</f>
        <v>12218500</v>
      </c>
    </row>
    <row r="160">
      <c r="A160" s="2">
        <f>IFERROR(__xludf.DUMMYFUNCTION("""COMPUTED_VALUE"""),37631.666666666664)</f>
        <v>37631.66667</v>
      </c>
      <c r="B160" s="1">
        <f>IFERROR(__xludf.DUMMYFUNCTION("""COMPUTED_VALUE"""),43.55)</f>
        <v>43.55</v>
      </c>
      <c r="C160" s="1">
        <f>IFERROR(__xludf.DUMMYFUNCTION("""COMPUTED_VALUE"""),44.02)</f>
        <v>44.02</v>
      </c>
      <c r="D160" s="1">
        <f>IFERROR(__xludf.DUMMYFUNCTION("""COMPUTED_VALUE"""),42.3)</f>
        <v>42.3</v>
      </c>
      <c r="E160" s="1">
        <f>IFERROR(__xludf.DUMMYFUNCTION("""COMPUTED_VALUE"""),43.07)</f>
        <v>43.07</v>
      </c>
      <c r="F160" s="1">
        <f>IFERROR(__xludf.DUMMYFUNCTION("""COMPUTED_VALUE"""),1.9148E7)</f>
        <v>19148000</v>
      </c>
    </row>
    <row r="161">
      <c r="A161" s="2">
        <f>IFERROR(__xludf.DUMMYFUNCTION("""COMPUTED_VALUE"""),37638.666666666664)</f>
        <v>37638.66667</v>
      </c>
      <c r="B161" s="1">
        <f>IFERROR(__xludf.DUMMYFUNCTION("""COMPUTED_VALUE"""),43.07)</f>
        <v>43.07</v>
      </c>
      <c r="C161" s="1">
        <f>IFERROR(__xludf.DUMMYFUNCTION("""COMPUTED_VALUE"""),43.62)</f>
        <v>43.62</v>
      </c>
      <c r="D161" s="1">
        <f>IFERROR(__xludf.DUMMYFUNCTION("""COMPUTED_VALUE"""),42.5)</f>
        <v>42.5</v>
      </c>
      <c r="E161" s="1">
        <f>IFERROR(__xludf.DUMMYFUNCTION("""COMPUTED_VALUE"""),43.52)</f>
        <v>43.52</v>
      </c>
      <c r="F161" s="1">
        <f>IFERROR(__xludf.DUMMYFUNCTION("""COMPUTED_VALUE"""),1.53911E7)</f>
        <v>15391100</v>
      </c>
    </row>
    <row r="162">
      <c r="A162" s="2">
        <f>IFERROR(__xludf.DUMMYFUNCTION("""COMPUTED_VALUE"""),37645.666666666664)</f>
        <v>37645.66667</v>
      </c>
      <c r="B162" s="1">
        <f>IFERROR(__xludf.DUMMYFUNCTION("""COMPUTED_VALUE"""),43.54)</f>
        <v>43.54</v>
      </c>
      <c r="C162" s="1">
        <f>IFERROR(__xludf.DUMMYFUNCTION("""COMPUTED_VALUE"""),43.74)</f>
        <v>43.74</v>
      </c>
      <c r="D162" s="1">
        <f>IFERROR(__xludf.DUMMYFUNCTION("""COMPUTED_VALUE"""),42.07)</f>
        <v>42.07</v>
      </c>
      <c r="E162" s="1">
        <f>IFERROR(__xludf.DUMMYFUNCTION("""COMPUTED_VALUE"""),42.11)</f>
        <v>42.11</v>
      </c>
      <c r="F162" s="1">
        <f>IFERROR(__xludf.DUMMYFUNCTION("""COMPUTED_VALUE"""),1.52136E7)</f>
        <v>15213600</v>
      </c>
    </row>
    <row r="163">
      <c r="A163" s="2">
        <f>IFERROR(__xludf.DUMMYFUNCTION("""COMPUTED_VALUE"""),37652.666666666664)</f>
        <v>37652.66667</v>
      </c>
      <c r="B163" s="1">
        <f>IFERROR(__xludf.DUMMYFUNCTION("""COMPUTED_VALUE"""),42.05)</f>
        <v>42.05</v>
      </c>
      <c r="C163" s="1">
        <f>IFERROR(__xludf.DUMMYFUNCTION("""COMPUTED_VALUE"""),43.0)</f>
        <v>43</v>
      </c>
      <c r="D163" s="1">
        <f>IFERROR(__xludf.DUMMYFUNCTION("""COMPUTED_VALUE"""),41.19)</f>
        <v>41.19</v>
      </c>
      <c r="E163" s="1">
        <f>IFERROR(__xludf.DUMMYFUNCTION("""COMPUTED_VALUE"""),42.79)</f>
        <v>42.79</v>
      </c>
      <c r="F163" s="1">
        <f>IFERROR(__xludf.DUMMYFUNCTION("""COMPUTED_VALUE"""),2.28256E7)</f>
        <v>22825600</v>
      </c>
    </row>
    <row r="164">
      <c r="A164" s="2">
        <f>IFERROR(__xludf.DUMMYFUNCTION("""COMPUTED_VALUE"""),37659.666666666664)</f>
        <v>37659.66667</v>
      </c>
      <c r="B164" s="1">
        <f>IFERROR(__xludf.DUMMYFUNCTION("""COMPUTED_VALUE"""),42.78)</f>
        <v>42.78</v>
      </c>
      <c r="C164" s="1">
        <f>IFERROR(__xludf.DUMMYFUNCTION("""COMPUTED_VALUE"""),43.12)</f>
        <v>43.12</v>
      </c>
      <c r="D164" s="1">
        <f>IFERROR(__xludf.DUMMYFUNCTION("""COMPUTED_VALUE"""),41.72)</f>
        <v>41.72</v>
      </c>
      <c r="E164" s="1">
        <f>IFERROR(__xludf.DUMMYFUNCTION("""COMPUTED_VALUE"""),41.99)</f>
        <v>41.99</v>
      </c>
      <c r="F164" s="1">
        <f>IFERROR(__xludf.DUMMYFUNCTION("""COMPUTED_VALUE"""),1.74804E7)</f>
        <v>17480400</v>
      </c>
    </row>
    <row r="165">
      <c r="A165" s="2">
        <f>IFERROR(__xludf.DUMMYFUNCTION("""COMPUTED_VALUE"""),37666.666666666664)</f>
        <v>37666.66667</v>
      </c>
      <c r="B165" s="1">
        <f>IFERROR(__xludf.DUMMYFUNCTION("""COMPUTED_VALUE"""),42.18)</f>
        <v>42.18</v>
      </c>
      <c r="C165" s="1">
        <f>IFERROR(__xludf.DUMMYFUNCTION("""COMPUTED_VALUE"""),42.58)</f>
        <v>42.58</v>
      </c>
      <c r="D165" s="1">
        <f>IFERROR(__xludf.DUMMYFUNCTION("""COMPUTED_VALUE"""),40.78)</f>
        <v>40.78</v>
      </c>
      <c r="E165" s="1">
        <f>IFERROR(__xludf.DUMMYFUNCTION("""COMPUTED_VALUE"""),41.85)</f>
        <v>41.85</v>
      </c>
      <c r="F165" s="1">
        <f>IFERROR(__xludf.DUMMYFUNCTION("""COMPUTED_VALUE"""),1.70339E7)</f>
        <v>17033900</v>
      </c>
    </row>
    <row r="166">
      <c r="A166" s="2">
        <f>IFERROR(__xludf.DUMMYFUNCTION("""COMPUTED_VALUE"""),37673.666666666664)</f>
        <v>37673.66667</v>
      </c>
      <c r="B166" s="1">
        <f>IFERROR(__xludf.DUMMYFUNCTION("""COMPUTED_VALUE"""),41.95)</f>
        <v>41.95</v>
      </c>
      <c r="C166" s="1">
        <f>IFERROR(__xludf.DUMMYFUNCTION("""COMPUTED_VALUE"""),42.5)</f>
        <v>42.5</v>
      </c>
      <c r="D166" s="1">
        <f>IFERROR(__xludf.DUMMYFUNCTION("""COMPUTED_VALUE"""),41.53)</f>
        <v>41.53</v>
      </c>
      <c r="E166" s="1">
        <f>IFERROR(__xludf.DUMMYFUNCTION("""COMPUTED_VALUE"""),42.12)</f>
        <v>42.12</v>
      </c>
      <c r="F166" s="1">
        <f>IFERROR(__xludf.DUMMYFUNCTION("""COMPUTED_VALUE"""),1.1316E7)</f>
        <v>11316000</v>
      </c>
    </row>
    <row r="167">
      <c r="A167" s="2">
        <f>IFERROR(__xludf.DUMMYFUNCTION("""COMPUTED_VALUE"""),37680.666666666664)</f>
        <v>37680.66667</v>
      </c>
      <c r="B167" s="1">
        <f>IFERROR(__xludf.DUMMYFUNCTION("""COMPUTED_VALUE"""),41.85)</f>
        <v>41.85</v>
      </c>
      <c r="C167" s="1">
        <f>IFERROR(__xludf.DUMMYFUNCTION("""COMPUTED_VALUE"""),41.9)</f>
        <v>41.9</v>
      </c>
      <c r="D167" s="1">
        <f>IFERROR(__xludf.DUMMYFUNCTION("""COMPUTED_VALUE"""),40.77)</f>
        <v>40.77</v>
      </c>
      <c r="E167" s="1">
        <f>IFERROR(__xludf.DUMMYFUNCTION("""COMPUTED_VALUE"""),40.93)</f>
        <v>40.93</v>
      </c>
      <c r="F167" s="1">
        <f>IFERROR(__xludf.DUMMYFUNCTION("""COMPUTED_VALUE"""),1.7993E7)</f>
        <v>17993000</v>
      </c>
    </row>
    <row r="168">
      <c r="A168" s="2">
        <f>IFERROR(__xludf.DUMMYFUNCTION("""COMPUTED_VALUE"""),37687.666666666664)</f>
        <v>37687.66667</v>
      </c>
      <c r="B168" s="1">
        <f>IFERROR(__xludf.DUMMYFUNCTION("""COMPUTED_VALUE"""),41.18)</f>
        <v>41.18</v>
      </c>
      <c r="C168" s="1">
        <f>IFERROR(__xludf.DUMMYFUNCTION("""COMPUTED_VALUE"""),41.18)</f>
        <v>41.18</v>
      </c>
      <c r="D168" s="1">
        <f>IFERROR(__xludf.DUMMYFUNCTION("""COMPUTED_VALUE"""),39.78)</f>
        <v>39.78</v>
      </c>
      <c r="E168" s="1">
        <f>IFERROR(__xludf.DUMMYFUNCTION("""COMPUTED_VALUE"""),40.48)</f>
        <v>40.48</v>
      </c>
      <c r="F168" s="1">
        <f>IFERROR(__xludf.DUMMYFUNCTION("""COMPUTED_VALUE"""),1.90568E7)</f>
        <v>19056800</v>
      </c>
    </row>
    <row r="169">
      <c r="A169" s="2">
        <f>IFERROR(__xludf.DUMMYFUNCTION("""COMPUTED_VALUE"""),37694.666666666664)</f>
        <v>37694.66667</v>
      </c>
      <c r="B169" s="1">
        <f>IFERROR(__xludf.DUMMYFUNCTION("""COMPUTED_VALUE"""),40.38)</f>
        <v>40.38</v>
      </c>
      <c r="C169" s="1">
        <f>IFERROR(__xludf.DUMMYFUNCTION("""COMPUTED_VALUE"""),41.98)</f>
        <v>41.98</v>
      </c>
      <c r="D169" s="1">
        <f>IFERROR(__xludf.DUMMYFUNCTION("""COMPUTED_VALUE"""),39.83)</f>
        <v>39.83</v>
      </c>
      <c r="E169" s="1">
        <f>IFERROR(__xludf.DUMMYFUNCTION("""COMPUTED_VALUE"""),41.7)</f>
        <v>41.7</v>
      </c>
      <c r="F169" s="1">
        <f>IFERROR(__xludf.DUMMYFUNCTION("""COMPUTED_VALUE"""),1.93592E7)</f>
        <v>19359200</v>
      </c>
    </row>
    <row r="170">
      <c r="A170" s="2">
        <f>IFERROR(__xludf.DUMMYFUNCTION("""COMPUTED_VALUE"""),37701.666666666664)</f>
        <v>37701.66667</v>
      </c>
      <c r="B170" s="1">
        <f>IFERROR(__xludf.DUMMYFUNCTION("""COMPUTED_VALUE"""),41.62)</f>
        <v>41.62</v>
      </c>
      <c r="C170" s="1">
        <f>IFERROR(__xludf.DUMMYFUNCTION("""COMPUTED_VALUE"""),44.54)</f>
        <v>44.54</v>
      </c>
      <c r="D170" s="1">
        <f>IFERROR(__xludf.DUMMYFUNCTION("""COMPUTED_VALUE"""),41.42)</f>
        <v>41.42</v>
      </c>
      <c r="E170" s="1">
        <f>IFERROR(__xludf.DUMMYFUNCTION("""COMPUTED_VALUE"""),44.45)</f>
        <v>44.45</v>
      </c>
      <c r="F170" s="1">
        <f>IFERROR(__xludf.DUMMYFUNCTION("""COMPUTED_VALUE"""),2.59492E7)</f>
        <v>25949200</v>
      </c>
    </row>
    <row r="171">
      <c r="A171" s="2">
        <f>IFERROR(__xludf.DUMMYFUNCTION("""COMPUTED_VALUE"""),37708.666666666664)</f>
        <v>37708.66667</v>
      </c>
      <c r="B171" s="1">
        <f>IFERROR(__xludf.DUMMYFUNCTION("""COMPUTED_VALUE"""),44.0)</f>
        <v>44</v>
      </c>
      <c r="C171" s="1">
        <f>IFERROR(__xludf.DUMMYFUNCTION("""COMPUTED_VALUE"""),44.67)</f>
        <v>44.67</v>
      </c>
      <c r="D171" s="1">
        <f>IFERROR(__xludf.DUMMYFUNCTION("""COMPUTED_VALUE"""),43.53)</f>
        <v>43.53</v>
      </c>
      <c r="E171" s="1">
        <f>IFERROR(__xludf.DUMMYFUNCTION("""COMPUTED_VALUE"""),44.32)</f>
        <v>44.32</v>
      </c>
      <c r="F171" s="1">
        <f>IFERROR(__xludf.DUMMYFUNCTION("""COMPUTED_VALUE"""),1.68852E7)</f>
        <v>16885200</v>
      </c>
    </row>
    <row r="172">
      <c r="A172" s="2">
        <f>IFERROR(__xludf.DUMMYFUNCTION("""COMPUTED_VALUE"""),37715.666666666664)</f>
        <v>37715.66667</v>
      </c>
      <c r="B172" s="1">
        <f>IFERROR(__xludf.DUMMYFUNCTION("""COMPUTED_VALUE"""),44.25)</f>
        <v>44.25</v>
      </c>
      <c r="C172" s="1">
        <f>IFERROR(__xludf.DUMMYFUNCTION("""COMPUTED_VALUE"""),45.22)</f>
        <v>45.22</v>
      </c>
      <c r="D172" s="1">
        <f>IFERROR(__xludf.DUMMYFUNCTION("""COMPUTED_VALUE"""),44.0)</f>
        <v>44</v>
      </c>
      <c r="E172" s="1">
        <f>IFERROR(__xludf.DUMMYFUNCTION("""COMPUTED_VALUE"""),45.08)</f>
        <v>45.08</v>
      </c>
      <c r="F172" s="1">
        <f>IFERROR(__xludf.DUMMYFUNCTION("""COMPUTED_VALUE"""),2.04752E7)</f>
        <v>20475200</v>
      </c>
    </row>
    <row r="173">
      <c r="A173" s="2">
        <f>IFERROR(__xludf.DUMMYFUNCTION("""COMPUTED_VALUE"""),37722.666666666664)</f>
        <v>37722.66667</v>
      </c>
      <c r="B173" s="1">
        <f>IFERROR(__xludf.DUMMYFUNCTION("""COMPUTED_VALUE"""),45.21)</f>
        <v>45.21</v>
      </c>
      <c r="C173" s="1">
        <f>IFERROR(__xludf.DUMMYFUNCTION("""COMPUTED_VALUE"""),45.55)</f>
        <v>45.55</v>
      </c>
      <c r="D173" s="1">
        <f>IFERROR(__xludf.DUMMYFUNCTION("""COMPUTED_VALUE"""),44.2)</f>
        <v>44.2</v>
      </c>
      <c r="E173" s="1">
        <f>IFERROR(__xludf.DUMMYFUNCTION("""COMPUTED_VALUE"""),44.6)</f>
        <v>44.6</v>
      </c>
      <c r="F173" s="1">
        <f>IFERROR(__xludf.DUMMYFUNCTION("""COMPUTED_VALUE"""),1.6122E7)</f>
        <v>16122000</v>
      </c>
    </row>
    <row r="174">
      <c r="A174" s="2">
        <f>IFERROR(__xludf.DUMMYFUNCTION("""COMPUTED_VALUE"""),37728.666666666664)</f>
        <v>37728.66667</v>
      </c>
      <c r="B174" s="1">
        <f>IFERROR(__xludf.DUMMYFUNCTION("""COMPUTED_VALUE"""),44.6)</f>
        <v>44.6</v>
      </c>
      <c r="C174" s="1">
        <f>IFERROR(__xludf.DUMMYFUNCTION("""COMPUTED_VALUE"""),45.12)</f>
        <v>45.12</v>
      </c>
      <c r="D174" s="1">
        <f>IFERROR(__xludf.DUMMYFUNCTION("""COMPUTED_VALUE"""),44.06)</f>
        <v>44.06</v>
      </c>
      <c r="E174" s="1">
        <f>IFERROR(__xludf.DUMMYFUNCTION("""COMPUTED_VALUE"""),44.63)</f>
        <v>44.63</v>
      </c>
      <c r="F174" s="1">
        <f>IFERROR(__xludf.DUMMYFUNCTION("""COMPUTED_VALUE"""),1.30306E7)</f>
        <v>13030600</v>
      </c>
    </row>
    <row r="175">
      <c r="A175" s="2">
        <f>IFERROR(__xludf.DUMMYFUNCTION("""COMPUTED_VALUE"""),37736.666666666664)</f>
        <v>37736.66667</v>
      </c>
      <c r="B175" s="1">
        <f>IFERROR(__xludf.DUMMYFUNCTION("""COMPUTED_VALUE"""),44.78)</f>
        <v>44.78</v>
      </c>
      <c r="C175" s="1">
        <f>IFERROR(__xludf.DUMMYFUNCTION("""COMPUTED_VALUE"""),45.73)</f>
        <v>45.73</v>
      </c>
      <c r="D175" s="1">
        <f>IFERROR(__xludf.DUMMYFUNCTION("""COMPUTED_VALUE"""),44.27)</f>
        <v>44.27</v>
      </c>
      <c r="E175" s="1">
        <f>IFERROR(__xludf.DUMMYFUNCTION("""COMPUTED_VALUE"""),44.57)</f>
        <v>44.57</v>
      </c>
      <c r="F175" s="1">
        <f>IFERROR(__xludf.DUMMYFUNCTION("""COMPUTED_VALUE"""),1.47769E7)</f>
        <v>14776900</v>
      </c>
    </row>
    <row r="176">
      <c r="A176" s="2">
        <f>IFERROR(__xludf.DUMMYFUNCTION("""COMPUTED_VALUE"""),37743.666666666664)</f>
        <v>37743.66667</v>
      </c>
      <c r="B176" s="1">
        <f>IFERROR(__xludf.DUMMYFUNCTION("""COMPUTED_VALUE"""),44.57)</f>
        <v>44.57</v>
      </c>
      <c r="C176" s="1">
        <f>IFERROR(__xludf.DUMMYFUNCTION("""COMPUTED_VALUE"""),45.53)</f>
        <v>45.53</v>
      </c>
      <c r="D176" s="1">
        <f>IFERROR(__xludf.DUMMYFUNCTION("""COMPUTED_VALUE"""),44.19)</f>
        <v>44.19</v>
      </c>
      <c r="E176" s="1">
        <f>IFERROR(__xludf.DUMMYFUNCTION("""COMPUTED_VALUE"""),45.08)</f>
        <v>45.08</v>
      </c>
      <c r="F176" s="1">
        <f>IFERROR(__xludf.DUMMYFUNCTION("""COMPUTED_VALUE"""),1.80924E7)</f>
        <v>18092400</v>
      </c>
    </row>
    <row r="177">
      <c r="A177" s="2">
        <f>IFERROR(__xludf.DUMMYFUNCTION("""COMPUTED_VALUE"""),37750.666666666664)</f>
        <v>37750.66667</v>
      </c>
      <c r="B177" s="1">
        <f>IFERROR(__xludf.DUMMYFUNCTION("""COMPUTED_VALUE"""),45.0)</f>
        <v>45</v>
      </c>
      <c r="C177" s="1">
        <f>IFERROR(__xludf.DUMMYFUNCTION("""COMPUTED_VALUE"""),45.23)</f>
        <v>45.23</v>
      </c>
      <c r="D177" s="1">
        <f>IFERROR(__xludf.DUMMYFUNCTION("""COMPUTED_VALUE"""),44.36)</f>
        <v>44.36</v>
      </c>
      <c r="E177" s="1">
        <f>IFERROR(__xludf.DUMMYFUNCTION("""COMPUTED_VALUE"""),44.75)</f>
        <v>44.75</v>
      </c>
      <c r="F177" s="1">
        <f>IFERROR(__xludf.DUMMYFUNCTION("""COMPUTED_VALUE"""),1.38401E7)</f>
        <v>13840100</v>
      </c>
    </row>
    <row r="178">
      <c r="A178" s="2">
        <f>IFERROR(__xludf.DUMMYFUNCTION("""COMPUTED_VALUE"""),37757.666666666664)</f>
        <v>37757.66667</v>
      </c>
      <c r="B178" s="1">
        <f>IFERROR(__xludf.DUMMYFUNCTION("""COMPUTED_VALUE"""),44.63)</f>
        <v>44.63</v>
      </c>
      <c r="C178" s="1">
        <f>IFERROR(__xludf.DUMMYFUNCTION("""COMPUTED_VALUE"""),45.25)</f>
        <v>45.25</v>
      </c>
      <c r="D178" s="1">
        <f>IFERROR(__xludf.DUMMYFUNCTION("""COMPUTED_VALUE"""),43.8)</f>
        <v>43.8</v>
      </c>
      <c r="E178" s="1">
        <f>IFERROR(__xludf.DUMMYFUNCTION("""COMPUTED_VALUE"""),45.16)</f>
        <v>45.16</v>
      </c>
      <c r="F178" s="1">
        <f>IFERROR(__xludf.DUMMYFUNCTION("""COMPUTED_VALUE"""),1.81699E7)</f>
        <v>18169900</v>
      </c>
    </row>
    <row r="179">
      <c r="A179" s="2">
        <f>IFERROR(__xludf.DUMMYFUNCTION("""COMPUTED_VALUE"""),37764.666666666664)</f>
        <v>37764.66667</v>
      </c>
      <c r="B179" s="1">
        <f>IFERROR(__xludf.DUMMYFUNCTION("""COMPUTED_VALUE"""),45.06)</f>
        <v>45.06</v>
      </c>
      <c r="C179" s="1">
        <f>IFERROR(__xludf.DUMMYFUNCTION("""COMPUTED_VALUE"""),45.14)</f>
        <v>45.14</v>
      </c>
      <c r="D179" s="1">
        <f>IFERROR(__xludf.DUMMYFUNCTION("""COMPUTED_VALUE"""),44.3)</f>
        <v>44.3</v>
      </c>
      <c r="E179" s="1">
        <f>IFERROR(__xludf.DUMMYFUNCTION("""COMPUTED_VALUE"""),44.9)</f>
        <v>44.9</v>
      </c>
      <c r="F179" s="1">
        <f>IFERROR(__xludf.DUMMYFUNCTION("""COMPUTED_VALUE"""),1.40721E7)</f>
        <v>14072100</v>
      </c>
    </row>
    <row r="180">
      <c r="A180" s="2">
        <f>IFERROR(__xludf.DUMMYFUNCTION("""COMPUTED_VALUE"""),37771.666666666664)</f>
        <v>37771.66667</v>
      </c>
      <c r="B180" s="1">
        <f>IFERROR(__xludf.DUMMYFUNCTION("""COMPUTED_VALUE"""),44.9)</f>
        <v>44.9</v>
      </c>
      <c r="C180" s="1">
        <f>IFERROR(__xludf.DUMMYFUNCTION("""COMPUTED_VALUE"""),46.01)</f>
        <v>46.01</v>
      </c>
      <c r="D180" s="1">
        <f>IFERROR(__xludf.DUMMYFUNCTION("""COMPUTED_VALUE"""),44.81)</f>
        <v>44.81</v>
      </c>
      <c r="E180" s="1">
        <f>IFERROR(__xludf.DUMMYFUNCTION("""COMPUTED_VALUE"""),45.91)</f>
        <v>45.91</v>
      </c>
      <c r="F180" s="1">
        <f>IFERROR(__xludf.DUMMYFUNCTION("""COMPUTED_VALUE"""),1.59715E7)</f>
        <v>15971500</v>
      </c>
    </row>
    <row r="181">
      <c r="A181" s="2">
        <f>IFERROR(__xludf.DUMMYFUNCTION("""COMPUTED_VALUE"""),37778.666666666664)</f>
        <v>37778.66667</v>
      </c>
      <c r="B181" s="1">
        <f>IFERROR(__xludf.DUMMYFUNCTION("""COMPUTED_VALUE"""),45.92)</f>
        <v>45.92</v>
      </c>
      <c r="C181" s="1">
        <f>IFERROR(__xludf.DUMMYFUNCTION("""COMPUTED_VALUE"""),46.27)</f>
        <v>46.27</v>
      </c>
      <c r="D181" s="1">
        <f>IFERROR(__xludf.DUMMYFUNCTION("""COMPUTED_VALUE"""),45.16)</f>
        <v>45.16</v>
      </c>
      <c r="E181" s="1">
        <f>IFERROR(__xludf.DUMMYFUNCTION("""COMPUTED_VALUE"""),45.4)</f>
        <v>45.4</v>
      </c>
      <c r="F181" s="1">
        <f>IFERROR(__xludf.DUMMYFUNCTION("""COMPUTED_VALUE"""),1.8505E7)</f>
        <v>18505000</v>
      </c>
    </row>
    <row r="182">
      <c r="A182" s="2">
        <f>IFERROR(__xludf.DUMMYFUNCTION("""COMPUTED_VALUE"""),37785.666666666664)</f>
        <v>37785.66667</v>
      </c>
      <c r="B182" s="1">
        <f>IFERROR(__xludf.DUMMYFUNCTION("""COMPUTED_VALUE"""),45.36)</f>
        <v>45.36</v>
      </c>
      <c r="C182" s="1">
        <f>IFERROR(__xludf.DUMMYFUNCTION("""COMPUTED_VALUE"""),45.7)</f>
        <v>45.7</v>
      </c>
      <c r="D182" s="1">
        <f>IFERROR(__xludf.DUMMYFUNCTION("""COMPUTED_VALUE"""),44.96)</f>
        <v>44.96</v>
      </c>
      <c r="E182" s="1">
        <f>IFERROR(__xludf.DUMMYFUNCTION("""COMPUTED_VALUE"""),45.59)</f>
        <v>45.59</v>
      </c>
      <c r="F182" s="1">
        <f>IFERROR(__xludf.DUMMYFUNCTION("""COMPUTED_VALUE"""),1.25757E7)</f>
        <v>12575700</v>
      </c>
    </row>
    <row r="183">
      <c r="A183" s="2">
        <f>IFERROR(__xludf.DUMMYFUNCTION("""COMPUTED_VALUE"""),37792.666666666664)</f>
        <v>37792.66667</v>
      </c>
      <c r="B183" s="1">
        <f>IFERROR(__xludf.DUMMYFUNCTION("""COMPUTED_VALUE"""),45.8)</f>
        <v>45.8</v>
      </c>
      <c r="C183" s="1">
        <f>IFERROR(__xludf.DUMMYFUNCTION("""COMPUTED_VALUE"""),46.25)</f>
        <v>46.25</v>
      </c>
      <c r="D183" s="1">
        <f>IFERROR(__xludf.DUMMYFUNCTION("""COMPUTED_VALUE"""),45.03)</f>
        <v>45.03</v>
      </c>
      <c r="E183" s="1">
        <f>IFERROR(__xludf.DUMMYFUNCTION("""COMPUTED_VALUE"""),45.62)</f>
        <v>45.62</v>
      </c>
      <c r="F183" s="1">
        <f>IFERROR(__xludf.DUMMYFUNCTION("""COMPUTED_VALUE"""),1.76277E7)</f>
        <v>17627700</v>
      </c>
    </row>
    <row r="184">
      <c r="A184" s="2">
        <f>IFERROR(__xludf.DUMMYFUNCTION("""COMPUTED_VALUE"""),37799.666666666664)</f>
        <v>37799.66667</v>
      </c>
      <c r="B184" s="1">
        <f>IFERROR(__xludf.DUMMYFUNCTION("""COMPUTED_VALUE"""),45.75)</f>
        <v>45.75</v>
      </c>
      <c r="C184" s="1">
        <f>IFERROR(__xludf.DUMMYFUNCTION("""COMPUTED_VALUE"""),46.24)</f>
        <v>46.24</v>
      </c>
      <c r="D184" s="1">
        <f>IFERROR(__xludf.DUMMYFUNCTION("""COMPUTED_VALUE"""),44.59)</f>
        <v>44.59</v>
      </c>
      <c r="E184" s="1">
        <f>IFERROR(__xludf.DUMMYFUNCTION("""COMPUTED_VALUE"""),44.59)</f>
        <v>44.59</v>
      </c>
      <c r="F184" s="1">
        <f>IFERROR(__xludf.DUMMYFUNCTION("""COMPUTED_VALUE"""),1.74504E7)</f>
        <v>17450400</v>
      </c>
    </row>
    <row r="185">
      <c r="A185" s="2">
        <f>IFERROR(__xludf.DUMMYFUNCTION("""COMPUTED_VALUE"""),37805.666666666664)</f>
        <v>37805.66667</v>
      </c>
      <c r="B185" s="1">
        <f>IFERROR(__xludf.DUMMYFUNCTION("""COMPUTED_VALUE"""),44.71)</f>
        <v>44.71</v>
      </c>
      <c r="C185" s="1">
        <f>IFERROR(__xludf.DUMMYFUNCTION("""COMPUTED_VALUE"""),45.38)</f>
        <v>45.38</v>
      </c>
      <c r="D185" s="1">
        <f>IFERROR(__xludf.DUMMYFUNCTION("""COMPUTED_VALUE"""),44.37)</f>
        <v>44.37</v>
      </c>
      <c r="E185" s="1">
        <f>IFERROR(__xludf.DUMMYFUNCTION("""COMPUTED_VALUE"""),44.98)</f>
        <v>44.98</v>
      </c>
      <c r="F185" s="1">
        <f>IFERROR(__xludf.DUMMYFUNCTION("""COMPUTED_VALUE"""),1.13846E7)</f>
        <v>11384600</v>
      </c>
    </row>
    <row r="186">
      <c r="A186" s="2">
        <f>IFERROR(__xludf.DUMMYFUNCTION("""COMPUTED_VALUE"""),37813.666666666664)</f>
        <v>37813.66667</v>
      </c>
      <c r="B186" s="1">
        <f>IFERROR(__xludf.DUMMYFUNCTION("""COMPUTED_VALUE"""),45.05)</f>
        <v>45.05</v>
      </c>
      <c r="C186" s="1">
        <f>IFERROR(__xludf.DUMMYFUNCTION("""COMPUTED_VALUE"""),45.55)</f>
        <v>45.55</v>
      </c>
      <c r="D186" s="1">
        <f>IFERROR(__xludf.DUMMYFUNCTION("""COMPUTED_VALUE"""),43.95)</f>
        <v>43.95</v>
      </c>
      <c r="E186" s="1">
        <f>IFERROR(__xludf.DUMMYFUNCTION("""COMPUTED_VALUE"""),44.28)</f>
        <v>44.28</v>
      </c>
      <c r="F186" s="1">
        <f>IFERROR(__xludf.DUMMYFUNCTION("""COMPUTED_VALUE"""),1.79216E7)</f>
        <v>17921600</v>
      </c>
    </row>
    <row r="187">
      <c r="A187" s="2">
        <f>IFERROR(__xludf.DUMMYFUNCTION("""COMPUTED_VALUE"""),37820.666666666664)</f>
        <v>37820.66667</v>
      </c>
      <c r="B187" s="1">
        <f>IFERROR(__xludf.DUMMYFUNCTION("""COMPUTED_VALUE"""),44.3)</f>
        <v>44.3</v>
      </c>
      <c r="C187" s="1">
        <f>IFERROR(__xludf.DUMMYFUNCTION("""COMPUTED_VALUE"""),44.9)</f>
        <v>44.9</v>
      </c>
      <c r="D187" s="1">
        <f>IFERROR(__xludf.DUMMYFUNCTION("""COMPUTED_VALUE"""),43.92)</f>
        <v>43.92</v>
      </c>
      <c r="E187" s="1">
        <f>IFERROR(__xludf.DUMMYFUNCTION("""COMPUTED_VALUE"""),44.9)</f>
        <v>44.9</v>
      </c>
      <c r="F187" s="1">
        <f>IFERROR(__xludf.DUMMYFUNCTION("""COMPUTED_VALUE"""),1.91467E7)</f>
        <v>19146700</v>
      </c>
    </row>
    <row r="188">
      <c r="A188" s="2">
        <f>IFERROR(__xludf.DUMMYFUNCTION("""COMPUTED_VALUE"""),37827.666666666664)</f>
        <v>37827.66667</v>
      </c>
      <c r="B188" s="1">
        <f>IFERROR(__xludf.DUMMYFUNCTION("""COMPUTED_VALUE"""),44.78)</f>
        <v>44.78</v>
      </c>
      <c r="C188" s="1">
        <f>IFERROR(__xludf.DUMMYFUNCTION("""COMPUTED_VALUE"""),44.97)</f>
        <v>44.97</v>
      </c>
      <c r="D188" s="1">
        <f>IFERROR(__xludf.DUMMYFUNCTION("""COMPUTED_VALUE"""),43.41)</f>
        <v>43.41</v>
      </c>
      <c r="E188" s="1">
        <f>IFERROR(__xludf.DUMMYFUNCTION("""COMPUTED_VALUE"""),44.78)</f>
        <v>44.78</v>
      </c>
      <c r="F188" s="1">
        <f>IFERROR(__xludf.DUMMYFUNCTION("""COMPUTED_VALUE"""),1.67969E7)</f>
        <v>16796900</v>
      </c>
    </row>
    <row r="189">
      <c r="A189" s="2">
        <f>IFERROR(__xludf.DUMMYFUNCTION("""COMPUTED_VALUE"""),37834.666666666664)</f>
        <v>37834.66667</v>
      </c>
      <c r="B189" s="1">
        <f>IFERROR(__xludf.DUMMYFUNCTION("""COMPUTED_VALUE"""),44.57)</f>
        <v>44.57</v>
      </c>
      <c r="C189" s="1">
        <f>IFERROR(__xludf.DUMMYFUNCTION("""COMPUTED_VALUE"""),45.13)</f>
        <v>45.13</v>
      </c>
      <c r="D189" s="1">
        <f>IFERROR(__xludf.DUMMYFUNCTION("""COMPUTED_VALUE"""),43.31)</f>
        <v>43.31</v>
      </c>
      <c r="E189" s="1">
        <f>IFERROR(__xludf.DUMMYFUNCTION("""COMPUTED_VALUE"""),43.35)</f>
        <v>43.35</v>
      </c>
      <c r="F189" s="1">
        <f>IFERROR(__xludf.DUMMYFUNCTION("""COMPUTED_VALUE"""),2.15611E7)</f>
        <v>21561100</v>
      </c>
    </row>
    <row r="190">
      <c r="A190" s="2">
        <f>IFERROR(__xludf.DUMMYFUNCTION("""COMPUTED_VALUE"""),37841.666666666664)</f>
        <v>37841.66667</v>
      </c>
      <c r="B190" s="1">
        <f>IFERROR(__xludf.DUMMYFUNCTION("""COMPUTED_VALUE"""),43.48)</f>
        <v>43.48</v>
      </c>
      <c r="C190" s="1">
        <f>IFERROR(__xludf.DUMMYFUNCTION("""COMPUTED_VALUE"""),44.59)</f>
        <v>44.59</v>
      </c>
      <c r="D190" s="1">
        <f>IFERROR(__xludf.DUMMYFUNCTION("""COMPUTED_VALUE"""),43.26)</f>
        <v>43.26</v>
      </c>
      <c r="E190" s="1">
        <f>IFERROR(__xludf.DUMMYFUNCTION("""COMPUTED_VALUE"""),44.54)</f>
        <v>44.54</v>
      </c>
      <c r="F190" s="1">
        <f>IFERROR(__xludf.DUMMYFUNCTION("""COMPUTED_VALUE"""),1.56555E7)</f>
        <v>15655500</v>
      </c>
    </row>
    <row r="191">
      <c r="A191" s="2">
        <f>IFERROR(__xludf.DUMMYFUNCTION("""COMPUTED_VALUE"""),37848.666666666664)</f>
        <v>37848.66667</v>
      </c>
      <c r="B191" s="1">
        <f>IFERROR(__xludf.DUMMYFUNCTION("""COMPUTED_VALUE"""),44.52)</f>
        <v>44.52</v>
      </c>
      <c r="C191" s="1">
        <f>IFERROR(__xludf.DUMMYFUNCTION("""COMPUTED_VALUE"""),44.83)</f>
        <v>44.83</v>
      </c>
      <c r="D191" s="1">
        <f>IFERROR(__xludf.DUMMYFUNCTION("""COMPUTED_VALUE"""),44.24)</f>
        <v>44.24</v>
      </c>
      <c r="E191" s="1">
        <f>IFERROR(__xludf.DUMMYFUNCTION("""COMPUTED_VALUE"""),44.56)</f>
        <v>44.56</v>
      </c>
      <c r="F191" s="1">
        <f>IFERROR(__xludf.DUMMYFUNCTION("""COMPUTED_VALUE"""),1.09093E7)</f>
        <v>10909300</v>
      </c>
    </row>
    <row r="192">
      <c r="A192" s="2">
        <f>IFERROR(__xludf.DUMMYFUNCTION("""COMPUTED_VALUE"""),37855.666666666664)</f>
        <v>37855.66667</v>
      </c>
      <c r="B192" s="1">
        <f>IFERROR(__xludf.DUMMYFUNCTION("""COMPUTED_VALUE"""),44.83)</f>
        <v>44.83</v>
      </c>
      <c r="C192" s="1">
        <f>IFERROR(__xludf.DUMMYFUNCTION("""COMPUTED_VALUE"""),44.83)</f>
        <v>44.83</v>
      </c>
      <c r="D192" s="1">
        <f>IFERROR(__xludf.DUMMYFUNCTION("""COMPUTED_VALUE"""),43.28)</f>
        <v>43.28</v>
      </c>
      <c r="E192" s="1">
        <f>IFERROR(__xludf.DUMMYFUNCTION("""COMPUTED_VALUE"""),43.36)</f>
        <v>43.36</v>
      </c>
      <c r="F192" s="1">
        <f>IFERROR(__xludf.DUMMYFUNCTION("""COMPUTED_VALUE"""),1.68767E7)</f>
        <v>16876700</v>
      </c>
    </row>
    <row r="193">
      <c r="A193" s="2">
        <f>IFERROR(__xludf.DUMMYFUNCTION("""COMPUTED_VALUE"""),37862.666666666664)</f>
        <v>37862.66667</v>
      </c>
      <c r="B193" s="1">
        <f>IFERROR(__xludf.DUMMYFUNCTION("""COMPUTED_VALUE"""),43.33)</f>
        <v>43.33</v>
      </c>
      <c r="C193" s="1">
        <f>IFERROR(__xludf.DUMMYFUNCTION("""COMPUTED_VALUE"""),44.13)</f>
        <v>44.13</v>
      </c>
      <c r="D193" s="1">
        <f>IFERROR(__xludf.DUMMYFUNCTION("""COMPUTED_VALUE"""),43.29)</f>
        <v>43.29</v>
      </c>
      <c r="E193" s="1">
        <f>IFERROR(__xludf.DUMMYFUNCTION("""COMPUTED_VALUE"""),43.65)</f>
        <v>43.65</v>
      </c>
      <c r="F193" s="1">
        <f>IFERROR(__xludf.DUMMYFUNCTION("""COMPUTED_VALUE"""),1.29178E7)</f>
        <v>12917800</v>
      </c>
    </row>
    <row r="194">
      <c r="A194" s="2">
        <f>IFERROR(__xludf.DUMMYFUNCTION("""COMPUTED_VALUE"""),37869.666666666664)</f>
        <v>37869.66667</v>
      </c>
      <c r="B194" s="1">
        <f>IFERROR(__xludf.DUMMYFUNCTION("""COMPUTED_VALUE"""),43.58)</f>
        <v>43.58</v>
      </c>
      <c r="C194" s="1">
        <f>IFERROR(__xludf.DUMMYFUNCTION("""COMPUTED_VALUE"""),46.0)</f>
        <v>46</v>
      </c>
      <c r="D194" s="1">
        <f>IFERROR(__xludf.DUMMYFUNCTION("""COMPUTED_VALUE"""),43.56)</f>
        <v>43.56</v>
      </c>
      <c r="E194" s="1">
        <f>IFERROR(__xludf.DUMMYFUNCTION("""COMPUTED_VALUE"""),45.49)</f>
        <v>45.49</v>
      </c>
      <c r="F194" s="1">
        <f>IFERROR(__xludf.DUMMYFUNCTION("""COMPUTED_VALUE"""),1.9085E7)</f>
        <v>19085000</v>
      </c>
    </row>
    <row r="195">
      <c r="A195" s="2">
        <f>IFERROR(__xludf.DUMMYFUNCTION("""COMPUTED_VALUE"""),37876.666666666664)</f>
        <v>37876.66667</v>
      </c>
      <c r="B195" s="1">
        <f>IFERROR(__xludf.DUMMYFUNCTION("""COMPUTED_VALUE"""),45.3)</f>
        <v>45.3</v>
      </c>
      <c r="C195" s="1">
        <f>IFERROR(__xludf.DUMMYFUNCTION("""COMPUTED_VALUE"""),45.96)</f>
        <v>45.96</v>
      </c>
      <c r="D195" s="1">
        <f>IFERROR(__xludf.DUMMYFUNCTION("""COMPUTED_VALUE"""),45.28)</f>
        <v>45.28</v>
      </c>
      <c r="E195" s="1">
        <f>IFERROR(__xludf.DUMMYFUNCTION("""COMPUTED_VALUE"""),45.96)</f>
        <v>45.96</v>
      </c>
      <c r="F195" s="1">
        <f>IFERROR(__xludf.DUMMYFUNCTION("""COMPUTED_VALUE"""),1.61509E7)</f>
        <v>16150900</v>
      </c>
    </row>
    <row r="196">
      <c r="A196" s="2">
        <f>IFERROR(__xludf.DUMMYFUNCTION("""COMPUTED_VALUE"""),37883.666666666664)</f>
        <v>37883.66667</v>
      </c>
      <c r="B196" s="1">
        <f>IFERROR(__xludf.DUMMYFUNCTION("""COMPUTED_VALUE"""),45.74)</f>
        <v>45.74</v>
      </c>
      <c r="C196" s="1">
        <f>IFERROR(__xludf.DUMMYFUNCTION("""COMPUTED_VALUE"""),46.72)</f>
        <v>46.72</v>
      </c>
      <c r="D196" s="1">
        <f>IFERROR(__xludf.DUMMYFUNCTION("""COMPUTED_VALUE"""),45.73)</f>
        <v>45.73</v>
      </c>
      <c r="E196" s="1">
        <f>IFERROR(__xludf.DUMMYFUNCTION("""COMPUTED_VALUE"""),46.34)</f>
        <v>46.34</v>
      </c>
      <c r="F196" s="1">
        <f>IFERROR(__xludf.DUMMYFUNCTION("""COMPUTED_VALUE"""),1.68014E7)</f>
        <v>16801400</v>
      </c>
    </row>
    <row r="197">
      <c r="A197" s="2">
        <f>IFERROR(__xludf.DUMMYFUNCTION("""COMPUTED_VALUE"""),37890.666666666664)</f>
        <v>37890.66667</v>
      </c>
      <c r="B197" s="1">
        <f>IFERROR(__xludf.DUMMYFUNCTION("""COMPUTED_VALUE"""),46.0)</f>
        <v>46</v>
      </c>
      <c r="C197" s="1">
        <f>IFERROR(__xludf.DUMMYFUNCTION("""COMPUTED_VALUE"""),46.4)</f>
        <v>46.4</v>
      </c>
      <c r="D197" s="1">
        <f>IFERROR(__xludf.DUMMYFUNCTION("""COMPUTED_VALUE"""),45.76)</f>
        <v>45.76</v>
      </c>
      <c r="E197" s="1">
        <f>IFERROR(__xludf.DUMMYFUNCTION("""COMPUTED_VALUE"""),45.86)</f>
        <v>45.86</v>
      </c>
      <c r="F197" s="1">
        <f>IFERROR(__xludf.DUMMYFUNCTION("""COMPUTED_VALUE"""),1.44209E7)</f>
        <v>14420900</v>
      </c>
    </row>
    <row r="198">
      <c r="A198" s="2">
        <f>IFERROR(__xludf.DUMMYFUNCTION("""COMPUTED_VALUE"""),37897.666666666664)</f>
        <v>37897.66667</v>
      </c>
      <c r="B198" s="1">
        <f>IFERROR(__xludf.DUMMYFUNCTION("""COMPUTED_VALUE"""),45.88)</f>
        <v>45.88</v>
      </c>
      <c r="C198" s="1">
        <f>IFERROR(__xludf.DUMMYFUNCTION("""COMPUTED_VALUE"""),47.49)</f>
        <v>47.49</v>
      </c>
      <c r="D198" s="1">
        <f>IFERROR(__xludf.DUMMYFUNCTION("""COMPUTED_VALUE"""),45.86)</f>
        <v>45.86</v>
      </c>
      <c r="E198" s="1">
        <f>IFERROR(__xludf.DUMMYFUNCTION("""COMPUTED_VALUE"""),47.45)</f>
        <v>47.45</v>
      </c>
      <c r="F198" s="1">
        <f>IFERROR(__xludf.DUMMYFUNCTION("""COMPUTED_VALUE"""),1.78819E7)</f>
        <v>17881900</v>
      </c>
    </row>
    <row r="199">
      <c r="A199" s="2">
        <f>IFERROR(__xludf.DUMMYFUNCTION("""COMPUTED_VALUE"""),37904.666666666664)</f>
        <v>37904.66667</v>
      </c>
      <c r="B199" s="1">
        <f>IFERROR(__xludf.DUMMYFUNCTION("""COMPUTED_VALUE"""),47.35)</f>
        <v>47.35</v>
      </c>
      <c r="C199" s="1">
        <f>IFERROR(__xludf.DUMMYFUNCTION("""COMPUTED_VALUE"""),47.89)</f>
        <v>47.89</v>
      </c>
      <c r="D199" s="1">
        <f>IFERROR(__xludf.DUMMYFUNCTION("""COMPUTED_VALUE"""),46.8)</f>
        <v>46.8</v>
      </c>
      <c r="E199" s="1">
        <f>IFERROR(__xludf.DUMMYFUNCTION("""COMPUTED_VALUE"""),47.8)</f>
        <v>47.8</v>
      </c>
      <c r="F199" s="1">
        <f>IFERROR(__xludf.DUMMYFUNCTION("""COMPUTED_VALUE"""),1.44009E7)</f>
        <v>14400900</v>
      </c>
    </row>
    <row r="200">
      <c r="A200" s="2">
        <f>IFERROR(__xludf.DUMMYFUNCTION("""COMPUTED_VALUE"""),37911.666666666664)</f>
        <v>37911.66667</v>
      </c>
      <c r="B200" s="1">
        <f>IFERROR(__xludf.DUMMYFUNCTION("""COMPUTED_VALUE"""),47.75)</f>
        <v>47.75</v>
      </c>
      <c r="C200" s="1">
        <f>IFERROR(__xludf.DUMMYFUNCTION("""COMPUTED_VALUE"""),48.5)</f>
        <v>48.5</v>
      </c>
      <c r="D200" s="1">
        <f>IFERROR(__xludf.DUMMYFUNCTION("""COMPUTED_VALUE"""),47.58)</f>
        <v>47.58</v>
      </c>
      <c r="E200" s="1">
        <f>IFERROR(__xludf.DUMMYFUNCTION("""COMPUTED_VALUE"""),48.1)</f>
        <v>48.1</v>
      </c>
      <c r="F200" s="1">
        <f>IFERROR(__xludf.DUMMYFUNCTION("""COMPUTED_VALUE"""),1.38058E7)</f>
        <v>13805800</v>
      </c>
    </row>
    <row r="201">
      <c r="A201" s="2">
        <f>IFERROR(__xludf.DUMMYFUNCTION("""COMPUTED_VALUE"""),37918.666666666664)</f>
        <v>37918.66667</v>
      </c>
      <c r="B201" s="1">
        <f>IFERROR(__xludf.DUMMYFUNCTION("""COMPUTED_VALUE"""),48.0)</f>
        <v>48</v>
      </c>
      <c r="C201" s="1">
        <f>IFERROR(__xludf.DUMMYFUNCTION("""COMPUTED_VALUE"""),48.19)</f>
        <v>48.19</v>
      </c>
      <c r="D201" s="1">
        <f>IFERROR(__xludf.DUMMYFUNCTION("""COMPUTED_VALUE"""),47.28)</f>
        <v>47.28</v>
      </c>
      <c r="E201" s="1">
        <f>IFERROR(__xludf.DUMMYFUNCTION("""COMPUTED_VALUE"""),48.03)</f>
        <v>48.03</v>
      </c>
      <c r="F201" s="1">
        <f>IFERROR(__xludf.DUMMYFUNCTION("""COMPUTED_VALUE"""),1.40743E7)</f>
        <v>14074300</v>
      </c>
    </row>
    <row r="202">
      <c r="A202" s="2">
        <f>IFERROR(__xludf.DUMMYFUNCTION("""COMPUTED_VALUE"""),37925.666666666664)</f>
        <v>37925.66667</v>
      </c>
      <c r="B202" s="1">
        <f>IFERROR(__xludf.DUMMYFUNCTION("""COMPUTED_VALUE"""),48.05)</f>
        <v>48.05</v>
      </c>
      <c r="C202" s="1">
        <f>IFERROR(__xludf.DUMMYFUNCTION("""COMPUTED_VALUE"""),49.3)</f>
        <v>49.3</v>
      </c>
      <c r="D202" s="1">
        <f>IFERROR(__xludf.DUMMYFUNCTION("""COMPUTED_VALUE"""),47.98)</f>
        <v>47.98</v>
      </c>
      <c r="E202" s="1">
        <f>IFERROR(__xludf.DUMMYFUNCTION("""COMPUTED_VALUE"""),49.15)</f>
        <v>49.15</v>
      </c>
      <c r="F202" s="1">
        <f>IFERROR(__xludf.DUMMYFUNCTION("""COMPUTED_VALUE"""),1.70174E7)</f>
        <v>17017400</v>
      </c>
    </row>
    <row r="203">
      <c r="A203" s="2">
        <f>IFERROR(__xludf.DUMMYFUNCTION("""COMPUTED_VALUE"""),37932.666666666664)</f>
        <v>37932.66667</v>
      </c>
      <c r="B203" s="1">
        <f>IFERROR(__xludf.DUMMYFUNCTION("""COMPUTED_VALUE"""),48.93)</f>
        <v>48.93</v>
      </c>
      <c r="C203" s="1">
        <f>IFERROR(__xludf.DUMMYFUNCTION("""COMPUTED_VALUE"""),49.24)</f>
        <v>49.24</v>
      </c>
      <c r="D203" s="1">
        <f>IFERROR(__xludf.DUMMYFUNCTION("""COMPUTED_VALUE"""),48.31)</f>
        <v>48.31</v>
      </c>
      <c r="E203" s="1">
        <f>IFERROR(__xludf.DUMMYFUNCTION("""COMPUTED_VALUE"""),48.41)</f>
        <v>48.41</v>
      </c>
      <c r="F203" s="1">
        <f>IFERROR(__xludf.DUMMYFUNCTION("""COMPUTED_VALUE"""),1.2830519E7)</f>
        <v>12830519</v>
      </c>
    </row>
    <row r="204">
      <c r="A204" s="2">
        <f>IFERROR(__xludf.DUMMYFUNCTION("""COMPUTED_VALUE"""),37939.666666666664)</f>
        <v>37939.66667</v>
      </c>
      <c r="B204" s="1">
        <f>IFERROR(__xludf.DUMMYFUNCTION("""COMPUTED_VALUE"""),48.41)</f>
        <v>48.41</v>
      </c>
      <c r="C204" s="1">
        <f>IFERROR(__xludf.DUMMYFUNCTION("""COMPUTED_VALUE"""),48.65)</f>
        <v>48.65</v>
      </c>
      <c r="D204" s="1">
        <f>IFERROR(__xludf.DUMMYFUNCTION("""COMPUTED_VALUE"""),47.66)</f>
        <v>47.66</v>
      </c>
      <c r="E204" s="1">
        <f>IFERROR(__xludf.DUMMYFUNCTION("""COMPUTED_VALUE"""),47.86)</f>
        <v>47.86</v>
      </c>
      <c r="F204" s="1">
        <f>IFERROR(__xludf.DUMMYFUNCTION("""COMPUTED_VALUE"""),1.43095E7)</f>
        <v>14309500</v>
      </c>
    </row>
    <row r="205">
      <c r="A205" s="2">
        <f>IFERROR(__xludf.DUMMYFUNCTION("""COMPUTED_VALUE"""),37946.666666666664)</f>
        <v>37946.66667</v>
      </c>
      <c r="B205" s="1">
        <f>IFERROR(__xludf.DUMMYFUNCTION("""COMPUTED_VALUE"""),47.72)</f>
        <v>47.72</v>
      </c>
      <c r="C205" s="1">
        <f>IFERROR(__xludf.DUMMYFUNCTION("""COMPUTED_VALUE"""),48.36)</f>
        <v>48.36</v>
      </c>
      <c r="D205" s="1">
        <f>IFERROR(__xludf.DUMMYFUNCTION("""COMPUTED_VALUE"""),47.5)</f>
        <v>47.5</v>
      </c>
      <c r="E205" s="1">
        <f>IFERROR(__xludf.DUMMYFUNCTION("""COMPUTED_VALUE"""),47.88)</f>
        <v>47.88</v>
      </c>
      <c r="F205" s="1">
        <f>IFERROR(__xludf.DUMMYFUNCTION("""COMPUTED_VALUE"""),1.28831E7)</f>
        <v>12883100</v>
      </c>
    </row>
    <row r="206">
      <c r="A206" s="2">
        <f>IFERROR(__xludf.DUMMYFUNCTION("""COMPUTED_VALUE"""),37953.666666666664)</f>
        <v>37953.66667</v>
      </c>
      <c r="B206" s="1">
        <f>IFERROR(__xludf.DUMMYFUNCTION("""COMPUTED_VALUE"""),47.95)</f>
        <v>47.95</v>
      </c>
      <c r="C206" s="1">
        <f>IFERROR(__xludf.DUMMYFUNCTION("""COMPUTED_VALUE"""),48.74)</f>
        <v>48.74</v>
      </c>
      <c r="D206" s="1">
        <f>IFERROR(__xludf.DUMMYFUNCTION("""COMPUTED_VALUE"""),47.79)</f>
        <v>47.79</v>
      </c>
      <c r="E206" s="1">
        <f>IFERROR(__xludf.DUMMYFUNCTION("""COMPUTED_VALUE"""),48.12)</f>
        <v>48.12</v>
      </c>
      <c r="F206" s="1">
        <f>IFERROR(__xludf.DUMMYFUNCTION("""COMPUTED_VALUE"""),1.13429E7)</f>
        <v>11342900</v>
      </c>
    </row>
    <row r="207">
      <c r="A207" s="2">
        <f>IFERROR(__xludf.DUMMYFUNCTION("""COMPUTED_VALUE"""),37960.666666666664)</f>
        <v>37960.66667</v>
      </c>
      <c r="B207" s="1">
        <f>IFERROR(__xludf.DUMMYFUNCTION("""COMPUTED_VALUE"""),48.18)</f>
        <v>48.18</v>
      </c>
      <c r="C207" s="1">
        <f>IFERROR(__xludf.DUMMYFUNCTION("""COMPUTED_VALUE"""),48.62)</f>
        <v>48.62</v>
      </c>
      <c r="D207" s="1">
        <f>IFERROR(__xludf.DUMMYFUNCTION("""COMPUTED_VALUE"""),48.06)</f>
        <v>48.06</v>
      </c>
      <c r="E207" s="1">
        <f>IFERROR(__xludf.DUMMYFUNCTION("""COMPUTED_VALUE"""),48.26)</f>
        <v>48.26</v>
      </c>
      <c r="F207" s="1">
        <f>IFERROR(__xludf.DUMMYFUNCTION("""COMPUTED_VALUE"""),1.23482E7)</f>
        <v>12348200</v>
      </c>
    </row>
    <row r="208">
      <c r="A208" s="2">
        <f>IFERROR(__xludf.DUMMYFUNCTION("""COMPUTED_VALUE"""),37967.666666666664)</f>
        <v>37967.66667</v>
      </c>
      <c r="B208" s="1">
        <f>IFERROR(__xludf.DUMMYFUNCTION("""COMPUTED_VALUE"""),48.21)</f>
        <v>48.21</v>
      </c>
      <c r="C208" s="1">
        <f>IFERROR(__xludf.DUMMYFUNCTION("""COMPUTED_VALUE"""),48.58)</f>
        <v>48.58</v>
      </c>
      <c r="D208" s="1">
        <f>IFERROR(__xludf.DUMMYFUNCTION("""COMPUTED_VALUE"""),47.81)</f>
        <v>47.81</v>
      </c>
      <c r="E208" s="1">
        <f>IFERROR(__xludf.DUMMYFUNCTION("""COMPUTED_VALUE"""),48.41)</f>
        <v>48.41</v>
      </c>
      <c r="F208" s="1">
        <f>IFERROR(__xludf.DUMMYFUNCTION("""COMPUTED_VALUE"""),1.56676E7)</f>
        <v>15667600</v>
      </c>
    </row>
    <row r="209">
      <c r="A209" s="2">
        <f>IFERROR(__xludf.DUMMYFUNCTION("""COMPUTED_VALUE"""),37974.666666666664)</f>
        <v>37974.66667</v>
      </c>
      <c r="B209" s="1">
        <f>IFERROR(__xludf.DUMMYFUNCTION("""COMPUTED_VALUE"""),48.56)</f>
        <v>48.56</v>
      </c>
      <c r="C209" s="1">
        <f>IFERROR(__xludf.DUMMYFUNCTION("""COMPUTED_VALUE"""),49.75)</f>
        <v>49.75</v>
      </c>
      <c r="D209" s="1">
        <f>IFERROR(__xludf.DUMMYFUNCTION("""COMPUTED_VALUE"""),48.56)</f>
        <v>48.56</v>
      </c>
      <c r="E209" s="1">
        <f>IFERROR(__xludf.DUMMYFUNCTION("""COMPUTED_VALUE"""),48.76)</f>
        <v>48.76</v>
      </c>
      <c r="F209" s="1">
        <f>IFERROR(__xludf.DUMMYFUNCTION("""COMPUTED_VALUE"""),2.27659E7)</f>
        <v>22765900</v>
      </c>
    </row>
    <row r="210">
      <c r="A210" s="2">
        <f>IFERROR(__xludf.DUMMYFUNCTION("""COMPUTED_VALUE"""),37981.666666666664)</f>
        <v>37981.66667</v>
      </c>
      <c r="B210" s="1">
        <f>IFERROR(__xludf.DUMMYFUNCTION("""COMPUTED_VALUE"""),48.8)</f>
        <v>48.8</v>
      </c>
      <c r="C210" s="1">
        <f>IFERROR(__xludf.DUMMYFUNCTION("""COMPUTED_VALUE"""),49.3)</f>
        <v>49.3</v>
      </c>
      <c r="D210" s="1">
        <f>IFERROR(__xludf.DUMMYFUNCTION("""COMPUTED_VALUE"""),48.65)</f>
        <v>48.65</v>
      </c>
      <c r="E210" s="1">
        <f>IFERROR(__xludf.DUMMYFUNCTION("""COMPUTED_VALUE"""),49.12)</f>
        <v>49.12</v>
      </c>
      <c r="F210" s="1">
        <f>IFERROR(__xludf.DUMMYFUNCTION("""COMPUTED_VALUE"""),6601300.0)</f>
        <v>6601300</v>
      </c>
    </row>
    <row r="211">
      <c r="A211" s="2">
        <f>IFERROR(__xludf.DUMMYFUNCTION("""COMPUTED_VALUE"""),37988.666666666664)</f>
        <v>37988.66667</v>
      </c>
      <c r="B211" s="1">
        <f>IFERROR(__xludf.DUMMYFUNCTION("""COMPUTED_VALUE"""),49.05)</f>
        <v>49.05</v>
      </c>
      <c r="C211" s="1">
        <f>IFERROR(__xludf.DUMMYFUNCTION("""COMPUTED_VALUE"""),50.0)</f>
        <v>50</v>
      </c>
      <c r="D211" s="1">
        <f>IFERROR(__xludf.DUMMYFUNCTION("""COMPUTED_VALUE"""),49.03)</f>
        <v>49.03</v>
      </c>
      <c r="E211" s="1">
        <f>IFERROR(__xludf.DUMMYFUNCTION("""COMPUTED_VALUE"""),49.5)</f>
        <v>49.5</v>
      </c>
      <c r="F211" s="1">
        <f>IFERROR(__xludf.DUMMYFUNCTION("""COMPUTED_VALUE"""),9658500.0)</f>
        <v>9658500</v>
      </c>
    </row>
    <row r="212">
      <c r="A212" s="2">
        <f>IFERROR(__xludf.DUMMYFUNCTION("""COMPUTED_VALUE"""),37995.666666666664)</f>
        <v>37995.66667</v>
      </c>
      <c r="B212" s="1">
        <f>IFERROR(__xludf.DUMMYFUNCTION("""COMPUTED_VALUE"""),49.72)</f>
        <v>49.72</v>
      </c>
      <c r="C212" s="1">
        <f>IFERROR(__xludf.DUMMYFUNCTION("""COMPUTED_VALUE"""),50.01)</f>
        <v>50.01</v>
      </c>
      <c r="D212" s="1">
        <f>IFERROR(__xludf.DUMMYFUNCTION("""COMPUTED_VALUE"""),48.89)</f>
        <v>48.89</v>
      </c>
      <c r="E212" s="1">
        <f>IFERROR(__xludf.DUMMYFUNCTION("""COMPUTED_VALUE"""),49.82)</f>
        <v>49.82</v>
      </c>
      <c r="F212" s="1">
        <f>IFERROR(__xludf.DUMMYFUNCTION("""COMPUTED_VALUE"""),1.90674E7)</f>
        <v>19067400</v>
      </c>
    </row>
    <row r="213">
      <c r="A213" s="2">
        <f>IFERROR(__xludf.DUMMYFUNCTION("""COMPUTED_VALUE"""),38002.666666666664)</f>
        <v>38002.66667</v>
      </c>
      <c r="B213" s="1">
        <f>IFERROR(__xludf.DUMMYFUNCTION("""COMPUTED_VALUE"""),49.74)</f>
        <v>49.74</v>
      </c>
      <c r="C213" s="1">
        <f>IFERROR(__xludf.DUMMYFUNCTION("""COMPUTED_VALUE"""),50.25)</f>
        <v>50.25</v>
      </c>
      <c r="D213" s="1">
        <f>IFERROR(__xludf.DUMMYFUNCTION("""COMPUTED_VALUE"""),49.31)</f>
        <v>49.31</v>
      </c>
      <c r="E213" s="1">
        <f>IFERROR(__xludf.DUMMYFUNCTION("""COMPUTED_VALUE"""),49.5)</f>
        <v>49.5</v>
      </c>
      <c r="F213" s="1">
        <f>IFERROR(__xludf.DUMMYFUNCTION("""COMPUTED_VALUE"""),1.75815E7)</f>
        <v>17581500</v>
      </c>
    </row>
    <row r="214">
      <c r="A214" s="2">
        <f>IFERROR(__xludf.DUMMYFUNCTION("""COMPUTED_VALUE"""),38009.666666666664)</f>
        <v>38009.66667</v>
      </c>
      <c r="B214" s="1">
        <f>IFERROR(__xludf.DUMMYFUNCTION("""COMPUTED_VALUE"""),49.2)</f>
        <v>49.2</v>
      </c>
      <c r="C214" s="1">
        <f>IFERROR(__xludf.DUMMYFUNCTION("""COMPUTED_VALUE"""),49.8)</f>
        <v>49.8</v>
      </c>
      <c r="D214" s="1">
        <f>IFERROR(__xludf.DUMMYFUNCTION("""COMPUTED_VALUE"""),48.97)</f>
        <v>48.97</v>
      </c>
      <c r="E214" s="1">
        <f>IFERROR(__xludf.DUMMYFUNCTION("""COMPUTED_VALUE"""),49.18)</f>
        <v>49.18</v>
      </c>
      <c r="F214" s="1">
        <f>IFERROR(__xludf.DUMMYFUNCTION("""COMPUTED_VALUE"""),1.271E7)</f>
        <v>12710000</v>
      </c>
    </row>
    <row r="215">
      <c r="A215" s="2">
        <f>IFERROR(__xludf.DUMMYFUNCTION("""COMPUTED_VALUE"""),38016.666666666664)</f>
        <v>38016.66667</v>
      </c>
      <c r="B215" s="1">
        <f>IFERROR(__xludf.DUMMYFUNCTION("""COMPUTED_VALUE"""),48.98)</f>
        <v>48.98</v>
      </c>
      <c r="C215" s="1">
        <f>IFERROR(__xludf.DUMMYFUNCTION("""COMPUTED_VALUE"""),50.71)</f>
        <v>50.71</v>
      </c>
      <c r="D215" s="1">
        <f>IFERROR(__xludf.DUMMYFUNCTION("""COMPUTED_VALUE"""),48.98)</f>
        <v>48.98</v>
      </c>
      <c r="E215" s="1">
        <f>IFERROR(__xludf.DUMMYFUNCTION("""COMPUTED_VALUE"""),50.54)</f>
        <v>50.54</v>
      </c>
      <c r="F215" s="1">
        <f>IFERROR(__xludf.DUMMYFUNCTION("""COMPUTED_VALUE"""),1.90057E7)</f>
        <v>19005700</v>
      </c>
    </row>
    <row r="216">
      <c r="A216" s="2">
        <f>IFERROR(__xludf.DUMMYFUNCTION("""COMPUTED_VALUE"""),38023.666666666664)</f>
        <v>38023.66667</v>
      </c>
      <c r="B216" s="1">
        <f>IFERROR(__xludf.DUMMYFUNCTION("""COMPUTED_VALUE"""),50.41)</f>
        <v>50.41</v>
      </c>
      <c r="C216" s="1">
        <f>IFERROR(__xludf.DUMMYFUNCTION("""COMPUTED_VALUE"""),51.84)</f>
        <v>51.84</v>
      </c>
      <c r="D216" s="1">
        <f>IFERROR(__xludf.DUMMYFUNCTION("""COMPUTED_VALUE"""),50.41)</f>
        <v>50.41</v>
      </c>
      <c r="E216" s="1">
        <f>IFERROR(__xludf.DUMMYFUNCTION("""COMPUTED_VALUE"""),51.18)</f>
        <v>51.18</v>
      </c>
      <c r="F216" s="1">
        <f>IFERROR(__xludf.DUMMYFUNCTION("""COMPUTED_VALUE"""),1.77339E7)</f>
        <v>17733900</v>
      </c>
    </row>
    <row r="217">
      <c r="A217" s="2">
        <f>IFERROR(__xludf.DUMMYFUNCTION("""COMPUTED_VALUE"""),38030.666666666664)</f>
        <v>38030.66667</v>
      </c>
      <c r="B217" s="1">
        <f>IFERROR(__xludf.DUMMYFUNCTION("""COMPUTED_VALUE"""),50.93)</f>
        <v>50.93</v>
      </c>
      <c r="C217" s="1">
        <f>IFERROR(__xludf.DUMMYFUNCTION("""COMPUTED_VALUE"""),51.66)</f>
        <v>51.66</v>
      </c>
      <c r="D217" s="1">
        <f>IFERROR(__xludf.DUMMYFUNCTION("""COMPUTED_VALUE"""),50.73)</f>
        <v>50.73</v>
      </c>
      <c r="E217" s="1">
        <f>IFERROR(__xludf.DUMMYFUNCTION("""COMPUTED_VALUE"""),51.03)</f>
        <v>51.03</v>
      </c>
      <c r="F217" s="1">
        <f>IFERROR(__xludf.DUMMYFUNCTION("""COMPUTED_VALUE"""),1.16704E7)</f>
        <v>11670400</v>
      </c>
    </row>
    <row r="218">
      <c r="A218" s="2">
        <f>IFERROR(__xludf.DUMMYFUNCTION("""COMPUTED_VALUE"""),38037.666666666664)</f>
        <v>38037.66667</v>
      </c>
      <c r="B218" s="1">
        <f>IFERROR(__xludf.DUMMYFUNCTION("""COMPUTED_VALUE"""),51.24)</f>
        <v>51.24</v>
      </c>
      <c r="C218" s="1">
        <f>IFERROR(__xludf.DUMMYFUNCTION("""COMPUTED_VALUE"""),51.87)</f>
        <v>51.87</v>
      </c>
      <c r="D218" s="1">
        <f>IFERROR(__xludf.DUMMYFUNCTION("""COMPUTED_VALUE"""),51.0)</f>
        <v>51</v>
      </c>
      <c r="E218" s="1">
        <f>IFERROR(__xludf.DUMMYFUNCTION("""COMPUTED_VALUE"""),51.25)</f>
        <v>51.25</v>
      </c>
      <c r="F218" s="1">
        <f>IFERROR(__xludf.DUMMYFUNCTION("""COMPUTED_VALUE"""),1.14512E7)</f>
        <v>11451200</v>
      </c>
    </row>
    <row r="219">
      <c r="A219" s="2">
        <f>IFERROR(__xludf.DUMMYFUNCTION("""COMPUTED_VALUE"""),38044.666666666664)</f>
        <v>38044.66667</v>
      </c>
      <c r="B219" s="1">
        <f>IFERROR(__xludf.DUMMYFUNCTION("""COMPUTED_VALUE"""),51.28)</f>
        <v>51.28</v>
      </c>
      <c r="C219" s="1">
        <f>IFERROR(__xludf.DUMMYFUNCTION("""COMPUTED_VALUE"""),52.0)</f>
        <v>52</v>
      </c>
      <c r="D219" s="1">
        <f>IFERROR(__xludf.DUMMYFUNCTION("""COMPUTED_VALUE"""),50.63)</f>
        <v>50.63</v>
      </c>
      <c r="E219" s="1">
        <f>IFERROR(__xludf.DUMMYFUNCTION("""COMPUTED_VALUE"""),51.26)</f>
        <v>51.26</v>
      </c>
      <c r="F219" s="1">
        <f>IFERROR(__xludf.DUMMYFUNCTION("""COMPUTED_VALUE"""),1.60615E7)</f>
        <v>16061500</v>
      </c>
    </row>
    <row r="220">
      <c r="A220" s="2">
        <f>IFERROR(__xludf.DUMMYFUNCTION("""COMPUTED_VALUE"""),38051.666666666664)</f>
        <v>38051.66667</v>
      </c>
      <c r="B220" s="1">
        <f>IFERROR(__xludf.DUMMYFUNCTION("""COMPUTED_VALUE"""),51.29)</f>
        <v>51.29</v>
      </c>
      <c r="C220" s="1">
        <f>IFERROR(__xludf.DUMMYFUNCTION("""COMPUTED_VALUE"""),51.93)</f>
        <v>51.93</v>
      </c>
      <c r="D220" s="1">
        <f>IFERROR(__xludf.DUMMYFUNCTION("""COMPUTED_VALUE"""),50.55)</f>
        <v>50.55</v>
      </c>
      <c r="E220" s="1">
        <f>IFERROR(__xludf.DUMMYFUNCTION("""COMPUTED_VALUE"""),50.88)</f>
        <v>50.88</v>
      </c>
      <c r="F220" s="1">
        <f>IFERROR(__xludf.DUMMYFUNCTION("""COMPUTED_VALUE"""),1.67046E7)</f>
        <v>16704600</v>
      </c>
    </row>
    <row r="221">
      <c r="A221" s="2">
        <f>IFERROR(__xludf.DUMMYFUNCTION("""COMPUTED_VALUE"""),38058.666666666664)</f>
        <v>38058.66667</v>
      </c>
      <c r="B221" s="1">
        <f>IFERROR(__xludf.DUMMYFUNCTION("""COMPUTED_VALUE"""),50.88)</f>
        <v>50.88</v>
      </c>
      <c r="C221" s="1">
        <f>IFERROR(__xludf.DUMMYFUNCTION("""COMPUTED_VALUE"""),53.61)</f>
        <v>53.61</v>
      </c>
      <c r="D221" s="1">
        <f>IFERROR(__xludf.DUMMYFUNCTION("""COMPUTED_VALUE"""),50.87)</f>
        <v>50.87</v>
      </c>
      <c r="E221" s="1">
        <f>IFERROR(__xludf.DUMMYFUNCTION("""COMPUTED_VALUE"""),52.06)</f>
        <v>52.06</v>
      </c>
      <c r="F221" s="1">
        <f>IFERROR(__xludf.DUMMYFUNCTION("""COMPUTED_VALUE"""),2.42287E7)</f>
        <v>24228700</v>
      </c>
    </row>
    <row r="222">
      <c r="A222" s="2">
        <f>IFERROR(__xludf.DUMMYFUNCTION("""COMPUTED_VALUE"""),38065.666666666664)</f>
        <v>38065.66667</v>
      </c>
      <c r="B222" s="1">
        <f>IFERROR(__xludf.DUMMYFUNCTION("""COMPUTED_VALUE"""),51.65)</f>
        <v>51.65</v>
      </c>
      <c r="C222" s="1">
        <f>IFERROR(__xludf.DUMMYFUNCTION("""COMPUTED_VALUE"""),52.63)</f>
        <v>52.63</v>
      </c>
      <c r="D222" s="1">
        <f>IFERROR(__xludf.DUMMYFUNCTION("""COMPUTED_VALUE"""),51.19)</f>
        <v>51.19</v>
      </c>
      <c r="E222" s="1">
        <f>IFERROR(__xludf.DUMMYFUNCTION("""COMPUTED_VALUE"""),52.02)</f>
        <v>52.02</v>
      </c>
      <c r="F222" s="1">
        <f>IFERROR(__xludf.DUMMYFUNCTION("""COMPUTED_VALUE"""),1.72876E7)</f>
        <v>17287600</v>
      </c>
    </row>
    <row r="223">
      <c r="A223" s="2">
        <f>IFERROR(__xludf.DUMMYFUNCTION("""COMPUTED_VALUE"""),38072.666666666664)</f>
        <v>38072.66667</v>
      </c>
      <c r="B223" s="1">
        <f>IFERROR(__xludf.DUMMYFUNCTION("""COMPUTED_VALUE"""),51.73)</f>
        <v>51.73</v>
      </c>
      <c r="C223" s="1">
        <f>IFERROR(__xludf.DUMMYFUNCTION("""COMPUTED_VALUE"""),52.54)</f>
        <v>52.54</v>
      </c>
      <c r="D223" s="1">
        <f>IFERROR(__xludf.DUMMYFUNCTION("""COMPUTED_VALUE"""),51.23)</f>
        <v>51.23</v>
      </c>
      <c r="E223" s="1">
        <f>IFERROR(__xludf.DUMMYFUNCTION("""COMPUTED_VALUE"""),51.98)</f>
        <v>51.98</v>
      </c>
      <c r="F223" s="1">
        <f>IFERROR(__xludf.DUMMYFUNCTION("""COMPUTED_VALUE"""),1.63031E7)</f>
        <v>16303100</v>
      </c>
    </row>
    <row r="224">
      <c r="A224" s="2">
        <f>IFERROR(__xludf.DUMMYFUNCTION("""COMPUTED_VALUE"""),38079.666666666664)</f>
        <v>38079.66667</v>
      </c>
      <c r="B224" s="1">
        <f>IFERROR(__xludf.DUMMYFUNCTION("""COMPUTED_VALUE"""),52.15)</f>
        <v>52.15</v>
      </c>
      <c r="C224" s="1">
        <f>IFERROR(__xludf.DUMMYFUNCTION("""COMPUTED_VALUE"""),53.31)</f>
        <v>53.31</v>
      </c>
      <c r="D224" s="1">
        <f>IFERROR(__xludf.DUMMYFUNCTION("""COMPUTED_VALUE"""),51.93)</f>
        <v>51.93</v>
      </c>
      <c r="E224" s="1">
        <f>IFERROR(__xludf.DUMMYFUNCTION("""COMPUTED_VALUE"""),53.06)</f>
        <v>53.06</v>
      </c>
      <c r="F224" s="1">
        <f>IFERROR(__xludf.DUMMYFUNCTION("""COMPUTED_VALUE"""),1.57086E7)</f>
        <v>15708600</v>
      </c>
    </row>
    <row r="225">
      <c r="A225" s="2">
        <f>IFERROR(__xludf.DUMMYFUNCTION("""COMPUTED_VALUE"""),38085.666666666664)</f>
        <v>38085.66667</v>
      </c>
      <c r="B225" s="1">
        <f>IFERROR(__xludf.DUMMYFUNCTION("""COMPUTED_VALUE"""),52.83)</f>
        <v>52.83</v>
      </c>
      <c r="C225" s="1">
        <f>IFERROR(__xludf.DUMMYFUNCTION("""COMPUTED_VALUE"""),53.59)</f>
        <v>53.59</v>
      </c>
      <c r="D225" s="1">
        <f>IFERROR(__xludf.DUMMYFUNCTION("""COMPUTED_VALUE"""),52.66)</f>
        <v>52.66</v>
      </c>
      <c r="E225" s="1">
        <f>IFERROR(__xludf.DUMMYFUNCTION("""COMPUTED_VALUE"""),53.2)</f>
        <v>53.2</v>
      </c>
      <c r="F225" s="1">
        <f>IFERROR(__xludf.DUMMYFUNCTION("""COMPUTED_VALUE"""),1.04389E7)</f>
        <v>10438900</v>
      </c>
    </row>
    <row r="226">
      <c r="A226" s="2">
        <f>IFERROR(__xludf.DUMMYFUNCTION("""COMPUTED_VALUE"""),38093.666666666664)</f>
        <v>38093.66667</v>
      </c>
      <c r="B226" s="1">
        <f>IFERROR(__xludf.DUMMYFUNCTION("""COMPUTED_VALUE"""),53.44)</f>
        <v>53.44</v>
      </c>
      <c r="C226" s="1">
        <f>IFERROR(__xludf.DUMMYFUNCTION("""COMPUTED_VALUE"""),53.7)</f>
        <v>53.7</v>
      </c>
      <c r="D226" s="1">
        <f>IFERROR(__xludf.DUMMYFUNCTION("""COMPUTED_VALUE"""),52.5)</f>
        <v>52.5</v>
      </c>
      <c r="E226" s="1">
        <f>IFERROR(__xludf.DUMMYFUNCTION("""COMPUTED_VALUE"""),52.99)</f>
        <v>52.99</v>
      </c>
      <c r="F226" s="1">
        <f>IFERROR(__xludf.DUMMYFUNCTION("""COMPUTED_VALUE"""),1.51653E7)</f>
        <v>15165300</v>
      </c>
    </row>
    <row r="227">
      <c r="A227" s="2">
        <f>IFERROR(__xludf.DUMMYFUNCTION("""COMPUTED_VALUE"""),38100.666666666664)</f>
        <v>38100.66667</v>
      </c>
      <c r="B227" s="1">
        <f>IFERROR(__xludf.DUMMYFUNCTION("""COMPUTED_VALUE"""),53.27)</f>
        <v>53.27</v>
      </c>
      <c r="C227" s="1">
        <f>IFERROR(__xludf.DUMMYFUNCTION("""COMPUTED_VALUE"""),53.33)</f>
        <v>53.33</v>
      </c>
      <c r="D227" s="1">
        <f>IFERROR(__xludf.DUMMYFUNCTION("""COMPUTED_VALUE"""),51.64)</f>
        <v>51.64</v>
      </c>
      <c r="E227" s="1">
        <f>IFERROR(__xludf.DUMMYFUNCTION("""COMPUTED_VALUE"""),52.35)</f>
        <v>52.35</v>
      </c>
      <c r="F227" s="1">
        <f>IFERROR(__xludf.DUMMYFUNCTION("""COMPUTED_VALUE"""),1.45879E7)</f>
        <v>14587900</v>
      </c>
    </row>
    <row r="228">
      <c r="A228" s="2">
        <f>IFERROR(__xludf.DUMMYFUNCTION("""COMPUTED_VALUE"""),38107.666666666664)</f>
        <v>38107.66667</v>
      </c>
      <c r="B228" s="1">
        <f>IFERROR(__xludf.DUMMYFUNCTION("""COMPUTED_VALUE"""),52.75)</f>
        <v>52.75</v>
      </c>
      <c r="C228" s="1">
        <f>IFERROR(__xludf.DUMMYFUNCTION("""COMPUTED_VALUE"""),53.66)</f>
        <v>53.66</v>
      </c>
      <c r="D228" s="1">
        <f>IFERROR(__xludf.DUMMYFUNCTION("""COMPUTED_VALUE"""),52.04)</f>
        <v>52.04</v>
      </c>
      <c r="E228" s="1">
        <f>IFERROR(__xludf.DUMMYFUNCTION("""COMPUTED_VALUE"""),53.42)</f>
        <v>53.42</v>
      </c>
      <c r="F228" s="1">
        <f>IFERROR(__xludf.DUMMYFUNCTION("""COMPUTED_VALUE"""),1.60845E7)</f>
        <v>16084500</v>
      </c>
    </row>
    <row r="229">
      <c r="A229" s="2">
        <f>IFERROR(__xludf.DUMMYFUNCTION("""COMPUTED_VALUE"""),38114.666666666664)</f>
        <v>38114.66667</v>
      </c>
      <c r="B229" s="1">
        <f>IFERROR(__xludf.DUMMYFUNCTION("""COMPUTED_VALUE"""),52.88)</f>
        <v>52.88</v>
      </c>
      <c r="C229" s="1">
        <f>IFERROR(__xludf.DUMMYFUNCTION("""COMPUTED_VALUE"""),54.43)</f>
        <v>54.43</v>
      </c>
      <c r="D229" s="1">
        <f>IFERROR(__xludf.DUMMYFUNCTION("""COMPUTED_VALUE"""),52.58)</f>
        <v>52.58</v>
      </c>
      <c r="E229" s="1">
        <f>IFERROR(__xludf.DUMMYFUNCTION("""COMPUTED_VALUE"""),53.36)</f>
        <v>53.36</v>
      </c>
      <c r="F229" s="1">
        <f>IFERROR(__xludf.DUMMYFUNCTION("""COMPUTED_VALUE"""),1.7585E7)</f>
        <v>17585000</v>
      </c>
    </row>
    <row r="230">
      <c r="A230" s="2">
        <f>IFERROR(__xludf.DUMMYFUNCTION("""COMPUTED_VALUE"""),38121.666666666664)</f>
        <v>38121.66667</v>
      </c>
      <c r="B230" s="1">
        <f>IFERROR(__xludf.DUMMYFUNCTION("""COMPUTED_VALUE"""),53.36)</f>
        <v>53.36</v>
      </c>
      <c r="C230" s="1">
        <f>IFERROR(__xludf.DUMMYFUNCTION("""COMPUTED_VALUE"""),53.75)</f>
        <v>53.75</v>
      </c>
      <c r="D230" s="1">
        <f>IFERROR(__xludf.DUMMYFUNCTION("""COMPUTED_VALUE"""),52.37)</f>
        <v>52.37</v>
      </c>
      <c r="E230" s="1">
        <f>IFERROR(__xludf.DUMMYFUNCTION("""COMPUTED_VALUE"""),53.21)</f>
        <v>53.21</v>
      </c>
      <c r="F230" s="1">
        <f>IFERROR(__xludf.DUMMYFUNCTION("""COMPUTED_VALUE"""),1.72042E7)</f>
        <v>17204200</v>
      </c>
    </row>
    <row r="231">
      <c r="A231" s="2">
        <f>IFERROR(__xludf.DUMMYFUNCTION("""COMPUTED_VALUE"""),38128.666666666664)</f>
        <v>38128.66667</v>
      </c>
      <c r="B231" s="1">
        <f>IFERROR(__xludf.DUMMYFUNCTION("""COMPUTED_VALUE"""),52.94)</f>
        <v>52.94</v>
      </c>
      <c r="C231" s="1">
        <f>IFERROR(__xludf.DUMMYFUNCTION("""COMPUTED_VALUE"""),54.08)</f>
        <v>54.08</v>
      </c>
      <c r="D231" s="1">
        <f>IFERROR(__xludf.DUMMYFUNCTION("""COMPUTED_VALUE"""),52.56)</f>
        <v>52.56</v>
      </c>
      <c r="E231" s="1">
        <f>IFERROR(__xludf.DUMMYFUNCTION("""COMPUTED_VALUE"""),53.51)</f>
        <v>53.51</v>
      </c>
      <c r="F231" s="1">
        <f>IFERROR(__xludf.DUMMYFUNCTION("""COMPUTED_VALUE"""),1.57508E7)</f>
        <v>15750800</v>
      </c>
    </row>
    <row r="232">
      <c r="A232" s="2">
        <f>IFERROR(__xludf.DUMMYFUNCTION("""COMPUTED_VALUE"""),38135.666666666664)</f>
        <v>38135.66667</v>
      </c>
      <c r="B232" s="1">
        <f>IFERROR(__xludf.DUMMYFUNCTION("""COMPUTED_VALUE"""),53.46)</f>
        <v>53.46</v>
      </c>
      <c r="C232" s="1">
        <f>IFERROR(__xludf.DUMMYFUNCTION("""COMPUTED_VALUE"""),54.38)</f>
        <v>54.38</v>
      </c>
      <c r="D232" s="1">
        <f>IFERROR(__xludf.DUMMYFUNCTION("""COMPUTED_VALUE"""),52.98)</f>
        <v>52.98</v>
      </c>
      <c r="E232" s="1">
        <f>IFERROR(__xludf.DUMMYFUNCTION("""COMPUTED_VALUE"""),53.91)</f>
        <v>53.91</v>
      </c>
      <c r="F232" s="1">
        <f>IFERROR(__xludf.DUMMYFUNCTION("""COMPUTED_VALUE"""),1.36929E7)</f>
        <v>13692900</v>
      </c>
    </row>
    <row r="233">
      <c r="A233" s="2">
        <f>IFERROR(__xludf.DUMMYFUNCTION("""COMPUTED_VALUE"""),38142.666666666664)</f>
        <v>38142.66667</v>
      </c>
      <c r="B233" s="1">
        <f>IFERROR(__xludf.DUMMYFUNCTION("""COMPUTED_VALUE"""),53.76)</f>
        <v>53.76</v>
      </c>
      <c r="C233" s="1">
        <f>IFERROR(__xludf.DUMMYFUNCTION("""COMPUTED_VALUE"""),54.59)</f>
        <v>54.59</v>
      </c>
      <c r="D233" s="1">
        <f>IFERROR(__xludf.DUMMYFUNCTION("""COMPUTED_VALUE"""),53.76)</f>
        <v>53.76</v>
      </c>
      <c r="E233" s="1">
        <f>IFERROR(__xludf.DUMMYFUNCTION("""COMPUTED_VALUE"""),53.88)</f>
        <v>53.88</v>
      </c>
      <c r="F233" s="1">
        <f>IFERROR(__xludf.DUMMYFUNCTION("""COMPUTED_VALUE"""),9411000.0)</f>
        <v>9411000</v>
      </c>
    </row>
    <row r="234">
      <c r="A234" s="2">
        <f>IFERROR(__xludf.DUMMYFUNCTION("""COMPUTED_VALUE"""),38148.666666666664)</f>
        <v>38148.66667</v>
      </c>
      <c r="B234" s="1">
        <f>IFERROR(__xludf.DUMMYFUNCTION("""COMPUTED_VALUE"""),54.13)</f>
        <v>54.13</v>
      </c>
      <c r="C234" s="1">
        <f>IFERROR(__xludf.DUMMYFUNCTION("""COMPUTED_VALUE"""),55.48)</f>
        <v>55.48</v>
      </c>
      <c r="D234" s="1">
        <f>IFERROR(__xludf.DUMMYFUNCTION("""COMPUTED_VALUE"""),53.99)</f>
        <v>53.99</v>
      </c>
      <c r="E234" s="1">
        <f>IFERROR(__xludf.DUMMYFUNCTION("""COMPUTED_VALUE"""),55.01)</f>
        <v>55.01</v>
      </c>
      <c r="F234" s="1">
        <f>IFERROR(__xludf.DUMMYFUNCTION("""COMPUTED_VALUE"""),1.08712E7)</f>
        <v>10871200</v>
      </c>
    </row>
    <row r="235">
      <c r="A235" s="2">
        <f>IFERROR(__xludf.DUMMYFUNCTION("""COMPUTED_VALUE"""),38156.666666666664)</f>
        <v>38156.66667</v>
      </c>
      <c r="B235" s="1">
        <f>IFERROR(__xludf.DUMMYFUNCTION("""COMPUTED_VALUE"""),55.0)</f>
        <v>55</v>
      </c>
      <c r="C235" s="1">
        <f>IFERROR(__xludf.DUMMYFUNCTION("""COMPUTED_VALUE"""),55.8)</f>
        <v>55.8</v>
      </c>
      <c r="D235" s="1">
        <f>IFERROR(__xludf.DUMMYFUNCTION("""COMPUTED_VALUE"""),54.98)</f>
        <v>54.98</v>
      </c>
      <c r="E235" s="1">
        <f>IFERROR(__xludf.DUMMYFUNCTION("""COMPUTED_VALUE"""),55.11)</f>
        <v>55.11</v>
      </c>
      <c r="F235" s="1">
        <f>IFERROR(__xludf.DUMMYFUNCTION("""COMPUTED_VALUE"""),2.05351E7)</f>
        <v>20535100</v>
      </c>
    </row>
    <row r="236">
      <c r="A236" s="2">
        <f>IFERROR(__xludf.DUMMYFUNCTION("""COMPUTED_VALUE"""),38163.666666666664)</f>
        <v>38163.66667</v>
      </c>
      <c r="B236" s="1">
        <f>IFERROR(__xludf.DUMMYFUNCTION("""COMPUTED_VALUE"""),55.09)</f>
        <v>55.09</v>
      </c>
      <c r="C236" s="1">
        <f>IFERROR(__xludf.DUMMYFUNCTION("""COMPUTED_VALUE"""),56.34)</f>
        <v>56.34</v>
      </c>
      <c r="D236" s="1">
        <f>IFERROR(__xludf.DUMMYFUNCTION("""COMPUTED_VALUE"""),54.3)</f>
        <v>54.3</v>
      </c>
      <c r="E236" s="1">
        <f>IFERROR(__xludf.DUMMYFUNCTION("""COMPUTED_VALUE"""),54.75)</f>
        <v>54.75</v>
      </c>
      <c r="F236" s="1">
        <f>IFERROR(__xludf.DUMMYFUNCTION("""COMPUTED_VALUE"""),3.29452E7)</f>
        <v>32945200</v>
      </c>
    </row>
    <row r="237">
      <c r="A237" s="2">
        <f>IFERROR(__xludf.DUMMYFUNCTION("""COMPUTED_VALUE"""),38170.666666666664)</f>
        <v>38170.66667</v>
      </c>
      <c r="B237" s="1">
        <f>IFERROR(__xludf.DUMMYFUNCTION("""COMPUTED_VALUE"""),55.16)</f>
        <v>55.16</v>
      </c>
      <c r="C237" s="1">
        <f>IFERROR(__xludf.DUMMYFUNCTION("""COMPUTED_VALUE"""),55.18)</f>
        <v>55.18</v>
      </c>
      <c r="D237" s="1">
        <f>IFERROR(__xludf.DUMMYFUNCTION("""COMPUTED_VALUE"""),54.0)</f>
        <v>54</v>
      </c>
      <c r="E237" s="1">
        <f>IFERROR(__xludf.DUMMYFUNCTION("""COMPUTED_VALUE"""),54.34)</f>
        <v>54.34</v>
      </c>
      <c r="F237" s="1">
        <f>IFERROR(__xludf.DUMMYFUNCTION("""COMPUTED_VALUE"""),2.77382E7)</f>
        <v>27738200</v>
      </c>
    </row>
    <row r="238">
      <c r="A238" s="2">
        <f>IFERROR(__xludf.DUMMYFUNCTION("""COMPUTED_VALUE"""),38177.666666666664)</f>
        <v>38177.66667</v>
      </c>
      <c r="B238" s="1">
        <f>IFERROR(__xludf.DUMMYFUNCTION("""COMPUTED_VALUE"""),54.26)</f>
        <v>54.26</v>
      </c>
      <c r="C238" s="1">
        <f>IFERROR(__xludf.DUMMYFUNCTION("""COMPUTED_VALUE"""),55.08)</f>
        <v>55.08</v>
      </c>
      <c r="D238" s="1">
        <f>IFERROR(__xludf.DUMMYFUNCTION("""COMPUTED_VALUE"""),54.04)</f>
        <v>54.04</v>
      </c>
      <c r="E238" s="1">
        <f>IFERROR(__xludf.DUMMYFUNCTION("""COMPUTED_VALUE"""),54.72)</f>
        <v>54.72</v>
      </c>
      <c r="F238" s="1">
        <f>IFERROR(__xludf.DUMMYFUNCTION("""COMPUTED_VALUE"""),1.87223E7)</f>
        <v>18722300</v>
      </c>
    </row>
    <row r="239">
      <c r="A239" s="2">
        <f>IFERROR(__xludf.DUMMYFUNCTION("""COMPUTED_VALUE"""),38184.666666666664)</f>
        <v>38184.66667</v>
      </c>
      <c r="B239" s="1">
        <f>IFERROR(__xludf.DUMMYFUNCTION("""COMPUTED_VALUE"""),54.79)</f>
        <v>54.79</v>
      </c>
      <c r="C239" s="1">
        <f>IFERROR(__xludf.DUMMYFUNCTION("""COMPUTED_VALUE"""),55.58)</f>
        <v>55.58</v>
      </c>
      <c r="D239" s="1">
        <f>IFERROR(__xludf.DUMMYFUNCTION("""COMPUTED_VALUE"""),54.37)</f>
        <v>54.37</v>
      </c>
      <c r="E239" s="1">
        <f>IFERROR(__xludf.DUMMYFUNCTION("""COMPUTED_VALUE"""),55.33)</f>
        <v>55.33</v>
      </c>
      <c r="F239" s="1">
        <f>IFERROR(__xludf.DUMMYFUNCTION("""COMPUTED_VALUE"""),2.42134E7)</f>
        <v>24213400</v>
      </c>
    </row>
    <row r="240">
      <c r="A240" s="2">
        <f>IFERROR(__xludf.DUMMYFUNCTION("""COMPUTED_VALUE"""),38191.666666666664)</f>
        <v>38191.66667</v>
      </c>
      <c r="B240" s="1">
        <f>IFERROR(__xludf.DUMMYFUNCTION("""COMPUTED_VALUE"""),55.5)</f>
        <v>55.5</v>
      </c>
      <c r="C240" s="1">
        <f>IFERROR(__xludf.DUMMYFUNCTION("""COMPUTED_VALUE"""),55.97)</f>
        <v>55.97</v>
      </c>
      <c r="D240" s="1">
        <f>IFERROR(__xludf.DUMMYFUNCTION("""COMPUTED_VALUE"""),52.01)</f>
        <v>52.01</v>
      </c>
      <c r="E240" s="1">
        <f>IFERROR(__xludf.DUMMYFUNCTION("""COMPUTED_VALUE"""),52.43)</f>
        <v>52.43</v>
      </c>
      <c r="F240" s="1">
        <f>IFERROR(__xludf.DUMMYFUNCTION("""COMPUTED_VALUE"""),2.7037E7)</f>
        <v>27037000</v>
      </c>
    </row>
    <row r="241">
      <c r="A241" s="2">
        <f>IFERROR(__xludf.DUMMYFUNCTION("""COMPUTED_VALUE"""),38198.666666666664)</f>
        <v>38198.66667</v>
      </c>
      <c r="B241" s="1">
        <f>IFERROR(__xludf.DUMMYFUNCTION("""COMPUTED_VALUE"""),52.62)</f>
        <v>52.62</v>
      </c>
      <c r="C241" s="1">
        <f>IFERROR(__xludf.DUMMYFUNCTION("""COMPUTED_VALUE"""),53.89)</f>
        <v>53.89</v>
      </c>
      <c r="D241" s="1">
        <f>IFERROR(__xludf.DUMMYFUNCTION("""COMPUTED_VALUE"""),51.5)</f>
        <v>51.5</v>
      </c>
      <c r="E241" s="1">
        <f>IFERROR(__xludf.DUMMYFUNCTION("""COMPUTED_VALUE"""),52.14)</f>
        <v>52.14</v>
      </c>
      <c r="F241" s="1">
        <f>IFERROR(__xludf.DUMMYFUNCTION("""COMPUTED_VALUE"""),2.85588E7)</f>
        <v>28558800</v>
      </c>
    </row>
    <row r="242">
      <c r="A242" s="2">
        <f>IFERROR(__xludf.DUMMYFUNCTION("""COMPUTED_VALUE"""),38205.666666666664)</f>
        <v>38205.66667</v>
      </c>
      <c r="B242" s="1">
        <f>IFERROR(__xludf.DUMMYFUNCTION("""COMPUTED_VALUE"""),52.76)</f>
        <v>52.76</v>
      </c>
      <c r="C242" s="1">
        <f>IFERROR(__xludf.DUMMYFUNCTION("""COMPUTED_VALUE"""),54.38)</f>
        <v>54.38</v>
      </c>
      <c r="D242" s="1">
        <f>IFERROR(__xludf.DUMMYFUNCTION("""COMPUTED_VALUE"""),52.61)</f>
        <v>52.61</v>
      </c>
      <c r="E242" s="1">
        <f>IFERROR(__xludf.DUMMYFUNCTION("""COMPUTED_VALUE"""),53.03)</f>
        <v>53.03</v>
      </c>
      <c r="F242" s="1">
        <f>IFERROR(__xludf.DUMMYFUNCTION("""COMPUTED_VALUE"""),2.62765E7)</f>
        <v>26276500</v>
      </c>
    </row>
    <row r="243">
      <c r="A243" s="2">
        <f>IFERROR(__xludf.DUMMYFUNCTION("""COMPUTED_VALUE"""),38212.666666666664)</f>
        <v>38212.66667</v>
      </c>
      <c r="B243" s="1">
        <f>IFERROR(__xludf.DUMMYFUNCTION("""COMPUTED_VALUE"""),53.1)</f>
        <v>53.1</v>
      </c>
      <c r="C243" s="1">
        <f>IFERROR(__xludf.DUMMYFUNCTION("""COMPUTED_VALUE"""),54.79)</f>
        <v>54.79</v>
      </c>
      <c r="D243" s="1">
        <f>IFERROR(__xludf.DUMMYFUNCTION("""COMPUTED_VALUE"""),52.77)</f>
        <v>52.77</v>
      </c>
      <c r="E243" s="1">
        <f>IFERROR(__xludf.DUMMYFUNCTION("""COMPUTED_VALUE"""),54.23)</f>
        <v>54.23</v>
      </c>
      <c r="F243" s="1">
        <f>IFERROR(__xludf.DUMMYFUNCTION("""COMPUTED_VALUE"""),2.34063E7)</f>
        <v>23406300</v>
      </c>
    </row>
    <row r="244">
      <c r="A244" s="2">
        <f>IFERROR(__xludf.DUMMYFUNCTION("""COMPUTED_VALUE"""),38219.666666666664)</f>
        <v>38219.66667</v>
      </c>
      <c r="B244" s="1">
        <f>IFERROR(__xludf.DUMMYFUNCTION("""COMPUTED_VALUE"""),54.71)</f>
        <v>54.71</v>
      </c>
      <c r="C244" s="1">
        <f>IFERROR(__xludf.DUMMYFUNCTION("""COMPUTED_VALUE"""),55.25)</f>
        <v>55.25</v>
      </c>
      <c r="D244" s="1">
        <f>IFERROR(__xludf.DUMMYFUNCTION("""COMPUTED_VALUE"""),54.09)</f>
        <v>54.09</v>
      </c>
      <c r="E244" s="1">
        <f>IFERROR(__xludf.DUMMYFUNCTION("""COMPUTED_VALUE"""),54.85)</f>
        <v>54.85</v>
      </c>
      <c r="F244" s="1">
        <f>IFERROR(__xludf.DUMMYFUNCTION("""COMPUTED_VALUE"""),2.25431E7)</f>
        <v>22543100</v>
      </c>
    </row>
    <row r="245">
      <c r="A245" s="2">
        <f>IFERROR(__xludf.DUMMYFUNCTION("""COMPUTED_VALUE"""),38226.666666666664)</f>
        <v>38226.66667</v>
      </c>
      <c r="B245" s="1">
        <f>IFERROR(__xludf.DUMMYFUNCTION("""COMPUTED_VALUE"""),54.76)</f>
        <v>54.76</v>
      </c>
      <c r="C245" s="1">
        <f>IFERROR(__xludf.DUMMYFUNCTION("""COMPUTED_VALUE"""),56.0)</f>
        <v>56</v>
      </c>
      <c r="D245" s="1">
        <f>IFERROR(__xludf.DUMMYFUNCTION("""COMPUTED_VALUE"""),54.66)</f>
        <v>54.66</v>
      </c>
      <c r="E245" s="1">
        <f>IFERROR(__xludf.DUMMYFUNCTION("""COMPUTED_VALUE"""),55.98)</f>
        <v>55.98</v>
      </c>
      <c r="F245" s="1">
        <f>IFERROR(__xludf.DUMMYFUNCTION("""COMPUTED_VALUE"""),1.61928E7)</f>
        <v>16192800</v>
      </c>
    </row>
    <row r="246">
      <c r="A246" s="2">
        <f>IFERROR(__xludf.DUMMYFUNCTION("""COMPUTED_VALUE"""),38233.666666666664)</f>
        <v>38233.66667</v>
      </c>
      <c r="B246" s="1">
        <f>IFERROR(__xludf.DUMMYFUNCTION("""COMPUTED_VALUE"""),55.7)</f>
        <v>55.7</v>
      </c>
      <c r="C246" s="1">
        <f>IFERROR(__xludf.DUMMYFUNCTION("""COMPUTED_VALUE"""),56.9)</f>
        <v>56.9</v>
      </c>
      <c r="D246" s="1">
        <f>IFERROR(__xludf.DUMMYFUNCTION("""COMPUTED_VALUE"""),55.22)</f>
        <v>55.22</v>
      </c>
      <c r="E246" s="1">
        <f>IFERROR(__xludf.DUMMYFUNCTION("""COMPUTED_VALUE"""),56.55)</f>
        <v>56.55</v>
      </c>
      <c r="F246" s="1">
        <f>IFERROR(__xludf.DUMMYFUNCTION("""COMPUTED_VALUE"""),1.62846E7)</f>
        <v>16284600</v>
      </c>
    </row>
    <row r="247">
      <c r="A247" s="2">
        <f>IFERROR(__xludf.DUMMYFUNCTION("""COMPUTED_VALUE"""),38240.666666666664)</f>
        <v>38240.66667</v>
      </c>
      <c r="B247" s="1">
        <f>IFERROR(__xludf.DUMMYFUNCTION("""COMPUTED_VALUE"""),56.35)</f>
        <v>56.35</v>
      </c>
      <c r="C247" s="1">
        <f>IFERROR(__xludf.DUMMYFUNCTION("""COMPUTED_VALUE"""),56.9)</f>
        <v>56.9</v>
      </c>
      <c r="D247" s="1">
        <f>IFERROR(__xludf.DUMMYFUNCTION("""COMPUTED_VALUE"""),55.62)</f>
        <v>55.62</v>
      </c>
      <c r="E247" s="1">
        <f>IFERROR(__xludf.DUMMYFUNCTION("""COMPUTED_VALUE"""),56.18)</f>
        <v>56.18</v>
      </c>
      <c r="F247" s="1">
        <f>IFERROR(__xludf.DUMMYFUNCTION("""COMPUTED_VALUE"""),1.70618E7)</f>
        <v>17061800</v>
      </c>
    </row>
    <row r="248">
      <c r="A248" s="2">
        <f>IFERROR(__xludf.DUMMYFUNCTION("""COMPUTED_VALUE"""),38247.666666666664)</f>
        <v>38247.66667</v>
      </c>
      <c r="B248" s="1">
        <f>IFERROR(__xludf.DUMMYFUNCTION("""COMPUTED_VALUE"""),56.19)</f>
        <v>56.19</v>
      </c>
      <c r="C248" s="1">
        <f>IFERROR(__xludf.DUMMYFUNCTION("""COMPUTED_VALUE"""),56.95)</f>
        <v>56.95</v>
      </c>
      <c r="D248" s="1">
        <f>IFERROR(__xludf.DUMMYFUNCTION("""COMPUTED_VALUE"""),55.68)</f>
        <v>55.68</v>
      </c>
      <c r="E248" s="1">
        <f>IFERROR(__xludf.DUMMYFUNCTION("""COMPUTED_VALUE"""),56.26)</f>
        <v>56.26</v>
      </c>
      <c r="F248" s="1">
        <f>IFERROR(__xludf.DUMMYFUNCTION("""COMPUTED_VALUE"""),2.3678E7)</f>
        <v>23678000</v>
      </c>
    </row>
    <row r="249">
      <c r="A249" s="2">
        <f>IFERROR(__xludf.DUMMYFUNCTION("""COMPUTED_VALUE"""),38254.666666666664)</f>
        <v>38254.66667</v>
      </c>
      <c r="B249" s="1">
        <f>IFERROR(__xludf.DUMMYFUNCTION("""COMPUTED_VALUE"""),55.71)</f>
        <v>55.71</v>
      </c>
      <c r="C249" s="1">
        <f>IFERROR(__xludf.DUMMYFUNCTION("""COMPUTED_VALUE"""),55.72)</f>
        <v>55.72</v>
      </c>
      <c r="D249" s="1">
        <f>IFERROR(__xludf.DUMMYFUNCTION("""COMPUTED_VALUE"""),53.82)</f>
        <v>53.82</v>
      </c>
      <c r="E249" s="1">
        <f>IFERROR(__xludf.DUMMYFUNCTION("""COMPUTED_VALUE"""),54.08)</f>
        <v>54.08</v>
      </c>
      <c r="F249" s="1">
        <f>IFERROR(__xludf.DUMMYFUNCTION("""COMPUTED_VALUE"""),3.48682E7)</f>
        <v>34868200</v>
      </c>
    </row>
    <row r="250">
      <c r="A250" s="2">
        <f>IFERROR(__xludf.DUMMYFUNCTION("""COMPUTED_VALUE"""),38261.666666666664)</f>
        <v>38261.66667</v>
      </c>
      <c r="B250" s="1">
        <f>IFERROR(__xludf.DUMMYFUNCTION("""COMPUTED_VALUE"""),53.92)</f>
        <v>53.92</v>
      </c>
      <c r="C250" s="1">
        <f>IFERROR(__xludf.DUMMYFUNCTION("""COMPUTED_VALUE"""),54.72)</f>
        <v>54.72</v>
      </c>
      <c r="D250" s="1">
        <f>IFERROR(__xludf.DUMMYFUNCTION("""COMPUTED_VALUE"""),53.27)</f>
        <v>53.27</v>
      </c>
      <c r="E250" s="1">
        <f>IFERROR(__xludf.DUMMYFUNCTION("""COMPUTED_VALUE"""),54.66)</f>
        <v>54.66</v>
      </c>
      <c r="F250" s="1">
        <f>IFERROR(__xludf.DUMMYFUNCTION("""COMPUTED_VALUE"""),2.85761E7)</f>
        <v>28576100</v>
      </c>
    </row>
    <row r="251">
      <c r="A251" s="2">
        <f>IFERROR(__xludf.DUMMYFUNCTION("""COMPUTED_VALUE"""),38268.666666666664)</f>
        <v>38268.66667</v>
      </c>
      <c r="B251" s="1">
        <f>IFERROR(__xludf.DUMMYFUNCTION("""COMPUTED_VALUE"""),54.74)</f>
        <v>54.74</v>
      </c>
      <c r="C251" s="1">
        <f>IFERROR(__xludf.DUMMYFUNCTION("""COMPUTED_VALUE"""),54.9)</f>
        <v>54.9</v>
      </c>
      <c r="D251" s="1">
        <f>IFERROR(__xludf.DUMMYFUNCTION("""COMPUTED_VALUE"""),53.22)</f>
        <v>53.22</v>
      </c>
      <c r="E251" s="1">
        <f>IFERROR(__xludf.DUMMYFUNCTION("""COMPUTED_VALUE"""),53.45)</f>
        <v>53.45</v>
      </c>
      <c r="F251" s="1">
        <f>IFERROR(__xludf.DUMMYFUNCTION("""COMPUTED_VALUE"""),2.35903E7)</f>
        <v>23590300</v>
      </c>
    </row>
    <row r="252">
      <c r="A252" s="2">
        <f>IFERROR(__xludf.DUMMYFUNCTION("""COMPUTED_VALUE"""),38275.666666666664)</f>
        <v>38275.66667</v>
      </c>
      <c r="B252" s="1">
        <f>IFERROR(__xludf.DUMMYFUNCTION("""COMPUTED_VALUE"""),53.64)</f>
        <v>53.64</v>
      </c>
      <c r="C252" s="1">
        <f>IFERROR(__xludf.DUMMYFUNCTION("""COMPUTED_VALUE"""),54.38)</f>
        <v>54.38</v>
      </c>
      <c r="D252" s="1">
        <f>IFERROR(__xludf.DUMMYFUNCTION("""COMPUTED_VALUE"""),52.77)</f>
        <v>52.77</v>
      </c>
      <c r="E252" s="1">
        <f>IFERROR(__xludf.DUMMYFUNCTION("""COMPUTED_VALUE"""),53.69)</f>
        <v>53.69</v>
      </c>
      <c r="F252" s="1">
        <f>IFERROR(__xludf.DUMMYFUNCTION("""COMPUTED_VALUE"""),2.26882E7)</f>
        <v>22688200</v>
      </c>
    </row>
    <row r="253">
      <c r="A253" s="2">
        <f>IFERROR(__xludf.DUMMYFUNCTION("""COMPUTED_VALUE"""),38282.666666666664)</f>
        <v>38282.66667</v>
      </c>
      <c r="B253" s="1">
        <f>IFERROR(__xludf.DUMMYFUNCTION("""COMPUTED_VALUE"""),53.61)</f>
        <v>53.61</v>
      </c>
      <c r="C253" s="1">
        <f>IFERROR(__xludf.DUMMYFUNCTION("""COMPUTED_VALUE"""),53.98)</f>
        <v>53.98</v>
      </c>
      <c r="D253" s="1">
        <f>IFERROR(__xludf.DUMMYFUNCTION("""COMPUTED_VALUE"""),52.77)</f>
        <v>52.77</v>
      </c>
      <c r="E253" s="1">
        <f>IFERROR(__xludf.DUMMYFUNCTION("""COMPUTED_VALUE"""),53.05)</f>
        <v>53.05</v>
      </c>
      <c r="F253" s="1">
        <f>IFERROR(__xludf.DUMMYFUNCTION("""COMPUTED_VALUE"""),2.11603E7)</f>
        <v>21160300</v>
      </c>
    </row>
    <row r="254">
      <c r="A254" s="2">
        <f>IFERROR(__xludf.DUMMYFUNCTION("""COMPUTED_VALUE"""),38289.666666666664)</f>
        <v>38289.66667</v>
      </c>
      <c r="B254" s="1">
        <f>IFERROR(__xludf.DUMMYFUNCTION("""COMPUTED_VALUE"""),53.0)</f>
        <v>53</v>
      </c>
      <c r="C254" s="1">
        <f>IFERROR(__xludf.DUMMYFUNCTION("""COMPUTED_VALUE"""),53.21)</f>
        <v>53.21</v>
      </c>
      <c r="D254" s="1">
        <f>IFERROR(__xludf.DUMMYFUNCTION("""COMPUTED_VALUE"""),50.53)</f>
        <v>50.53</v>
      </c>
      <c r="E254" s="1">
        <f>IFERROR(__xludf.DUMMYFUNCTION("""COMPUTED_VALUE"""),51.18)</f>
        <v>51.18</v>
      </c>
      <c r="F254" s="1">
        <f>IFERROR(__xludf.DUMMYFUNCTION("""COMPUTED_VALUE"""),5.26888E7)</f>
        <v>52688800</v>
      </c>
    </row>
    <row r="255">
      <c r="A255" s="2">
        <f>IFERROR(__xludf.DUMMYFUNCTION("""COMPUTED_VALUE"""),38296.666666666664)</f>
        <v>38296.66667</v>
      </c>
      <c r="B255" s="1">
        <f>IFERROR(__xludf.DUMMYFUNCTION("""COMPUTED_VALUE"""),51.25)</f>
        <v>51.25</v>
      </c>
      <c r="C255" s="1">
        <f>IFERROR(__xludf.DUMMYFUNCTION("""COMPUTED_VALUE"""),53.89)</f>
        <v>53.89</v>
      </c>
      <c r="D255" s="1">
        <f>IFERROR(__xludf.DUMMYFUNCTION("""COMPUTED_VALUE"""),50.79)</f>
        <v>50.79</v>
      </c>
      <c r="E255" s="1">
        <f>IFERROR(__xludf.DUMMYFUNCTION("""COMPUTED_VALUE"""),53.52)</f>
        <v>53.52</v>
      </c>
      <c r="F255" s="1">
        <f>IFERROR(__xludf.DUMMYFUNCTION("""COMPUTED_VALUE"""),3.55104E7)</f>
        <v>35510400</v>
      </c>
    </row>
    <row r="256">
      <c r="A256" s="2">
        <f>IFERROR(__xludf.DUMMYFUNCTION("""COMPUTED_VALUE"""),38303.666666666664)</f>
        <v>38303.66667</v>
      </c>
      <c r="B256" s="1">
        <f>IFERROR(__xludf.DUMMYFUNCTION("""COMPUTED_VALUE"""),53.52)</f>
        <v>53.52</v>
      </c>
      <c r="C256" s="1">
        <f>IFERROR(__xludf.DUMMYFUNCTION("""COMPUTED_VALUE"""),54.76)</f>
        <v>54.76</v>
      </c>
      <c r="D256" s="1">
        <f>IFERROR(__xludf.DUMMYFUNCTION("""COMPUTED_VALUE"""),52.7)</f>
        <v>52.7</v>
      </c>
      <c r="E256" s="1">
        <f>IFERROR(__xludf.DUMMYFUNCTION("""COMPUTED_VALUE"""),54.6)</f>
        <v>54.6</v>
      </c>
      <c r="F256" s="1">
        <f>IFERROR(__xludf.DUMMYFUNCTION("""COMPUTED_VALUE"""),2.72049E7)</f>
        <v>27204900</v>
      </c>
    </row>
    <row r="257">
      <c r="A257" s="2">
        <f>IFERROR(__xludf.DUMMYFUNCTION("""COMPUTED_VALUE"""),38310.666666666664)</f>
        <v>38310.66667</v>
      </c>
      <c r="B257" s="1">
        <f>IFERROR(__xludf.DUMMYFUNCTION("""COMPUTED_VALUE"""),54.6)</f>
        <v>54.6</v>
      </c>
      <c r="C257" s="1">
        <f>IFERROR(__xludf.DUMMYFUNCTION("""COMPUTED_VALUE"""),54.95)</f>
        <v>54.95</v>
      </c>
      <c r="D257" s="1">
        <f>IFERROR(__xludf.DUMMYFUNCTION("""COMPUTED_VALUE"""),54.04)</f>
        <v>54.04</v>
      </c>
      <c r="E257" s="1">
        <f>IFERROR(__xludf.DUMMYFUNCTION("""COMPUTED_VALUE"""),54.32)</f>
        <v>54.32</v>
      </c>
      <c r="F257" s="1">
        <f>IFERROR(__xludf.DUMMYFUNCTION("""COMPUTED_VALUE"""),2.25462E7)</f>
        <v>22546200</v>
      </c>
    </row>
    <row r="258">
      <c r="A258" s="2">
        <f>IFERROR(__xludf.DUMMYFUNCTION("""COMPUTED_VALUE"""),38317.666666666664)</f>
        <v>38317.66667</v>
      </c>
      <c r="B258" s="1">
        <f>IFERROR(__xludf.DUMMYFUNCTION("""COMPUTED_VALUE"""),54.08)</f>
        <v>54.08</v>
      </c>
      <c r="C258" s="1">
        <f>IFERROR(__xludf.DUMMYFUNCTION("""COMPUTED_VALUE"""),54.58)</f>
        <v>54.58</v>
      </c>
      <c r="D258" s="1">
        <f>IFERROR(__xludf.DUMMYFUNCTION("""COMPUTED_VALUE"""),53.64)</f>
        <v>53.64</v>
      </c>
      <c r="E258" s="1">
        <f>IFERROR(__xludf.DUMMYFUNCTION("""COMPUTED_VALUE"""),53.64)</f>
        <v>53.64</v>
      </c>
      <c r="F258" s="1">
        <f>IFERROR(__xludf.DUMMYFUNCTION("""COMPUTED_VALUE"""),1.31145E7)</f>
        <v>13114500</v>
      </c>
    </row>
    <row r="259">
      <c r="A259" s="2">
        <f>IFERROR(__xludf.DUMMYFUNCTION("""COMPUTED_VALUE"""),38324.666666666664)</f>
        <v>38324.66667</v>
      </c>
      <c r="B259" s="1">
        <f>IFERROR(__xludf.DUMMYFUNCTION("""COMPUTED_VALUE"""),53.97)</f>
        <v>53.97</v>
      </c>
      <c r="C259" s="1">
        <f>IFERROR(__xludf.DUMMYFUNCTION("""COMPUTED_VALUE"""),55.82)</f>
        <v>55.82</v>
      </c>
      <c r="D259" s="1">
        <f>IFERROR(__xludf.DUMMYFUNCTION("""COMPUTED_VALUE"""),53.48)</f>
        <v>53.48</v>
      </c>
      <c r="E259" s="1">
        <f>IFERROR(__xludf.DUMMYFUNCTION("""COMPUTED_VALUE"""),55.39)</f>
        <v>55.39</v>
      </c>
      <c r="F259" s="1">
        <f>IFERROR(__xludf.DUMMYFUNCTION("""COMPUTED_VALUE"""),3.08361E7)</f>
        <v>30836100</v>
      </c>
    </row>
    <row r="260">
      <c r="A260" s="2">
        <f>IFERROR(__xludf.DUMMYFUNCTION("""COMPUTED_VALUE"""),38331.666666666664)</f>
        <v>38331.66667</v>
      </c>
      <c r="B260" s="1">
        <f>IFERROR(__xludf.DUMMYFUNCTION("""COMPUTED_VALUE"""),55.1)</f>
        <v>55.1</v>
      </c>
      <c r="C260" s="1">
        <f>IFERROR(__xludf.DUMMYFUNCTION("""COMPUTED_VALUE"""),57.4)</f>
        <v>57.4</v>
      </c>
      <c r="D260" s="1">
        <f>IFERROR(__xludf.DUMMYFUNCTION("""COMPUTED_VALUE"""),54.02)</f>
        <v>54.02</v>
      </c>
      <c r="E260" s="1">
        <f>IFERROR(__xludf.DUMMYFUNCTION("""COMPUTED_VALUE"""),56.44)</f>
        <v>56.44</v>
      </c>
      <c r="F260" s="1">
        <f>IFERROR(__xludf.DUMMYFUNCTION("""COMPUTED_VALUE"""),3.18085E7)</f>
        <v>31808500</v>
      </c>
    </row>
    <row r="261">
      <c r="A261" s="2">
        <f>IFERROR(__xludf.DUMMYFUNCTION("""COMPUTED_VALUE"""),38338.666666666664)</f>
        <v>38338.66667</v>
      </c>
      <c r="B261" s="1">
        <f>IFERROR(__xludf.DUMMYFUNCTION("""COMPUTED_VALUE"""),56.44)</f>
        <v>56.44</v>
      </c>
      <c r="C261" s="1">
        <f>IFERROR(__xludf.DUMMYFUNCTION("""COMPUTED_VALUE"""),56.69)</f>
        <v>56.69</v>
      </c>
      <c r="D261" s="1">
        <f>IFERROR(__xludf.DUMMYFUNCTION("""COMPUTED_VALUE"""),55.35)</f>
        <v>55.35</v>
      </c>
      <c r="E261" s="1">
        <f>IFERROR(__xludf.DUMMYFUNCTION("""COMPUTED_VALUE"""),55.44)</f>
        <v>55.44</v>
      </c>
      <c r="F261" s="1">
        <f>IFERROR(__xludf.DUMMYFUNCTION("""COMPUTED_VALUE"""),2.8522E7)</f>
        <v>28522000</v>
      </c>
    </row>
    <row r="262">
      <c r="A262" s="2">
        <f>IFERROR(__xludf.DUMMYFUNCTION("""COMPUTED_VALUE"""),38344.666666666664)</f>
        <v>38344.66667</v>
      </c>
      <c r="B262" s="1">
        <f>IFERROR(__xludf.DUMMYFUNCTION("""COMPUTED_VALUE"""),55.7)</f>
        <v>55.7</v>
      </c>
      <c r="C262" s="1">
        <f>IFERROR(__xludf.DUMMYFUNCTION("""COMPUTED_VALUE"""),56.24)</f>
        <v>56.24</v>
      </c>
      <c r="D262" s="1">
        <f>IFERROR(__xludf.DUMMYFUNCTION("""COMPUTED_VALUE"""),55.35)</f>
        <v>55.35</v>
      </c>
      <c r="E262" s="1">
        <f>IFERROR(__xludf.DUMMYFUNCTION("""COMPUTED_VALUE"""),55.59)</f>
        <v>55.59</v>
      </c>
      <c r="F262" s="1">
        <f>IFERROR(__xludf.DUMMYFUNCTION("""COMPUTED_VALUE"""),1.64487E7)</f>
        <v>16448700</v>
      </c>
    </row>
    <row r="263">
      <c r="A263" s="2">
        <f>IFERROR(__xludf.DUMMYFUNCTION("""COMPUTED_VALUE"""),38352.666666666664)</f>
        <v>38352.66667</v>
      </c>
      <c r="B263" s="1">
        <f>IFERROR(__xludf.DUMMYFUNCTION("""COMPUTED_VALUE"""),55.8)</f>
        <v>55.8</v>
      </c>
      <c r="C263" s="1">
        <f>IFERROR(__xludf.DUMMYFUNCTION("""COMPUTED_VALUE"""),55.96)</f>
        <v>55.96</v>
      </c>
      <c r="D263" s="1">
        <f>IFERROR(__xludf.DUMMYFUNCTION("""COMPUTED_VALUE"""),55.01)</f>
        <v>55.01</v>
      </c>
      <c r="E263" s="1">
        <f>IFERROR(__xludf.DUMMYFUNCTION("""COMPUTED_VALUE"""),55.08)</f>
        <v>55.08</v>
      </c>
      <c r="F263" s="1">
        <f>IFERROR(__xludf.DUMMYFUNCTION("""COMPUTED_VALUE"""),1.67557E7)</f>
        <v>16755700</v>
      </c>
    </row>
    <row r="264">
      <c r="A264" s="2">
        <f>IFERROR(__xludf.DUMMYFUNCTION("""COMPUTED_VALUE"""),38359.666666666664)</f>
        <v>38359.66667</v>
      </c>
      <c r="B264" s="1">
        <f>IFERROR(__xludf.DUMMYFUNCTION("""COMPUTED_VALUE"""),55.65)</f>
        <v>55.65</v>
      </c>
      <c r="C264" s="1">
        <f>IFERROR(__xludf.DUMMYFUNCTION("""COMPUTED_VALUE"""),56.15)</f>
        <v>56.15</v>
      </c>
      <c r="D264" s="1">
        <f>IFERROR(__xludf.DUMMYFUNCTION("""COMPUTED_VALUE"""),54.49)</f>
        <v>54.49</v>
      </c>
      <c r="E264" s="1">
        <f>IFERROR(__xludf.DUMMYFUNCTION("""COMPUTED_VALUE"""),55.92)</f>
        <v>55.92</v>
      </c>
      <c r="F264" s="1">
        <f>IFERROR(__xludf.DUMMYFUNCTION("""COMPUTED_VALUE"""),2.91961E7)</f>
        <v>29196100</v>
      </c>
    </row>
    <row r="265">
      <c r="A265" s="2">
        <f>IFERROR(__xludf.DUMMYFUNCTION("""COMPUTED_VALUE"""),38366.666666666664)</f>
        <v>38366.66667</v>
      </c>
      <c r="B265" s="1">
        <f>IFERROR(__xludf.DUMMYFUNCTION("""COMPUTED_VALUE"""),56.02)</f>
        <v>56.02</v>
      </c>
      <c r="C265" s="1">
        <f>IFERROR(__xludf.DUMMYFUNCTION("""COMPUTED_VALUE"""),56.64)</f>
        <v>56.64</v>
      </c>
      <c r="D265" s="1">
        <f>IFERROR(__xludf.DUMMYFUNCTION("""COMPUTED_VALUE"""),55.34)</f>
        <v>55.34</v>
      </c>
      <c r="E265" s="1">
        <f>IFERROR(__xludf.DUMMYFUNCTION("""COMPUTED_VALUE"""),55.88)</f>
        <v>55.88</v>
      </c>
      <c r="F265" s="1">
        <f>IFERROR(__xludf.DUMMYFUNCTION("""COMPUTED_VALUE"""),2.66861E7)</f>
        <v>26686100</v>
      </c>
    </row>
    <row r="266">
      <c r="A266" s="2">
        <f>IFERROR(__xludf.DUMMYFUNCTION("""COMPUTED_VALUE"""),38373.666666666664)</f>
        <v>38373.66667</v>
      </c>
      <c r="B266" s="1">
        <f>IFERROR(__xludf.DUMMYFUNCTION("""COMPUTED_VALUE"""),55.48)</f>
        <v>55.48</v>
      </c>
      <c r="C266" s="1">
        <f>IFERROR(__xludf.DUMMYFUNCTION("""COMPUTED_VALUE"""),57.04)</f>
        <v>57.04</v>
      </c>
      <c r="D266" s="1">
        <f>IFERROR(__xludf.DUMMYFUNCTION("""COMPUTED_VALUE"""),53.03)</f>
        <v>53.03</v>
      </c>
      <c r="E266" s="1">
        <f>IFERROR(__xludf.DUMMYFUNCTION("""COMPUTED_VALUE"""),55.65)</f>
        <v>55.65</v>
      </c>
      <c r="F266" s="1">
        <f>IFERROR(__xludf.DUMMYFUNCTION("""COMPUTED_VALUE"""),2.523E7)</f>
        <v>25230000</v>
      </c>
    </row>
    <row r="267">
      <c r="A267" s="2">
        <f>IFERROR(__xludf.DUMMYFUNCTION("""COMPUTED_VALUE"""),38380.666666666664)</f>
        <v>38380.66667</v>
      </c>
      <c r="B267" s="1">
        <f>IFERROR(__xludf.DUMMYFUNCTION("""COMPUTED_VALUE"""),54.9)</f>
        <v>54.9</v>
      </c>
      <c r="C267" s="1">
        <f>IFERROR(__xludf.DUMMYFUNCTION("""COMPUTED_VALUE"""),56.18)</f>
        <v>56.18</v>
      </c>
      <c r="D267" s="1">
        <f>IFERROR(__xludf.DUMMYFUNCTION("""COMPUTED_VALUE"""),52.14)</f>
        <v>52.14</v>
      </c>
      <c r="E267" s="1">
        <f>IFERROR(__xludf.DUMMYFUNCTION("""COMPUTED_VALUE"""),54.15)</f>
        <v>54.15</v>
      </c>
      <c r="F267" s="1">
        <f>IFERROR(__xludf.DUMMYFUNCTION("""COMPUTED_VALUE"""),7.85031E7)</f>
        <v>78503100</v>
      </c>
    </row>
    <row r="268">
      <c r="A268" s="2">
        <f>IFERROR(__xludf.DUMMYFUNCTION("""COMPUTED_VALUE"""),38387.666666666664)</f>
        <v>38387.66667</v>
      </c>
      <c r="B268" s="1">
        <f>IFERROR(__xludf.DUMMYFUNCTION("""COMPUTED_VALUE"""),54.4)</f>
        <v>54.4</v>
      </c>
      <c r="C268" s="1">
        <f>IFERROR(__xludf.DUMMYFUNCTION("""COMPUTED_VALUE"""),54.52)</f>
        <v>54.52</v>
      </c>
      <c r="D268" s="1">
        <f>IFERROR(__xludf.DUMMYFUNCTION("""COMPUTED_VALUE"""),52.34)</f>
        <v>52.34</v>
      </c>
      <c r="E268" s="1">
        <f>IFERROR(__xludf.DUMMYFUNCTION("""COMPUTED_VALUE"""),52.62)</f>
        <v>52.62</v>
      </c>
      <c r="F268" s="1">
        <f>IFERROR(__xludf.DUMMYFUNCTION("""COMPUTED_VALUE"""),7.17366E7)</f>
        <v>71736600</v>
      </c>
    </row>
    <row r="269">
      <c r="A269" s="2">
        <f>IFERROR(__xludf.DUMMYFUNCTION("""COMPUTED_VALUE"""),38394.666666666664)</f>
        <v>38394.66667</v>
      </c>
      <c r="B269" s="1">
        <f>IFERROR(__xludf.DUMMYFUNCTION("""COMPUTED_VALUE"""),52.62)</f>
        <v>52.62</v>
      </c>
      <c r="C269" s="1">
        <f>IFERROR(__xludf.DUMMYFUNCTION("""COMPUTED_VALUE"""),52.99)</f>
        <v>52.99</v>
      </c>
      <c r="D269" s="1">
        <f>IFERROR(__xludf.DUMMYFUNCTION("""COMPUTED_VALUE"""),51.16)</f>
        <v>51.16</v>
      </c>
      <c r="E269" s="1">
        <f>IFERROR(__xludf.DUMMYFUNCTION("""COMPUTED_VALUE"""),52.15)</f>
        <v>52.15</v>
      </c>
      <c r="F269" s="1">
        <f>IFERROR(__xludf.DUMMYFUNCTION("""COMPUTED_VALUE"""),5.88846E7)</f>
        <v>58884600</v>
      </c>
    </row>
    <row r="270">
      <c r="A270" s="2">
        <f>IFERROR(__xludf.DUMMYFUNCTION("""COMPUTED_VALUE"""),38401.666666666664)</f>
        <v>38401.66667</v>
      </c>
      <c r="B270" s="1">
        <f>IFERROR(__xludf.DUMMYFUNCTION("""COMPUTED_VALUE"""),52.41)</f>
        <v>52.41</v>
      </c>
      <c r="C270" s="1">
        <f>IFERROR(__xludf.DUMMYFUNCTION("""COMPUTED_VALUE"""),53.92)</f>
        <v>53.92</v>
      </c>
      <c r="D270" s="1">
        <f>IFERROR(__xludf.DUMMYFUNCTION("""COMPUTED_VALUE"""),52.33)</f>
        <v>52.33</v>
      </c>
      <c r="E270" s="1">
        <f>IFERROR(__xludf.DUMMYFUNCTION("""COMPUTED_VALUE"""),53.5)</f>
        <v>53.5</v>
      </c>
      <c r="F270" s="1">
        <f>IFERROR(__xludf.DUMMYFUNCTION("""COMPUTED_VALUE"""),4.8757E7)</f>
        <v>48757000</v>
      </c>
    </row>
    <row r="271">
      <c r="A271" s="2">
        <f>IFERROR(__xludf.DUMMYFUNCTION("""COMPUTED_VALUE"""),38408.666666666664)</f>
        <v>38408.66667</v>
      </c>
      <c r="B271" s="1">
        <f>IFERROR(__xludf.DUMMYFUNCTION("""COMPUTED_VALUE"""),53.15)</f>
        <v>53.15</v>
      </c>
      <c r="C271" s="1">
        <f>IFERROR(__xludf.DUMMYFUNCTION("""COMPUTED_VALUE"""),54.19)</f>
        <v>54.19</v>
      </c>
      <c r="D271" s="1">
        <f>IFERROR(__xludf.DUMMYFUNCTION("""COMPUTED_VALUE"""),52.25)</f>
        <v>52.25</v>
      </c>
      <c r="E271" s="1">
        <f>IFERROR(__xludf.DUMMYFUNCTION("""COMPUTED_VALUE"""),54.19)</f>
        <v>54.19</v>
      </c>
      <c r="F271" s="1">
        <f>IFERROR(__xludf.DUMMYFUNCTION("""COMPUTED_VALUE"""),3.48577E7)</f>
        <v>34857700</v>
      </c>
    </row>
    <row r="272">
      <c r="A272" s="2">
        <f>IFERROR(__xludf.DUMMYFUNCTION("""COMPUTED_VALUE"""),38415.666666666664)</f>
        <v>38415.66667</v>
      </c>
      <c r="B272" s="1">
        <f>IFERROR(__xludf.DUMMYFUNCTION("""COMPUTED_VALUE"""),54.19)</f>
        <v>54.19</v>
      </c>
      <c r="C272" s="1">
        <f>IFERROR(__xludf.DUMMYFUNCTION("""COMPUTED_VALUE"""),54.2)</f>
        <v>54.2</v>
      </c>
      <c r="D272" s="1">
        <f>IFERROR(__xludf.DUMMYFUNCTION("""COMPUTED_VALUE"""),53.0)</f>
        <v>53</v>
      </c>
      <c r="E272" s="1">
        <f>IFERROR(__xludf.DUMMYFUNCTION("""COMPUTED_VALUE"""),53.85)</f>
        <v>53.85</v>
      </c>
      <c r="F272" s="1">
        <f>IFERROR(__xludf.DUMMYFUNCTION("""COMPUTED_VALUE"""),3.18902E7)</f>
        <v>31890200</v>
      </c>
    </row>
    <row r="273">
      <c r="A273" s="2">
        <f>IFERROR(__xludf.DUMMYFUNCTION("""COMPUTED_VALUE"""),38422.666666666664)</f>
        <v>38422.66667</v>
      </c>
      <c r="B273" s="1">
        <f>IFERROR(__xludf.DUMMYFUNCTION("""COMPUTED_VALUE"""),53.98)</f>
        <v>53.98</v>
      </c>
      <c r="C273" s="1">
        <f>IFERROR(__xludf.DUMMYFUNCTION("""COMPUTED_VALUE"""),53.98)</f>
        <v>53.98</v>
      </c>
      <c r="D273" s="1">
        <f>IFERROR(__xludf.DUMMYFUNCTION("""COMPUTED_VALUE"""),52.48)</f>
        <v>52.48</v>
      </c>
      <c r="E273" s="1">
        <f>IFERROR(__xludf.DUMMYFUNCTION("""COMPUTED_VALUE"""),52.51)</f>
        <v>52.51</v>
      </c>
      <c r="F273" s="1">
        <f>IFERROR(__xludf.DUMMYFUNCTION("""COMPUTED_VALUE"""),2.75325E7)</f>
        <v>27532500</v>
      </c>
    </row>
    <row r="274">
      <c r="A274" s="2">
        <f>IFERROR(__xludf.DUMMYFUNCTION("""COMPUTED_VALUE"""),38429.666666666664)</f>
        <v>38429.66667</v>
      </c>
      <c r="B274" s="1">
        <f>IFERROR(__xludf.DUMMYFUNCTION("""COMPUTED_VALUE"""),52.81)</f>
        <v>52.81</v>
      </c>
      <c r="C274" s="1">
        <f>IFERROR(__xludf.DUMMYFUNCTION("""COMPUTED_VALUE"""),53.5)</f>
        <v>53.5</v>
      </c>
      <c r="D274" s="1">
        <f>IFERROR(__xludf.DUMMYFUNCTION("""COMPUTED_VALUE"""),52.42)</f>
        <v>52.42</v>
      </c>
      <c r="E274" s="1">
        <f>IFERROR(__xludf.DUMMYFUNCTION("""COMPUTED_VALUE"""),53.4)</f>
        <v>53.4</v>
      </c>
      <c r="F274" s="1">
        <f>IFERROR(__xludf.DUMMYFUNCTION("""COMPUTED_VALUE"""),3.20434E7)</f>
        <v>32043400</v>
      </c>
    </row>
    <row r="275">
      <c r="A275" s="2">
        <f>IFERROR(__xludf.DUMMYFUNCTION("""COMPUTED_VALUE"""),38435.666666666664)</f>
        <v>38435.66667</v>
      </c>
      <c r="B275" s="1">
        <f>IFERROR(__xludf.DUMMYFUNCTION("""COMPUTED_VALUE"""),53.55)</f>
        <v>53.55</v>
      </c>
      <c r="C275" s="1">
        <f>IFERROR(__xludf.DUMMYFUNCTION("""COMPUTED_VALUE"""),53.6)</f>
        <v>53.6</v>
      </c>
      <c r="D275" s="1">
        <f>IFERROR(__xludf.DUMMYFUNCTION("""COMPUTED_VALUE"""),51.99)</f>
        <v>51.99</v>
      </c>
      <c r="E275" s="1">
        <f>IFERROR(__xludf.DUMMYFUNCTION("""COMPUTED_VALUE"""),52.6)</f>
        <v>52.6</v>
      </c>
      <c r="F275" s="1">
        <f>IFERROR(__xludf.DUMMYFUNCTION("""COMPUTED_VALUE"""),2.56012E7)</f>
        <v>25601200</v>
      </c>
    </row>
    <row r="276">
      <c r="A276" s="2">
        <f>IFERROR(__xludf.DUMMYFUNCTION("""COMPUTED_VALUE"""),38443.666666666664)</f>
        <v>38443.66667</v>
      </c>
      <c r="B276" s="1">
        <f>IFERROR(__xludf.DUMMYFUNCTION("""COMPUTED_VALUE"""),52.55)</f>
        <v>52.55</v>
      </c>
      <c r="C276" s="1">
        <f>IFERROR(__xludf.DUMMYFUNCTION("""COMPUTED_VALUE"""),53.56)</f>
        <v>53.56</v>
      </c>
      <c r="D276" s="1">
        <f>IFERROR(__xludf.DUMMYFUNCTION("""COMPUTED_VALUE"""),51.86)</f>
        <v>51.86</v>
      </c>
      <c r="E276" s="1">
        <f>IFERROR(__xludf.DUMMYFUNCTION("""COMPUTED_VALUE"""),52.61)</f>
        <v>52.61</v>
      </c>
      <c r="F276" s="1">
        <f>IFERROR(__xludf.DUMMYFUNCTION("""COMPUTED_VALUE"""),3.30677E7)</f>
        <v>33067700</v>
      </c>
    </row>
    <row r="277">
      <c r="A277" s="2">
        <f>IFERROR(__xludf.DUMMYFUNCTION("""COMPUTED_VALUE"""),38450.666666666664)</f>
        <v>38450.66667</v>
      </c>
      <c r="B277" s="1">
        <f>IFERROR(__xludf.DUMMYFUNCTION("""COMPUTED_VALUE"""),53.18)</f>
        <v>53.18</v>
      </c>
      <c r="C277" s="1">
        <f>IFERROR(__xludf.DUMMYFUNCTION("""COMPUTED_VALUE"""),55.07)</f>
        <v>55.07</v>
      </c>
      <c r="D277" s="1">
        <f>IFERROR(__xludf.DUMMYFUNCTION("""COMPUTED_VALUE"""),52.92)</f>
        <v>52.92</v>
      </c>
      <c r="E277" s="1">
        <f>IFERROR(__xludf.DUMMYFUNCTION("""COMPUTED_VALUE"""),54.5)</f>
        <v>54.5</v>
      </c>
      <c r="F277" s="1">
        <f>IFERROR(__xludf.DUMMYFUNCTION("""COMPUTED_VALUE"""),3.32139E7)</f>
        <v>33213900</v>
      </c>
    </row>
    <row r="278">
      <c r="A278" s="2">
        <f>IFERROR(__xludf.DUMMYFUNCTION("""COMPUTED_VALUE"""),38457.666666666664)</f>
        <v>38457.66667</v>
      </c>
      <c r="B278" s="1">
        <f>IFERROR(__xludf.DUMMYFUNCTION("""COMPUTED_VALUE"""),54.5)</f>
        <v>54.5</v>
      </c>
      <c r="C278" s="1">
        <f>IFERROR(__xludf.DUMMYFUNCTION("""COMPUTED_VALUE"""),55.88)</f>
        <v>55.88</v>
      </c>
      <c r="D278" s="1">
        <f>IFERROR(__xludf.DUMMYFUNCTION("""COMPUTED_VALUE"""),54.5)</f>
        <v>54.5</v>
      </c>
      <c r="E278" s="1">
        <f>IFERROR(__xludf.DUMMYFUNCTION("""COMPUTED_VALUE"""),54.8)</f>
        <v>54.8</v>
      </c>
      <c r="F278" s="1">
        <f>IFERROR(__xludf.DUMMYFUNCTION("""COMPUTED_VALUE"""),4.05289E7)</f>
        <v>40528900</v>
      </c>
    </row>
    <row r="279">
      <c r="A279" s="2">
        <f>IFERROR(__xludf.DUMMYFUNCTION("""COMPUTED_VALUE"""),38464.666666666664)</f>
        <v>38464.66667</v>
      </c>
      <c r="B279" s="1">
        <f>IFERROR(__xludf.DUMMYFUNCTION("""COMPUTED_VALUE"""),54.8)</f>
        <v>54.8</v>
      </c>
      <c r="C279" s="1">
        <f>IFERROR(__xludf.DUMMYFUNCTION("""COMPUTED_VALUE"""),55.0)</f>
        <v>55</v>
      </c>
      <c r="D279" s="1">
        <f>IFERROR(__xludf.DUMMYFUNCTION("""COMPUTED_VALUE"""),53.25)</f>
        <v>53.25</v>
      </c>
      <c r="E279" s="1">
        <f>IFERROR(__xludf.DUMMYFUNCTION("""COMPUTED_VALUE"""),53.89)</f>
        <v>53.89</v>
      </c>
      <c r="F279" s="1">
        <f>IFERROR(__xludf.DUMMYFUNCTION("""COMPUTED_VALUE"""),3.33347E7)</f>
        <v>33334700</v>
      </c>
    </row>
    <row r="280">
      <c r="A280" s="2">
        <f>IFERROR(__xludf.DUMMYFUNCTION("""COMPUTED_VALUE"""),38471.666666666664)</f>
        <v>38471.66667</v>
      </c>
      <c r="B280" s="1">
        <f>IFERROR(__xludf.DUMMYFUNCTION("""COMPUTED_VALUE"""),54.13)</f>
        <v>54.13</v>
      </c>
      <c r="C280" s="1">
        <f>IFERROR(__xludf.DUMMYFUNCTION("""COMPUTED_VALUE"""),55.6)</f>
        <v>55.6</v>
      </c>
      <c r="D280" s="1">
        <f>IFERROR(__xludf.DUMMYFUNCTION("""COMPUTED_VALUE"""),52.54)</f>
        <v>52.54</v>
      </c>
      <c r="E280" s="1">
        <f>IFERROR(__xludf.DUMMYFUNCTION("""COMPUTED_VALUE"""),54.15)</f>
        <v>54.15</v>
      </c>
      <c r="F280" s="1">
        <f>IFERROR(__xludf.DUMMYFUNCTION("""COMPUTED_VALUE"""),4.24771E7)</f>
        <v>42477100</v>
      </c>
    </row>
    <row r="281">
      <c r="A281" s="2">
        <f>IFERROR(__xludf.DUMMYFUNCTION("""COMPUTED_VALUE"""),38478.666666666664)</f>
        <v>38478.66667</v>
      </c>
      <c r="B281" s="1">
        <f>IFERROR(__xludf.DUMMYFUNCTION("""COMPUTED_VALUE"""),54.15)</f>
        <v>54.15</v>
      </c>
      <c r="C281" s="1">
        <f>IFERROR(__xludf.DUMMYFUNCTION("""COMPUTED_VALUE"""),55.3)</f>
        <v>55.3</v>
      </c>
      <c r="D281" s="1">
        <f>IFERROR(__xludf.DUMMYFUNCTION("""COMPUTED_VALUE"""),54.01)</f>
        <v>54.01</v>
      </c>
      <c r="E281" s="1">
        <f>IFERROR(__xludf.DUMMYFUNCTION("""COMPUTED_VALUE"""),54.75)</f>
        <v>54.75</v>
      </c>
      <c r="F281" s="1">
        <f>IFERROR(__xludf.DUMMYFUNCTION("""COMPUTED_VALUE"""),2.94584E7)</f>
        <v>29458400</v>
      </c>
    </row>
    <row r="282">
      <c r="A282" s="2">
        <f>IFERROR(__xludf.DUMMYFUNCTION("""COMPUTED_VALUE"""),38485.666666666664)</f>
        <v>38485.66667</v>
      </c>
      <c r="B282" s="1">
        <f>IFERROR(__xludf.DUMMYFUNCTION("""COMPUTED_VALUE"""),54.75)</f>
        <v>54.75</v>
      </c>
      <c r="C282" s="1">
        <f>IFERROR(__xludf.DUMMYFUNCTION("""COMPUTED_VALUE"""),56.01)</f>
        <v>56.01</v>
      </c>
      <c r="D282" s="1">
        <f>IFERROR(__xludf.DUMMYFUNCTION("""COMPUTED_VALUE"""),54.25)</f>
        <v>54.25</v>
      </c>
      <c r="E282" s="1">
        <f>IFERROR(__xludf.DUMMYFUNCTION("""COMPUTED_VALUE"""),54.75)</f>
        <v>54.75</v>
      </c>
      <c r="F282" s="1">
        <f>IFERROR(__xludf.DUMMYFUNCTION("""COMPUTED_VALUE"""),3.51476E7)</f>
        <v>35147600</v>
      </c>
    </row>
    <row r="283">
      <c r="A283" s="2">
        <f>IFERROR(__xludf.DUMMYFUNCTION("""COMPUTED_VALUE"""),38492.666666666664)</f>
        <v>38492.66667</v>
      </c>
      <c r="B283" s="1">
        <f>IFERROR(__xludf.DUMMYFUNCTION("""COMPUTED_VALUE"""),54.92)</f>
        <v>54.92</v>
      </c>
      <c r="C283" s="1">
        <f>IFERROR(__xludf.DUMMYFUNCTION("""COMPUTED_VALUE"""),56.73)</f>
        <v>56.73</v>
      </c>
      <c r="D283" s="1">
        <f>IFERROR(__xludf.DUMMYFUNCTION("""COMPUTED_VALUE"""),54.8)</f>
        <v>54.8</v>
      </c>
      <c r="E283" s="1">
        <f>IFERROR(__xludf.DUMMYFUNCTION("""COMPUTED_VALUE"""),56.48)</f>
        <v>56.48</v>
      </c>
      <c r="F283" s="1">
        <f>IFERROR(__xludf.DUMMYFUNCTION("""COMPUTED_VALUE"""),3.28207E7)</f>
        <v>32820700</v>
      </c>
    </row>
    <row r="284">
      <c r="A284" s="2">
        <f>IFERROR(__xludf.DUMMYFUNCTION("""COMPUTED_VALUE"""),38499.666666666664)</f>
        <v>38499.66667</v>
      </c>
      <c r="B284" s="1">
        <f>IFERROR(__xludf.DUMMYFUNCTION("""COMPUTED_VALUE"""),56.38)</f>
        <v>56.38</v>
      </c>
      <c r="C284" s="1">
        <f>IFERROR(__xludf.DUMMYFUNCTION("""COMPUTED_VALUE"""),56.79)</f>
        <v>56.79</v>
      </c>
      <c r="D284" s="1">
        <f>IFERROR(__xludf.DUMMYFUNCTION("""COMPUTED_VALUE"""),55.34)</f>
        <v>55.34</v>
      </c>
      <c r="E284" s="1">
        <f>IFERROR(__xludf.DUMMYFUNCTION("""COMPUTED_VALUE"""),55.76)</f>
        <v>55.76</v>
      </c>
      <c r="F284" s="1">
        <f>IFERROR(__xludf.DUMMYFUNCTION("""COMPUTED_VALUE"""),2.49789E7)</f>
        <v>24978900</v>
      </c>
    </row>
    <row r="285">
      <c r="A285" s="2">
        <f>IFERROR(__xludf.DUMMYFUNCTION("""COMPUTED_VALUE"""),38506.666666666664)</f>
        <v>38506.66667</v>
      </c>
      <c r="B285" s="1">
        <f>IFERROR(__xludf.DUMMYFUNCTION("""COMPUTED_VALUE"""),55.42)</f>
        <v>55.42</v>
      </c>
      <c r="C285" s="1">
        <f>IFERROR(__xludf.DUMMYFUNCTION("""COMPUTED_VALUE"""),56.15)</f>
        <v>56.15</v>
      </c>
      <c r="D285" s="1">
        <f>IFERROR(__xludf.DUMMYFUNCTION("""COMPUTED_VALUE"""),55.0)</f>
        <v>55</v>
      </c>
      <c r="E285" s="1">
        <f>IFERROR(__xludf.DUMMYFUNCTION("""COMPUTED_VALUE"""),55.27)</f>
        <v>55.27</v>
      </c>
      <c r="F285" s="1">
        <f>IFERROR(__xludf.DUMMYFUNCTION("""COMPUTED_VALUE"""),2.18737E7)</f>
        <v>21873700</v>
      </c>
    </row>
    <row r="286">
      <c r="A286" s="2">
        <f>IFERROR(__xludf.DUMMYFUNCTION("""COMPUTED_VALUE"""),38513.666666666664)</f>
        <v>38513.66667</v>
      </c>
      <c r="B286" s="1">
        <f>IFERROR(__xludf.DUMMYFUNCTION("""COMPUTED_VALUE"""),55.18)</f>
        <v>55.18</v>
      </c>
      <c r="C286" s="1">
        <f>IFERROR(__xludf.DUMMYFUNCTION("""COMPUTED_VALUE"""),55.96)</f>
        <v>55.96</v>
      </c>
      <c r="D286" s="1">
        <f>IFERROR(__xludf.DUMMYFUNCTION("""COMPUTED_VALUE"""),54.4)</f>
        <v>54.4</v>
      </c>
      <c r="E286" s="1">
        <f>IFERROR(__xludf.DUMMYFUNCTION("""COMPUTED_VALUE"""),54.75)</f>
        <v>54.75</v>
      </c>
      <c r="F286" s="1">
        <f>IFERROR(__xludf.DUMMYFUNCTION("""COMPUTED_VALUE"""),2.538E7)</f>
        <v>25380000</v>
      </c>
    </row>
    <row r="287">
      <c r="A287" s="2">
        <f>IFERROR(__xludf.DUMMYFUNCTION("""COMPUTED_VALUE"""),38520.666666666664)</f>
        <v>38520.66667</v>
      </c>
      <c r="B287" s="1">
        <f>IFERROR(__xludf.DUMMYFUNCTION("""COMPUTED_VALUE"""),54.41)</f>
        <v>54.41</v>
      </c>
      <c r="C287" s="1">
        <f>IFERROR(__xludf.DUMMYFUNCTION("""COMPUTED_VALUE"""),54.89)</f>
        <v>54.89</v>
      </c>
      <c r="D287" s="1">
        <f>IFERROR(__xludf.DUMMYFUNCTION("""COMPUTED_VALUE"""),54.08)</f>
        <v>54.08</v>
      </c>
      <c r="E287" s="1">
        <f>IFERROR(__xludf.DUMMYFUNCTION("""COMPUTED_VALUE"""),54.42)</f>
        <v>54.42</v>
      </c>
      <c r="F287" s="1">
        <f>IFERROR(__xludf.DUMMYFUNCTION("""COMPUTED_VALUE"""),3.3918E7)</f>
        <v>33918000</v>
      </c>
    </row>
    <row r="288">
      <c r="A288" s="2">
        <f>IFERROR(__xludf.DUMMYFUNCTION("""COMPUTED_VALUE"""),38527.666666666664)</f>
        <v>38527.66667</v>
      </c>
      <c r="B288" s="1">
        <f>IFERROR(__xludf.DUMMYFUNCTION("""COMPUTED_VALUE"""),54.21)</f>
        <v>54.21</v>
      </c>
      <c r="C288" s="1">
        <f>IFERROR(__xludf.DUMMYFUNCTION("""COMPUTED_VALUE"""),54.52)</f>
        <v>54.52</v>
      </c>
      <c r="D288" s="1">
        <f>IFERROR(__xludf.DUMMYFUNCTION("""COMPUTED_VALUE"""),52.82)</f>
        <v>52.82</v>
      </c>
      <c r="E288" s="1">
        <f>IFERROR(__xludf.DUMMYFUNCTION("""COMPUTED_VALUE"""),52.82)</f>
        <v>52.82</v>
      </c>
      <c r="F288" s="1">
        <f>IFERROR(__xludf.DUMMYFUNCTION("""COMPUTED_VALUE"""),3.19337E7)</f>
        <v>31933700</v>
      </c>
    </row>
    <row r="289">
      <c r="A289" s="2">
        <f>IFERROR(__xludf.DUMMYFUNCTION("""COMPUTED_VALUE"""),38534.666666666664)</f>
        <v>38534.66667</v>
      </c>
      <c r="B289" s="1">
        <f>IFERROR(__xludf.DUMMYFUNCTION("""COMPUTED_VALUE"""),52.79)</f>
        <v>52.79</v>
      </c>
      <c r="C289" s="1">
        <f>IFERROR(__xludf.DUMMYFUNCTION("""COMPUTED_VALUE"""),54.07)</f>
        <v>54.07</v>
      </c>
      <c r="D289" s="1">
        <f>IFERROR(__xludf.DUMMYFUNCTION("""COMPUTED_VALUE"""),52.44)</f>
        <v>52.44</v>
      </c>
      <c r="E289" s="1">
        <f>IFERROR(__xludf.DUMMYFUNCTION("""COMPUTED_VALUE"""),52.9)</f>
        <v>52.9</v>
      </c>
      <c r="F289" s="1">
        <f>IFERROR(__xludf.DUMMYFUNCTION("""COMPUTED_VALUE"""),3.34693E7)</f>
        <v>33469300</v>
      </c>
    </row>
    <row r="290">
      <c r="A290" s="2">
        <f>IFERROR(__xludf.DUMMYFUNCTION("""COMPUTED_VALUE"""),38541.666666666664)</f>
        <v>38541.66667</v>
      </c>
      <c r="B290" s="1">
        <f>IFERROR(__xludf.DUMMYFUNCTION("""COMPUTED_VALUE"""),52.4)</f>
        <v>52.4</v>
      </c>
      <c r="C290" s="1">
        <f>IFERROR(__xludf.DUMMYFUNCTION("""COMPUTED_VALUE"""),53.17)</f>
        <v>53.17</v>
      </c>
      <c r="D290" s="1">
        <f>IFERROR(__xludf.DUMMYFUNCTION("""COMPUTED_VALUE"""),51.91)</f>
        <v>51.91</v>
      </c>
      <c r="E290" s="1">
        <f>IFERROR(__xludf.DUMMYFUNCTION("""COMPUTED_VALUE"""),52.96)</f>
        <v>52.96</v>
      </c>
      <c r="F290" s="1">
        <f>IFERROR(__xludf.DUMMYFUNCTION("""COMPUTED_VALUE"""),3.79964E7)</f>
        <v>37996400</v>
      </c>
    </row>
    <row r="291">
      <c r="A291" s="2">
        <f>IFERROR(__xludf.DUMMYFUNCTION("""COMPUTED_VALUE"""),38548.666666666664)</f>
        <v>38548.66667</v>
      </c>
      <c r="B291" s="1">
        <f>IFERROR(__xludf.DUMMYFUNCTION("""COMPUTED_VALUE"""),53.79)</f>
        <v>53.79</v>
      </c>
      <c r="C291" s="1">
        <f>IFERROR(__xludf.DUMMYFUNCTION("""COMPUTED_VALUE"""),55.2)</f>
        <v>55.2</v>
      </c>
      <c r="D291" s="1">
        <f>IFERROR(__xludf.DUMMYFUNCTION("""COMPUTED_VALUE"""),53.65)</f>
        <v>53.65</v>
      </c>
      <c r="E291" s="1">
        <f>IFERROR(__xludf.DUMMYFUNCTION("""COMPUTED_VALUE"""),54.5)</f>
        <v>54.5</v>
      </c>
      <c r="F291" s="1">
        <f>IFERROR(__xludf.DUMMYFUNCTION("""COMPUTED_VALUE"""),4.83889E7)</f>
        <v>48388900</v>
      </c>
    </row>
    <row r="292">
      <c r="A292" s="2">
        <f>IFERROR(__xludf.DUMMYFUNCTION("""COMPUTED_VALUE"""),38555.666666666664)</f>
        <v>38555.66667</v>
      </c>
      <c r="B292" s="1">
        <f>IFERROR(__xludf.DUMMYFUNCTION("""COMPUTED_VALUE"""),54.5)</f>
        <v>54.5</v>
      </c>
      <c r="C292" s="1">
        <f>IFERROR(__xludf.DUMMYFUNCTION("""COMPUTED_VALUE"""),55.28)</f>
        <v>55.28</v>
      </c>
      <c r="D292" s="1">
        <f>IFERROR(__xludf.DUMMYFUNCTION("""COMPUTED_VALUE"""),54.16)</f>
        <v>54.16</v>
      </c>
      <c r="E292" s="1">
        <f>IFERROR(__xludf.DUMMYFUNCTION("""COMPUTED_VALUE"""),54.99)</f>
        <v>54.99</v>
      </c>
      <c r="F292" s="1">
        <f>IFERROR(__xludf.DUMMYFUNCTION("""COMPUTED_VALUE"""),3.84665E7)</f>
        <v>38466500</v>
      </c>
    </row>
    <row r="293">
      <c r="A293" s="2">
        <f>IFERROR(__xludf.DUMMYFUNCTION("""COMPUTED_VALUE"""),38562.666666666664)</f>
        <v>38562.66667</v>
      </c>
      <c r="B293" s="1">
        <f>IFERROR(__xludf.DUMMYFUNCTION("""COMPUTED_VALUE"""),54.99)</f>
        <v>54.99</v>
      </c>
      <c r="C293" s="1">
        <f>IFERROR(__xludf.DUMMYFUNCTION("""COMPUTED_VALUE"""),55.98)</f>
        <v>55.98</v>
      </c>
      <c r="D293" s="1">
        <f>IFERROR(__xludf.DUMMYFUNCTION("""COMPUTED_VALUE"""),54.85)</f>
        <v>54.85</v>
      </c>
      <c r="E293" s="1">
        <f>IFERROR(__xludf.DUMMYFUNCTION("""COMPUTED_VALUE"""),55.63)</f>
        <v>55.63</v>
      </c>
      <c r="F293" s="1">
        <f>IFERROR(__xludf.DUMMYFUNCTION("""COMPUTED_VALUE"""),2.86895E7)</f>
        <v>28689500</v>
      </c>
    </row>
    <row r="294">
      <c r="A294" s="2">
        <f>IFERROR(__xludf.DUMMYFUNCTION("""COMPUTED_VALUE"""),38569.666666666664)</f>
        <v>38569.66667</v>
      </c>
      <c r="B294" s="1">
        <f>IFERROR(__xludf.DUMMYFUNCTION("""COMPUTED_VALUE"""),55.8)</f>
        <v>55.8</v>
      </c>
      <c r="C294" s="1">
        <f>IFERROR(__xludf.DUMMYFUNCTION("""COMPUTED_VALUE"""),55.99)</f>
        <v>55.99</v>
      </c>
      <c r="D294" s="1">
        <f>IFERROR(__xludf.DUMMYFUNCTION("""COMPUTED_VALUE"""),53.89)</f>
        <v>53.89</v>
      </c>
      <c r="E294" s="1">
        <f>IFERROR(__xludf.DUMMYFUNCTION("""COMPUTED_VALUE"""),54.1)</f>
        <v>54.1</v>
      </c>
      <c r="F294" s="1">
        <f>IFERROR(__xludf.DUMMYFUNCTION("""COMPUTED_VALUE"""),5.08219E7)</f>
        <v>50821900</v>
      </c>
    </row>
    <row r="295">
      <c r="A295" s="2">
        <f>IFERROR(__xludf.DUMMYFUNCTION("""COMPUTED_VALUE"""),38576.666666666664)</f>
        <v>38576.66667</v>
      </c>
      <c r="B295" s="1">
        <f>IFERROR(__xludf.DUMMYFUNCTION("""COMPUTED_VALUE"""),54.11)</f>
        <v>54.11</v>
      </c>
      <c r="C295" s="1">
        <f>IFERROR(__xludf.DUMMYFUNCTION("""COMPUTED_VALUE"""),54.42)</f>
        <v>54.42</v>
      </c>
      <c r="D295" s="1">
        <f>IFERROR(__xludf.DUMMYFUNCTION("""COMPUTED_VALUE"""),53.05)</f>
        <v>53.05</v>
      </c>
      <c r="E295" s="1">
        <f>IFERROR(__xludf.DUMMYFUNCTION("""COMPUTED_VALUE"""),53.55)</f>
        <v>53.55</v>
      </c>
      <c r="F295" s="1">
        <f>IFERROR(__xludf.DUMMYFUNCTION("""COMPUTED_VALUE"""),3.98753E7)</f>
        <v>39875300</v>
      </c>
    </row>
    <row r="296">
      <c r="A296" s="2">
        <f>IFERROR(__xludf.DUMMYFUNCTION("""COMPUTED_VALUE"""),38583.666666666664)</f>
        <v>38583.66667</v>
      </c>
      <c r="B296" s="1">
        <f>IFERROR(__xludf.DUMMYFUNCTION("""COMPUTED_VALUE"""),53.55)</f>
        <v>53.55</v>
      </c>
      <c r="C296" s="1">
        <f>IFERROR(__xludf.DUMMYFUNCTION("""COMPUTED_VALUE"""),54.77)</f>
        <v>54.77</v>
      </c>
      <c r="D296" s="1">
        <f>IFERROR(__xludf.DUMMYFUNCTION("""COMPUTED_VALUE"""),53.22)</f>
        <v>53.22</v>
      </c>
      <c r="E296" s="1">
        <f>IFERROR(__xludf.DUMMYFUNCTION("""COMPUTED_VALUE"""),54.54)</f>
        <v>54.54</v>
      </c>
      <c r="F296" s="1">
        <f>IFERROR(__xludf.DUMMYFUNCTION("""COMPUTED_VALUE"""),3.62045E7)</f>
        <v>36204500</v>
      </c>
    </row>
    <row r="297">
      <c r="A297" s="2">
        <f>IFERROR(__xludf.DUMMYFUNCTION("""COMPUTED_VALUE"""),38590.666666666664)</f>
        <v>38590.66667</v>
      </c>
      <c r="B297" s="1">
        <f>IFERROR(__xludf.DUMMYFUNCTION("""COMPUTED_VALUE"""),55.4)</f>
        <v>55.4</v>
      </c>
      <c r="C297" s="1">
        <f>IFERROR(__xludf.DUMMYFUNCTION("""COMPUTED_VALUE"""),55.72)</f>
        <v>55.72</v>
      </c>
      <c r="D297" s="1">
        <f>IFERROR(__xludf.DUMMYFUNCTION("""COMPUTED_VALUE"""),54.55)</f>
        <v>54.55</v>
      </c>
      <c r="E297" s="1">
        <f>IFERROR(__xludf.DUMMYFUNCTION("""COMPUTED_VALUE"""),54.96)</f>
        <v>54.96</v>
      </c>
      <c r="F297" s="1">
        <f>IFERROR(__xludf.DUMMYFUNCTION("""COMPUTED_VALUE"""),4.05304E7)</f>
        <v>40530400</v>
      </c>
    </row>
    <row r="298">
      <c r="A298" s="2">
        <f>IFERROR(__xludf.DUMMYFUNCTION("""COMPUTED_VALUE"""),38597.666666666664)</f>
        <v>38597.66667</v>
      </c>
      <c r="B298" s="1">
        <f>IFERROR(__xludf.DUMMYFUNCTION("""COMPUTED_VALUE"""),54.92)</f>
        <v>54.92</v>
      </c>
      <c r="C298" s="1">
        <f>IFERROR(__xludf.DUMMYFUNCTION("""COMPUTED_VALUE"""),56.36)</f>
        <v>56.36</v>
      </c>
      <c r="D298" s="1">
        <f>IFERROR(__xludf.DUMMYFUNCTION("""COMPUTED_VALUE"""),54.85)</f>
        <v>54.85</v>
      </c>
      <c r="E298" s="1">
        <f>IFERROR(__xludf.DUMMYFUNCTION("""COMPUTED_VALUE"""),55.99)</f>
        <v>55.99</v>
      </c>
      <c r="F298" s="1">
        <f>IFERROR(__xludf.DUMMYFUNCTION("""COMPUTED_VALUE"""),4.35352E7)</f>
        <v>43535200</v>
      </c>
    </row>
    <row r="299">
      <c r="A299" s="2">
        <f>IFERROR(__xludf.DUMMYFUNCTION("""COMPUTED_VALUE"""),38604.666666666664)</f>
        <v>38604.66667</v>
      </c>
      <c r="B299" s="1">
        <f>IFERROR(__xludf.DUMMYFUNCTION("""COMPUTED_VALUE"""),56.3)</f>
        <v>56.3</v>
      </c>
      <c r="C299" s="1">
        <f>IFERROR(__xludf.DUMMYFUNCTION("""COMPUTED_VALUE"""),57.21)</f>
        <v>57.21</v>
      </c>
      <c r="D299" s="1">
        <f>IFERROR(__xludf.DUMMYFUNCTION("""COMPUTED_VALUE"""),55.8)</f>
        <v>55.8</v>
      </c>
      <c r="E299" s="1">
        <f>IFERROR(__xludf.DUMMYFUNCTION("""COMPUTED_VALUE"""),56.9)</f>
        <v>56.9</v>
      </c>
      <c r="F299" s="1">
        <f>IFERROR(__xludf.DUMMYFUNCTION("""COMPUTED_VALUE"""),3.2746E7)</f>
        <v>32746000</v>
      </c>
    </row>
    <row r="300">
      <c r="A300" s="2">
        <f>IFERROR(__xludf.DUMMYFUNCTION("""COMPUTED_VALUE"""),38611.666666666664)</f>
        <v>38611.66667</v>
      </c>
      <c r="B300" s="1">
        <f>IFERROR(__xludf.DUMMYFUNCTION("""COMPUTED_VALUE"""),56.68)</f>
        <v>56.68</v>
      </c>
      <c r="C300" s="1">
        <f>IFERROR(__xludf.DUMMYFUNCTION("""COMPUTED_VALUE"""),56.91)</f>
        <v>56.91</v>
      </c>
      <c r="D300" s="1">
        <f>IFERROR(__xludf.DUMMYFUNCTION("""COMPUTED_VALUE"""),54.97)</f>
        <v>54.97</v>
      </c>
      <c r="E300" s="1">
        <f>IFERROR(__xludf.DUMMYFUNCTION("""COMPUTED_VALUE"""),55.95)</f>
        <v>55.95</v>
      </c>
      <c r="F300" s="1">
        <f>IFERROR(__xludf.DUMMYFUNCTION("""COMPUTED_VALUE"""),4.91635E7)</f>
        <v>49163500</v>
      </c>
    </row>
    <row r="301">
      <c r="A301" s="2">
        <f>IFERROR(__xludf.DUMMYFUNCTION("""COMPUTED_VALUE"""),38618.666666666664)</f>
        <v>38618.66667</v>
      </c>
      <c r="B301" s="1">
        <f>IFERROR(__xludf.DUMMYFUNCTION("""COMPUTED_VALUE"""),55.76)</f>
        <v>55.76</v>
      </c>
      <c r="C301" s="1">
        <f>IFERROR(__xludf.DUMMYFUNCTION("""COMPUTED_VALUE"""),56.94)</f>
        <v>56.94</v>
      </c>
      <c r="D301" s="1">
        <f>IFERROR(__xludf.DUMMYFUNCTION("""COMPUTED_VALUE"""),54.5)</f>
        <v>54.5</v>
      </c>
      <c r="E301" s="1">
        <f>IFERROR(__xludf.DUMMYFUNCTION("""COMPUTED_VALUE"""),56.74)</f>
        <v>56.74</v>
      </c>
      <c r="F301" s="1">
        <f>IFERROR(__xludf.DUMMYFUNCTION("""COMPUTED_VALUE"""),4.43826E7)</f>
        <v>44382600</v>
      </c>
    </row>
    <row r="302">
      <c r="A302" s="2">
        <f>IFERROR(__xludf.DUMMYFUNCTION("""COMPUTED_VALUE"""),38625.666666666664)</f>
        <v>38625.66667</v>
      </c>
      <c r="B302" s="1">
        <f>IFERROR(__xludf.DUMMYFUNCTION("""COMPUTED_VALUE"""),56.99)</f>
        <v>56.99</v>
      </c>
      <c r="C302" s="1">
        <f>IFERROR(__xludf.DUMMYFUNCTION("""COMPUTED_VALUE"""),59.46)</f>
        <v>59.46</v>
      </c>
      <c r="D302" s="1">
        <f>IFERROR(__xludf.DUMMYFUNCTION("""COMPUTED_VALUE"""),56.34)</f>
        <v>56.34</v>
      </c>
      <c r="E302" s="1">
        <f>IFERROR(__xludf.DUMMYFUNCTION("""COMPUTED_VALUE"""),59.46)</f>
        <v>59.46</v>
      </c>
      <c r="F302" s="1">
        <f>IFERROR(__xludf.DUMMYFUNCTION("""COMPUTED_VALUE"""),5.68189E7)</f>
        <v>56818900</v>
      </c>
    </row>
    <row r="303">
      <c r="A303" s="2">
        <f>IFERROR(__xludf.DUMMYFUNCTION("""COMPUTED_VALUE"""),38632.666666666664)</f>
        <v>38632.66667</v>
      </c>
      <c r="B303" s="1">
        <f>IFERROR(__xludf.DUMMYFUNCTION("""COMPUTED_VALUE"""),59.43)</f>
        <v>59.43</v>
      </c>
      <c r="C303" s="1">
        <f>IFERROR(__xludf.DUMMYFUNCTION("""COMPUTED_VALUE"""),59.56)</f>
        <v>59.56</v>
      </c>
      <c r="D303" s="1">
        <f>IFERROR(__xludf.DUMMYFUNCTION("""COMPUTED_VALUE"""),55.5)</f>
        <v>55.5</v>
      </c>
      <c r="E303" s="1">
        <f>IFERROR(__xludf.DUMMYFUNCTION("""COMPUTED_VALUE"""),56.04)</f>
        <v>56.04</v>
      </c>
      <c r="F303" s="1">
        <f>IFERROR(__xludf.DUMMYFUNCTION("""COMPUTED_VALUE"""),8.91757E7)</f>
        <v>89175700</v>
      </c>
    </row>
    <row r="304">
      <c r="A304" s="2">
        <f>IFERROR(__xludf.DUMMYFUNCTION("""COMPUTED_VALUE"""),38639.666666666664)</f>
        <v>38639.66667</v>
      </c>
      <c r="B304" s="1">
        <f>IFERROR(__xludf.DUMMYFUNCTION("""COMPUTED_VALUE"""),56.04)</f>
        <v>56.04</v>
      </c>
      <c r="C304" s="1">
        <f>IFERROR(__xludf.DUMMYFUNCTION("""COMPUTED_VALUE"""),56.51)</f>
        <v>56.51</v>
      </c>
      <c r="D304" s="1">
        <f>IFERROR(__xludf.DUMMYFUNCTION("""COMPUTED_VALUE"""),55.6)</f>
        <v>55.6</v>
      </c>
      <c r="E304" s="1">
        <f>IFERROR(__xludf.DUMMYFUNCTION("""COMPUTED_VALUE"""),56.11)</f>
        <v>56.11</v>
      </c>
      <c r="F304" s="1">
        <f>IFERROR(__xludf.DUMMYFUNCTION("""COMPUTED_VALUE"""),4.62698E7)</f>
        <v>46269800</v>
      </c>
    </row>
    <row r="305">
      <c r="A305" s="2">
        <f>IFERROR(__xludf.DUMMYFUNCTION("""COMPUTED_VALUE"""),38646.666666666664)</f>
        <v>38646.66667</v>
      </c>
      <c r="B305" s="1">
        <f>IFERROR(__xludf.DUMMYFUNCTION("""COMPUTED_VALUE"""),56.02)</f>
        <v>56.02</v>
      </c>
      <c r="C305" s="1">
        <f>IFERROR(__xludf.DUMMYFUNCTION("""COMPUTED_VALUE"""),56.11)</f>
        <v>56.11</v>
      </c>
      <c r="D305" s="1">
        <f>IFERROR(__xludf.DUMMYFUNCTION("""COMPUTED_VALUE"""),54.62)</f>
        <v>54.62</v>
      </c>
      <c r="E305" s="1">
        <f>IFERROR(__xludf.DUMMYFUNCTION("""COMPUTED_VALUE"""),54.81)</f>
        <v>54.81</v>
      </c>
      <c r="F305" s="1">
        <f>IFERROR(__xludf.DUMMYFUNCTION("""COMPUTED_VALUE"""),4.51509E7)</f>
        <v>45150900</v>
      </c>
    </row>
    <row r="306">
      <c r="A306" s="2">
        <f>IFERROR(__xludf.DUMMYFUNCTION("""COMPUTED_VALUE"""),38653.666666666664)</f>
        <v>38653.66667</v>
      </c>
      <c r="B306" s="1">
        <f>IFERROR(__xludf.DUMMYFUNCTION("""COMPUTED_VALUE"""),54.99)</f>
        <v>54.99</v>
      </c>
      <c r="C306" s="1">
        <f>IFERROR(__xludf.DUMMYFUNCTION("""COMPUTED_VALUE"""),56.24)</f>
        <v>56.24</v>
      </c>
      <c r="D306" s="1">
        <f>IFERROR(__xludf.DUMMYFUNCTION("""COMPUTED_VALUE"""),54.88)</f>
        <v>54.88</v>
      </c>
      <c r="E306" s="1">
        <f>IFERROR(__xludf.DUMMYFUNCTION("""COMPUTED_VALUE"""),55.92)</f>
        <v>55.92</v>
      </c>
      <c r="F306" s="1">
        <f>IFERROR(__xludf.DUMMYFUNCTION("""COMPUTED_VALUE"""),3.8885E7)</f>
        <v>38885000</v>
      </c>
    </row>
    <row r="307">
      <c r="A307" s="2">
        <f>IFERROR(__xludf.DUMMYFUNCTION("""COMPUTED_VALUE"""),38660.666666666664)</f>
        <v>38660.66667</v>
      </c>
      <c r="B307" s="1">
        <f>IFERROR(__xludf.DUMMYFUNCTION("""COMPUTED_VALUE"""),55.67)</f>
        <v>55.67</v>
      </c>
      <c r="C307" s="1">
        <f>IFERROR(__xludf.DUMMYFUNCTION("""COMPUTED_VALUE"""),56.72)</f>
        <v>56.72</v>
      </c>
      <c r="D307" s="1">
        <f>IFERROR(__xludf.DUMMYFUNCTION("""COMPUTED_VALUE"""),54.96)</f>
        <v>54.96</v>
      </c>
      <c r="E307" s="1">
        <f>IFERROR(__xludf.DUMMYFUNCTION("""COMPUTED_VALUE"""),55.92)</f>
        <v>55.92</v>
      </c>
      <c r="F307" s="1">
        <f>IFERROR(__xludf.DUMMYFUNCTION("""COMPUTED_VALUE"""),4.71148E7)</f>
        <v>47114800</v>
      </c>
    </row>
    <row r="308">
      <c r="A308" s="2">
        <f>IFERROR(__xludf.DUMMYFUNCTION("""COMPUTED_VALUE"""),38667.666666666664)</f>
        <v>38667.66667</v>
      </c>
      <c r="B308" s="1">
        <f>IFERROR(__xludf.DUMMYFUNCTION("""COMPUTED_VALUE"""),55.52)</f>
        <v>55.52</v>
      </c>
      <c r="C308" s="1">
        <f>IFERROR(__xludf.DUMMYFUNCTION("""COMPUTED_VALUE"""),56.7)</f>
        <v>56.7</v>
      </c>
      <c r="D308" s="1">
        <f>IFERROR(__xludf.DUMMYFUNCTION("""COMPUTED_VALUE"""),55.14)</f>
        <v>55.14</v>
      </c>
      <c r="E308" s="1">
        <f>IFERROR(__xludf.DUMMYFUNCTION("""COMPUTED_VALUE"""),56.37)</f>
        <v>56.37</v>
      </c>
      <c r="F308" s="1">
        <f>IFERROR(__xludf.DUMMYFUNCTION("""COMPUTED_VALUE"""),3.53111E7)</f>
        <v>35311100</v>
      </c>
    </row>
    <row r="309">
      <c r="A309" s="2">
        <f>IFERROR(__xludf.DUMMYFUNCTION("""COMPUTED_VALUE"""),38674.666666666664)</f>
        <v>38674.66667</v>
      </c>
      <c r="B309" s="1">
        <f>IFERROR(__xludf.DUMMYFUNCTION("""COMPUTED_VALUE"""),56.3)</f>
        <v>56.3</v>
      </c>
      <c r="C309" s="1">
        <f>IFERROR(__xludf.DUMMYFUNCTION("""COMPUTED_VALUE"""),57.66)</f>
        <v>57.66</v>
      </c>
      <c r="D309" s="1">
        <f>IFERROR(__xludf.DUMMYFUNCTION("""COMPUTED_VALUE"""),55.71)</f>
        <v>55.71</v>
      </c>
      <c r="E309" s="1">
        <f>IFERROR(__xludf.DUMMYFUNCTION("""COMPUTED_VALUE"""),57.45)</f>
        <v>57.45</v>
      </c>
      <c r="F309" s="1">
        <f>IFERROR(__xludf.DUMMYFUNCTION("""COMPUTED_VALUE"""),4.9341E7)</f>
        <v>49341000</v>
      </c>
    </row>
    <row r="310">
      <c r="A310" s="2">
        <f>IFERROR(__xludf.DUMMYFUNCTION("""COMPUTED_VALUE"""),38681.666666666664)</f>
        <v>38681.66667</v>
      </c>
      <c r="B310" s="1">
        <f>IFERROR(__xludf.DUMMYFUNCTION("""COMPUTED_VALUE"""),57.2)</f>
        <v>57.2</v>
      </c>
      <c r="C310" s="1">
        <f>IFERROR(__xludf.DUMMYFUNCTION("""COMPUTED_VALUE"""),57.75)</f>
        <v>57.75</v>
      </c>
      <c r="D310" s="1">
        <f>IFERROR(__xludf.DUMMYFUNCTION("""COMPUTED_VALUE"""),56.35)</f>
        <v>56.35</v>
      </c>
      <c r="E310" s="1">
        <f>IFERROR(__xludf.DUMMYFUNCTION("""COMPUTED_VALUE"""),57.28)</f>
        <v>57.28</v>
      </c>
      <c r="F310" s="1">
        <f>IFERROR(__xludf.DUMMYFUNCTION("""COMPUTED_VALUE"""),2.32194E7)</f>
        <v>23219400</v>
      </c>
    </row>
    <row r="311">
      <c r="A311" s="2">
        <f>IFERROR(__xludf.DUMMYFUNCTION("""COMPUTED_VALUE"""),38688.666666666664)</f>
        <v>38688.66667</v>
      </c>
      <c r="B311" s="1">
        <f>IFERROR(__xludf.DUMMYFUNCTION("""COMPUTED_VALUE"""),56.85)</f>
        <v>56.85</v>
      </c>
      <c r="C311" s="1">
        <f>IFERROR(__xludf.DUMMYFUNCTION("""COMPUTED_VALUE"""),58.04)</f>
        <v>58.04</v>
      </c>
      <c r="D311" s="1">
        <f>IFERROR(__xludf.DUMMYFUNCTION("""COMPUTED_VALUE"""),56.72)</f>
        <v>56.72</v>
      </c>
      <c r="E311" s="1">
        <f>IFERROR(__xludf.DUMMYFUNCTION("""COMPUTED_VALUE"""),57.36)</f>
        <v>57.36</v>
      </c>
      <c r="F311" s="1">
        <f>IFERROR(__xludf.DUMMYFUNCTION("""COMPUTED_VALUE"""),4.31883E7)</f>
        <v>43188300</v>
      </c>
    </row>
    <row r="312">
      <c r="A312" s="2">
        <f>IFERROR(__xludf.DUMMYFUNCTION("""COMPUTED_VALUE"""),38695.666666666664)</f>
        <v>38695.66667</v>
      </c>
      <c r="B312" s="1">
        <f>IFERROR(__xludf.DUMMYFUNCTION("""COMPUTED_VALUE"""),57.12)</f>
        <v>57.12</v>
      </c>
      <c r="C312" s="1">
        <f>IFERROR(__xludf.DUMMYFUNCTION("""COMPUTED_VALUE"""),57.82)</f>
        <v>57.82</v>
      </c>
      <c r="D312" s="1">
        <f>IFERROR(__xludf.DUMMYFUNCTION("""COMPUTED_VALUE"""),56.7)</f>
        <v>56.7</v>
      </c>
      <c r="E312" s="1">
        <f>IFERROR(__xludf.DUMMYFUNCTION("""COMPUTED_VALUE"""),57.33)</f>
        <v>57.33</v>
      </c>
      <c r="F312" s="1">
        <f>IFERROR(__xludf.DUMMYFUNCTION("""COMPUTED_VALUE"""),2.97168E7)</f>
        <v>29716800</v>
      </c>
    </row>
    <row r="313">
      <c r="A313" s="2">
        <f>IFERROR(__xludf.DUMMYFUNCTION("""COMPUTED_VALUE"""),38702.666666666664)</f>
        <v>38702.66667</v>
      </c>
      <c r="B313" s="1">
        <f>IFERROR(__xludf.DUMMYFUNCTION("""COMPUTED_VALUE"""),57.3)</f>
        <v>57.3</v>
      </c>
      <c r="C313" s="1">
        <f>IFERROR(__xludf.DUMMYFUNCTION("""COMPUTED_VALUE"""),59.7)</f>
        <v>59.7</v>
      </c>
      <c r="D313" s="1">
        <f>IFERROR(__xludf.DUMMYFUNCTION("""COMPUTED_VALUE"""),56.82)</f>
        <v>56.82</v>
      </c>
      <c r="E313" s="1">
        <f>IFERROR(__xludf.DUMMYFUNCTION("""COMPUTED_VALUE"""),58.11)</f>
        <v>58.11</v>
      </c>
      <c r="F313" s="1">
        <f>IFERROR(__xludf.DUMMYFUNCTION("""COMPUTED_VALUE"""),5.45307E7)</f>
        <v>54530700</v>
      </c>
    </row>
    <row r="314">
      <c r="A314" s="2">
        <f>IFERROR(__xludf.DUMMYFUNCTION("""COMPUTED_VALUE"""),38709.666666666664)</f>
        <v>38709.66667</v>
      </c>
      <c r="B314" s="1">
        <f>IFERROR(__xludf.DUMMYFUNCTION("""COMPUTED_VALUE"""),58.14)</f>
        <v>58.14</v>
      </c>
      <c r="C314" s="1">
        <f>IFERROR(__xludf.DUMMYFUNCTION("""COMPUTED_VALUE"""),59.19)</f>
        <v>59.19</v>
      </c>
      <c r="D314" s="1">
        <f>IFERROR(__xludf.DUMMYFUNCTION("""COMPUTED_VALUE"""),57.75)</f>
        <v>57.75</v>
      </c>
      <c r="E314" s="1">
        <f>IFERROR(__xludf.DUMMYFUNCTION("""COMPUTED_VALUE"""),58.88)</f>
        <v>58.88</v>
      </c>
      <c r="F314" s="1">
        <f>IFERROR(__xludf.DUMMYFUNCTION("""COMPUTED_VALUE"""),2.82939E7)</f>
        <v>28293900</v>
      </c>
    </row>
    <row r="315">
      <c r="A315" s="2">
        <f>IFERROR(__xludf.DUMMYFUNCTION("""COMPUTED_VALUE"""),38716.666666666664)</f>
        <v>38716.66667</v>
      </c>
      <c r="B315" s="1">
        <f>IFERROR(__xludf.DUMMYFUNCTION("""COMPUTED_VALUE"""),58.66)</f>
        <v>58.66</v>
      </c>
      <c r="C315" s="1">
        <f>IFERROR(__xludf.DUMMYFUNCTION("""COMPUTED_VALUE"""),58.95)</f>
        <v>58.95</v>
      </c>
      <c r="D315" s="1">
        <f>IFERROR(__xludf.DUMMYFUNCTION("""COMPUTED_VALUE"""),57.88)</f>
        <v>57.88</v>
      </c>
      <c r="E315" s="1">
        <f>IFERROR(__xludf.DUMMYFUNCTION("""COMPUTED_VALUE"""),57.88)</f>
        <v>57.88</v>
      </c>
      <c r="F315" s="1">
        <f>IFERROR(__xludf.DUMMYFUNCTION("""COMPUTED_VALUE"""),2.0345E7)</f>
        <v>20345000</v>
      </c>
    </row>
    <row r="316">
      <c r="A316" s="2">
        <f>IFERROR(__xludf.DUMMYFUNCTION("""COMPUTED_VALUE"""),38723.666666666664)</f>
        <v>38723.66667</v>
      </c>
      <c r="B316" s="1">
        <f>IFERROR(__xludf.DUMMYFUNCTION("""COMPUTED_VALUE"""),58.3)</f>
        <v>58.3</v>
      </c>
      <c r="C316" s="1">
        <f>IFERROR(__xludf.DUMMYFUNCTION("""COMPUTED_VALUE"""),59.12)</f>
        <v>59.12</v>
      </c>
      <c r="D316" s="1">
        <f>IFERROR(__xludf.DUMMYFUNCTION("""COMPUTED_VALUE"""),57.69)</f>
        <v>57.69</v>
      </c>
      <c r="E316" s="1">
        <f>IFERROR(__xludf.DUMMYFUNCTION("""COMPUTED_VALUE"""),58.64)</f>
        <v>58.64</v>
      </c>
      <c r="F316" s="1">
        <f>IFERROR(__xludf.DUMMYFUNCTION("""COMPUTED_VALUE"""),3.42504E7)</f>
        <v>34250400</v>
      </c>
    </row>
    <row r="317">
      <c r="A317" s="2">
        <f>IFERROR(__xludf.DUMMYFUNCTION("""COMPUTED_VALUE"""),38730.666666666664)</f>
        <v>38730.66667</v>
      </c>
      <c r="B317" s="1">
        <f>IFERROR(__xludf.DUMMYFUNCTION("""COMPUTED_VALUE"""),58.45)</f>
        <v>58.45</v>
      </c>
      <c r="C317" s="1">
        <f>IFERROR(__xludf.DUMMYFUNCTION("""COMPUTED_VALUE"""),59.09)</f>
        <v>59.09</v>
      </c>
      <c r="D317" s="1">
        <f>IFERROR(__xludf.DUMMYFUNCTION("""COMPUTED_VALUE"""),58.39)</f>
        <v>58.39</v>
      </c>
      <c r="E317" s="1">
        <f>IFERROR(__xludf.DUMMYFUNCTION("""COMPUTED_VALUE"""),58.9)</f>
        <v>58.9</v>
      </c>
      <c r="F317" s="1">
        <f>IFERROR(__xludf.DUMMYFUNCTION("""COMPUTED_VALUE"""),3.88207E7)</f>
        <v>38820700</v>
      </c>
    </row>
    <row r="318">
      <c r="A318" s="2">
        <f>IFERROR(__xludf.DUMMYFUNCTION("""COMPUTED_VALUE"""),38737.666666666664)</f>
        <v>38737.66667</v>
      </c>
      <c r="B318" s="1">
        <f>IFERROR(__xludf.DUMMYFUNCTION("""COMPUTED_VALUE"""),58.45)</f>
        <v>58.45</v>
      </c>
      <c r="C318" s="1">
        <f>IFERROR(__xludf.DUMMYFUNCTION("""COMPUTED_VALUE"""),58.88)</f>
        <v>58.88</v>
      </c>
      <c r="D318" s="1">
        <f>IFERROR(__xludf.DUMMYFUNCTION("""COMPUTED_VALUE"""),57.79)</f>
        <v>57.79</v>
      </c>
      <c r="E318" s="1">
        <f>IFERROR(__xludf.DUMMYFUNCTION("""COMPUTED_VALUE"""),57.84)</f>
        <v>57.84</v>
      </c>
      <c r="F318" s="1">
        <f>IFERROR(__xludf.DUMMYFUNCTION("""COMPUTED_VALUE"""),3.05488E7)</f>
        <v>30548800</v>
      </c>
    </row>
    <row r="319">
      <c r="A319" s="2">
        <f>IFERROR(__xludf.DUMMYFUNCTION("""COMPUTED_VALUE"""),38744.666666666664)</f>
        <v>38744.66667</v>
      </c>
      <c r="B319" s="1">
        <f>IFERROR(__xludf.DUMMYFUNCTION("""COMPUTED_VALUE"""),57.84)</f>
        <v>57.84</v>
      </c>
      <c r="C319" s="1">
        <f>IFERROR(__xludf.DUMMYFUNCTION("""COMPUTED_VALUE"""),59.8)</f>
        <v>59.8</v>
      </c>
      <c r="D319" s="1">
        <f>IFERROR(__xludf.DUMMYFUNCTION("""COMPUTED_VALUE"""),57.29)</f>
        <v>57.29</v>
      </c>
      <c r="E319" s="1">
        <f>IFERROR(__xludf.DUMMYFUNCTION("""COMPUTED_VALUE"""),59.74)</f>
        <v>59.74</v>
      </c>
      <c r="F319" s="1">
        <f>IFERROR(__xludf.DUMMYFUNCTION("""COMPUTED_VALUE"""),4.52885E7)</f>
        <v>45288500</v>
      </c>
    </row>
    <row r="320">
      <c r="A320" s="2">
        <f>IFERROR(__xludf.DUMMYFUNCTION("""COMPUTED_VALUE"""),38751.666666666664)</f>
        <v>38751.66667</v>
      </c>
      <c r="B320" s="1">
        <f>IFERROR(__xludf.DUMMYFUNCTION("""COMPUTED_VALUE"""),59.13)</f>
        <v>59.13</v>
      </c>
      <c r="C320" s="1">
        <f>IFERROR(__xludf.DUMMYFUNCTION("""COMPUTED_VALUE"""),60.15)</f>
        <v>60.15</v>
      </c>
      <c r="D320" s="1">
        <f>IFERROR(__xludf.DUMMYFUNCTION("""COMPUTED_VALUE"""),58.89)</f>
        <v>58.89</v>
      </c>
      <c r="E320" s="1">
        <f>IFERROR(__xludf.DUMMYFUNCTION("""COMPUTED_VALUE"""),59.68)</f>
        <v>59.68</v>
      </c>
      <c r="F320" s="1">
        <f>IFERROR(__xludf.DUMMYFUNCTION("""COMPUTED_VALUE"""),4.6663E7)</f>
        <v>46663000</v>
      </c>
    </row>
    <row r="321">
      <c r="A321" s="2">
        <f>IFERROR(__xludf.DUMMYFUNCTION("""COMPUTED_VALUE"""),38758.666666666664)</f>
        <v>38758.66667</v>
      </c>
      <c r="B321" s="1">
        <f>IFERROR(__xludf.DUMMYFUNCTION("""COMPUTED_VALUE"""),59.58)</f>
        <v>59.58</v>
      </c>
      <c r="C321" s="1">
        <f>IFERROR(__xludf.DUMMYFUNCTION("""COMPUTED_VALUE"""),59.9)</f>
        <v>59.9</v>
      </c>
      <c r="D321" s="1">
        <f>IFERROR(__xludf.DUMMYFUNCTION("""COMPUTED_VALUE"""),59.1)</f>
        <v>59.1</v>
      </c>
      <c r="E321" s="1">
        <f>IFERROR(__xludf.DUMMYFUNCTION("""COMPUTED_VALUE"""),59.7)</f>
        <v>59.7</v>
      </c>
      <c r="F321" s="1">
        <f>IFERROR(__xludf.DUMMYFUNCTION("""COMPUTED_VALUE"""),3.07896E7)</f>
        <v>30789600</v>
      </c>
    </row>
    <row r="322">
      <c r="A322" s="2">
        <f>IFERROR(__xludf.DUMMYFUNCTION("""COMPUTED_VALUE"""),38765.666666666664)</f>
        <v>38765.66667</v>
      </c>
      <c r="B322" s="1">
        <f>IFERROR(__xludf.DUMMYFUNCTION("""COMPUTED_VALUE"""),59.58)</f>
        <v>59.58</v>
      </c>
      <c r="C322" s="1">
        <f>IFERROR(__xludf.DUMMYFUNCTION("""COMPUTED_VALUE"""),61.03)</f>
        <v>61.03</v>
      </c>
      <c r="D322" s="1">
        <f>IFERROR(__xludf.DUMMYFUNCTION("""COMPUTED_VALUE"""),59.27)</f>
        <v>59.27</v>
      </c>
      <c r="E322" s="1">
        <f>IFERROR(__xludf.DUMMYFUNCTION("""COMPUTED_VALUE"""),61.0)</f>
        <v>61</v>
      </c>
      <c r="F322" s="1">
        <f>IFERROR(__xludf.DUMMYFUNCTION("""COMPUTED_VALUE"""),3.78325E7)</f>
        <v>37832500</v>
      </c>
    </row>
    <row r="323">
      <c r="A323" s="2">
        <f>IFERROR(__xludf.DUMMYFUNCTION("""COMPUTED_VALUE"""),38772.666666666664)</f>
        <v>38772.66667</v>
      </c>
      <c r="B323" s="1">
        <f>IFERROR(__xludf.DUMMYFUNCTION("""COMPUTED_VALUE"""),60.88)</f>
        <v>60.88</v>
      </c>
      <c r="C323" s="1">
        <f>IFERROR(__xludf.DUMMYFUNCTION("""COMPUTED_VALUE"""),62.09)</f>
        <v>62.09</v>
      </c>
      <c r="D323" s="1">
        <f>IFERROR(__xludf.DUMMYFUNCTION("""COMPUTED_VALUE"""),60.69)</f>
        <v>60.69</v>
      </c>
      <c r="E323" s="1">
        <f>IFERROR(__xludf.DUMMYFUNCTION("""COMPUTED_VALUE"""),61.5)</f>
        <v>61.5</v>
      </c>
      <c r="F323" s="1">
        <f>IFERROR(__xludf.DUMMYFUNCTION("""COMPUTED_VALUE"""),2.94662E7)</f>
        <v>29466200</v>
      </c>
    </row>
    <row r="324">
      <c r="A324" s="2">
        <f>IFERROR(__xludf.DUMMYFUNCTION("""COMPUTED_VALUE"""),38779.666666666664)</f>
        <v>38779.66667</v>
      </c>
      <c r="B324" s="1">
        <f>IFERROR(__xludf.DUMMYFUNCTION("""COMPUTED_VALUE"""),61.68)</f>
        <v>61.68</v>
      </c>
      <c r="C324" s="1">
        <f>IFERROR(__xludf.DUMMYFUNCTION("""COMPUTED_VALUE"""),61.89)</f>
        <v>61.89</v>
      </c>
      <c r="D324" s="1">
        <f>IFERROR(__xludf.DUMMYFUNCTION("""COMPUTED_VALUE"""),59.3)</f>
        <v>59.3</v>
      </c>
      <c r="E324" s="1">
        <f>IFERROR(__xludf.DUMMYFUNCTION("""COMPUTED_VALUE"""),59.67)</f>
        <v>59.67</v>
      </c>
      <c r="F324" s="1">
        <f>IFERROR(__xludf.DUMMYFUNCTION("""COMPUTED_VALUE"""),4.90873E7)</f>
        <v>49087300</v>
      </c>
    </row>
    <row r="325">
      <c r="A325" s="2">
        <f>IFERROR(__xludf.DUMMYFUNCTION("""COMPUTED_VALUE"""),38786.666666666664)</f>
        <v>38786.66667</v>
      </c>
      <c r="B325" s="1">
        <f>IFERROR(__xludf.DUMMYFUNCTION("""COMPUTED_VALUE"""),59.55)</f>
        <v>59.55</v>
      </c>
      <c r="C325" s="1">
        <f>IFERROR(__xludf.DUMMYFUNCTION("""COMPUTED_VALUE"""),62.44)</f>
        <v>62.44</v>
      </c>
      <c r="D325" s="1">
        <f>IFERROR(__xludf.DUMMYFUNCTION("""COMPUTED_VALUE"""),59.42)</f>
        <v>59.42</v>
      </c>
      <c r="E325" s="1">
        <f>IFERROR(__xludf.DUMMYFUNCTION("""COMPUTED_VALUE"""),62.25)</f>
        <v>62.25</v>
      </c>
      <c r="F325" s="1">
        <f>IFERROR(__xludf.DUMMYFUNCTION("""COMPUTED_VALUE"""),3.62989E7)</f>
        <v>36298900</v>
      </c>
    </row>
    <row r="326">
      <c r="A326" s="2">
        <f>IFERROR(__xludf.DUMMYFUNCTION("""COMPUTED_VALUE"""),38793.666666666664)</f>
        <v>38793.66667</v>
      </c>
      <c r="B326" s="1">
        <f>IFERROR(__xludf.DUMMYFUNCTION("""COMPUTED_VALUE"""),62.11)</f>
        <v>62.11</v>
      </c>
      <c r="C326" s="1">
        <f>IFERROR(__xludf.DUMMYFUNCTION("""COMPUTED_VALUE"""),62.5)</f>
        <v>62.5</v>
      </c>
      <c r="D326" s="1">
        <f>IFERROR(__xludf.DUMMYFUNCTION("""COMPUTED_VALUE"""),58.85)</f>
        <v>58.85</v>
      </c>
      <c r="E326" s="1">
        <f>IFERROR(__xludf.DUMMYFUNCTION("""COMPUTED_VALUE"""),59.1)</f>
        <v>59.1</v>
      </c>
      <c r="F326" s="1">
        <f>IFERROR(__xludf.DUMMYFUNCTION("""COMPUTED_VALUE"""),6.3985E7)</f>
        <v>63985000</v>
      </c>
    </row>
    <row r="327">
      <c r="A327" s="2">
        <f>IFERROR(__xludf.DUMMYFUNCTION("""COMPUTED_VALUE"""),38800.666666666664)</f>
        <v>38800.66667</v>
      </c>
      <c r="B327" s="1">
        <f>IFERROR(__xludf.DUMMYFUNCTION("""COMPUTED_VALUE"""),59.38)</f>
        <v>59.38</v>
      </c>
      <c r="C327" s="1">
        <f>IFERROR(__xludf.DUMMYFUNCTION("""COMPUTED_VALUE"""),59.72)</f>
        <v>59.72</v>
      </c>
      <c r="D327" s="1">
        <f>IFERROR(__xludf.DUMMYFUNCTION("""COMPUTED_VALUE"""),57.98)</f>
        <v>57.98</v>
      </c>
      <c r="E327" s="1">
        <f>IFERROR(__xludf.DUMMYFUNCTION("""COMPUTED_VALUE"""),58.74)</f>
        <v>58.74</v>
      </c>
      <c r="F327" s="1">
        <f>IFERROR(__xludf.DUMMYFUNCTION("""COMPUTED_VALUE"""),3.78373E7)</f>
        <v>37837300</v>
      </c>
    </row>
    <row r="328">
      <c r="A328" s="2">
        <f>IFERROR(__xludf.DUMMYFUNCTION("""COMPUTED_VALUE"""),38807.666666666664)</f>
        <v>38807.66667</v>
      </c>
      <c r="B328" s="1">
        <f>IFERROR(__xludf.DUMMYFUNCTION("""COMPUTED_VALUE"""),58.38)</f>
        <v>58.38</v>
      </c>
      <c r="C328" s="1">
        <f>IFERROR(__xludf.DUMMYFUNCTION("""COMPUTED_VALUE"""),58.62)</f>
        <v>58.62</v>
      </c>
      <c r="D328" s="1">
        <f>IFERROR(__xludf.DUMMYFUNCTION("""COMPUTED_VALUE"""),57.0)</f>
        <v>57</v>
      </c>
      <c r="E328" s="1">
        <f>IFERROR(__xludf.DUMMYFUNCTION("""COMPUTED_VALUE"""),57.63)</f>
        <v>57.63</v>
      </c>
      <c r="F328" s="1">
        <f>IFERROR(__xludf.DUMMYFUNCTION("""COMPUTED_VALUE"""),5.41809E7)</f>
        <v>54180900</v>
      </c>
    </row>
    <row r="329">
      <c r="A329" s="2">
        <f>IFERROR(__xludf.DUMMYFUNCTION("""COMPUTED_VALUE"""),38814.666666666664)</f>
        <v>38814.66667</v>
      </c>
      <c r="B329" s="1">
        <f>IFERROR(__xludf.DUMMYFUNCTION("""COMPUTED_VALUE"""),57.69)</f>
        <v>57.69</v>
      </c>
      <c r="C329" s="1">
        <f>IFERROR(__xludf.DUMMYFUNCTION("""COMPUTED_VALUE"""),58.48)</f>
        <v>58.48</v>
      </c>
      <c r="D329" s="1">
        <f>IFERROR(__xludf.DUMMYFUNCTION("""COMPUTED_VALUE"""),57.24)</f>
        <v>57.24</v>
      </c>
      <c r="E329" s="1">
        <f>IFERROR(__xludf.DUMMYFUNCTION("""COMPUTED_VALUE"""),57.28)</f>
        <v>57.28</v>
      </c>
      <c r="F329" s="1">
        <f>IFERROR(__xludf.DUMMYFUNCTION("""COMPUTED_VALUE"""),3.99244E7)</f>
        <v>39924400</v>
      </c>
    </row>
    <row r="330">
      <c r="A330" s="2">
        <f>IFERROR(__xludf.DUMMYFUNCTION("""COMPUTED_VALUE"""),38820.666666666664)</f>
        <v>38820.66667</v>
      </c>
      <c r="B330" s="1">
        <f>IFERROR(__xludf.DUMMYFUNCTION("""COMPUTED_VALUE"""),57.3)</f>
        <v>57.3</v>
      </c>
      <c r="C330" s="1">
        <f>IFERROR(__xludf.DUMMYFUNCTION("""COMPUTED_VALUE"""),57.4)</f>
        <v>57.4</v>
      </c>
      <c r="D330" s="1">
        <f>IFERROR(__xludf.DUMMYFUNCTION("""COMPUTED_VALUE"""),56.09)</f>
        <v>56.09</v>
      </c>
      <c r="E330" s="1">
        <f>IFERROR(__xludf.DUMMYFUNCTION("""COMPUTED_VALUE"""),56.6)</f>
        <v>56.6</v>
      </c>
      <c r="F330" s="1">
        <f>IFERROR(__xludf.DUMMYFUNCTION("""COMPUTED_VALUE"""),3.63005E7)</f>
        <v>36300500</v>
      </c>
    </row>
    <row r="331">
      <c r="A331" s="2">
        <f>IFERROR(__xludf.DUMMYFUNCTION("""COMPUTED_VALUE"""),38828.666666666664)</f>
        <v>38828.66667</v>
      </c>
      <c r="B331" s="1">
        <f>IFERROR(__xludf.DUMMYFUNCTION("""COMPUTED_VALUE"""),56.41)</f>
        <v>56.41</v>
      </c>
      <c r="C331" s="1">
        <f>IFERROR(__xludf.DUMMYFUNCTION("""COMPUTED_VALUE"""),56.8)</f>
        <v>56.8</v>
      </c>
      <c r="D331" s="1">
        <f>IFERROR(__xludf.DUMMYFUNCTION("""COMPUTED_VALUE"""),55.07)</f>
        <v>55.07</v>
      </c>
      <c r="E331" s="1">
        <f>IFERROR(__xludf.DUMMYFUNCTION("""COMPUTED_VALUE"""),56.34)</f>
        <v>56.34</v>
      </c>
      <c r="F331" s="1">
        <f>IFERROR(__xludf.DUMMYFUNCTION("""COMPUTED_VALUE"""),6.49056E7)</f>
        <v>64905600</v>
      </c>
    </row>
    <row r="332">
      <c r="A332" s="2">
        <f>IFERROR(__xludf.DUMMYFUNCTION("""COMPUTED_VALUE"""),38835.666666666664)</f>
        <v>38835.66667</v>
      </c>
      <c r="B332" s="1">
        <f>IFERROR(__xludf.DUMMYFUNCTION("""COMPUTED_VALUE"""),56.15)</f>
        <v>56.15</v>
      </c>
      <c r="C332" s="1">
        <f>IFERROR(__xludf.DUMMYFUNCTION("""COMPUTED_VALUE"""),58.73)</f>
        <v>58.73</v>
      </c>
      <c r="D332" s="1">
        <f>IFERROR(__xludf.DUMMYFUNCTION("""COMPUTED_VALUE"""),56.15)</f>
        <v>56.15</v>
      </c>
      <c r="E332" s="1">
        <f>IFERROR(__xludf.DUMMYFUNCTION("""COMPUTED_VALUE"""),58.21)</f>
        <v>58.21</v>
      </c>
      <c r="F332" s="1">
        <f>IFERROR(__xludf.DUMMYFUNCTION("""COMPUTED_VALUE"""),6.52971E7)</f>
        <v>65297100</v>
      </c>
    </row>
    <row r="333">
      <c r="A333" s="2">
        <f>IFERROR(__xludf.DUMMYFUNCTION("""COMPUTED_VALUE"""),38842.666666666664)</f>
        <v>38842.66667</v>
      </c>
      <c r="B333" s="1">
        <f>IFERROR(__xludf.DUMMYFUNCTION("""COMPUTED_VALUE"""),58.43)</f>
        <v>58.43</v>
      </c>
      <c r="C333" s="1">
        <f>IFERROR(__xludf.DUMMYFUNCTION("""COMPUTED_VALUE"""),58.67)</f>
        <v>58.67</v>
      </c>
      <c r="D333" s="1">
        <f>IFERROR(__xludf.DUMMYFUNCTION("""COMPUTED_VALUE"""),55.18)</f>
        <v>55.18</v>
      </c>
      <c r="E333" s="1">
        <f>IFERROR(__xludf.DUMMYFUNCTION("""COMPUTED_VALUE"""),55.73)</f>
        <v>55.73</v>
      </c>
      <c r="F333" s="1">
        <f>IFERROR(__xludf.DUMMYFUNCTION("""COMPUTED_VALUE"""),7.33851E7)</f>
        <v>73385100</v>
      </c>
    </row>
    <row r="334">
      <c r="A334" s="2">
        <f>IFERROR(__xludf.DUMMYFUNCTION("""COMPUTED_VALUE"""),38849.666666666664)</f>
        <v>38849.66667</v>
      </c>
      <c r="B334" s="1">
        <f>IFERROR(__xludf.DUMMYFUNCTION("""COMPUTED_VALUE"""),56.01)</f>
        <v>56.01</v>
      </c>
      <c r="C334" s="1">
        <f>IFERROR(__xludf.DUMMYFUNCTION("""COMPUTED_VALUE"""),56.74)</f>
        <v>56.74</v>
      </c>
      <c r="D334" s="1">
        <f>IFERROR(__xludf.DUMMYFUNCTION("""COMPUTED_VALUE"""),55.01)</f>
        <v>55.01</v>
      </c>
      <c r="E334" s="1">
        <f>IFERROR(__xludf.DUMMYFUNCTION("""COMPUTED_VALUE"""),55.01)</f>
        <v>55.01</v>
      </c>
      <c r="F334" s="1">
        <f>IFERROR(__xludf.DUMMYFUNCTION("""COMPUTED_VALUE"""),6.20015E7)</f>
        <v>62001500</v>
      </c>
    </row>
    <row r="335">
      <c r="A335" s="2">
        <f>IFERROR(__xludf.DUMMYFUNCTION("""COMPUTED_VALUE"""),38856.666666666664)</f>
        <v>38856.66667</v>
      </c>
      <c r="B335" s="1">
        <f>IFERROR(__xludf.DUMMYFUNCTION("""COMPUTED_VALUE"""),54.69)</f>
        <v>54.69</v>
      </c>
      <c r="C335" s="1">
        <f>IFERROR(__xludf.DUMMYFUNCTION("""COMPUTED_VALUE"""),56.26)</f>
        <v>56.26</v>
      </c>
      <c r="D335" s="1">
        <f>IFERROR(__xludf.DUMMYFUNCTION("""COMPUTED_VALUE"""),53.75)</f>
        <v>53.75</v>
      </c>
      <c r="E335" s="1">
        <f>IFERROR(__xludf.DUMMYFUNCTION("""COMPUTED_VALUE"""),54.15)</f>
        <v>54.15</v>
      </c>
      <c r="F335" s="1">
        <f>IFERROR(__xludf.DUMMYFUNCTION("""COMPUTED_VALUE"""),5.75024E7)</f>
        <v>57502400</v>
      </c>
    </row>
    <row r="336">
      <c r="A336" s="2">
        <f>IFERROR(__xludf.DUMMYFUNCTION("""COMPUTED_VALUE"""),38863.666666666664)</f>
        <v>38863.66667</v>
      </c>
      <c r="B336" s="1">
        <f>IFERROR(__xludf.DUMMYFUNCTION("""COMPUTED_VALUE"""),53.96)</f>
        <v>53.96</v>
      </c>
      <c r="C336" s="1">
        <f>IFERROR(__xludf.DUMMYFUNCTION("""COMPUTED_VALUE"""),55.3)</f>
        <v>55.3</v>
      </c>
      <c r="D336" s="1">
        <f>IFERROR(__xludf.DUMMYFUNCTION("""COMPUTED_VALUE"""),53.95)</f>
        <v>53.95</v>
      </c>
      <c r="E336" s="1">
        <f>IFERROR(__xludf.DUMMYFUNCTION("""COMPUTED_VALUE"""),55.13)</f>
        <v>55.13</v>
      </c>
      <c r="F336" s="1">
        <f>IFERROR(__xludf.DUMMYFUNCTION("""COMPUTED_VALUE"""),4.32791E7)</f>
        <v>43279100</v>
      </c>
    </row>
    <row r="337">
      <c r="A337" s="2">
        <f>IFERROR(__xludf.DUMMYFUNCTION("""COMPUTED_VALUE"""),38870.666666666664)</f>
        <v>38870.66667</v>
      </c>
      <c r="B337" s="1">
        <f>IFERROR(__xludf.DUMMYFUNCTION("""COMPUTED_VALUE"""),54.78)</f>
        <v>54.78</v>
      </c>
      <c r="C337" s="1">
        <f>IFERROR(__xludf.DUMMYFUNCTION("""COMPUTED_VALUE"""),55.02)</f>
        <v>55.02</v>
      </c>
      <c r="D337" s="1">
        <f>IFERROR(__xludf.DUMMYFUNCTION("""COMPUTED_VALUE"""),53.8)</f>
        <v>53.8</v>
      </c>
      <c r="E337" s="1">
        <f>IFERROR(__xludf.DUMMYFUNCTION("""COMPUTED_VALUE"""),53.95)</f>
        <v>53.95</v>
      </c>
      <c r="F337" s="1">
        <f>IFERROR(__xludf.DUMMYFUNCTION("""COMPUTED_VALUE"""),3.41155E7)</f>
        <v>34115500</v>
      </c>
    </row>
    <row r="338">
      <c r="A338" s="2">
        <f>IFERROR(__xludf.DUMMYFUNCTION("""COMPUTED_VALUE"""),38877.666666666664)</f>
        <v>38877.66667</v>
      </c>
      <c r="B338" s="1">
        <f>IFERROR(__xludf.DUMMYFUNCTION("""COMPUTED_VALUE"""),53.8)</f>
        <v>53.8</v>
      </c>
      <c r="C338" s="1">
        <f>IFERROR(__xludf.DUMMYFUNCTION("""COMPUTED_VALUE"""),55.1)</f>
        <v>55.1</v>
      </c>
      <c r="D338" s="1">
        <f>IFERROR(__xludf.DUMMYFUNCTION("""COMPUTED_VALUE"""),52.75)</f>
        <v>52.75</v>
      </c>
      <c r="E338" s="1">
        <f>IFERROR(__xludf.DUMMYFUNCTION("""COMPUTED_VALUE"""),54.45)</f>
        <v>54.45</v>
      </c>
      <c r="F338" s="1">
        <f>IFERROR(__xludf.DUMMYFUNCTION("""COMPUTED_VALUE"""),4.84598E7)</f>
        <v>48459800</v>
      </c>
    </row>
    <row r="339">
      <c r="A339" s="2">
        <f>IFERROR(__xludf.DUMMYFUNCTION("""COMPUTED_VALUE"""),38884.666666666664)</f>
        <v>38884.66667</v>
      </c>
      <c r="B339" s="1">
        <f>IFERROR(__xludf.DUMMYFUNCTION("""COMPUTED_VALUE"""),54.57)</f>
        <v>54.57</v>
      </c>
      <c r="C339" s="1">
        <f>IFERROR(__xludf.DUMMYFUNCTION("""COMPUTED_VALUE"""),55.25)</f>
        <v>55.25</v>
      </c>
      <c r="D339" s="1">
        <f>IFERROR(__xludf.DUMMYFUNCTION("""COMPUTED_VALUE"""),53.79)</f>
        <v>53.79</v>
      </c>
      <c r="E339" s="1">
        <f>IFERROR(__xludf.DUMMYFUNCTION("""COMPUTED_VALUE"""),55.02)</f>
        <v>55.02</v>
      </c>
      <c r="F339" s="1">
        <f>IFERROR(__xludf.DUMMYFUNCTION("""COMPUTED_VALUE"""),4.44674E7)</f>
        <v>44467400</v>
      </c>
    </row>
    <row r="340">
      <c r="A340" s="2">
        <f>IFERROR(__xludf.DUMMYFUNCTION("""COMPUTED_VALUE"""),38891.666666666664)</f>
        <v>38891.66667</v>
      </c>
      <c r="B340" s="1">
        <f>IFERROR(__xludf.DUMMYFUNCTION("""COMPUTED_VALUE"""),55.98)</f>
        <v>55.98</v>
      </c>
      <c r="C340" s="1">
        <f>IFERROR(__xludf.DUMMYFUNCTION("""COMPUTED_VALUE"""),56.19)</f>
        <v>56.19</v>
      </c>
      <c r="D340" s="1">
        <f>IFERROR(__xludf.DUMMYFUNCTION("""COMPUTED_VALUE"""),54.7)</f>
        <v>54.7</v>
      </c>
      <c r="E340" s="1">
        <f>IFERROR(__xludf.DUMMYFUNCTION("""COMPUTED_VALUE"""),55.73)</f>
        <v>55.73</v>
      </c>
      <c r="F340" s="1">
        <f>IFERROR(__xludf.DUMMYFUNCTION("""COMPUTED_VALUE"""),4.43645E7)</f>
        <v>44364500</v>
      </c>
    </row>
    <row r="341">
      <c r="A341" s="2">
        <f>IFERROR(__xludf.DUMMYFUNCTION("""COMPUTED_VALUE"""),38898.666666666664)</f>
        <v>38898.66667</v>
      </c>
      <c r="B341" s="1">
        <f>IFERROR(__xludf.DUMMYFUNCTION("""COMPUTED_VALUE"""),55.74)</f>
        <v>55.74</v>
      </c>
      <c r="C341" s="1">
        <f>IFERROR(__xludf.DUMMYFUNCTION("""COMPUTED_VALUE"""),57.19)</f>
        <v>57.19</v>
      </c>
      <c r="D341" s="1">
        <f>IFERROR(__xludf.DUMMYFUNCTION("""COMPUTED_VALUE"""),55.2)</f>
        <v>55.2</v>
      </c>
      <c r="E341" s="1">
        <f>IFERROR(__xludf.DUMMYFUNCTION("""COMPUTED_VALUE"""),55.6)</f>
        <v>55.6</v>
      </c>
      <c r="F341" s="1">
        <f>IFERROR(__xludf.DUMMYFUNCTION("""COMPUTED_VALUE"""),5.09233E7)</f>
        <v>50923300</v>
      </c>
    </row>
    <row r="342">
      <c r="A342" s="2">
        <f>IFERROR(__xludf.DUMMYFUNCTION("""COMPUTED_VALUE"""),38905.666666666664)</f>
        <v>38905.66667</v>
      </c>
      <c r="B342" s="1">
        <f>IFERROR(__xludf.DUMMYFUNCTION("""COMPUTED_VALUE"""),56.02)</f>
        <v>56.02</v>
      </c>
      <c r="C342" s="1">
        <f>IFERROR(__xludf.DUMMYFUNCTION("""COMPUTED_VALUE"""),56.75)</f>
        <v>56.75</v>
      </c>
      <c r="D342" s="1">
        <f>IFERROR(__xludf.DUMMYFUNCTION("""COMPUTED_VALUE"""),55.65)</f>
        <v>55.65</v>
      </c>
      <c r="E342" s="1">
        <f>IFERROR(__xludf.DUMMYFUNCTION("""COMPUTED_VALUE"""),56.5)</f>
        <v>56.5</v>
      </c>
      <c r="F342" s="1">
        <f>IFERROR(__xludf.DUMMYFUNCTION("""COMPUTED_VALUE"""),2.77901E7)</f>
        <v>27790100</v>
      </c>
    </row>
    <row r="343">
      <c r="A343" s="2">
        <f>IFERROR(__xludf.DUMMYFUNCTION("""COMPUTED_VALUE"""),38912.666666666664)</f>
        <v>38912.66667</v>
      </c>
      <c r="B343" s="1">
        <f>IFERROR(__xludf.DUMMYFUNCTION("""COMPUTED_VALUE"""),56.43)</f>
        <v>56.43</v>
      </c>
      <c r="C343" s="1">
        <f>IFERROR(__xludf.DUMMYFUNCTION("""COMPUTED_VALUE"""),57.34)</f>
        <v>57.34</v>
      </c>
      <c r="D343" s="1">
        <f>IFERROR(__xludf.DUMMYFUNCTION("""COMPUTED_VALUE"""),55.25)</f>
        <v>55.25</v>
      </c>
      <c r="E343" s="1">
        <f>IFERROR(__xludf.DUMMYFUNCTION("""COMPUTED_VALUE"""),55.66)</f>
        <v>55.66</v>
      </c>
      <c r="F343" s="1">
        <f>IFERROR(__xludf.DUMMYFUNCTION("""COMPUTED_VALUE"""),3.81095E7)</f>
        <v>38109500</v>
      </c>
    </row>
    <row r="344">
      <c r="A344" s="2">
        <f>IFERROR(__xludf.DUMMYFUNCTION("""COMPUTED_VALUE"""),38919.666666666664)</f>
        <v>38919.66667</v>
      </c>
      <c r="B344" s="1">
        <f>IFERROR(__xludf.DUMMYFUNCTION("""COMPUTED_VALUE"""),55.63)</f>
        <v>55.63</v>
      </c>
      <c r="C344" s="1">
        <f>IFERROR(__xludf.DUMMYFUNCTION("""COMPUTED_VALUE"""),56.99)</f>
        <v>56.99</v>
      </c>
      <c r="D344" s="1">
        <f>IFERROR(__xludf.DUMMYFUNCTION("""COMPUTED_VALUE"""),55.3)</f>
        <v>55.3</v>
      </c>
      <c r="E344" s="1">
        <f>IFERROR(__xludf.DUMMYFUNCTION("""COMPUTED_VALUE"""),56.07)</f>
        <v>56.07</v>
      </c>
      <c r="F344" s="1">
        <f>IFERROR(__xludf.DUMMYFUNCTION("""COMPUTED_VALUE"""),3.48383E7)</f>
        <v>34838300</v>
      </c>
    </row>
    <row r="345">
      <c r="A345" s="2">
        <f>IFERROR(__xludf.DUMMYFUNCTION("""COMPUTED_VALUE"""),38926.666666666664)</f>
        <v>38926.66667</v>
      </c>
      <c r="B345" s="1">
        <f>IFERROR(__xludf.DUMMYFUNCTION("""COMPUTED_VALUE"""),56.35)</f>
        <v>56.35</v>
      </c>
      <c r="C345" s="1">
        <f>IFERROR(__xludf.DUMMYFUNCTION("""COMPUTED_VALUE"""),57.25)</f>
        <v>57.25</v>
      </c>
      <c r="D345" s="1">
        <f>IFERROR(__xludf.DUMMYFUNCTION("""COMPUTED_VALUE"""),56.15)</f>
        <v>56.15</v>
      </c>
      <c r="E345" s="1">
        <f>IFERROR(__xludf.DUMMYFUNCTION("""COMPUTED_VALUE"""),56.81)</f>
        <v>56.81</v>
      </c>
      <c r="F345" s="1">
        <f>IFERROR(__xludf.DUMMYFUNCTION("""COMPUTED_VALUE"""),2.98695E7)</f>
        <v>29869500</v>
      </c>
    </row>
    <row r="346">
      <c r="A346" s="2">
        <f>IFERROR(__xludf.DUMMYFUNCTION("""COMPUTED_VALUE"""),38933.666666666664)</f>
        <v>38933.66667</v>
      </c>
      <c r="B346" s="1">
        <f>IFERROR(__xludf.DUMMYFUNCTION("""COMPUTED_VALUE"""),56.41)</f>
        <v>56.41</v>
      </c>
      <c r="C346" s="1">
        <f>IFERROR(__xludf.DUMMYFUNCTION("""COMPUTED_VALUE"""),59.76)</f>
        <v>59.76</v>
      </c>
      <c r="D346" s="1">
        <f>IFERROR(__xludf.DUMMYFUNCTION("""COMPUTED_VALUE"""),55.7)</f>
        <v>55.7</v>
      </c>
      <c r="E346" s="1">
        <f>IFERROR(__xludf.DUMMYFUNCTION("""COMPUTED_VALUE"""),59.45)</f>
        <v>59.45</v>
      </c>
      <c r="F346" s="1">
        <f>IFERROR(__xludf.DUMMYFUNCTION("""COMPUTED_VALUE"""),5.1412E7)</f>
        <v>51412000</v>
      </c>
    </row>
    <row r="347">
      <c r="A347" s="2">
        <f>IFERROR(__xludf.DUMMYFUNCTION("""COMPUTED_VALUE"""),38940.666666666664)</f>
        <v>38940.66667</v>
      </c>
      <c r="B347" s="1">
        <f>IFERROR(__xludf.DUMMYFUNCTION("""COMPUTED_VALUE"""),59.14)</f>
        <v>59.14</v>
      </c>
      <c r="C347" s="1">
        <f>IFERROR(__xludf.DUMMYFUNCTION("""COMPUTED_VALUE"""),60.45)</f>
        <v>60.45</v>
      </c>
      <c r="D347" s="1">
        <f>IFERROR(__xludf.DUMMYFUNCTION("""COMPUTED_VALUE"""),58.84)</f>
        <v>58.84</v>
      </c>
      <c r="E347" s="1">
        <f>IFERROR(__xludf.DUMMYFUNCTION("""COMPUTED_VALUE"""),60.26)</f>
        <v>60.26</v>
      </c>
      <c r="F347" s="1">
        <f>IFERROR(__xludf.DUMMYFUNCTION("""COMPUTED_VALUE"""),3.80552E7)</f>
        <v>38055200</v>
      </c>
    </row>
    <row r="348">
      <c r="A348" s="2">
        <f>IFERROR(__xludf.DUMMYFUNCTION("""COMPUTED_VALUE"""),38947.666666666664)</f>
        <v>38947.66667</v>
      </c>
      <c r="B348" s="1">
        <f>IFERROR(__xludf.DUMMYFUNCTION("""COMPUTED_VALUE"""),60.26)</f>
        <v>60.26</v>
      </c>
      <c r="C348" s="1">
        <f>IFERROR(__xludf.DUMMYFUNCTION("""COMPUTED_VALUE"""),60.75)</f>
        <v>60.75</v>
      </c>
      <c r="D348" s="1">
        <f>IFERROR(__xludf.DUMMYFUNCTION("""COMPUTED_VALUE"""),59.64)</f>
        <v>59.64</v>
      </c>
      <c r="E348" s="1">
        <f>IFERROR(__xludf.DUMMYFUNCTION("""COMPUTED_VALUE"""),60.39)</f>
        <v>60.39</v>
      </c>
      <c r="F348" s="1">
        <f>IFERROR(__xludf.DUMMYFUNCTION("""COMPUTED_VALUE"""),3.50739E7)</f>
        <v>35073900</v>
      </c>
    </row>
    <row r="349">
      <c r="A349" s="2">
        <f>IFERROR(__xludf.DUMMYFUNCTION("""COMPUTED_VALUE"""),38954.666666666664)</f>
        <v>38954.66667</v>
      </c>
      <c r="B349" s="1">
        <f>IFERROR(__xludf.DUMMYFUNCTION("""COMPUTED_VALUE"""),60.3)</f>
        <v>60.3</v>
      </c>
      <c r="C349" s="1">
        <f>IFERROR(__xludf.DUMMYFUNCTION("""COMPUTED_VALUE"""),61.45)</f>
        <v>61.45</v>
      </c>
      <c r="D349" s="1">
        <f>IFERROR(__xludf.DUMMYFUNCTION("""COMPUTED_VALUE"""),60.28)</f>
        <v>60.28</v>
      </c>
      <c r="E349" s="1">
        <f>IFERROR(__xludf.DUMMYFUNCTION("""COMPUTED_VALUE"""),60.87)</f>
        <v>60.87</v>
      </c>
      <c r="F349" s="1">
        <f>IFERROR(__xludf.DUMMYFUNCTION("""COMPUTED_VALUE"""),2.65075E7)</f>
        <v>26507500</v>
      </c>
    </row>
    <row r="350">
      <c r="A350" s="2">
        <f>IFERROR(__xludf.DUMMYFUNCTION("""COMPUTED_VALUE"""),38961.666666666664)</f>
        <v>38961.66667</v>
      </c>
      <c r="B350" s="1">
        <f>IFERROR(__xludf.DUMMYFUNCTION("""COMPUTED_VALUE"""),60.42)</f>
        <v>60.42</v>
      </c>
      <c r="C350" s="1">
        <f>IFERROR(__xludf.DUMMYFUNCTION("""COMPUTED_VALUE"""),62.09)</f>
        <v>62.09</v>
      </c>
      <c r="D350" s="1">
        <f>IFERROR(__xludf.DUMMYFUNCTION("""COMPUTED_VALUE"""),60.22)</f>
        <v>60.22</v>
      </c>
      <c r="E350" s="1">
        <f>IFERROR(__xludf.DUMMYFUNCTION("""COMPUTED_VALUE"""),61.91)</f>
        <v>61.91</v>
      </c>
      <c r="F350" s="1">
        <f>IFERROR(__xludf.DUMMYFUNCTION("""COMPUTED_VALUE"""),3.0634E7)</f>
        <v>30634000</v>
      </c>
    </row>
    <row r="351">
      <c r="A351" s="2">
        <f>IFERROR(__xludf.DUMMYFUNCTION("""COMPUTED_VALUE"""),38968.666666666664)</f>
        <v>38968.66667</v>
      </c>
      <c r="B351" s="1">
        <f>IFERROR(__xludf.DUMMYFUNCTION("""COMPUTED_VALUE"""),61.5)</f>
        <v>61.5</v>
      </c>
      <c r="C351" s="1">
        <f>IFERROR(__xludf.DUMMYFUNCTION("""COMPUTED_VALUE"""),62.34)</f>
        <v>62.34</v>
      </c>
      <c r="D351" s="1">
        <f>IFERROR(__xludf.DUMMYFUNCTION("""COMPUTED_VALUE"""),61.1)</f>
        <v>61.1</v>
      </c>
      <c r="E351" s="1">
        <f>IFERROR(__xludf.DUMMYFUNCTION("""COMPUTED_VALUE"""),61.14)</f>
        <v>61.14</v>
      </c>
      <c r="F351" s="1">
        <f>IFERROR(__xludf.DUMMYFUNCTION("""COMPUTED_VALUE"""),2.37845E7)</f>
        <v>23784500</v>
      </c>
    </row>
    <row r="352">
      <c r="A352" s="2">
        <f>IFERROR(__xludf.DUMMYFUNCTION("""COMPUTED_VALUE"""),38975.666666666664)</f>
        <v>38975.66667</v>
      </c>
      <c r="B352" s="1">
        <f>IFERROR(__xludf.DUMMYFUNCTION("""COMPUTED_VALUE"""),61.1)</f>
        <v>61.1</v>
      </c>
      <c r="C352" s="1">
        <f>IFERROR(__xludf.DUMMYFUNCTION("""COMPUTED_VALUE"""),62.18)</f>
        <v>62.18</v>
      </c>
      <c r="D352" s="1">
        <f>IFERROR(__xludf.DUMMYFUNCTION("""COMPUTED_VALUE"""),59.83)</f>
        <v>59.83</v>
      </c>
      <c r="E352" s="1">
        <f>IFERROR(__xludf.DUMMYFUNCTION("""COMPUTED_VALUE"""),60.9)</f>
        <v>60.9</v>
      </c>
      <c r="F352" s="1">
        <f>IFERROR(__xludf.DUMMYFUNCTION("""COMPUTED_VALUE"""),5.23407E7)</f>
        <v>52340700</v>
      </c>
    </row>
    <row r="353">
      <c r="A353" s="2">
        <f>IFERROR(__xludf.DUMMYFUNCTION("""COMPUTED_VALUE"""),38982.666666666664)</f>
        <v>38982.66667</v>
      </c>
      <c r="B353" s="1">
        <f>IFERROR(__xludf.DUMMYFUNCTION("""COMPUTED_VALUE"""),60.73)</f>
        <v>60.73</v>
      </c>
      <c r="C353" s="1">
        <f>IFERROR(__xludf.DUMMYFUNCTION("""COMPUTED_VALUE"""),62.02)</f>
        <v>62.02</v>
      </c>
      <c r="D353" s="1">
        <f>IFERROR(__xludf.DUMMYFUNCTION("""COMPUTED_VALUE"""),60.21)</f>
        <v>60.21</v>
      </c>
      <c r="E353" s="1">
        <f>IFERROR(__xludf.DUMMYFUNCTION("""COMPUTED_VALUE"""),61.81)</f>
        <v>61.81</v>
      </c>
      <c r="F353" s="1">
        <f>IFERROR(__xludf.DUMMYFUNCTION("""COMPUTED_VALUE"""),3.76921E7)</f>
        <v>37692100</v>
      </c>
    </row>
    <row r="354">
      <c r="A354" s="2">
        <f>IFERROR(__xludf.DUMMYFUNCTION("""COMPUTED_VALUE"""),38989.666666666664)</f>
        <v>38989.66667</v>
      </c>
      <c r="B354" s="1">
        <f>IFERROR(__xludf.DUMMYFUNCTION("""COMPUTED_VALUE"""),61.57)</f>
        <v>61.57</v>
      </c>
      <c r="C354" s="1">
        <f>IFERROR(__xludf.DUMMYFUNCTION("""COMPUTED_VALUE"""),62.85)</f>
        <v>62.85</v>
      </c>
      <c r="D354" s="1">
        <f>IFERROR(__xludf.DUMMYFUNCTION("""COMPUTED_VALUE"""),61.56)</f>
        <v>61.56</v>
      </c>
      <c r="E354" s="1">
        <f>IFERROR(__xludf.DUMMYFUNCTION("""COMPUTED_VALUE"""),61.98)</f>
        <v>61.98</v>
      </c>
      <c r="F354" s="1">
        <f>IFERROR(__xludf.DUMMYFUNCTION("""COMPUTED_VALUE"""),4.20689E7)</f>
        <v>42068900</v>
      </c>
    </row>
    <row r="355">
      <c r="A355" s="2">
        <f>IFERROR(__xludf.DUMMYFUNCTION("""COMPUTED_VALUE"""),38996.666666666664)</f>
        <v>38996.66667</v>
      </c>
      <c r="B355" s="1">
        <f>IFERROR(__xludf.DUMMYFUNCTION("""COMPUTED_VALUE"""),61.99)</f>
        <v>61.99</v>
      </c>
      <c r="C355" s="1">
        <f>IFERROR(__xludf.DUMMYFUNCTION("""COMPUTED_VALUE"""),63.74)</f>
        <v>63.74</v>
      </c>
      <c r="D355" s="1">
        <f>IFERROR(__xludf.DUMMYFUNCTION("""COMPUTED_VALUE"""),61.89)</f>
        <v>61.89</v>
      </c>
      <c r="E355" s="1">
        <f>IFERROR(__xludf.DUMMYFUNCTION("""COMPUTED_VALUE"""),63.09)</f>
        <v>63.09</v>
      </c>
      <c r="F355" s="1">
        <f>IFERROR(__xludf.DUMMYFUNCTION("""COMPUTED_VALUE"""),4.40465E7)</f>
        <v>44046500</v>
      </c>
    </row>
    <row r="356">
      <c r="A356" s="2">
        <f>IFERROR(__xludf.DUMMYFUNCTION("""COMPUTED_VALUE"""),39003.666666666664)</f>
        <v>39003.66667</v>
      </c>
      <c r="B356" s="1">
        <f>IFERROR(__xludf.DUMMYFUNCTION("""COMPUTED_VALUE"""),62.78)</f>
        <v>62.78</v>
      </c>
      <c r="C356" s="1">
        <f>IFERROR(__xludf.DUMMYFUNCTION("""COMPUTED_VALUE"""),63.04)</f>
        <v>63.04</v>
      </c>
      <c r="D356" s="1">
        <f>IFERROR(__xludf.DUMMYFUNCTION("""COMPUTED_VALUE"""),61.65)</f>
        <v>61.65</v>
      </c>
      <c r="E356" s="1">
        <f>IFERROR(__xludf.DUMMYFUNCTION("""COMPUTED_VALUE"""),62.13)</f>
        <v>62.13</v>
      </c>
      <c r="F356" s="1">
        <f>IFERROR(__xludf.DUMMYFUNCTION("""COMPUTED_VALUE"""),2.95203E7)</f>
        <v>29520300</v>
      </c>
    </row>
    <row r="357">
      <c r="A357" s="2">
        <f>IFERROR(__xludf.DUMMYFUNCTION("""COMPUTED_VALUE"""),39010.666666666664)</f>
        <v>39010.66667</v>
      </c>
      <c r="B357" s="1">
        <f>IFERROR(__xludf.DUMMYFUNCTION("""COMPUTED_VALUE"""),61.82)</f>
        <v>61.82</v>
      </c>
      <c r="C357" s="1">
        <f>IFERROR(__xludf.DUMMYFUNCTION("""COMPUTED_VALUE"""),62.88)</f>
        <v>62.88</v>
      </c>
      <c r="D357" s="1">
        <f>IFERROR(__xludf.DUMMYFUNCTION("""COMPUTED_VALUE"""),61.5)</f>
        <v>61.5</v>
      </c>
      <c r="E357" s="1">
        <f>IFERROR(__xludf.DUMMYFUNCTION("""COMPUTED_VALUE"""),62.68)</f>
        <v>62.68</v>
      </c>
      <c r="F357" s="1">
        <f>IFERROR(__xludf.DUMMYFUNCTION("""COMPUTED_VALUE"""),3.26835E7)</f>
        <v>32683500</v>
      </c>
    </row>
    <row r="358">
      <c r="A358" s="2">
        <f>IFERROR(__xludf.DUMMYFUNCTION("""COMPUTED_VALUE"""),39017.666666666664)</f>
        <v>39017.66667</v>
      </c>
      <c r="B358" s="1">
        <f>IFERROR(__xludf.DUMMYFUNCTION("""COMPUTED_VALUE"""),62.28)</f>
        <v>62.28</v>
      </c>
      <c r="C358" s="1">
        <f>IFERROR(__xludf.DUMMYFUNCTION("""COMPUTED_VALUE"""),63.84)</f>
        <v>63.84</v>
      </c>
      <c r="D358" s="1">
        <f>IFERROR(__xludf.DUMMYFUNCTION("""COMPUTED_VALUE"""),62.25)</f>
        <v>62.25</v>
      </c>
      <c r="E358" s="1">
        <f>IFERROR(__xludf.DUMMYFUNCTION("""COMPUTED_VALUE"""),63.56)</f>
        <v>63.56</v>
      </c>
      <c r="F358" s="1">
        <f>IFERROR(__xludf.DUMMYFUNCTION("""COMPUTED_VALUE"""),3.37458E7)</f>
        <v>33745800</v>
      </c>
    </row>
    <row r="359">
      <c r="A359" s="2">
        <f>IFERROR(__xludf.DUMMYFUNCTION("""COMPUTED_VALUE"""),39024.666666666664)</f>
        <v>39024.66667</v>
      </c>
      <c r="B359" s="1">
        <f>IFERROR(__xludf.DUMMYFUNCTION("""COMPUTED_VALUE"""),63.57)</f>
        <v>63.57</v>
      </c>
      <c r="C359" s="1">
        <f>IFERROR(__xludf.DUMMYFUNCTION("""COMPUTED_VALUE"""),64.02)</f>
        <v>64.02</v>
      </c>
      <c r="D359" s="1">
        <f>IFERROR(__xludf.DUMMYFUNCTION("""COMPUTED_VALUE"""),62.21)</f>
        <v>62.21</v>
      </c>
      <c r="E359" s="1">
        <f>IFERROR(__xludf.DUMMYFUNCTION("""COMPUTED_VALUE"""),63.4)</f>
        <v>63.4</v>
      </c>
      <c r="F359" s="1">
        <f>IFERROR(__xludf.DUMMYFUNCTION("""COMPUTED_VALUE"""),4.62015E7)</f>
        <v>46201500</v>
      </c>
    </row>
    <row r="360">
      <c r="A360" s="2">
        <f>IFERROR(__xludf.DUMMYFUNCTION("""COMPUTED_VALUE"""),39031.666666666664)</f>
        <v>39031.66667</v>
      </c>
      <c r="B360" s="1">
        <f>IFERROR(__xludf.DUMMYFUNCTION("""COMPUTED_VALUE"""),63.23)</f>
        <v>63.23</v>
      </c>
      <c r="C360" s="1">
        <f>IFERROR(__xludf.DUMMYFUNCTION("""COMPUTED_VALUE"""),64.38)</f>
        <v>64.38</v>
      </c>
      <c r="D360" s="1">
        <f>IFERROR(__xludf.DUMMYFUNCTION("""COMPUTED_VALUE"""),63.12)</f>
        <v>63.12</v>
      </c>
      <c r="E360" s="1">
        <f>IFERROR(__xludf.DUMMYFUNCTION("""COMPUTED_VALUE"""),63.7)</f>
        <v>63.7</v>
      </c>
      <c r="F360" s="1">
        <f>IFERROR(__xludf.DUMMYFUNCTION("""COMPUTED_VALUE"""),4.20862E7)</f>
        <v>42086200</v>
      </c>
    </row>
    <row r="361">
      <c r="A361" s="2">
        <f>IFERROR(__xludf.DUMMYFUNCTION("""COMPUTED_VALUE"""),39038.666666666664)</f>
        <v>39038.66667</v>
      </c>
      <c r="B361" s="1">
        <f>IFERROR(__xludf.DUMMYFUNCTION("""COMPUTED_VALUE"""),63.77)</f>
        <v>63.77</v>
      </c>
      <c r="C361" s="1">
        <f>IFERROR(__xludf.DUMMYFUNCTION("""COMPUTED_VALUE"""),63.87)</f>
        <v>63.87</v>
      </c>
      <c r="D361" s="1">
        <f>IFERROR(__xludf.DUMMYFUNCTION("""COMPUTED_VALUE"""),62.74)</f>
        <v>62.74</v>
      </c>
      <c r="E361" s="1">
        <f>IFERROR(__xludf.DUMMYFUNCTION("""COMPUTED_VALUE"""),63.86)</f>
        <v>63.86</v>
      </c>
      <c r="F361" s="1">
        <f>IFERROR(__xludf.DUMMYFUNCTION("""COMPUTED_VALUE"""),3.05833E7)</f>
        <v>30583300</v>
      </c>
    </row>
    <row r="362">
      <c r="A362" s="2">
        <f>IFERROR(__xludf.DUMMYFUNCTION("""COMPUTED_VALUE"""),39045.666666666664)</f>
        <v>39045.66667</v>
      </c>
      <c r="B362" s="1">
        <f>IFERROR(__xludf.DUMMYFUNCTION("""COMPUTED_VALUE"""),63.9)</f>
        <v>63.9</v>
      </c>
      <c r="C362" s="1">
        <f>IFERROR(__xludf.DUMMYFUNCTION("""COMPUTED_VALUE"""),63.97)</f>
        <v>63.97</v>
      </c>
      <c r="D362" s="1">
        <f>IFERROR(__xludf.DUMMYFUNCTION("""COMPUTED_VALUE"""),63.06)</f>
        <v>63.06</v>
      </c>
      <c r="E362" s="1">
        <f>IFERROR(__xludf.DUMMYFUNCTION("""COMPUTED_VALUE"""),63.53)</f>
        <v>63.53</v>
      </c>
      <c r="F362" s="1">
        <f>IFERROR(__xludf.DUMMYFUNCTION("""COMPUTED_VALUE"""),1.60885E7)</f>
        <v>16088500</v>
      </c>
    </row>
    <row r="363">
      <c r="A363" s="2">
        <f>IFERROR(__xludf.DUMMYFUNCTION("""COMPUTED_VALUE"""),39052.666666666664)</f>
        <v>39052.66667</v>
      </c>
      <c r="B363" s="1">
        <f>IFERROR(__xludf.DUMMYFUNCTION("""COMPUTED_VALUE"""),63.17)</f>
        <v>63.17</v>
      </c>
      <c r="C363" s="1">
        <f>IFERROR(__xludf.DUMMYFUNCTION("""COMPUTED_VALUE"""),63.36)</f>
        <v>63.36</v>
      </c>
      <c r="D363" s="1">
        <f>IFERROR(__xludf.DUMMYFUNCTION("""COMPUTED_VALUE"""),62.21)</f>
        <v>62.21</v>
      </c>
      <c r="E363" s="1">
        <f>IFERROR(__xludf.DUMMYFUNCTION("""COMPUTED_VALUE"""),62.69)</f>
        <v>62.69</v>
      </c>
      <c r="F363" s="1">
        <f>IFERROR(__xludf.DUMMYFUNCTION("""COMPUTED_VALUE"""),3.57237E7)</f>
        <v>35723700</v>
      </c>
    </row>
    <row r="364">
      <c r="A364" s="2">
        <f>IFERROR(__xludf.DUMMYFUNCTION("""COMPUTED_VALUE"""),39059.666666666664)</f>
        <v>39059.66667</v>
      </c>
      <c r="B364" s="1">
        <f>IFERROR(__xludf.DUMMYFUNCTION("""COMPUTED_VALUE"""),63.08)</f>
        <v>63.08</v>
      </c>
      <c r="C364" s="1">
        <f>IFERROR(__xludf.DUMMYFUNCTION("""COMPUTED_VALUE"""),64.18)</f>
        <v>64.18</v>
      </c>
      <c r="D364" s="1">
        <f>IFERROR(__xludf.DUMMYFUNCTION("""COMPUTED_VALUE"""),62.75)</f>
        <v>62.75</v>
      </c>
      <c r="E364" s="1">
        <f>IFERROR(__xludf.DUMMYFUNCTION("""COMPUTED_VALUE"""),63.89)</f>
        <v>63.89</v>
      </c>
      <c r="F364" s="1">
        <f>IFERROR(__xludf.DUMMYFUNCTION("""COMPUTED_VALUE"""),3.03765E7)</f>
        <v>30376500</v>
      </c>
    </row>
    <row r="365">
      <c r="A365" s="2">
        <f>IFERROR(__xludf.DUMMYFUNCTION("""COMPUTED_VALUE"""),39066.666666666664)</f>
        <v>39066.66667</v>
      </c>
      <c r="B365" s="1">
        <f>IFERROR(__xludf.DUMMYFUNCTION("""COMPUTED_VALUE"""),63.7)</f>
        <v>63.7</v>
      </c>
      <c r="C365" s="1">
        <f>IFERROR(__xludf.DUMMYFUNCTION("""COMPUTED_VALUE"""),64.24)</f>
        <v>64.24</v>
      </c>
      <c r="D365" s="1">
        <f>IFERROR(__xludf.DUMMYFUNCTION("""COMPUTED_VALUE"""),63.25)</f>
        <v>63.25</v>
      </c>
      <c r="E365" s="1">
        <f>IFERROR(__xludf.DUMMYFUNCTION("""COMPUTED_VALUE"""),64.11)</f>
        <v>64.11</v>
      </c>
      <c r="F365" s="1">
        <f>IFERROR(__xludf.DUMMYFUNCTION("""COMPUTED_VALUE"""),3.43833E7)</f>
        <v>34383300</v>
      </c>
    </row>
    <row r="366">
      <c r="A366" s="2">
        <f>IFERROR(__xludf.DUMMYFUNCTION("""COMPUTED_VALUE"""),39073.666666666664)</f>
        <v>39073.66667</v>
      </c>
      <c r="B366" s="1">
        <f>IFERROR(__xludf.DUMMYFUNCTION("""COMPUTED_VALUE"""),64.02)</f>
        <v>64.02</v>
      </c>
      <c r="C366" s="1">
        <f>IFERROR(__xludf.DUMMYFUNCTION("""COMPUTED_VALUE"""),64.5)</f>
        <v>64.5</v>
      </c>
      <c r="D366" s="1">
        <f>IFERROR(__xludf.DUMMYFUNCTION("""COMPUTED_VALUE"""),63.65)</f>
        <v>63.65</v>
      </c>
      <c r="E366" s="1">
        <f>IFERROR(__xludf.DUMMYFUNCTION("""COMPUTED_VALUE"""),63.8)</f>
        <v>63.8</v>
      </c>
      <c r="F366" s="1">
        <f>IFERROR(__xludf.DUMMYFUNCTION("""COMPUTED_VALUE"""),2.68998E7)</f>
        <v>26899800</v>
      </c>
    </row>
    <row r="367">
      <c r="A367" s="2">
        <f>IFERROR(__xludf.DUMMYFUNCTION("""COMPUTED_VALUE"""),39080.666666666664)</f>
        <v>39080.66667</v>
      </c>
      <c r="B367" s="1">
        <f>IFERROR(__xludf.DUMMYFUNCTION("""COMPUTED_VALUE"""),63.67)</f>
        <v>63.67</v>
      </c>
      <c r="C367" s="1">
        <f>IFERROR(__xludf.DUMMYFUNCTION("""COMPUTED_VALUE"""),64.73)</f>
        <v>64.73</v>
      </c>
      <c r="D367" s="1">
        <f>IFERROR(__xludf.DUMMYFUNCTION("""COMPUTED_VALUE"""),63.6)</f>
        <v>63.6</v>
      </c>
      <c r="E367" s="1">
        <f>IFERROR(__xludf.DUMMYFUNCTION("""COMPUTED_VALUE"""),64.27)</f>
        <v>64.27</v>
      </c>
      <c r="F367" s="1">
        <f>IFERROR(__xludf.DUMMYFUNCTION("""COMPUTED_VALUE"""),1.75912E7)</f>
        <v>17591200</v>
      </c>
    </row>
    <row r="368">
      <c r="A368" s="2">
        <f>IFERROR(__xludf.DUMMYFUNCTION("""COMPUTED_VALUE"""),39087.666666666664)</f>
        <v>39087.66667</v>
      </c>
      <c r="B368" s="1">
        <f>IFERROR(__xludf.DUMMYFUNCTION("""COMPUTED_VALUE"""),63.72)</f>
        <v>63.72</v>
      </c>
      <c r="C368" s="1">
        <f>IFERROR(__xludf.DUMMYFUNCTION("""COMPUTED_VALUE"""),64.66)</f>
        <v>64.66</v>
      </c>
      <c r="D368" s="1">
        <f>IFERROR(__xludf.DUMMYFUNCTION("""COMPUTED_VALUE"""),63.34)</f>
        <v>63.34</v>
      </c>
      <c r="E368" s="1">
        <f>IFERROR(__xludf.DUMMYFUNCTION("""COMPUTED_VALUE"""),63.5)</f>
        <v>63.5</v>
      </c>
      <c r="F368" s="1">
        <f>IFERROR(__xludf.DUMMYFUNCTION("""COMPUTED_VALUE"""),2.83429E7)</f>
        <v>28342900</v>
      </c>
    </row>
    <row r="369">
      <c r="A369" s="2">
        <f>IFERROR(__xludf.DUMMYFUNCTION("""COMPUTED_VALUE"""),39094.666666666664)</f>
        <v>39094.66667</v>
      </c>
      <c r="B369" s="1">
        <f>IFERROR(__xludf.DUMMYFUNCTION("""COMPUTED_VALUE"""),63.59)</f>
        <v>63.59</v>
      </c>
      <c r="C369" s="1">
        <f>IFERROR(__xludf.DUMMYFUNCTION("""COMPUTED_VALUE"""),65.0)</f>
        <v>65</v>
      </c>
      <c r="D369" s="1">
        <f>IFERROR(__xludf.DUMMYFUNCTION("""COMPUTED_VALUE"""),63.11)</f>
        <v>63.11</v>
      </c>
      <c r="E369" s="1">
        <f>IFERROR(__xludf.DUMMYFUNCTION("""COMPUTED_VALUE"""),65.0)</f>
        <v>65</v>
      </c>
      <c r="F369" s="1">
        <f>IFERROR(__xludf.DUMMYFUNCTION("""COMPUTED_VALUE"""),4.45319E7)</f>
        <v>44531900</v>
      </c>
    </row>
    <row r="370">
      <c r="A370" s="2">
        <f>IFERROR(__xludf.DUMMYFUNCTION("""COMPUTED_VALUE"""),39101.666666666664)</f>
        <v>39101.66667</v>
      </c>
      <c r="B370" s="1">
        <f>IFERROR(__xludf.DUMMYFUNCTION("""COMPUTED_VALUE"""),64.91)</f>
        <v>64.91</v>
      </c>
      <c r="C370" s="1">
        <f>IFERROR(__xludf.DUMMYFUNCTION("""COMPUTED_VALUE"""),66.3)</f>
        <v>66.3</v>
      </c>
      <c r="D370" s="1">
        <f>IFERROR(__xludf.DUMMYFUNCTION("""COMPUTED_VALUE"""),63.68)</f>
        <v>63.68</v>
      </c>
      <c r="E370" s="1">
        <f>IFERROR(__xludf.DUMMYFUNCTION("""COMPUTED_VALUE"""),66.09)</f>
        <v>66.09</v>
      </c>
      <c r="F370" s="1">
        <f>IFERROR(__xludf.DUMMYFUNCTION("""COMPUTED_VALUE"""),3.97228E7)</f>
        <v>39722800</v>
      </c>
    </row>
    <row r="371">
      <c r="A371" s="2">
        <f>IFERROR(__xludf.DUMMYFUNCTION("""COMPUTED_VALUE"""),39108.666666666664)</f>
        <v>39108.66667</v>
      </c>
      <c r="B371" s="1">
        <f>IFERROR(__xludf.DUMMYFUNCTION("""COMPUTED_VALUE"""),65.95)</f>
        <v>65.95</v>
      </c>
      <c r="C371" s="1">
        <f>IFERROR(__xludf.DUMMYFUNCTION("""COMPUTED_VALUE"""),66.03)</f>
        <v>66.03</v>
      </c>
      <c r="D371" s="1">
        <f>IFERROR(__xludf.DUMMYFUNCTION("""COMPUTED_VALUE"""),64.5)</f>
        <v>64.5</v>
      </c>
      <c r="E371" s="1">
        <f>IFERROR(__xludf.DUMMYFUNCTION("""COMPUTED_VALUE"""),64.86)</f>
        <v>64.86</v>
      </c>
      <c r="F371" s="1">
        <f>IFERROR(__xludf.DUMMYFUNCTION("""COMPUTED_VALUE"""),3.51199E7)</f>
        <v>35119900</v>
      </c>
    </row>
    <row r="372">
      <c r="A372" s="2">
        <f>IFERROR(__xludf.DUMMYFUNCTION("""COMPUTED_VALUE"""),39115.666666666664)</f>
        <v>39115.66667</v>
      </c>
      <c r="B372" s="1">
        <f>IFERROR(__xludf.DUMMYFUNCTION("""COMPUTED_VALUE"""),65.23)</f>
        <v>65.23</v>
      </c>
      <c r="C372" s="1">
        <f>IFERROR(__xludf.DUMMYFUNCTION("""COMPUTED_VALUE"""),65.64)</f>
        <v>65.64</v>
      </c>
      <c r="D372" s="1">
        <f>IFERROR(__xludf.DUMMYFUNCTION("""COMPUTED_VALUE"""),63.68)</f>
        <v>63.68</v>
      </c>
      <c r="E372" s="1">
        <f>IFERROR(__xludf.DUMMYFUNCTION("""COMPUTED_VALUE"""),65.34)</f>
        <v>65.34</v>
      </c>
      <c r="F372" s="1">
        <f>IFERROR(__xludf.DUMMYFUNCTION("""COMPUTED_VALUE"""),4.49187E7)</f>
        <v>44918700</v>
      </c>
    </row>
    <row r="373">
      <c r="A373" s="2">
        <f>IFERROR(__xludf.DUMMYFUNCTION("""COMPUTED_VALUE"""),39122.666666666664)</f>
        <v>39122.66667</v>
      </c>
      <c r="B373" s="1">
        <f>IFERROR(__xludf.DUMMYFUNCTION("""COMPUTED_VALUE"""),65.12)</f>
        <v>65.12</v>
      </c>
      <c r="C373" s="1">
        <f>IFERROR(__xludf.DUMMYFUNCTION("""COMPUTED_VALUE"""),65.42)</f>
        <v>65.42</v>
      </c>
      <c r="D373" s="1">
        <f>IFERROR(__xludf.DUMMYFUNCTION("""COMPUTED_VALUE"""),64.1)</f>
        <v>64.1</v>
      </c>
      <c r="E373" s="1">
        <f>IFERROR(__xludf.DUMMYFUNCTION("""COMPUTED_VALUE"""),64.43)</f>
        <v>64.43</v>
      </c>
      <c r="F373" s="1">
        <f>IFERROR(__xludf.DUMMYFUNCTION("""COMPUTED_VALUE"""),3.25233E7)</f>
        <v>32523300</v>
      </c>
    </row>
    <row r="374">
      <c r="A374" s="2">
        <f>IFERROR(__xludf.DUMMYFUNCTION("""COMPUTED_VALUE"""),39129.666666666664)</f>
        <v>39129.66667</v>
      </c>
      <c r="B374" s="1">
        <f>IFERROR(__xludf.DUMMYFUNCTION("""COMPUTED_VALUE"""),64.36)</f>
        <v>64.36</v>
      </c>
      <c r="C374" s="1">
        <f>IFERROR(__xludf.DUMMYFUNCTION("""COMPUTED_VALUE"""),65.5)</f>
        <v>65.5</v>
      </c>
      <c r="D374" s="1">
        <f>IFERROR(__xludf.DUMMYFUNCTION("""COMPUTED_VALUE"""),64.06)</f>
        <v>64.06</v>
      </c>
      <c r="E374" s="1">
        <f>IFERROR(__xludf.DUMMYFUNCTION("""COMPUTED_VALUE"""),65.07)</f>
        <v>65.07</v>
      </c>
      <c r="F374" s="1">
        <f>IFERROR(__xludf.DUMMYFUNCTION("""COMPUTED_VALUE"""),3.616164E7)</f>
        <v>36161640</v>
      </c>
    </row>
    <row r="375">
      <c r="A375" s="2">
        <f>IFERROR(__xludf.DUMMYFUNCTION("""COMPUTED_VALUE"""),39136.666666666664)</f>
        <v>39136.66667</v>
      </c>
      <c r="B375" s="1">
        <f>IFERROR(__xludf.DUMMYFUNCTION("""COMPUTED_VALUE"""),64.75)</f>
        <v>64.75</v>
      </c>
      <c r="C375" s="1">
        <f>IFERROR(__xludf.DUMMYFUNCTION("""COMPUTED_VALUE"""),65.07)</f>
        <v>65.07</v>
      </c>
      <c r="D375" s="1">
        <f>IFERROR(__xludf.DUMMYFUNCTION("""COMPUTED_VALUE"""),64.31)</f>
        <v>64.31</v>
      </c>
      <c r="E375" s="1">
        <f>IFERROR(__xludf.DUMMYFUNCTION("""COMPUTED_VALUE"""),64.82)</f>
        <v>64.82</v>
      </c>
      <c r="F375" s="1">
        <f>IFERROR(__xludf.DUMMYFUNCTION("""COMPUTED_VALUE"""),2.67175E7)</f>
        <v>26717500</v>
      </c>
    </row>
    <row r="376">
      <c r="A376" s="2">
        <f>IFERROR(__xludf.DUMMYFUNCTION("""COMPUTED_VALUE"""),39143.666666666664)</f>
        <v>39143.66667</v>
      </c>
      <c r="B376" s="1">
        <f>IFERROR(__xludf.DUMMYFUNCTION("""COMPUTED_VALUE"""),64.66)</f>
        <v>64.66</v>
      </c>
      <c r="C376" s="1">
        <f>IFERROR(__xludf.DUMMYFUNCTION("""COMPUTED_VALUE"""),64.99)</f>
        <v>64.99</v>
      </c>
      <c r="D376" s="1">
        <f>IFERROR(__xludf.DUMMYFUNCTION("""COMPUTED_VALUE"""),61.25)</f>
        <v>61.25</v>
      </c>
      <c r="E376" s="1">
        <f>IFERROR(__xludf.DUMMYFUNCTION("""COMPUTED_VALUE"""),63.16)</f>
        <v>63.16</v>
      </c>
      <c r="F376" s="1">
        <f>IFERROR(__xludf.DUMMYFUNCTION("""COMPUTED_VALUE"""),6.1239212E7)</f>
        <v>61239212</v>
      </c>
    </row>
    <row r="377">
      <c r="A377" s="2">
        <f>IFERROR(__xludf.DUMMYFUNCTION("""COMPUTED_VALUE"""),39150.666666666664)</f>
        <v>39150.66667</v>
      </c>
      <c r="B377" s="1">
        <f>IFERROR(__xludf.DUMMYFUNCTION("""COMPUTED_VALUE"""),62.84)</f>
        <v>62.84</v>
      </c>
      <c r="C377" s="1">
        <f>IFERROR(__xludf.DUMMYFUNCTION("""COMPUTED_VALUE"""),63.6)</f>
        <v>63.6</v>
      </c>
      <c r="D377" s="1">
        <f>IFERROR(__xludf.DUMMYFUNCTION("""COMPUTED_VALUE"""),61.87)</f>
        <v>61.87</v>
      </c>
      <c r="E377" s="1">
        <f>IFERROR(__xludf.DUMMYFUNCTION("""COMPUTED_VALUE"""),62.16)</f>
        <v>62.16</v>
      </c>
      <c r="F377" s="1">
        <f>IFERROR(__xludf.DUMMYFUNCTION("""COMPUTED_VALUE"""),5.0747872E7)</f>
        <v>50747872</v>
      </c>
    </row>
    <row r="378">
      <c r="A378" s="2">
        <f>IFERROR(__xludf.DUMMYFUNCTION("""COMPUTED_VALUE"""),39157.666666666664)</f>
        <v>39157.66667</v>
      </c>
      <c r="B378" s="1">
        <f>IFERROR(__xludf.DUMMYFUNCTION("""COMPUTED_VALUE"""),62.09)</f>
        <v>62.09</v>
      </c>
      <c r="C378" s="1">
        <f>IFERROR(__xludf.DUMMYFUNCTION("""COMPUTED_VALUE"""),62.4)</f>
        <v>62.4</v>
      </c>
      <c r="D378" s="1">
        <f>IFERROR(__xludf.DUMMYFUNCTION("""COMPUTED_VALUE"""),60.42)</f>
        <v>60.42</v>
      </c>
      <c r="E378" s="1">
        <f>IFERROR(__xludf.DUMMYFUNCTION("""COMPUTED_VALUE"""),61.61)</f>
        <v>61.61</v>
      </c>
      <c r="F378" s="1">
        <f>IFERROR(__xludf.DUMMYFUNCTION("""COMPUTED_VALUE"""),5.2865056E7)</f>
        <v>52865056</v>
      </c>
    </row>
    <row r="379">
      <c r="A379" s="2">
        <f>IFERROR(__xludf.DUMMYFUNCTION("""COMPUTED_VALUE"""),39164.666666666664)</f>
        <v>39164.66667</v>
      </c>
      <c r="B379" s="1">
        <f>IFERROR(__xludf.DUMMYFUNCTION("""COMPUTED_VALUE"""),61.72)</f>
        <v>61.72</v>
      </c>
      <c r="C379" s="1">
        <f>IFERROR(__xludf.DUMMYFUNCTION("""COMPUTED_VALUE"""),63.98)</f>
        <v>63.98</v>
      </c>
      <c r="D379" s="1">
        <f>IFERROR(__xludf.DUMMYFUNCTION("""COMPUTED_VALUE"""),61.71)</f>
        <v>61.71</v>
      </c>
      <c r="E379" s="1">
        <f>IFERROR(__xludf.DUMMYFUNCTION("""COMPUTED_VALUE"""),63.8)</f>
        <v>63.8</v>
      </c>
      <c r="F379" s="1">
        <f>IFERROR(__xludf.DUMMYFUNCTION("""COMPUTED_VALUE"""),4.3137971E7)</f>
        <v>43137971</v>
      </c>
    </row>
    <row r="380">
      <c r="A380" s="2">
        <f>IFERROR(__xludf.DUMMYFUNCTION("""COMPUTED_VALUE"""),39171.666666666664)</f>
        <v>39171.66667</v>
      </c>
      <c r="B380" s="1">
        <f>IFERROR(__xludf.DUMMYFUNCTION("""COMPUTED_VALUE"""),63.6)</f>
        <v>63.6</v>
      </c>
      <c r="C380" s="1">
        <f>IFERROR(__xludf.DUMMYFUNCTION("""COMPUTED_VALUE"""),63.92)</f>
        <v>63.92</v>
      </c>
      <c r="D380" s="1">
        <f>IFERROR(__xludf.DUMMYFUNCTION("""COMPUTED_VALUE"""),62.0)</f>
        <v>62</v>
      </c>
      <c r="E380" s="1">
        <f>IFERROR(__xludf.DUMMYFUNCTION("""COMPUTED_VALUE"""),63.16)</f>
        <v>63.16</v>
      </c>
      <c r="F380" s="1">
        <f>IFERROR(__xludf.DUMMYFUNCTION("""COMPUTED_VALUE"""),3.6721844E7)</f>
        <v>36721844</v>
      </c>
    </row>
    <row r="381">
      <c r="A381" s="2">
        <f>IFERROR(__xludf.DUMMYFUNCTION("""COMPUTED_VALUE"""),39177.666666666664)</f>
        <v>39177.66667</v>
      </c>
      <c r="B381" s="1">
        <f>IFERROR(__xludf.DUMMYFUNCTION("""COMPUTED_VALUE"""),63.16)</f>
        <v>63.16</v>
      </c>
      <c r="C381" s="1">
        <f>IFERROR(__xludf.DUMMYFUNCTION("""COMPUTED_VALUE"""),63.44)</f>
        <v>63.44</v>
      </c>
      <c r="D381" s="1">
        <f>IFERROR(__xludf.DUMMYFUNCTION("""COMPUTED_VALUE"""),62.65)</f>
        <v>62.65</v>
      </c>
      <c r="E381" s="1">
        <f>IFERROR(__xludf.DUMMYFUNCTION("""COMPUTED_VALUE"""),63.0)</f>
        <v>63</v>
      </c>
      <c r="F381" s="1">
        <f>IFERROR(__xludf.DUMMYFUNCTION("""COMPUTED_VALUE"""),3.4077269E7)</f>
        <v>34077269</v>
      </c>
    </row>
    <row r="382">
      <c r="A382" s="2">
        <f>IFERROR(__xludf.DUMMYFUNCTION("""COMPUTED_VALUE"""),39185.666666666664)</f>
        <v>39185.66667</v>
      </c>
      <c r="B382" s="1">
        <f>IFERROR(__xludf.DUMMYFUNCTION("""COMPUTED_VALUE"""),63.03)</f>
        <v>63.03</v>
      </c>
      <c r="C382" s="1">
        <f>IFERROR(__xludf.DUMMYFUNCTION("""COMPUTED_VALUE"""),63.59)</f>
        <v>63.59</v>
      </c>
      <c r="D382" s="1">
        <f>IFERROR(__xludf.DUMMYFUNCTION("""COMPUTED_VALUE"""),62.75)</f>
        <v>62.75</v>
      </c>
      <c r="E382" s="1">
        <f>IFERROR(__xludf.DUMMYFUNCTION("""COMPUTED_VALUE"""),63.38)</f>
        <v>63.38</v>
      </c>
      <c r="F382" s="1">
        <f>IFERROR(__xludf.DUMMYFUNCTION("""COMPUTED_VALUE"""),3.7489065E7)</f>
        <v>37489065</v>
      </c>
    </row>
    <row r="383">
      <c r="A383" s="2">
        <f>IFERROR(__xludf.DUMMYFUNCTION("""COMPUTED_VALUE"""),39192.666666666664)</f>
        <v>39192.66667</v>
      </c>
      <c r="B383" s="1">
        <f>IFERROR(__xludf.DUMMYFUNCTION("""COMPUTED_VALUE"""),63.5)</f>
        <v>63.5</v>
      </c>
      <c r="C383" s="1">
        <f>IFERROR(__xludf.DUMMYFUNCTION("""COMPUTED_VALUE"""),64.19)</f>
        <v>64.19</v>
      </c>
      <c r="D383" s="1">
        <f>IFERROR(__xludf.DUMMYFUNCTION("""COMPUTED_VALUE"""),63.29)</f>
        <v>63.29</v>
      </c>
      <c r="E383" s="1">
        <f>IFERROR(__xludf.DUMMYFUNCTION("""COMPUTED_VALUE"""),63.8)</f>
        <v>63.8</v>
      </c>
      <c r="F383" s="1">
        <f>IFERROR(__xludf.DUMMYFUNCTION("""COMPUTED_VALUE"""),5.695214E7)</f>
        <v>56952140</v>
      </c>
    </row>
    <row r="384">
      <c r="A384" s="2">
        <f>IFERROR(__xludf.DUMMYFUNCTION("""COMPUTED_VALUE"""),39199.666666666664)</f>
        <v>39199.66667</v>
      </c>
      <c r="B384" s="1">
        <f>IFERROR(__xludf.DUMMYFUNCTION("""COMPUTED_VALUE"""),63.8)</f>
        <v>63.8</v>
      </c>
      <c r="C384" s="1">
        <f>IFERROR(__xludf.DUMMYFUNCTION("""COMPUTED_VALUE"""),64.0)</f>
        <v>64</v>
      </c>
      <c r="D384" s="1">
        <f>IFERROR(__xludf.DUMMYFUNCTION("""COMPUTED_VALUE"""),62.61)</f>
        <v>62.61</v>
      </c>
      <c r="E384" s="1">
        <f>IFERROR(__xludf.DUMMYFUNCTION("""COMPUTED_VALUE"""),62.98)</f>
        <v>62.98</v>
      </c>
      <c r="F384" s="1">
        <f>IFERROR(__xludf.DUMMYFUNCTION("""COMPUTED_VALUE"""),4.3101722E7)</f>
        <v>43101722</v>
      </c>
    </row>
    <row r="385">
      <c r="A385" s="2">
        <f>IFERROR(__xludf.DUMMYFUNCTION("""COMPUTED_VALUE"""),39206.666666666664)</f>
        <v>39206.66667</v>
      </c>
      <c r="B385" s="1">
        <f>IFERROR(__xludf.DUMMYFUNCTION("""COMPUTED_VALUE"""),63.3)</f>
        <v>63.3</v>
      </c>
      <c r="C385" s="1">
        <f>IFERROR(__xludf.DUMMYFUNCTION("""COMPUTED_VALUE"""),64.75)</f>
        <v>64.75</v>
      </c>
      <c r="D385" s="1">
        <f>IFERROR(__xludf.DUMMYFUNCTION("""COMPUTED_VALUE"""),61.75)</f>
        <v>61.75</v>
      </c>
      <c r="E385" s="1">
        <f>IFERROR(__xludf.DUMMYFUNCTION("""COMPUTED_VALUE"""),62.41)</f>
        <v>62.41</v>
      </c>
      <c r="F385" s="1">
        <f>IFERROR(__xludf.DUMMYFUNCTION("""COMPUTED_VALUE"""),8.8082202E7)</f>
        <v>88082202</v>
      </c>
    </row>
    <row r="386">
      <c r="A386" s="2">
        <f>IFERROR(__xludf.DUMMYFUNCTION("""COMPUTED_VALUE"""),39213.666666666664)</f>
        <v>39213.66667</v>
      </c>
      <c r="B386" s="1">
        <f>IFERROR(__xludf.DUMMYFUNCTION("""COMPUTED_VALUE"""),62.41)</f>
        <v>62.41</v>
      </c>
      <c r="C386" s="1">
        <f>IFERROR(__xludf.DUMMYFUNCTION("""COMPUTED_VALUE"""),62.79)</f>
        <v>62.79</v>
      </c>
      <c r="D386" s="1">
        <f>IFERROR(__xludf.DUMMYFUNCTION("""COMPUTED_VALUE"""),61.04)</f>
        <v>61.04</v>
      </c>
      <c r="E386" s="1">
        <f>IFERROR(__xludf.DUMMYFUNCTION("""COMPUTED_VALUE"""),61.65)</f>
        <v>61.65</v>
      </c>
      <c r="F386" s="1">
        <f>IFERROR(__xludf.DUMMYFUNCTION("""COMPUTED_VALUE"""),6.2523736E7)</f>
        <v>62523736</v>
      </c>
    </row>
    <row r="387">
      <c r="A387" s="2">
        <f>IFERROR(__xludf.DUMMYFUNCTION("""COMPUTED_VALUE"""),39220.666666666664)</f>
        <v>39220.66667</v>
      </c>
      <c r="B387" s="1">
        <f>IFERROR(__xludf.DUMMYFUNCTION("""COMPUTED_VALUE"""),61.65)</f>
        <v>61.65</v>
      </c>
      <c r="C387" s="1">
        <f>IFERROR(__xludf.DUMMYFUNCTION("""COMPUTED_VALUE"""),64.43)</f>
        <v>64.43</v>
      </c>
      <c r="D387" s="1">
        <f>IFERROR(__xludf.DUMMYFUNCTION("""COMPUTED_VALUE"""),61.56)</f>
        <v>61.56</v>
      </c>
      <c r="E387" s="1">
        <f>IFERROR(__xludf.DUMMYFUNCTION("""COMPUTED_VALUE"""),63.48)</f>
        <v>63.48</v>
      </c>
      <c r="F387" s="1">
        <f>IFERROR(__xludf.DUMMYFUNCTION("""COMPUTED_VALUE"""),6.594355E7)</f>
        <v>65943550</v>
      </c>
    </row>
    <row r="388">
      <c r="A388" s="2">
        <f>IFERROR(__xludf.DUMMYFUNCTION("""COMPUTED_VALUE"""),39227.666666666664)</f>
        <v>39227.66667</v>
      </c>
      <c r="B388" s="1">
        <f>IFERROR(__xludf.DUMMYFUNCTION("""COMPUTED_VALUE"""),63.3)</f>
        <v>63.3</v>
      </c>
      <c r="C388" s="1">
        <f>IFERROR(__xludf.DUMMYFUNCTION("""COMPUTED_VALUE"""),63.46)</f>
        <v>63.46</v>
      </c>
      <c r="D388" s="1">
        <f>IFERROR(__xludf.DUMMYFUNCTION("""COMPUTED_VALUE"""),62.8)</f>
        <v>62.8</v>
      </c>
      <c r="E388" s="1">
        <f>IFERROR(__xludf.DUMMYFUNCTION("""COMPUTED_VALUE"""),62.96)</f>
        <v>62.96</v>
      </c>
      <c r="F388" s="1">
        <f>IFERROR(__xludf.DUMMYFUNCTION("""COMPUTED_VALUE"""),4.5479448E7)</f>
        <v>45479448</v>
      </c>
    </row>
    <row r="389">
      <c r="A389" s="2">
        <f>IFERROR(__xludf.DUMMYFUNCTION("""COMPUTED_VALUE"""),39234.666666666664)</f>
        <v>39234.66667</v>
      </c>
      <c r="B389" s="1">
        <f>IFERROR(__xludf.DUMMYFUNCTION("""COMPUTED_VALUE"""),62.91)</f>
        <v>62.91</v>
      </c>
      <c r="C389" s="1">
        <f>IFERROR(__xludf.DUMMYFUNCTION("""COMPUTED_VALUE"""),63.92)</f>
        <v>63.92</v>
      </c>
      <c r="D389" s="1">
        <f>IFERROR(__xludf.DUMMYFUNCTION("""COMPUTED_VALUE"""),62.9)</f>
        <v>62.9</v>
      </c>
      <c r="E389" s="1">
        <f>IFERROR(__xludf.DUMMYFUNCTION("""COMPUTED_VALUE"""),63.48)</f>
        <v>63.48</v>
      </c>
      <c r="F389" s="1">
        <f>IFERROR(__xludf.DUMMYFUNCTION("""COMPUTED_VALUE"""),3.7862561E7)</f>
        <v>37862561</v>
      </c>
    </row>
    <row r="390">
      <c r="A390" s="2">
        <f>IFERROR(__xludf.DUMMYFUNCTION("""COMPUTED_VALUE"""),39241.666666666664)</f>
        <v>39241.66667</v>
      </c>
      <c r="B390" s="1">
        <f>IFERROR(__xludf.DUMMYFUNCTION("""COMPUTED_VALUE"""),63.5)</f>
        <v>63.5</v>
      </c>
      <c r="C390" s="1">
        <f>IFERROR(__xludf.DUMMYFUNCTION("""COMPUTED_VALUE"""),63.73)</f>
        <v>63.73</v>
      </c>
      <c r="D390" s="1">
        <f>IFERROR(__xludf.DUMMYFUNCTION("""COMPUTED_VALUE"""),62.12)</f>
        <v>62.12</v>
      </c>
      <c r="E390" s="1">
        <f>IFERROR(__xludf.DUMMYFUNCTION("""COMPUTED_VALUE"""),63.07)</f>
        <v>63.07</v>
      </c>
      <c r="F390" s="1">
        <f>IFERROR(__xludf.DUMMYFUNCTION("""COMPUTED_VALUE"""),7.1524853E7)</f>
        <v>71524853</v>
      </c>
    </row>
    <row r="391">
      <c r="A391" s="2">
        <f>IFERROR(__xludf.DUMMYFUNCTION("""COMPUTED_VALUE"""),39248.666666666664)</f>
        <v>39248.66667</v>
      </c>
      <c r="B391" s="1">
        <f>IFERROR(__xludf.DUMMYFUNCTION("""COMPUTED_VALUE"""),63.07)</f>
        <v>63.07</v>
      </c>
      <c r="C391" s="1">
        <f>IFERROR(__xludf.DUMMYFUNCTION("""COMPUTED_VALUE"""),63.21)</f>
        <v>63.21</v>
      </c>
      <c r="D391" s="1">
        <f>IFERROR(__xludf.DUMMYFUNCTION("""COMPUTED_VALUE"""),62.0)</f>
        <v>62</v>
      </c>
      <c r="E391" s="1">
        <f>IFERROR(__xludf.DUMMYFUNCTION("""COMPUTED_VALUE"""),62.57)</f>
        <v>62.57</v>
      </c>
      <c r="F391" s="1">
        <f>IFERROR(__xludf.DUMMYFUNCTION("""COMPUTED_VALUE"""),6.2298747E7)</f>
        <v>62298747</v>
      </c>
    </row>
    <row r="392">
      <c r="A392" s="2">
        <f>IFERROR(__xludf.DUMMYFUNCTION("""COMPUTED_VALUE"""),39255.666666666664)</f>
        <v>39255.66667</v>
      </c>
      <c r="B392" s="1">
        <f>IFERROR(__xludf.DUMMYFUNCTION("""COMPUTED_VALUE"""),62.59)</f>
        <v>62.59</v>
      </c>
      <c r="C392" s="1">
        <f>IFERROR(__xludf.DUMMYFUNCTION("""COMPUTED_VALUE"""),62.59)</f>
        <v>62.59</v>
      </c>
      <c r="D392" s="1">
        <f>IFERROR(__xludf.DUMMYFUNCTION("""COMPUTED_VALUE"""),60.99)</f>
        <v>60.99</v>
      </c>
      <c r="E392" s="1">
        <f>IFERROR(__xludf.DUMMYFUNCTION("""COMPUTED_VALUE"""),61.03)</f>
        <v>61.03</v>
      </c>
      <c r="F392" s="1">
        <f>IFERROR(__xludf.DUMMYFUNCTION("""COMPUTED_VALUE"""),8.6453275E7)</f>
        <v>86453275</v>
      </c>
    </row>
    <row r="393">
      <c r="A393" s="2">
        <f>IFERROR(__xludf.DUMMYFUNCTION("""COMPUTED_VALUE"""),39262.666666666664)</f>
        <v>39262.66667</v>
      </c>
      <c r="B393" s="1">
        <f>IFERROR(__xludf.DUMMYFUNCTION("""COMPUTED_VALUE"""),61.1)</f>
        <v>61.1</v>
      </c>
      <c r="C393" s="1">
        <f>IFERROR(__xludf.DUMMYFUNCTION("""COMPUTED_VALUE"""),61.8)</f>
        <v>61.8</v>
      </c>
      <c r="D393" s="1">
        <f>IFERROR(__xludf.DUMMYFUNCTION("""COMPUTED_VALUE"""),60.76)</f>
        <v>60.76</v>
      </c>
      <c r="E393" s="1">
        <f>IFERROR(__xludf.DUMMYFUNCTION("""COMPUTED_VALUE"""),61.19)</f>
        <v>61.19</v>
      </c>
      <c r="F393" s="1">
        <f>IFERROR(__xludf.DUMMYFUNCTION("""COMPUTED_VALUE"""),5.8173101E7)</f>
        <v>58173101</v>
      </c>
    </row>
    <row r="394">
      <c r="A394" s="2">
        <f>IFERROR(__xludf.DUMMYFUNCTION("""COMPUTED_VALUE"""),39269.666666666664)</f>
        <v>39269.66667</v>
      </c>
      <c r="B394" s="1">
        <f>IFERROR(__xludf.DUMMYFUNCTION("""COMPUTED_VALUE"""),61.19)</f>
        <v>61.19</v>
      </c>
      <c r="C394" s="1">
        <f>IFERROR(__xludf.DUMMYFUNCTION("""COMPUTED_VALUE"""),61.93)</f>
        <v>61.93</v>
      </c>
      <c r="D394" s="1">
        <f>IFERROR(__xludf.DUMMYFUNCTION("""COMPUTED_VALUE"""),61.19)</f>
        <v>61.19</v>
      </c>
      <c r="E394" s="1">
        <f>IFERROR(__xludf.DUMMYFUNCTION("""COMPUTED_VALUE"""),61.48)</f>
        <v>61.48</v>
      </c>
      <c r="F394" s="1">
        <f>IFERROR(__xludf.DUMMYFUNCTION("""COMPUTED_VALUE"""),3.5065638E7)</f>
        <v>35065638</v>
      </c>
    </row>
    <row r="395">
      <c r="A395" s="2">
        <f>IFERROR(__xludf.DUMMYFUNCTION("""COMPUTED_VALUE"""),39276.666666666664)</f>
        <v>39276.66667</v>
      </c>
      <c r="B395" s="1">
        <f>IFERROR(__xludf.DUMMYFUNCTION("""COMPUTED_VALUE"""),61.48)</f>
        <v>61.48</v>
      </c>
      <c r="C395" s="1">
        <f>IFERROR(__xludf.DUMMYFUNCTION("""COMPUTED_VALUE"""),63.0)</f>
        <v>63</v>
      </c>
      <c r="D395" s="1">
        <f>IFERROR(__xludf.DUMMYFUNCTION("""COMPUTED_VALUE"""),60.89)</f>
        <v>60.89</v>
      </c>
      <c r="E395" s="1">
        <f>IFERROR(__xludf.DUMMYFUNCTION("""COMPUTED_VALUE"""),62.66)</f>
        <v>62.66</v>
      </c>
      <c r="F395" s="1">
        <f>IFERROR(__xludf.DUMMYFUNCTION("""COMPUTED_VALUE"""),6.6374089E7)</f>
        <v>66374089</v>
      </c>
    </row>
    <row r="396">
      <c r="A396" s="2">
        <f>IFERROR(__xludf.DUMMYFUNCTION("""COMPUTED_VALUE"""),39283.666666666664)</f>
        <v>39283.66667</v>
      </c>
      <c r="B396" s="1">
        <f>IFERROR(__xludf.DUMMYFUNCTION("""COMPUTED_VALUE"""),62.66)</f>
        <v>62.66</v>
      </c>
      <c r="C396" s="1">
        <f>IFERROR(__xludf.DUMMYFUNCTION("""COMPUTED_VALUE"""),63.5)</f>
        <v>63.5</v>
      </c>
      <c r="D396" s="1">
        <f>IFERROR(__xludf.DUMMYFUNCTION("""COMPUTED_VALUE"""),62.02)</f>
        <v>62.02</v>
      </c>
      <c r="E396" s="1">
        <f>IFERROR(__xludf.DUMMYFUNCTION("""COMPUTED_VALUE"""),62.15)</f>
        <v>62.15</v>
      </c>
      <c r="F396" s="1">
        <f>IFERROR(__xludf.DUMMYFUNCTION("""COMPUTED_VALUE"""),5.8638712E7)</f>
        <v>58638712</v>
      </c>
    </row>
    <row r="397">
      <c r="A397" s="2">
        <f>IFERROR(__xludf.DUMMYFUNCTION("""COMPUTED_VALUE"""),39290.666666666664)</f>
        <v>39290.66667</v>
      </c>
      <c r="B397" s="1">
        <f>IFERROR(__xludf.DUMMYFUNCTION("""COMPUTED_VALUE"""),62.15)</f>
        <v>62.15</v>
      </c>
      <c r="C397" s="1">
        <f>IFERROR(__xludf.DUMMYFUNCTION("""COMPUTED_VALUE"""),64.38)</f>
        <v>64.38</v>
      </c>
      <c r="D397" s="1">
        <f>IFERROR(__xludf.DUMMYFUNCTION("""COMPUTED_VALUE"""),62.15)</f>
        <v>62.15</v>
      </c>
      <c r="E397" s="1">
        <f>IFERROR(__xludf.DUMMYFUNCTION("""COMPUTED_VALUE"""),62.82)</f>
        <v>62.82</v>
      </c>
      <c r="F397" s="1">
        <f>IFERROR(__xludf.DUMMYFUNCTION("""COMPUTED_VALUE"""),7.7043907E7)</f>
        <v>77043907</v>
      </c>
    </row>
    <row r="398">
      <c r="A398" s="2">
        <f>IFERROR(__xludf.DUMMYFUNCTION("""COMPUTED_VALUE"""),39297.666666666664)</f>
        <v>39297.66667</v>
      </c>
      <c r="B398" s="1">
        <f>IFERROR(__xludf.DUMMYFUNCTION("""COMPUTED_VALUE"""),62.79)</f>
        <v>62.79</v>
      </c>
      <c r="C398" s="1">
        <f>IFERROR(__xludf.DUMMYFUNCTION("""COMPUTED_VALUE"""),63.75)</f>
        <v>63.75</v>
      </c>
      <c r="D398" s="1">
        <f>IFERROR(__xludf.DUMMYFUNCTION("""COMPUTED_VALUE"""),61.5)</f>
        <v>61.5</v>
      </c>
      <c r="E398" s="1">
        <f>IFERROR(__xludf.DUMMYFUNCTION("""COMPUTED_VALUE"""),62.88)</f>
        <v>62.88</v>
      </c>
      <c r="F398" s="1">
        <f>IFERROR(__xludf.DUMMYFUNCTION("""COMPUTED_VALUE"""),7.7405038E7)</f>
        <v>77405038</v>
      </c>
    </row>
    <row r="399">
      <c r="A399" s="2">
        <f>IFERROR(__xludf.DUMMYFUNCTION("""COMPUTED_VALUE"""),39304.666666666664)</f>
        <v>39304.66667</v>
      </c>
      <c r="B399" s="1">
        <f>IFERROR(__xludf.DUMMYFUNCTION("""COMPUTED_VALUE"""),62.88)</f>
        <v>62.88</v>
      </c>
      <c r="C399" s="1">
        <f>IFERROR(__xludf.DUMMYFUNCTION("""COMPUTED_VALUE"""),66.75)</f>
        <v>66.75</v>
      </c>
      <c r="D399" s="1">
        <f>IFERROR(__xludf.DUMMYFUNCTION("""COMPUTED_VALUE"""),62.88)</f>
        <v>62.88</v>
      </c>
      <c r="E399" s="1">
        <f>IFERROR(__xludf.DUMMYFUNCTION("""COMPUTED_VALUE"""),65.39)</f>
        <v>65.39</v>
      </c>
      <c r="F399" s="1">
        <f>IFERROR(__xludf.DUMMYFUNCTION("""COMPUTED_VALUE"""),8.8384605E7)</f>
        <v>88384605</v>
      </c>
    </row>
    <row r="400">
      <c r="A400" s="2">
        <f>IFERROR(__xludf.DUMMYFUNCTION("""COMPUTED_VALUE"""),39311.666666666664)</f>
        <v>39311.66667</v>
      </c>
      <c r="B400" s="1">
        <f>IFERROR(__xludf.DUMMYFUNCTION("""COMPUTED_VALUE"""),65.39)</f>
        <v>65.39</v>
      </c>
      <c r="C400" s="1">
        <f>IFERROR(__xludf.DUMMYFUNCTION("""COMPUTED_VALUE"""),65.45)</f>
        <v>65.45</v>
      </c>
      <c r="D400" s="1">
        <f>IFERROR(__xludf.DUMMYFUNCTION("""COMPUTED_VALUE"""),62.53)</f>
        <v>62.53</v>
      </c>
      <c r="E400" s="1">
        <f>IFERROR(__xludf.DUMMYFUNCTION("""COMPUTED_VALUE"""),65.35)</f>
        <v>65.35</v>
      </c>
      <c r="F400" s="1">
        <f>IFERROR(__xludf.DUMMYFUNCTION("""COMPUTED_VALUE"""),8.1115288E7)</f>
        <v>81115288</v>
      </c>
    </row>
    <row r="401">
      <c r="A401" s="2">
        <f>IFERROR(__xludf.DUMMYFUNCTION("""COMPUTED_VALUE"""),39318.666666666664)</f>
        <v>39318.66667</v>
      </c>
      <c r="B401" s="1">
        <f>IFERROR(__xludf.DUMMYFUNCTION("""COMPUTED_VALUE"""),65.15)</f>
        <v>65.15</v>
      </c>
      <c r="C401" s="1">
        <f>IFERROR(__xludf.DUMMYFUNCTION("""COMPUTED_VALUE"""),65.95)</f>
        <v>65.95</v>
      </c>
      <c r="D401" s="1">
        <f>IFERROR(__xludf.DUMMYFUNCTION("""COMPUTED_VALUE"""),64.21)</f>
        <v>64.21</v>
      </c>
      <c r="E401" s="1">
        <f>IFERROR(__xludf.DUMMYFUNCTION("""COMPUTED_VALUE"""),65.93)</f>
        <v>65.93</v>
      </c>
      <c r="F401" s="1">
        <f>IFERROR(__xludf.DUMMYFUNCTION("""COMPUTED_VALUE"""),4.80747E7)</f>
        <v>48074700</v>
      </c>
    </row>
    <row r="402">
      <c r="A402" s="2">
        <f>IFERROR(__xludf.DUMMYFUNCTION("""COMPUTED_VALUE"""),39325.666666666664)</f>
        <v>39325.66667</v>
      </c>
      <c r="B402" s="1">
        <f>IFERROR(__xludf.DUMMYFUNCTION("""COMPUTED_VALUE"""),65.67)</f>
        <v>65.67</v>
      </c>
      <c r="C402" s="1">
        <f>IFERROR(__xludf.DUMMYFUNCTION("""COMPUTED_VALUE"""),65.74)</f>
        <v>65.74</v>
      </c>
      <c r="D402" s="1">
        <f>IFERROR(__xludf.DUMMYFUNCTION("""COMPUTED_VALUE"""),64.2)</f>
        <v>64.2</v>
      </c>
      <c r="E402" s="1">
        <f>IFERROR(__xludf.DUMMYFUNCTION("""COMPUTED_VALUE"""),65.31)</f>
        <v>65.31</v>
      </c>
      <c r="F402" s="1">
        <f>IFERROR(__xludf.DUMMYFUNCTION("""COMPUTED_VALUE"""),4.4189718E7)</f>
        <v>44189718</v>
      </c>
    </row>
    <row r="403">
      <c r="A403" s="2">
        <f>IFERROR(__xludf.DUMMYFUNCTION("""COMPUTED_VALUE"""),39332.666666666664)</f>
        <v>39332.66667</v>
      </c>
      <c r="B403" s="1">
        <f>IFERROR(__xludf.DUMMYFUNCTION("""COMPUTED_VALUE"""),65.1)</f>
        <v>65.1</v>
      </c>
      <c r="C403" s="1">
        <f>IFERROR(__xludf.DUMMYFUNCTION("""COMPUTED_VALUE"""),66.33)</f>
        <v>66.33</v>
      </c>
      <c r="D403" s="1">
        <f>IFERROR(__xludf.DUMMYFUNCTION("""COMPUTED_VALUE"""),64.89)</f>
        <v>64.89</v>
      </c>
      <c r="E403" s="1">
        <f>IFERROR(__xludf.DUMMYFUNCTION("""COMPUTED_VALUE"""),65.47)</f>
        <v>65.47</v>
      </c>
      <c r="F403" s="1">
        <f>IFERROR(__xludf.DUMMYFUNCTION("""COMPUTED_VALUE"""),4.039295E7)</f>
        <v>40392950</v>
      </c>
    </row>
    <row r="404">
      <c r="A404" s="2">
        <f>IFERROR(__xludf.DUMMYFUNCTION("""COMPUTED_VALUE"""),39339.666666666664)</f>
        <v>39339.66667</v>
      </c>
      <c r="B404" s="1">
        <f>IFERROR(__xludf.DUMMYFUNCTION("""COMPUTED_VALUE"""),65.55)</f>
        <v>65.55</v>
      </c>
      <c r="C404" s="1">
        <f>IFERROR(__xludf.DUMMYFUNCTION("""COMPUTED_VALUE"""),67.85)</f>
        <v>67.85</v>
      </c>
      <c r="D404" s="1">
        <f>IFERROR(__xludf.DUMMYFUNCTION("""COMPUTED_VALUE"""),65.43)</f>
        <v>65.43</v>
      </c>
      <c r="E404" s="1">
        <f>IFERROR(__xludf.DUMMYFUNCTION("""COMPUTED_VALUE"""),67.81)</f>
        <v>67.81</v>
      </c>
      <c r="F404" s="1">
        <f>IFERROR(__xludf.DUMMYFUNCTION("""COMPUTED_VALUE"""),4.7735737E7)</f>
        <v>47735737</v>
      </c>
    </row>
    <row r="405">
      <c r="A405" s="2">
        <f>IFERROR(__xludf.DUMMYFUNCTION("""COMPUTED_VALUE"""),39346.666666666664)</f>
        <v>39346.66667</v>
      </c>
      <c r="B405" s="1">
        <f>IFERROR(__xludf.DUMMYFUNCTION("""COMPUTED_VALUE"""),67.49)</f>
        <v>67.49</v>
      </c>
      <c r="C405" s="1">
        <f>IFERROR(__xludf.DUMMYFUNCTION("""COMPUTED_VALUE"""),69.94)</f>
        <v>69.94</v>
      </c>
      <c r="D405" s="1">
        <f>IFERROR(__xludf.DUMMYFUNCTION("""COMPUTED_VALUE"""),67.26)</f>
        <v>67.26</v>
      </c>
      <c r="E405" s="1">
        <f>IFERROR(__xludf.DUMMYFUNCTION("""COMPUTED_VALUE"""),69.39)</f>
        <v>69.39</v>
      </c>
      <c r="F405" s="1">
        <f>IFERROR(__xludf.DUMMYFUNCTION("""COMPUTED_VALUE"""),6.5935299E7)</f>
        <v>65935299</v>
      </c>
    </row>
    <row r="406">
      <c r="A406" s="2">
        <f>IFERROR(__xludf.DUMMYFUNCTION("""COMPUTED_VALUE"""),39353.666666666664)</f>
        <v>39353.66667</v>
      </c>
      <c r="B406" s="1">
        <f>IFERROR(__xludf.DUMMYFUNCTION("""COMPUTED_VALUE"""),69.39)</f>
        <v>69.39</v>
      </c>
      <c r="C406" s="1">
        <f>IFERROR(__xludf.DUMMYFUNCTION("""COMPUTED_VALUE"""),70.73)</f>
        <v>70.73</v>
      </c>
      <c r="D406" s="1">
        <f>IFERROR(__xludf.DUMMYFUNCTION("""COMPUTED_VALUE"""),69.1)</f>
        <v>69.1</v>
      </c>
      <c r="E406" s="1">
        <f>IFERROR(__xludf.DUMMYFUNCTION("""COMPUTED_VALUE"""),70.34)</f>
        <v>70.34</v>
      </c>
      <c r="F406" s="1">
        <f>IFERROR(__xludf.DUMMYFUNCTION("""COMPUTED_VALUE"""),5.0320424E7)</f>
        <v>50320424</v>
      </c>
    </row>
    <row r="407">
      <c r="A407" s="2">
        <f>IFERROR(__xludf.DUMMYFUNCTION("""COMPUTED_VALUE"""),39360.666666666664)</f>
        <v>39360.66667</v>
      </c>
      <c r="B407" s="1">
        <f>IFERROR(__xludf.DUMMYFUNCTION("""COMPUTED_VALUE"""),69.88)</f>
        <v>69.88</v>
      </c>
      <c r="C407" s="1">
        <f>IFERROR(__xludf.DUMMYFUNCTION("""COMPUTED_VALUE"""),71.32)</f>
        <v>71.32</v>
      </c>
      <c r="D407" s="1">
        <f>IFERROR(__xludf.DUMMYFUNCTION("""COMPUTED_VALUE"""),69.88)</f>
        <v>69.88</v>
      </c>
      <c r="E407" s="1">
        <f>IFERROR(__xludf.DUMMYFUNCTION("""COMPUTED_VALUE"""),70.83)</f>
        <v>70.83</v>
      </c>
      <c r="F407" s="1">
        <f>IFERROR(__xludf.DUMMYFUNCTION("""COMPUTED_VALUE"""),5.1545528E7)</f>
        <v>51545528</v>
      </c>
    </row>
    <row r="408">
      <c r="A408" s="2">
        <f>IFERROR(__xludf.DUMMYFUNCTION("""COMPUTED_VALUE"""),39367.666666666664)</f>
        <v>39367.66667</v>
      </c>
      <c r="B408" s="1">
        <f>IFERROR(__xludf.DUMMYFUNCTION("""COMPUTED_VALUE"""),70.11)</f>
        <v>70.11</v>
      </c>
      <c r="C408" s="1">
        <f>IFERROR(__xludf.DUMMYFUNCTION("""COMPUTED_VALUE"""),72.0)</f>
        <v>72</v>
      </c>
      <c r="D408" s="1">
        <f>IFERROR(__xludf.DUMMYFUNCTION("""COMPUTED_VALUE"""),70.05)</f>
        <v>70.05</v>
      </c>
      <c r="E408" s="1">
        <f>IFERROR(__xludf.DUMMYFUNCTION("""COMPUTED_VALUE"""),71.7)</f>
        <v>71.7</v>
      </c>
      <c r="F408" s="1">
        <f>IFERROR(__xludf.DUMMYFUNCTION("""COMPUTED_VALUE"""),3.9440847E7)</f>
        <v>39440847</v>
      </c>
    </row>
    <row r="409">
      <c r="A409" s="2">
        <f>IFERROR(__xludf.DUMMYFUNCTION("""COMPUTED_VALUE"""),39374.666666666664)</f>
        <v>39374.66667</v>
      </c>
      <c r="B409" s="1">
        <f>IFERROR(__xludf.DUMMYFUNCTION("""COMPUTED_VALUE"""),71.7)</f>
        <v>71.7</v>
      </c>
      <c r="C409" s="1">
        <f>IFERROR(__xludf.DUMMYFUNCTION("""COMPUTED_VALUE"""),71.9)</f>
        <v>71.9</v>
      </c>
      <c r="D409" s="1">
        <f>IFERROR(__xludf.DUMMYFUNCTION("""COMPUTED_VALUE"""),70.3)</f>
        <v>70.3</v>
      </c>
      <c r="E409" s="1">
        <f>IFERROR(__xludf.DUMMYFUNCTION("""COMPUTED_VALUE"""),70.8)</f>
        <v>70.8</v>
      </c>
      <c r="F409" s="1">
        <f>IFERROR(__xludf.DUMMYFUNCTION("""COMPUTED_VALUE"""),5.3785338E7)</f>
        <v>53785338</v>
      </c>
    </row>
    <row r="410">
      <c r="A410" s="2">
        <f>IFERROR(__xludf.DUMMYFUNCTION("""COMPUTED_VALUE"""),39381.666666666664)</f>
        <v>39381.66667</v>
      </c>
      <c r="B410" s="1">
        <f>IFERROR(__xludf.DUMMYFUNCTION("""COMPUTED_VALUE"""),70.41)</f>
        <v>70.41</v>
      </c>
      <c r="C410" s="1">
        <f>IFERROR(__xludf.DUMMYFUNCTION("""COMPUTED_VALUE"""),73.05)</f>
        <v>73.05</v>
      </c>
      <c r="D410" s="1">
        <f>IFERROR(__xludf.DUMMYFUNCTION("""COMPUTED_VALUE"""),70.41)</f>
        <v>70.41</v>
      </c>
      <c r="E410" s="1">
        <f>IFERROR(__xludf.DUMMYFUNCTION("""COMPUTED_VALUE"""),71.75)</f>
        <v>71.75</v>
      </c>
      <c r="F410" s="1">
        <f>IFERROR(__xludf.DUMMYFUNCTION("""COMPUTED_VALUE"""),4.6571807E7)</f>
        <v>46571807</v>
      </c>
    </row>
    <row r="411">
      <c r="A411" s="2">
        <f>IFERROR(__xludf.DUMMYFUNCTION("""COMPUTED_VALUE"""),39388.666666666664)</f>
        <v>39388.66667</v>
      </c>
      <c r="B411" s="1">
        <f>IFERROR(__xludf.DUMMYFUNCTION("""COMPUTED_VALUE"""),72.13)</f>
        <v>72.13</v>
      </c>
      <c r="C411" s="1">
        <f>IFERROR(__xludf.DUMMYFUNCTION("""COMPUTED_VALUE"""),72.19)</f>
        <v>72.19</v>
      </c>
      <c r="D411" s="1">
        <f>IFERROR(__xludf.DUMMYFUNCTION("""COMPUTED_VALUE"""),67.9)</f>
        <v>67.9</v>
      </c>
      <c r="E411" s="1">
        <f>IFERROR(__xludf.DUMMYFUNCTION("""COMPUTED_VALUE"""),69.55)</f>
        <v>69.55</v>
      </c>
      <c r="F411" s="1">
        <f>IFERROR(__xludf.DUMMYFUNCTION("""COMPUTED_VALUE"""),7.7996216E7)</f>
        <v>77996216</v>
      </c>
    </row>
    <row r="412">
      <c r="A412" s="2">
        <f>IFERROR(__xludf.DUMMYFUNCTION("""COMPUTED_VALUE"""),39395.666666666664)</f>
        <v>39395.66667</v>
      </c>
      <c r="B412" s="1">
        <f>IFERROR(__xludf.DUMMYFUNCTION("""COMPUTED_VALUE"""),69.2)</f>
        <v>69.2</v>
      </c>
      <c r="C412" s="1">
        <f>IFERROR(__xludf.DUMMYFUNCTION("""COMPUTED_VALUE"""),71.02)</f>
        <v>71.02</v>
      </c>
      <c r="D412" s="1">
        <f>IFERROR(__xludf.DUMMYFUNCTION("""COMPUTED_VALUE"""),69.1)</f>
        <v>69.1</v>
      </c>
      <c r="E412" s="1">
        <f>IFERROR(__xludf.DUMMYFUNCTION("""COMPUTED_VALUE"""),70.42)</f>
        <v>70.42</v>
      </c>
      <c r="F412" s="1">
        <f>IFERROR(__xludf.DUMMYFUNCTION("""COMPUTED_VALUE"""),5.9683952E7)</f>
        <v>59683952</v>
      </c>
    </row>
    <row r="413">
      <c r="A413" s="2">
        <f>IFERROR(__xludf.DUMMYFUNCTION("""COMPUTED_VALUE"""),39402.666666666664)</f>
        <v>39402.66667</v>
      </c>
      <c r="B413" s="1">
        <f>IFERROR(__xludf.DUMMYFUNCTION("""COMPUTED_VALUE"""),70.44)</f>
        <v>70.44</v>
      </c>
      <c r="C413" s="1">
        <f>IFERROR(__xludf.DUMMYFUNCTION("""COMPUTED_VALUE"""),73.25)</f>
        <v>73.25</v>
      </c>
      <c r="D413" s="1">
        <f>IFERROR(__xludf.DUMMYFUNCTION("""COMPUTED_VALUE"""),70.35)</f>
        <v>70.35</v>
      </c>
      <c r="E413" s="1">
        <f>IFERROR(__xludf.DUMMYFUNCTION("""COMPUTED_VALUE"""),73.19)</f>
        <v>73.19</v>
      </c>
      <c r="F413" s="1">
        <f>IFERROR(__xludf.DUMMYFUNCTION("""COMPUTED_VALUE"""),6.1553185E7)</f>
        <v>61553185</v>
      </c>
    </row>
    <row r="414">
      <c r="A414" s="2">
        <f>IFERROR(__xludf.DUMMYFUNCTION("""COMPUTED_VALUE"""),39409.666666666664)</f>
        <v>39409.66667</v>
      </c>
      <c r="B414" s="1">
        <f>IFERROR(__xludf.DUMMYFUNCTION("""COMPUTED_VALUE"""),72.87)</f>
        <v>72.87</v>
      </c>
      <c r="C414" s="1">
        <f>IFERROR(__xludf.DUMMYFUNCTION("""COMPUTED_VALUE"""),73.85)</f>
        <v>73.85</v>
      </c>
      <c r="D414" s="1">
        <f>IFERROR(__xludf.DUMMYFUNCTION("""COMPUTED_VALUE"""),72.09)</f>
        <v>72.09</v>
      </c>
      <c r="E414" s="1">
        <f>IFERROR(__xludf.DUMMYFUNCTION("""COMPUTED_VALUE"""),72.86)</f>
        <v>72.86</v>
      </c>
      <c r="F414" s="1">
        <f>IFERROR(__xludf.DUMMYFUNCTION("""COMPUTED_VALUE"""),3.9083774E7)</f>
        <v>39083774</v>
      </c>
    </row>
    <row r="415">
      <c r="A415" s="2">
        <f>IFERROR(__xludf.DUMMYFUNCTION("""COMPUTED_VALUE"""),39416.666666666664)</f>
        <v>39416.66667</v>
      </c>
      <c r="B415" s="1">
        <f>IFERROR(__xludf.DUMMYFUNCTION("""COMPUTED_VALUE"""),73.0)</f>
        <v>73</v>
      </c>
      <c r="C415" s="1">
        <f>IFERROR(__xludf.DUMMYFUNCTION("""COMPUTED_VALUE"""),74.6)</f>
        <v>74.6</v>
      </c>
      <c r="D415" s="1">
        <f>IFERROR(__xludf.DUMMYFUNCTION("""COMPUTED_VALUE"""),71.92)</f>
        <v>71.92</v>
      </c>
      <c r="E415" s="1">
        <f>IFERROR(__xludf.DUMMYFUNCTION("""COMPUTED_VALUE"""),74.0)</f>
        <v>74</v>
      </c>
      <c r="F415" s="1">
        <f>IFERROR(__xludf.DUMMYFUNCTION("""COMPUTED_VALUE"""),6.2062952E7)</f>
        <v>62062952</v>
      </c>
    </row>
    <row r="416">
      <c r="A416" s="2">
        <f>IFERROR(__xludf.DUMMYFUNCTION("""COMPUTED_VALUE"""),39423.666666666664)</f>
        <v>39423.66667</v>
      </c>
      <c r="B416" s="1">
        <f>IFERROR(__xludf.DUMMYFUNCTION("""COMPUTED_VALUE"""),74.0)</f>
        <v>74</v>
      </c>
      <c r="C416" s="1">
        <f>IFERROR(__xludf.DUMMYFUNCTION("""COMPUTED_VALUE"""),74.82)</f>
        <v>74.82</v>
      </c>
      <c r="D416" s="1">
        <f>IFERROR(__xludf.DUMMYFUNCTION("""COMPUTED_VALUE"""),72.91)</f>
        <v>72.91</v>
      </c>
      <c r="E416" s="1">
        <f>IFERROR(__xludf.DUMMYFUNCTION("""COMPUTED_VALUE"""),74.12)</f>
        <v>74.12</v>
      </c>
      <c r="F416" s="1">
        <f>IFERROR(__xludf.DUMMYFUNCTION("""COMPUTED_VALUE"""),4.4066339E7)</f>
        <v>44066339</v>
      </c>
    </row>
    <row r="417">
      <c r="A417" s="2">
        <f>IFERROR(__xludf.DUMMYFUNCTION("""COMPUTED_VALUE"""),39430.666666666664)</f>
        <v>39430.66667</v>
      </c>
      <c r="B417" s="1">
        <f>IFERROR(__xludf.DUMMYFUNCTION("""COMPUTED_VALUE"""),74.17)</f>
        <v>74.17</v>
      </c>
      <c r="C417" s="1">
        <f>IFERROR(__xludf.DUMMYFUNCTION("""COMPUTED_VALUE"""),75.18)</f>
        <v>75.18</v>
      </c>
      <c r="D417" s="1">
        <f>IFERROR(__xludf.DUMMYFUNCTION("""COMPUTED_VALUE"""),73.76)</f>
        <v>73.76</v>
      </c>
      <c r="E417" s="1">
        <f>IFERROR(__xludf.DUMMYFUNCTION("""COMPUTED_VALUE"""),73.9)</f>
        <v>73.9</v>
      </c>
      <c r="F417" s="1">
        <f>IFERROR(__xludf.DUMMYFUNCTION("""COMPUTED_VALUE"""),5.7673686E7)</f>
        <v>57673686</v>
      </c>
    </row>
    <row r="418">
      <c r="A418" s="2">
        <f>IFERROR(__xludf.DUMMYFUNCTION("""COMPUTED_VALUE"""),39437.666666666664)</f>
        <v>39437.66667</v>
      </c>
      <c r="B418" s="1">
        <f>IFERROR(__xludf.DUMMYFUNCTION("""COMPUTED_VALUE"""),73.73)</f>
        <v>73.73</v>
      </c>
      <c r="C418" s="1">
        <f>IFERROR(__xludf.DUMMYFUNCTION("""COMPUTED_VALUE"""),74.33)</f>
        <v>74.33</v>
      </c>
      <c r="D418" s="1">
        <f>IFERROR(__xludf.DUMMYFUNCTION("""COMPUTED_VALUE"""),72.52)</f>
        <v>72.52</v>
      </c>
      <c r="E418" s="1">
        <f>IFERROR(__xludf.DUMMYFUNCTION("""COMPUTED_VALUE"""),74.08)</f>
        <v>74.08</v>
      </c>
      <c r="F418" s="1">
        <f>IFERROR(__xludf.DUMMYFUNCTION("""COMPUTED_VALUE"""),5.5756152E7)</f>
        <v>55756152</v>
      </c>
    </row>
    <row r="419">
      <c r="A419" s="2">
        <f>IFERROR(__xludf.DUMMYFUNCTION("""COMPUTED_VALUE"""),39444.666666666664)</f>
        <v>39444.66667</v>
      </c>
      <c r="B419" s="1">
        <f>IFERROR(__xludf.DUMMYFUNCTION("""COMPUTED_VALUE"""),74.03)</f>
        <v>74.03</v>
      </c>
      <c r="C419" s="1">
        <f>IFERROR(__xludf.DUMMYFUNCTION("""COMPUTED_VALUE"""),74.49)</f>
        <v>74.49</v>
      </c>
      <c r="D419" s="1">
        <f>IFERROR(__xludf.DUMMYFUNCTION("""COMPUTED_VALUE"""),73.62)</f>
        <v>73.62</v>
      </c>
      <c r="E419" s="1">
        <f>IFERROR(__xludf.DUMMYFUNCTION("""COMPUTED_VALUE"""),74.25)</f>
        <v>74.25</v>
      </c>
      <c r="F419" s="1">
        <f>IFERROR(__xludf.DUMMYFUNCTION("""COMPUTED_VALUE"""),2.2801505E7)</f>
        <v>22801505</v>
      </c>
    </row>
    <row r="420">
      <c r="A420" s="2">
        <f>IFERROR(__xludf.DUMMYFUNCTION("""COMPUTED_VALUE"""),39451.666666666664)</f>
        <v>39451.66667</v>
      </c>
      <c r="B420" s="1">
        <f>IFERROR(__xludf.DUMMYFUNCTION("""COMPUTED_VALUE"""),74.25)</f>
        <v>74.25</v>
      </c>
      <c r="C420" s="1">
        <f>IFERROR(__xludf.DUMMYFUNCTION("""COMPUTED_VALUE"""),74.26)</f>
        <v>74.26</v>
      </c>
      <c r="D420" s="1">
        <f>IFERROR(__xludf.DUMMYFUNCTION("""COMPUTED_VALUE"""),71.7)</f>
        <v>71.7</v>
      </c>
      <c r="E420" s="1">
        <f>IFERROR(__xludf.DUMMYFUNCTION("""COMPUTED_VALUE"""),72.02)</f>
        <v>72.02</v>
      </c>
      <c r="F420" s="1">
        <f>IFERROR(__xludf.DUMMYFUNCTION("""COMPUTED_VALUE"""),4.1464328E7)</f>
        <v>41464328</v>
      </c>
    </row>
    <row r="421">
      <c r="A421" s="2">
        <f>IFERROR(__xludf.DUMMYFUNCTION("""COMPUTED_VALUE"""),39458.666666666664)</f>
        <v>39458.66667</v>
      </c>
      <c r="B421" s="1">
        <f>IFERROR(__xludf.DUMMYFUNCTION("""COMPUTED_VALUE"""),72.24)</f>
        <v>72.24</v>
      </c>
      <c r="C421" s="1">
        <f>IFERROR(__xludf.DUMMYFUNCTION("""COMPUTED_VALUE"""),73.81)</f>
        <v>73.81</v>
      </c>
      <c r="D421" s="1">
        <f>IFERROR(__xludf.DUMMYFUNCTION("""COMPUTED_VALUE"""),70.01)</f>
        <v>70.01</v>
      </c>
      <c r="E421" s="1">
        <f>IFERROR(__xludf.DUMMYFUNCTION("""COMPUTED_VALUE"""),70.18)</f>
        <v>70.18</v>
      </c>
      <c r="F421" s="1">
        <f>IFERROR(__xludf.DUMMYFUNCTION("""COMPUTED_VALUE"""),7.5047028E7)</f>
        <v>75047028</v>
      </c>
    </row>
    <row r="422">
      <c r="A422" s="2">
        <f>IFERROR(__xludf.DUMMYFUNCTION("""COMPUTED_VALUE"""),39465.666666666664)</f>
        <v>39465.66667</v>
      </c>
      <c r="B422" s="1">
        <f>IFERROR(__xludf.DUMMYFUNCTION("""COMPUTED_VALUE"""),70.82)</f>
        <v>70.82</v>
      </c>
      <c r="C422" s="1">
        <f>IFERROR(__xludf.DUMMYFUNCTION("""COMPUTED_VALUE"""),70.89)</f>
        <v>70.89</v>
      </c>
      <c r="D422" s="1">
        <f>IFERROR(__xludf.DUMMYFUNCTION("""COMPUTED_VALUE"""),66.7)</f>
        <v>66.7</v>
      </c>
      <c r="E422" s="1">
        <f>IFERROR(__xludf.DUMMYFUNCTION("""COMPUTED_VALUE"""),67.15)</f>
        <v>67.15</v>
      </c>
      <c r="F422" s="1">
        <f>IFERROR(__xludf.DUMMYFUNCTION("""COMPUTED_VALUE"""),7.3850525E7)</f>
        <v>73850525</v>
      </c>
    </row>
    <row r="423">
      <c r="A423" s="2">
        <f>IFERROR(__xludf.DUMMYFUNCTION("""COMPUTED_VALUE"""),39472.666666666664)</f>
        <v>39472.66667</v>
      </c>
      <c r="B423" s="1">
        <f>IFERROR(__xludf.DUMMYFUNCTION("""COMPUTED_VALUE"""),64.19)</f>
        <v>64.19</v>
      </c>
      <c r="C423" s="1">
        <f>IFERROR(__xludf.DUMMYFUNCTION("""COMPUTED_VALUE"""),66.83)</f>
        <v>66.83</v>
      </c>
      <c r="D423" s="1">
        <f>IFERROR(__xludf.DUMMYFUNCTION("""COMPUTED_VALUE"""),62.74)</f>
        <v>62.74</v>
      </c>
      <c r="E423" s="1">
        <f>IFERROR(__xludf.DUMMYFUNCTION("""COMPUTED_VALUE"""),65.31)</f>
        <v>65.31</v>
      </c>
      <c r="F423" s="1">
        <f>IFERROR(__xludf.DUMMYFUNCTION("""COMPUTED_VALUE"""),6.915287E7)</f>
        <v>69152870</v>
      </c>
    </row>
    <row r="424">
      <c r="A424" s="2">
        <f>IFERROR(__xludf.DUMMYFUNCTION("""COMPUTED_VALUE"""),39479.666666666664)</f>
        <v>39479.66667</v>
      </c>
      <c r="B424" s="1">
        <f>IFERROR(__xludf.DUMMYFUNCTION("""COMPUTED_VALUE"""),65.53)</f>
        <v>65.53</v>
      </c>
      <c r="C424" s="1">
        <f>IFERROR(__xludf.DUMMYFUNCTION("""COMPUTED_VALUE"""),66.68)</f>
        <v>66.68</v>
      </c>
      <c r="D424" s="1">
        <f>IFERROR(__xludf.DUMMYFUNCTION("""COMPUTED_VALUE"""),63.78)</f>
        <v>63.78</v>
      </c>
      <c r="E424" s="1">
        <f>IFERROR(__xludf.DUMMYFUNCTION("""COMPUTED_VALUE"""),66.05)</f>
        <v>66.05</v>
      </c>
      <c r="F424" s="1">
        <f>IFERROR(__xludf.DUMMYFUNCTION("""COMPUTED_VALUE"""),6.9865808E7)</f>
        <v>69865808</v>
      </c>
    </row>
    <row r="425">
      <c r="A425" s="2">
        <f>IFERROR(__xludf.DUMMYFUNCTION("""COMPUTED_VALUE"""),39486.666666666664)</f>
        <v>39486.66667</v>
      </c>
      <c r="B425" s="1">
        <f>IFERROR(__xludf.DUMMYFUNCTION("""COMPUTED_VALUE"""),66.56)</f>
        <v>66.56</v>
      </c>
      <c r="C425" s="1">
        <f>IFERROR(__xludf.DUMMYFUNCTION("""COMPUTED_VALUE"""),67.02)</f>
        <v>67.02</v>
      </c>
      <c r="D425" s="1">
        <f>IFERROR(__xludf.DUMMYFUNCTION("""COMPUTED_VALUE"""),64.81)</f>
        <v>64.81</v>
      </c>
      <c r="E425" s="1">
        <f>IFERROR(__xludf.DUMMYFUNCTION("""COMPUTED_VALUE"""),65.02)</f>
        <v>65.02</v>
      </c>
      <c r="F425" s="1">
        <f>IFERROR(__xludf.DUMMYFUNCTION("""COMPUTED_VALUE"""),6.3924746E7)</f>
        <v>63924746</v>
      </c>
    </row>
    <row r="426">
      <c r="A426" s="2">
        <f>IFERROR(__xludf.DUMMYFUNCTION("""COMPUTED_VALUE"""),39493.666666666664)</f>
        <v>39493.66667</v>
      </c>
      <c r="B426" s="1">
        <f>IFERROR(__xludf.DUMMYFUNCTION("""COMPUTED_VALUE"""),64.91)</f>
        <v>64.91</v>
      </c>
      <c r="C426" s="1">
        <f>IFERROR(__xludf.DUMMYFUNCTION("""COMPUTED_VALUE"""),67.74)</f>
        <v>67.74</v>
      </c>
      <c r="D426" s="1">
        <f>IFERROR(__xludf.DUMMYFUNCTION("""COMPUTED_VALUE"""),64.73)</f>
        <v>64.73</v>
      </c>
      <c r="E426" s="1">
        <f>IFERROR(__xludf.DUMMYFUNCTION("""COMPUTED_VALUE"""),66.3)</f>
        <v>66.3</v>
      </c>
      <c r="F426" s="1">
        <f>IFERROR(__xludf.DUMMYFUNCTION("""COMPUTED_VALUE"""),5.520016E7)</f>
        <v>55200160</v>
      </c>
    </row>
    <row r="427">
      <c r="A427" s="2">
        <f>IFERROR(__xludf.DUMMYFUNCTION("""COMPUTED_VALUE"""),39500.666666666664)</f>
        <v>39500.66667</v>
      </c>
      <c r="B427" s="1">
        <f>IFERROR(__xludf.DUMMYFUNCTION("""COMPUTED_VALUE"""),66.93)</f>
        <v>66.93</v>
      </c>
      <c r="C427" s="1">
        <f>IFERROR(__xludf.DUMMYFUNCTION("""COMPUTED_VALUE"""),66.93)</f>
        <v>66.93</v>
      </c>
      <c r="D427" s="1">
        <f>IFERROR(__xludf.DUMMYFUNCTION("""COMPUTED_VALUE"""),65.35)</f>
        <v>65.35</v>
      </c>
      <c r="E427" s="1">
        <f>IFERROR(__xludf.DUMMYFUNCTION("""COMPUTED_VALUE"""),66.21)</f>
        <v>66.21</v>
      </c>
      <c r="F427" s="1">
        <f>IFERROR(__xludf.DUMMYFUNCTION("""COMPUTED_VALUE"""),4.4318298E7)</f>
        <v>44318298</v>
      </c>
    </row>
    <row r="428">
      <c r="A428" s="2">
        <f>IFERROR(__xludf.DUMMYFUNCTION("""COMPUTED_VALUE"""),39507.666666666664)</f>
        <v>39507.66667</v>
      </c>
      <c r="B428" s="1">
        <f>IFERROR(__xludf.DUMMYFUNCTION("""COMPUTED_VALUE"""),66.12)</f>
        <v>66.12</v>
      </c>
      <c r="C428" s="1">
        <f>IFERROR(__xludf.DUMMYFUNCTION("""COMPUTED_VALUE"""),67.92)</f>
        <v>67.92</v>
      </c>
      <c r="D428" s="1">
        <f>IFERROR(__xludf.DUMMYFUNCTION("""COMPUTED_VALUE"""),66.04)</f>
        <v>66.04</v>
      </c>
      <c r="E428" s="1">
        <f>IFERROR(__xludf.DUMMYFUNCTION("""COMPUTED_VALUE"""),66.18)</f>
        <v>66.18</v>
      </c>
      <c r="F428" s="1">
        <f>IFERROR(__xludf.DUMMYFUNCTION("""COMPUTED_VALUE"""),6.0698594E7)</f>
        <v>60698594</v>
      </c>
    </row>
    <row r="429">
      <c r="A429" s="2">
        <f>IFERROR(__xludf.DUMMYFUNCTION("""COMPUTED_VALUE"""),39514.666666666664)</f>
        <v>39514.66667</v>
      </c>
      <c r="B429" s="1">
        <f>IFERROR(__xludf.DUMMYFUNCTION("""COMPUTED_VALUE"""),66.0)</f>
        <v>66</v>
      </c>
      <c r="C429" s="1">
        <f>IFERROR(__xludf.DUMMYFUNCTION("""COMPUTED_VALUE"""),67.16)</f>
        <v>67.16</v>
      </c>
      <c r="D429" s="1">
        <f>IFERROR(__xludf.DUMMYFUNCTION("""COMPUTED_VALUE"""),65.53)</f>
        <v>65.53</v>
      </c>
      <c r="E429" s="1">
        <f>IFERROR(__xludf.DUMMYFUNCTION("""COMPUTED_VALUE"""),65.8)</f>
        <v>65.8</v>
      </c>
      <c r="F429" s="1">
        <f>IFERROR(__xludf.DUMMYFUNCTION("""COMPUTED_VALUE"""),6.3475258E7)</f>
        <v>63475258</v>
      </c>
    </row>
    <row r="430">
      <c r="A430" s="2">
        <f>IFERROR(__xludf.DUMMYFUNCTION("""COMPUTED_VALUE"""),39521.666666666664)</f>
        <v>39521.66667</v>
      </c>
      <c r="B430" s="1">
        <f>IFERROR(__xludf.DUMMYFUNCTION("""COMPUTED_VALUE"""),65.77)</f>
        <v>65.77</v>
      </c>
      <c r="C430" s="1">
        <f>IFERROR(__xludf.DUMMYFUNCTION("""COMPUTED_VALUE"""),67.71)</f>
        <v>67.71</v>
      </c>
      <c r="D430" s="1">
        <f>IFERROR(__xludf.DUMMYFUNCTION("""COMPUTED_VALUE"""),65.58)</f>
        <v>65.58</v>
      </c>
      <c r="E430" s="1">
        <f>IFERROR(__xludf.DUMMYFUNCTION("""COMPUTED_VALUE"""),66.74)</f>
        <v>66.74</v>
      </c>
      <c r="F430" s="1">
        <f>IFERROR(__xludf.DUMMYFUNCTION("""COMPUTED_VALUE"""),7.3379425E7)</f>
        <v>73379425</v>
      </c>
    </row>
    <row r="431">
      <c r="A431" s="2">
        <f>IFERROR(__xludf.DUMMYFUNCTION("""COMPUTED_VALUE"""),39527.666666666664)</f>
        <v>39527.66667</v>
      </c>
      <c r="B431" s="1">
        <f>IFERROR(__xludf.DUMMYFUNCTION("""COMPUTED_VALUE"""),66.0)</f>
        <v>66</v>
      </c>
      <c r="C431" s="1">
        <f>IFERROR(__xludf.DUMMYFUNCTION("""COMPUTED_VALUE"""),69.39)</f>
        <v>69.39</v>
      </c>
      <c r="D431" s="1">
        <f>IFERROR(__xludf.DUMMYFUNCTION("""COMPUTED_VALUE"""),66.0)</f>
        <v>66</v>
      </c>
      <c r="E431" s="1">
        <f>IFERROR(__xludf.DUMMYFUNCTION("""COMPUTED_VALUE"""),69.37)</f>
        <v>69.37</v>
      </c>
      <c r="F431" s="1">
        <f>IFERROR(__xludf.DUMMYFUNCTION("""COMPUTED_VALUE"""),6.3364921E7)</f>
        <v>63364921</v>
      </c>
    </row>
    <row r="432">
      <c r="A432" s="2">
        <f>IFERROR(__xludf.DUMMYFUNCTION("""COMPUTED_VALUE"""),39535.666666666664)</f>
        <v>39535.66667</v>
      </c>
      <c r="B432" s="1">
        <f>IFERROR(__xludf.DUMMYFUNCTION("""COMPUTED_VALUE"""),69.7)</f>
        <v>69.7</v>
      </c>
      <c r="C432" s="1">
        <f>IFERROR(__xludf.DUMMYFUNCTION("""COMPUTED_VALUE"""),70.1)</f>
        <v>70.1</v>
      </c>
      <c r="D432" s="1">
        <f>IFERROR(__xludf.DUMMYFUNCTION("""COMPUTED_VALUE"""),69.06)</f>
        <v>69.06</v>
      </c>
      <c r="E432" s="1">
        <f>IFERROR(__xludf.DUMMYFUNCTION("""COMPUTED_VALUE"""),69.44)</f>
        <v>69.44</v>
      </c>
      <c r="F432" s="1">
        <f>IFERROR(__xludf.DUMMYFUNCTION("""COMPUTED_VALUE"""),4.8444919E7)</f>
        <v>48444919</v>
      </c>
    </row>
    <row r="433">
      <c r="A433" s="2">
        <f>IFERROR(__xludf.DUMMYFUNCTION("""COMPUTED_VALUE"""),39542.666666666664)</f>
        <v>39542.66667</v>
      </c>
      <c r="B433" s="1">
        <f>IFERROR(__xludf.DUMMYFUNCTION("""COMPUTED_VALUE"""),69.56)</f>
        <v>69.56</v>
      </c>
      <c r="C433" s="1">
        <f>IFERROR(__xludf.DUMMYFUNCTION("""COMPUTED_VALUE"""),71.2)</f>
        <v>71.2</v>
      </c>
      <c r="D433" s="1">
        <f>IFERROR(__xludf.DUMMYFUNCTION("""COMPUTED_VALUE"""),68.9)</f>
        <v>68.9</v>
      </c>
      <c r="E433" s="1">
        <f>IFERROR(__xludf.DUMMYFUNCTION("""COMPUTED_VALUE"""),70.6)</f>
        <v>70.6</v>
      </c>
      <c r="F433" s="1">
        <f>IFERROR(__xludf.DUMMYFUNCTION("""COMPUTED_VALUE"""),5.5286175E7)</f>
        <v>55286175</v>
      </c>
    </row>
    <row r="434">
      <c r="A434" s="2">
        <f>IFERROR(__xludf.DUMMYFUNCTION("""COMPUTED_VALUE"""),39549.666666666664)</f>
        <v>39549.66667</v>
      </c>
      <c r="B434" s="1">
        <f>IFERROR(__xludf.DUMMYFUNCTION("""COMPUTED_VALUE"""),70.95)</f>
        <v>70.95</v>
      </c>
      <c r="C434" s="1">
        <f>IFERROR(__xludf.DUMMYFUNCTION("""COMPUTED_VALUE"""),70.97)</f>
        <v>70.97</v>
      </c>
      <c r="D434" s="1">
        <f>IFERROR(__xludf.DUMMYFUNCTION("""COMPUTED_VALUE"""),69.64)</f>
        <v>69.64</v>
      </c>
      <c r="E434" s="1">
        <f>IFERROR(__xludf.DUMMYFUNCTION("""COMPUTED_VALUE"""),70.0)</f>
        <v>70</v>
      </c>
      <c r="F434" s="1">
        <f>IFERROR(__xludf.DUMMYFUNCTION("""COMPUTED_VALUE"""),5.1174332E7)</f>
        <v>51174332</v>
      </c>
    </row>
    <row r="435">
      <c r="A435" s="2">
        <f>IFERROR(__xludf.DUMMYFUNCTION("""COMPUTED_VALUE"""),39556.666666666664)</f>
        <v>39556.66667</v>
      </c>
      <c r="B435" s="1">
        <f>IFERROR(__xludf.DUMMYFUNCTION("""COMPUTED_VALUE"""),70.12)</f>
        <v>70.12</v>
      </c>
      <c r="C435" s="1">
        <f>IFERROR(__xludf.DUMMYFUNCTION("""COMPUTED_VALUE"""),70.68)</f>
        <v>70.68</v>
      </c>
      <c r="D435" s="1">
        <f>IFERROR(__xludf.DUMMYFUNCTION("""COMPUTED_VALUE"""),66.86)</f>
        <v>66.86</v>
      </c>
      <c r="E435" s="1">
        <f>IFERROR(__xludf.DUMMYFUNCTION("""COMPUTED_VALUE"""),67.17)</f>
        <v>67.17</v>
      </c>
      <c r="F435" s="1">
        <f>IFERROR(__xludf.DUMMYFUNCTION("""COMPUTED_VALUE"""),7.6541475E7)</f>
        <v>76541475</v>
      </c>
    </row>
    <row r="436">
      <c r="A436" s="2">
        <f>IFERROR(__xludf.DUMMYFUNCTION("""COMPUTED_VALUE"""),39563.666666666664)</f>
        <v>39563.66667</v>
      </c>
      <c r="B436" s="1">
        <f>IFERROR(__xludf.DUMMYFUNCTION("""COMPUTED_VALUE"""),66.91)</f>
        <v>66.91</v>
      </c>
      <c r="C436" s="1">
        <f>IFERROR(__xludf.DUMMYFUNCTION("""COMPUTED_VALUE"""),68.02)</f>
        <v>68.02</v>
      </c>
      <c r="D436" s="1">
        <f>IFERROR(__xludf.DUMMYFUNCTION("""COMPUTED_VALUE"""),66.17)</f>
        <v>66.17</v>
      </c>
      <c r="E436" s="1">
        <f>IFERROR(__xludf.DUMMYFUNCTION("""COMPUTED_VALUE"""),66.55)</f>
        <v>66.55</v>
      </c>
      <c r="F436" s="1">
        <f>IFERROR(__xludf.DUMMYFUNCTION("""COMPUTED_VALUE"""),6.4128356E7)</f>
        <v>64128356</v>
      </c>
    </row>
    <row r="437">
      <c r="A437" s="2">
        <f>IFERROR(__xludf.DUMMYFUNCTION("""COMPUTED_VALUE"""),39570.666666666664)</f>
        <v>39570.66667</v>
      </c>
      <c r="B437" s="1">
        <f>IFERROR(__xludf.DUMMYFUNCTION("""COMPUTED_VALUE"""),66.62)</f>
        <v>66.62</v>
      </c>
      <c r="C437" s="1">
        <f>IFERROR(__xludf.DUMMYFUNCTION("""COMPUTED_VALUE"""),68.49)</f>
        <v>68.49</v>
      </c>
      <c r="D437" s="1">
        <f>IFERROR(__xludf.DUMMYFUNCTION("""COMPUTED_VALUE"""),65.8)</f>
        <v>65.8</v>
      </c>
      <c r="E437" s="1">
        <f>IFERROR(__xludf.DUMMYFUNCTION("""COMPUTED_VALUE"""),66.8)</f>
        <v>66.8</v>
      </c>
      <c r="F437" s="1">
        <f>IFERROR(__xludf.DUMMYFUNCTION("""COMPUTED_VALUE"""),8.3384533E7)</f>
        <v>83384533</v>
      </c>
    </row>
    <row r="438">
      <c r="A438" s="2">
        <f>IFERROR(__xludf.DUMMYFUNCTION("""COMPUTED_VALUE"""),39577.666666666664)</f>
        <v>39577.66667</v>
      </c>
      <c r="B438" s="1">
        <f>IFERROR(__xludf.DUMMYFUNCTION("""COMPUTED_VALUE"""),66.7)</f>
        <v>66.7</v>
      </c>
      <c r="C438" s="1">
        <f>IFERROR(__xludf.DUMMYFUNCTION("""COMPUTED_VALUE"""),67.03)</f>
        <v>67.03</v>
      </c>
      <c r="D438" s="1">
        <f>IFERROR(__xludf.DUMMYFUNCTION("""COMPUTED_VALUE"""),65.1)</f>
        <v>65.1</v>
      </c>
      <c r="E438" s="1">
        <f>IFERROR(__xludf.DUMMYFUNCTION("""COMPUTED_VALUE"""),65.21)</f>
        <v>65.21</v>
      </c>
      <c r="F438" s="1">
        <f>IFERROR(__xludf.DUMMYFUNCTION("""COMPUTED_VALUE"""),5.2898247E7)</f>
        <v>52898247</v>
      </c>
    </row>
    <row r="439">
      <c r="A439" s="2">
        <f>IFERROR(__xludf.DUMMYFUNCTION("""COMPUTED_VALUE"""),39584.666666666664)</f>
        <v>39584.66667</v>
      </c>
      <c r="B439" s="1">
        <f>IFERROR(__xludf.DUMMYFUNCTION("""COMPUTED_VALUE"""),65.43)</f>
        <v>65.43</v>
      </c>
      <c r="C439" s="1">
        <f>IFERROR(__xludf.DUMMYFUNCTION("""COMPUTED_VALUE"""),66.97)</f>
        <v>66.97</v>
      </c>
      <c r="D439" s="1">
        <f>IFERROR(__xludf.DUMMYFUNCTION("""COMPUTED_VALUE"""),65.0)</f>
        <v>65</v>
      </c>
      <c r="E439" s="1">
        <f>IFERROR(__xludf.DUMMYFUNCTION("""COMPUTED_VALUE"""),66.75)</f>
        <v>66.75</v>
      </c>
      <c r="F439" s="1">
        <f>IFERROR(__xludf.DUMMYFUNCTION("""COMPUTED_VALUE"""),5.9473154E7)</f>
        <v>59473154</v>
      </c>
    </row>
    <row r="440">
      <c r="A440" s="2">
        <f>IFERROR(__xludf.DUMMYFUNCTION("""COMPUTED_VALUE"""),39591.666666666664)</f>
        <v>39591.66667</v>
      </c>
      <c r="B440" s="1">
        <f>IFERROR(__xludf.DUMMYFUNCTION("""COMPUTED_VALUE"""),66.51)</f>
        <v>66.51</v>
      </c>
      <c r="C440" s="1">
        <f>IFERROR(__xludf.DUMMYFUNCTION("""COMPUTED_VALUE"""),66.97)</f>
        <v>66.97</v>
      </c>
      <c r="D440" s="1">
        <f>IFERROR(__xludf.DUMMYFUNCTION("""COMPUTED_VALUE"""),65.01)</f>
        <v>65.01</v>
      </c>
      <c r="E440" s="1">
        <f>IFERROR(__xludf.DUMMYFUNCTION("""COMPUTED_VALUE"""),65.27)</f>
        <v>65.27</v>
      </c>
      <c r="F440" s="1">
        <f>IFERROR(__xludf.DUMMYFUNCTION("""COMPUTED_VALUE"""),4.9818956E7)</f>
        <v>49818956</v>
      </c>
    </row>
    <row r="441">
      <c r="A441" s="2">
        <f>IFERROR(__xludf.DUMMYFUNCTION("""COMPUTED_VALUE"""),39598.666666666664)</f>
        <v>39598.66667</v>
      </c>
      <c r="B441" s="1">
        <f>IFERROR(__xludf.DUMMYFUNCTION("""COMPUTED_VALUE"""),65.38)</f>
        <v>65.38</v>
      </c>
      <c r="C441" s="1">
        <f>IFERROR(__xludf.DUMMYFUNCTION("""COMPUTED_VALUE"""),66.13)</f>
        <v>66.13</v>
      </c>
      <c r="D441" s="1">
        <f>IFERROR(__xludf.DUMMYFUNCTION("""COMPUTED_VALUE"""),64.75)</f>
        <v>64.75</v>
      </c>
      <c r="E441" s="1">
        <f>IFERROR(__xludf.DUMMYFUNCTION("""COMPUTED_VALUE"""),66.05)</f>
        <v>66.05</v>
      </c>
      <c r="F441" s="1">
        <f>IFERROR(__xludf.DUMMYFUNCTION("""COMPUTED_VALUE"""),4.1408703E7)</f>
        <v>41408703</v>
      </c>
    </row>
    <row r="442">
      <c r="A442" s="2">
        <f>IFERROR(__xludf.DUMMYFUNCTION("""COMPUTED_VALUE"""),39605.666666666664)</f>
        <v>39605.66667</v>
      </c>
      <c r="B442" s="1">
        <f>IFERROR(__xludf.DUMMYFUNCTION("""COMPUTED_VALUE"""),65.92)</f>
        <v>65.92</v>
      </c>
      <c r="C442" s="1">
        <f>IFERROR(__xludf.DUMMYFUNCTION("""COMPUTED_VALUE"""),66.82)</f>
        <v>66.82</v>
      </c>
      <c r="D442" s="1">
        <f>IFERROR(__xludf.DUMMYFUNCTION("""COMPUTED_VALUE"""),64.94)</f>
        <v>64.94</v>
      </c>
      <c r="E442" s="1">
        <f>IFERROR(__xludf.DUMMYFUNCTION("""COMPUTED_VALUE"""),65.37)</f>
        <v>65.37</v>
      </c>
      <c r="F442" s="1">
        <f>IFERROR(__xludf.DUMMYFUNCTION("""COMPUTED_VALUE"""),6.1138811E7)</f>
        <v>61138811</v>
      </c>
    </row>
    <row r="443">
      <c r="A443" s="2">
        <f>IFERROR(__xludf.DUMMYFUNCTION("""COMPUTED_VALUE"""),39612.666666666664)</f>
        <v>39612.66667</v>
      </c>
      <c r="B443" s="1">
        <f>IFERROR(__xludf.DUMMYFUNCTION("""COMPUTED_VALUE"""),65.35)</f>
        <v>65.35</v>
      </c>
      <c r="C443" s="1">
        <f>IFERROR(__xludf.DUMMYFUNCTION("""COMPUTED_VALUE"""),67.15)</f>
        <v>67.15</v>
      </c>
      <c r="D443" s="1">
        <f>IFERROR(__xludf.DUMMYFUNCTION("""COMPUTED_VALUE"""),65.22)</f>
        <v>65.22</v>
      </c>
      <c r="E443" s="1">
        <f>IFERROR(__xludf.DUMMYFUNCTION("""COMPUTED_VALUE"""),66.45)</f>
        <v>66.45</v>
      </c>
      <c r="F443" s="1">
        <f>IFERROR(__xludf.DUMMYFUNCTION("""COMPUTED_VALUE"""),6.2286722E7)</f>
        <v>62286722</v>
      </c>
    </row>
    <row r="444">
      <c r="A444" s="2">
        <f>IFERROR(__xludf.DUMMYFUNCTION("""COMPUTED_VALUE"""),39619.666666666664)</f>
        <v>39619.66667</v>
      </c>
      <c r="B444" s="1">
        <f>IFERROR(__xludf.DUMMYFUNCTION("""COMPUTED_VALUE"""),66.25)</f>
        <v>66.25</v>
      </c>
      <c r="C444" s="1">
        <f>IFERROR(__xludf.DUMMYFUNCTION("""COMPUTED_VALUE"""),66.41)</f>
        <v>66.41</v>
      </c>
      <c r="D444" s="1">
        <f>IFERROR(__xludf.DUMMYFUNCTION("""COMPUTED_VALUE"""),63.1)</f>
        <v>63.1</v>
      </c>
      <c r="E444" s="1">
        <f>IFERROR(__xludf.DUMMYFUNCTION("""COMPUTED_VALUE"""),63.16)</f>
        <v>63.16</v>
      </c>
      <c r="F444" s="1">
        <f>IFERROR(__xludf.DUMMYFUNCTION("""COMPUTED_VALUE"""),6.4944759E7)</f>
        <v>64944759</v>
      </c>
    </row>
    <row r="445">
      <c r="A445" s="2">
        <f>IFERROR(__xludf.DUMMYFUNCTION("""COMPUTED_VALUE"""),39626.666666666664)</f>
        <v>39626.66667</v>
      </c>
      <c r="B445" s="1">
        <f>IFERROR(__xludf.DUMMYFUNCTION("""COMPUTED_VALUE"""),63.43)</f>
        <v>63.43</v>
      </c>
      <c r="C445" s="1">
        <f>IFERROR(__xludf.DUMMYFUNCTION("""COMPUTED_VALUE"""),64.06)</f>
        <v>64.06</v>
      </c>
      <c r="D445" s="1">
        <f>IFERROR(__xludf.DUMMYFUNCTION("""COMPUTED_VALUE"""),60.49)</f>
        <v>60.49</v>
      </c>
      <c r="E445" s="1">
        <f>IFERROR(__xludf.DUMMYFUNCTION("""COMPUTED_VALUE"""),60.49)</f>
        <v>60.49</v>
      </c>
      <c r="F445" s="1">
        <f>IFERROR(__xludf.DUMMYFUNCTION("""COMPUTED_VALUE"""),7.1590448E7)</f>
        <v>71590448</v>
      </c>
    </row>
    <row r="446">
      <c r="A446" s="2">
        <f>IFERROR(__xludf.DUMMYFUNCTION("""COMPUTED_VALUE"""),39632.666666666664)</f>
        <v>39632.66667</v>
      </c>
      <c r="B446" s="1">
        <f>IFERROR(__xludf.DUMMYFUNCTION("""COMPUTED_VALUE"""),60.69)</f>
        <v>60.69</v>
      </c>
      <c r="C446" s="1">
        <f>IFERROR(__xludf.DUMMYFUNCTION("""COMPUTED_VALUE"""),63.89)</f>
        <v>63.89</v>
      </c>
      <c r="D446" s="1">
        <f>IFERROR(__xludf.DUMMYFUNCTION("""COMPUTED_VALUE"""),60.05)</f>
        <v>60.05</v>
      </c>
      <c r="E446" s="1">
        <f>IFERROR(__xludf.DUMMYFUNCTION("""COMPUTED_VALUE"""),63.67)</f>
        <v>63.67</v>
      </c>
      <c r="F446" s="1">
        <f>IFERROR(__xludf.DUMMYFUNCTION("""COMPUTED_VALUE"""),6.4466225E7)</f>
        <v>64466225</v>
      </c>
    </row>
    <row r="447">
      <c r="A447" s="2">
        <f>IFERROR(__xludf.DUMMYFUNCTION("""COMPUTED_VALUE"""),39640.666666666664)</f>
        <v>39640.66667</v>
      </c>
      <c r="B447" s="1">
        <f>IFERROR(__xludf.DUMMYFUNCTION("""COMPUTED_VALUE"""),63.81)</f>
        <v>63.81</v>
      </c>
      <c r="C447" s="1">
        <f>IFERROR(__xludf.DUMMYFUNCTION("""COMPUTED_VALUE"""),64.63)</f>
        <v>64.63</v>
      </c>
      <c r="D447" s="1">
        <f>IFERROR(__xludf.DUMMYFUNCTION("""COMPUTED_VALUE"""),62.6)</f>
        <v>62.6</v>
      </c>
      <c r="E447" s="1">
        <f>IFERROR(__xludf.DUMMYFUNCTION("""COMPUTED_VALUE"""),63.45)</f>
        <v>63.45</v>
      </c>
      <c r="F447" s="1">
        <f>IFERROR(__xludf.DUMMYFUNCTION("""COMPUTED_VALUE"""),9.201631E7)</f>
        <v>92016310</v>
      </c>
    </row>
    <row r="448">
      <c r="A448" s="2">
        <f>IFERROR(__xludf.DUMMYFUNCTION("""COMPUTED_VALUE"""),39647.666666666664)</f>
        <v>39647.66667</v>
      </c>
      <c r="B448" s="1">
        <f>IFERROR(__xludf.DUMMYFUNCTION("""COMPUTED_VALUE"""),63.9)</f>
        <v>63.9</v>
      </c>
      <c r="C448" s="1">
        <f>IFERROR(__xludf.DUMMYFUNCTION("""COMPUTED_VALUE"""),65.41)</f>
        <v>65.41</v>
      </c>
      <c r="D448" s="1">
        <f>IFERROR(__xludf.DUMMYFUNCTION("""COMPUTED_VALUE"""),62.03)</f>
        <v>62.03</v>
      </c>
      <c r="E448" s="1">
        <f>IFERROR(__xludf.DUMMYFUNCTION("""COMPUTED_VALUE"""),63.67)</f>
        <v>63.67</v>
      </c>
      <c r="F448" s="1">
        <f>IFERROR(__xludf.DUMMYFUNCTION("""COMPUTED_VALUE"""),9.1136316E7)</f>
        <v>91136316</v>
      </c>
    </row>
    <row r="449">
      <c r="A449" s="2">
        <f>IFERROR(__xludf.DUMMYFUNCTION("""COMPUTED_VALUE"""),39654.666666666664)</f>
        <v>39654.66667</v>
      </c>
      <c r="B449" s="1">
        <f>IFERROR(__xludf.DUMMYFUNCTION("""COMPUTED_VALUE"""),63.93)</f>
        <v>63.93</v>
      </c>
      <c r="C449" s="1">
        <f>IFERROR(__xludf.DUMMYFUNCTION("""COMPUTED_VALUE"""),65.17)</f>
        <v>65.17</v>
      </c>
      <c r="D449" s="1">
        <f>IFERROR(__xludf.DUMMYFUNCTION("""COMPUTED_VALUE"""),63.41)</f>
        <v>63.41</v>
      </c>
      <c r="E449" s="1">
        <f>IFERROR(__xludf.DUMMYFUNCTION("""COMPUTED_VALUE"""),64.46)</f>
        <v>64.46</v>
      </c>
      <c r="F449" s="1">
        <f>IFERROR(__xludf.DUMMYFUNCTION("""COMPUTED_VALUE"""),5.6368368E7)</f>
        <v>56368368</v>
      </c>
    </row>
    <row r="450">
      <c r="A450" s="2">
        <f>IFERROR(__xludf.DUMMYFUNCTION("""COMPUTED_VALUE"""),39661.666666666664)</f>
        <v>39661.66667</v>
      </c>
      <c r="B450" s="1">
        <f>IFERROR(__xludf.DUMMYFUNCTION("""COMPUTED_VALUE"""),64.39)</f>
        <v>64.39</v>
      </c>
      <c r="C450" s="1">
        <f>IFERROR(__xludf.DUMMYFUNCTION("""COMPUTED_VALUE"""),66.76)</f>
        <v>66.76</v>
      </c>
      <c r="D450" s="1">
        <f>IFERROR(__xludf.DUMMYFUNCTION("""COMPUTED_VALUE"""),63.65)</f>
        <v>63.65</v>
      </c>
      <c r="E450" s="1">
        <f>IFERROR(__xludf.DUMMYFUNCTION("""COMPUTED_VALUE"""),64.95)</f>
        <v>64.95</v>
      </c>
      <c r="F450" s="1">
        <f>IFERROR(__xludf.DUMMYFUNCTION("""COMPUTED_VALUE"""),6.795921E7)</f>
        <v>67959210</v>
      </c>
    </row>
    <row r="451">
      <c r="A451" s="2">
        <f>IFERROR(__xludf.DUMMYFUNCTION("""COMPUTED_VALUE"""),39668.666666666664)</f>
        <v>39668.66667</v>
      </c>
      <c r="B451" s="1">
        <f>IFERROR(__xludf.DUMMYFUNCTION("""COMPUTED_VALUE"""),65.12)</f>
        <v>65.12</v>
      </c>
      <c r="C451" s="1">
        <f>IFERROR(__xludf.DUMMYFUNCTION("""COMPUTED_VALUE"""),69.88)</f>
        <v>69.88</v>
      </c>
      <c r="D451" s="1">
        <f>IFERROR(__xludf.DUMMYFUNCTION("""COMPUTED_VALUE"""),64.9)</f>
        <v>64.9</v>
      </c>
      <c r="E451" s="1">
        <f>IFERROR(__xludf.DUMMYFUNCTION("""COMPUTED_VALUE"""),69.63)</f>
        <v>69.63</v>
      </c>
      <c r="F451" s="1">
        <f>IFERROR(__xludf.DUMMYFUNCTION("""COMPUTED_VALUE"""),7.21242E7)</f>
        <v>72124200</v>
      </c>
    </row>
    <row r="452">
      <c r="A452" s="2">
        <f>IFERROR(__xludf.DUMMYFUNCTION("""COMPUTED_VALUE"""),39675.666666666664)</f>
        <v>39675.66667</v>
      </c>
      <c r="B452" s="1">
        <f>IFERROR(__xludf.DUMMYFUNCTION("""COMPUTED_VALUE"""),69.62)</f>
        <v>69.62</v>
      </c>
      <c r="C452" s="1">
        <f>IFERROR(__xludf.DUMMYFUNCTION("""COMPUTED_VALUE"""),71.98)</f>
        <v>71.98</v>
      </c>
      <c r="D452" s="1">
        <f>IFERROR(__xludf.DUMMYFUNCTION("""COMPUTED_VALUE"""),67.07)</f>
        <v>67.07</v>
      </c>
      <c r="E452" s="1">
        <f>IFERROR(__xludf.DUMMYFUNCTION("""COMPUTED_VALUE"""),71.6)</f>
        <v>71.6</v>
      </c>
      <c r="F452" s="1">
        <f>IFERROR(__xludf.DUMMYFUNCTION("""COMPUTED_VALUE"""),6.2982053E7)</f>
        <v>62982053</v>
      </c>
    </row>
    <row r="453">
      <c r="A453" s="2">
        <f>IFERROR(__xludf.DUMMYFUNCTION("""COMPUTED_VALUE"""),39682.666666666664)</f>
        <v>39682.66667</v>
      </c>
      <c r="B453" s="1">
        <f>IFERROR(__xludf.DUMMYFUNCTION("""COMPUTED_VALUE"""),71.32)</f>
        <v>71.32</v>
      </c>
      <c r="C453" s="1">
        <f>IFERROR(__xludf.DUMMYFUNCTION("""COMPUTED_VALUE"""),72.0)</f>
        <v>72</v>
      </c>
      <c r="D453" s="1">
        <f>IFERROR(__xludf.DUMMYFUNCTION("""COMPUTED_VALUE"""),69.29)</f>
        <v>69.29</v>
      </c>
      <c r="E453" s="1">
        <f>IFERROR(__xludf.DUMMYFUNCTION("""COMPUTED_VALUE"""),71.61)</f>
        <v>71.61</v>
      </c>
      <c r="F453" s="1">
        <f>IFERROR(__xludf.DUMMYFUNCTION("""COMPUTED_VALUE"""),5.7415609E7)</f>
        <v>57415609</v>
      </c>
    </row>
    <row r="454">
      <c r="A454" s="2">
        <f>IFERROR(__xludf.DUMMYFUNCTION("""COMPUTED_VALUE"""),39689.666666666664)</f>
        <v>39689.66667</v>
      </c>
      <c r="B454" s="1">
        <f>IFERROR(__xludf.DUMMYFUNCTION("""COMPUTED_VALUE"""),71.33)</f>
        <v>71.33</v>
      </c>
      <c r="C454" s="1">
        <f>IFERROR(__xludf.DUMMYFUNCTION("""COMPUTED_VALUE"""),71.43)</f>
        <v>71.43</v>
      </c>
      <c r="D454" s="1">
        <f>IFERROR(__xludf.DUMMYFUNCTION("""COMPUTED_VALUE"""),69.38)</f>
        <v>69.38</v>
      </c>
      <c r="E454" s="1">
        <f>IFERROR(__xludf.DUMMYFUNCTION("""COMPUTED_VALUE"""),69.77)</f>
        <v>69.77</v>
      </c>
      <c r="F454" s="1">
        <f>IFERROR(__xludf.DUMMYFUNCTION("""COMPUTED_VALUE"""),4.3910359E7)</f>
        <v>43910359</v>
      </c>
    </row>
    <row r="455">
      <c r="A455" s="2">
        <f>IFERROR(__xludf.DUMMYFUNCTION("""COMPUTED_VALUE"""),39696.666666666664)</f>
        <v>39696.66667</v>
      </c>
      <c r="B455" s="1">
        <f>IFERROR(__xludf.DUMMYFUNCTION("""COMPUTED_VALUE"""),70.35)</f>
        <v>70.35</v>
      </c>
      <c r="C455" s="1">
        <f>IFERROR(__xludf.DUMMYFUNCTION("""COMPUTED_VALUE"""),71.52)</f>
        <v>71.52</v>
      </c>
      <c r="D455" s="1">
        <f>IFERROR(__xludf.DUMMYFUNCTION("""COMPUTED_VALUE"""),69.73)</f>
        <v>69.73</v>
      </c>
      <c r="E455" s="1">
        <f>IFERROR(__xludf.DUMMYFUNCTION("""COMPUTED_VALUE"""),70.78)</f>
        <v>70.78</v>
      </c>
      <c r="F455" s="1">
        <f>IFERROR(__xludf.DUMMYFUNCTION("""COMPUTED_VALUE"""),4.5606524E7)</f>
        <v>45606524</v>
      </c>
    </row>
    <row r="456">
      <c r="A456" s="2">
        <f>IFERROR(__xludf.DUMMYFUNCTION("""COMPUTED_VALUE"""),39703.666666666664)</f>
        <v>39703.66667</v>
      </c>
      <c r="B456" s="1">
        <f>IFERROR(__xludf.DUMMYFUNCTION("""COMPUTED_VALUE"""),71.33)</f>
        <v>71.33</v>
      </c>
      <c r="C456" s="1">
        <f>IFERROR(__xludf.DUMMYFUNCTION("""COMPUTED_VALUE"""),73.54)</f>
        <v>73.54</v>
      </c>
      <c r="D456" s="1">
        <f>IFERROR(__xludf.DUMMYFUNCTION("""COMPUTED_VALUE"""),71.31)</f>
        <v>71.31</v>
      </c>
      <c r="E456" s="1">
        <f>IFERROR(__xludf.DUMMYFUNCTION("""COMPUTED_VALUE"""),73.15)</f>
        <v>73.15</v>
      </c>
      <c r="F456" s="1">
        <f>IFERROR(__xludf.DUMMYFUNCTION("""COMPUTED_VALUE"""),8.169888E7)</f>
        <v>81698880</v>
      </c>
    </row>
    <row r="457">
      <c r="A457" s="2">
        <f>IFERROR(__xludf.DUMMYFUNCTION("""COMPUTED_VALUE"""),39710.666666666664)</f>
        <v>39710.66667</v>
      </c>
      <c r="B457" s="1">
        <f>IFERROR(__xludf.DUMMYFUNCTION("""COMPUTED_VALUE"""),72.34)</f>
        <v>72.34</v>
      </c>
      <c r="C457" s="1">
        <f>IFERROR(__xludf.DUMMYFUNCTION("""COMPUTED_VALUE"""),73.57)</f>
        <v>73.57</v>
      </c>
      <c r="D457" s="1">
        <f>IFERROR(__xludf.DUMMYFUNCTION("""COMPUTED_VALUE"""),68.15)</f>
        <v>68.15</v>
      </c>
      <c r="E457" s="1">
        <f>IFERROR(__xludf.DUMMYFUNCTION("""COMPUTED_VALUE"""),70.36)</f>
        <v>70.36</v>
      </c>
      <c r="F457" s="1">
        <f>IFERROR(__xludf.DUMMYFUNCTION("""COMPUTED_VALUE"""),1.23287508E8)</f>
        <v>123287508</v>
      </c>
    </row>
    <row r="458">
      <c r="A458" s="2">
        <f>IFERROR(__xludf.DUMMYFUNCTION("""COMPUTED_VALUE"""),39717.666666666664)</f>
        <v>39717.66667</v>
      </c>
      <c r="B458" s="1">
        <f>IFERROR(__xludf.DUMMYFUNCTION("""COMPUTED_VALUE"""),70.01)</f>
        <v>70.01</v>
      </c>
      <c r="C458" s="1">
        <f>IFERROR(__xludf.DUMMYFUNCTION("""COMPUTED_VALUE"""),70.4)</f>
        <v>70.4</v>
      </c>
      <c r="D458" s="1">
        <f>IFERROR(__xludf.DUMMYFUNCTION("""COMPUTED_VALUE"""),67.07)</f>
        <v>67.07</v>
      </c>
      <c r="E458" s="1">
        <f>IFERROR(__xludf.DUMMYFUNCTION("""COMPUTED_VALUE"""),68.84)</f>
        <v>68.84</v>
      </c>
      <c r="F458" s="1">
        <f>IFERROR(__xludf.DUMMYFUNCTION("""COMPUTED_VALUE"""),7.4117645E7)</f>
        <v>74117645</v>
      </c>
    </row>
    <row r="459">
      <c r="A459" s="2">
        <f>IFERROR(__xludf.DUMMYFUNCTION("""COMPUTED_VALUE"""),39724.666666666664)</f>
        <v>39724.66667</v>
      </c>
      <c r="B459" s="1">
        <f>IFERROR(__xludf.DUMMYFUNCTION("""COMPUTED_VALUE"""),68.15)</f>
        <v>68.15</v>
      </c>
      <c r="C459" s="1">
        <f>IFERROR(__xludf.DUMMYFUNCTION("""COMPUTED_VALUE"""),71.94)</f>
        <v>71.94</v>
      </c>
      <c r="D459" s="1">
        <f>IFERROR(__xludf.DUMMYFUNCTION("""COMPUTED_VALUE"""),66.0)</f>
        <v>66</v>
      </c>
      <c r="E459" s="1">
        <f>IFERROR(__xludf.DUMMYFUNCTION("""COMPUTED_VALUE"""),71.02)</f>
        <v>71.02</v>
      </c>
      <c r="F459" s="1">
        <f>IFERROR(__xludf.DUMMYFUNCTION("""COMPUTED_VALUE"""),1.09039458E8)</f>
        <v>109039458</v>
      </c>
    </row>
    <row r="460">
      <c r="A460" s="2">
        <f>IFERROR(__xludf.DUMMYFUNCTION("""COMPUTED_VALUE"""),39731.666666666664)</f>
        <v>39731.66667</v>
      </c>
      <c r="B460" s="1">
        <f>IFERROR(__xludf.DUMMYFUNCTION("""COMPUTED_VALUE"""),69.77)</f>
        <v>69.77</v>
      </c>
      <c r="C460" s="1">
        <f>IFERROR(__xludf.DUMMYFUNCTION("""COMPUTED_VALUE"""),70.46)</f>
        <v>70.46</v>
      </c>
      <c r="D460" s="1">
        <f>IFERROR(__xludf.DUMMYFUNCTION("""COMPUTED_VALUE"""),54.92)</f>
        <v>54.92</v>
      </c>
      <c r="E460" s="1">
        <f>IFERROR(__xludf.DUMMYFUNCTION("""COMPUTED_VALUE"""),59.56)</f>
        <v>59.56</v>
      </c>
      <c r="F460" s="1">
        <f>IFERROR(__xludf.DUMMYFUNCTION("""COMPUTED_VALUE"""),1.64273282E8)</f>
        <v>164273282</v>
      </c>
    </row>
    <row r="461">
      <c r="A461" s="2">
        <f>IFERROR(__xludf.DUMMYFUNCTION("""COMPUTED_VALUE"""),39738.666666666664)</f>
        <v>39738.66667</v>
      </c>
      <c r="B461" s="1">
        <f>IFERROR(__xludf.DUMMYFUNCTION("""COMPUTED_VALUE"""),61.67)</f>
        <v>61.67</v>
      </c>
      <c r="C461" s="1">
        <f>IFERROR(__xludf.DUMMYFUNCTION("""COMPUTED_VALUE"""),65.88)</f>
        <v>65.88</v>
      </c>
      <c r="D461" s="1">
        <f>IFERROR(__xludf.DUMMYFUNCTION("""COMPUTED_VALUE"""),57.12)</f>
        <v>57.12</v>
      </c>
      <c r="E461" s="1">
        <f>IFERROR(__xludf.DUMMYFUNCTION("""COMPUTED_VALUE"""),61.74)</f>
        <v>61.74</v>
      </c>
      <c r="F461" s="1">
        <f>IFERROR(__xludf.DUMMYFUNCTION("""COMPUTED_VALUE"""),1.2530101E8)</f>
        <v>125301010</v>
      </c>
    </row>
    <row r="462">
      <c r="A462" s="2">
        <f>IFERROR(__xludf.DUMMYFUNCTION("""COMPUTED_VALUE"""),39745.666666666664)</f>
        <v>39745.66667</v>
      </c>
      <c r="B462" s="1">
        <f>IFERROR(__xludf.DUMMYFUNCTION("""COMPUTED_VALUE"""),62.54)</f>
        <v>62.54</v>
      </c>
      <c r="C462" s="1">
        <f>IFERROR(__xludf.DUMMYFUNCTION("""COMPUTED_VALUE"""),64.29)</f>
        <v>64.29</v>
      </c>
      <c r="D462" s="1">
        <f>IFERROR(__xludf.DUMMYFUNCTION("""COMPUTED_VALUE"""),56.62)</f>
        <v>56.62</v>
      </c>
      <c r="E462" s="1">
        <f>IFERROR(__xludf.DUMMYFUNCTION("""COMPUTED_VALUE"""),58.87)</f>
        <v>58.87</v>
      </c>
      <c r="F462" s="1">
        <f>IFERROR(__xludf.DUMMYFUNCTION("""COMPUTED_VALUE"""),1.16719536E8)</f>
        <v>116719536</v>
      </c>
    </row>
    <row r="463">
      <c r="A463" s="2">
        <f>IFERROR(__xludf.DUMMYFUNCTION("""COMPUTED_VALUE"""),39752.666666666664)</f>
        <v>39752.66667</v>
      </c>
      <c r="B463" s="1">
        <f>IFERROR(__xludf.DUMMYFUNCTION("""COMPUTED_VALUE"""),58.03)</f>
        <v>58.03</v>
      </c>
      <c r="C463" s="1">
        <f>IFERROR(__xludf.DUMMYFUNCTION("""COMPUTED_VALUE"""),64.93)</f>
        <v>64.93</v>
      </c>
      <c r="D463" s="1">
        <f>IFERROR(__xludf.DUMMYFUNCTION("""COMPUTED_VALUE"""),57.0)</f>
        <v>57</v>
      </c>
      <c r="E463" s="1">
        <f>IFERROR(__xludf.DUMMYFUNCTION("""COMPUTED_VALUE"""),64.54)</f>
        <v>64.54</v>
      </c>
      <c r="F463" s="1">
        <f>IFERROR(__xludf.DUMMYFUNCTION("""COMPUTED_VALUE"""),1.6925504E8)</f>
        <v>169255040</v>
      </c>
    </row>
    <row r="464">
      <c r="A464" s="2">
        <f>IFERROR(__xludf.DUMMYFUNCTION("""COMPUTED_VALUE"""),39759.666666666664)</f>
        <v>39759.66667</v>
      </c>
      <c r="B464" s="1">
        <f>IFERROR(__xludf.DUMMYFUNCTION("""COMPUTED_VALUE"""),64.72)</f>
        <v>64.72</v>
      </c>
      <c r="C464" s="1">
        <f>IFERROR(__xludf.DUMMYFUNCTION("""COMPUTED_VALUE"""),66.48)</f>
        <v>66.48</v>
      </c>
      <c r="D464" s="1">
        <f>IFERROR(__xludf.DUMMYFUNCTION("""COMPUTED_VALUE"""),62.54)</f>
        <v>62.54</v>
      </c>
      <c r="E464" s="1">
        <f>IFERROR(__xludf.DUMMYFUNCTION("""COMPUTED_VALUE"""),64.49)</f>
        <v>64.49</v>
      </c>
      <c r="F464" s="1">
        <f>IFERROR(__xludf.DUMMYFUNCTION("""COMPUTED_VALUE"""),2.37483882E8)</f>
        <v>237483882</v>
      </c>
    </row>
    <row r="465">
      <c r="A465" s="2">
        <f>IFERROR(__xludf.DUMMYFUNCTION("""COMPUTED_VALUE"""),39766.666666666664)</f>
        <v>39766.66667</v>
      </c>
      <c r="B465" s="1">
        <f>IFERROR(__xludf.DUMMYFUNCTION("""COMPUTED_VALUE"""),65.46)</f>
        <v>65.46</v>
      </c>
      <c r="C465" s="1">
        <f>IFERROR(__xludf.DUMMYFUNCTION("""COMPUTED_VALUE"""),66.82)</f>
        <v>66.82</v>
      </c>
      <c r="D465" s="1">
        <f>IFERROR(__xludf.DUMMYFUNCTION("""COMPUTED_VALUE"""),60.87)</f>
        <v>60.87</v>
      </c>
      <c r="E465" s="1">
        <f>IFERROR(__xludf.DUMMYFUNCTION("""COMPUTED_VALUE"""),63.11)</f>
        <v>63.11</v>
      </c>
      <c r="F465" s="1">
        <f>IFERROR(__xludf.DUMMYFUNCTION("""COMPUTED_VALUE"""),1.459527E8)</f>
        <v>145952700</v>
      </c>
    </row>
    <row r="466">
      <c r="A466" s="2">
        <f>IFERROR(__xludf.DUMMYFUNCTION("""COMPUTED_VALUE"""),39773.666666666664)</f>
        <v>39773.66667</v>
      </c>
      <c r="B466" s="1">
        <f>IFERROR(__xludf.DUMMYFUNCTION("""COMPUTED_VALUE"""),63.0)</f>
        <v>63</v>
      </c>
      <c r="C466" s="1">
        <f>IFERROR(__xludf.DUMMYFUNCTION("""COMPUTED_VALUE"""),64.66)</f>
        <v>64.66</v>
      </c>
      <c r="D466" s="1">
        <f>IFERROR(__xludf.DUMMYFUNCTION("""COMPUTED_VALUE"""),58.29)</f>
        <v>58.29</v>
      </c>
      <c r="E466" s="1">
        <f>IFERROR(__xludf.DUMMYFUNCTION("""COMPUTED_VALUE"""),63.09)</f>
        <v>63.09</v>
      </c>
      <c r="F466" s="1">
        <f>IFERROR(__xludf.DUMMYFUNCTION("""COMPUTED_VALUE"""),1.47455772E8)</f>
        <v>147455772</v>
      </c>
    </row>
    <row r="467">
      <c r="A467" s="2">
        <f>IFERROR(__xludf.DUMMYFUNCTION("""COMPUTED_VALUE"""),39780.666666666664)</f>
        <v>39780.66667</v>
      </c>
      <c r="B467" s="1">
        <f>IFERROR(__xludf.DUMMYFUNCTION("""COMPUTED_VALUE"""),63.44)</f>
        <v>63.44</v>
      </c>
      <c r="C467" s="1">
        <f>IFERROR(__xludf.DUMMYFUNCTION("""COMPUTED_VALUE"""),65.45)</f>
        <v>65.45</v>
      </c>
      <c r="D467" s="1">
        <f>IFERROR(__xludf.DUMMYFUNCTION("""COMPUTED_VALUE"""),61.4)</f>
        <v>61.4</v>
      </c>
      <c r="E467" s="1">
        <f>IFERROR(__xludf.DUMMYFUNCTION("""COMPUTED_VALUE"""),64.35)</f>
        <v>64.35</v>
      </c>
      <c r="F467" s="1">
        <f>IFERROR(__xludf.DUMMYFUNCTION("""COMPUTED_VALUE"""),7.1841651E7)</f>
        <v>71841651</v>
      </c>
    </row>
    <row r="468">
      <c r="A468" s="2">
        <f>IFERROR(__xludf.DUMMYFUNCTION("""COMPUTED_VALUE"""),39787.666666666664)</f>
        <v>39787.66667</v>
      </c>
      <c r="B468" s="1">
        <f>IFERROR(__xludf.DUMMYFUNCTION("""COMPUTED_VALUE"""),63.73)</f>
        <v>63.73</v>
      </c>
      <c r="C468" s="1">
        <f>IFERROR(__xludf.DUMMYFUNCTION("""COMPUTED_VALUE"""),63.8)</f>
        <v>63.8</v>
      </c>
      <c r="D468" s="1">
        <f>IFERROR(__xludf.DUMMYFUNCTION("""COMPUTED_VALUE"""),59.35)</f>
        <v>59.35</v>
      </c>
      <c r="E468" s="1">
        <f>IFERROR(__xludf.DUMMYFUNCTION("""COMPUTED_VALUE"""),62.63)</f>
        <v>62.63</v>
      </c>
      <c r="F468" s="1">
        <f>IFERROR(__xludf.DUMMYFUNCTION("""COMPUTED_VALUE"""),1.00652394E8)</f>
        <v>100652394</v>
      </c>
    </row>
    <row r="469">
      <c r="A469" s="2">
        <f>IFERROR(__xludf.DUMMYFUNCTION("""COMPUTED_VALUE"""),39794.666666666664)</f>
        <v>39794.66667</v>
      </c>
      <c r="B469" s="1">
        <f>IFERROR(__xludf.DUMMYFUNCTION("""COMPUTED_VALUE"""),63.01)</f>
        <v>63.01</v>
      </c>
      <c r="C469" s="1">
        <f>IFERROR(__xludf.DUMMYFUNCTION("""COMPUTED_VALUE"""),64.0)</f>
        <v>64</v>
      </c>
      <c r="D469" s="1">
        <f>IFERROR(__xludf.DUMMYFUNCTION("""COMPUTED_VALUE"""),57.05)</f>
        <v>57.05</v>
      </c>
      <c r="E469" s="1">
        <f>IFERROR(__xludf.DUMMYFUNCTION("""COMPUTED_VALUE"""),58.94)</f>
        <v>58.94</v>
      </c>
      <c r="F469" s="1">
        <f>IFERROR(__xludf.DUMMYFUNCTION("""COMPUTED_VALUE"""),9.279981E7)</f>
        <v>92799810</v>
      </c>
    </row>
    <row r="470">
      <c r="A470" s="2">
        <f>IFERROR(__xludf.DUMMYFUNCTION("""COMPUTED_VALUE"""),39801.666666666664)</f>
        <v>39801.66667</v>
      </c>
      <c r="B470" s="1">
        <f>IFERROR(__xludf.DUMMYFUNCTION("""COMPUTED_VALUE"""),58.15)</f>
        <v>58.15</v>
      </c>
      <c r="C470" s="1">
        <f>IFERROR(__xludf.DUMMYFUNCTION("""COMPUTED_VALUE"""),62.17)</f>
        <v>62.17</v>
      </c>
      <c r="D470" s="1">
        <f>IFERROR(__xludf.DUMMYFUNCTION("""COMPUTED_VALUE"""),58.15)</f>
        <v>58.15</v>
      </c>
      <c r="E470" s="1">
        <f>IFERROR(__xludf.DUMMYFUNCTION("""COMPUTED_VALUE"""),60.18)</f>
        <v>60.18</v>
      </c>
      <c r="F470" s="1">
        <f>IFERROR(__xludf.DUMMYFUNCTION("""COMPUTED_VALUE"""),8.6833431E7)</f>
        <v>86833431</v>
      </c>
    </row>
    <row r="471">
      <c r="A471" s="2">
        <f>IFERROR(__xludf.DUMMYFUNCTION("""COMPUTED_VALUE"""),39808.666666666664)</f>
        <v>39808.66667</v>
      </c>
      <c r="B471" s="1">
        <f>IFERROR(__xludf.DUMMYFUNCTION("""COMPUTED_VALUE"""),60.89)</f>
        <v>60.89</v>
      </c>
      <c r="C471" s="1">
        <f>IFERROR(__xludf.DUMMYFUNCTION("""COMPUTED_VALUE"""),61.0)</f>
        <v>61</v>
      </c>
      <c r="D471" s="1">
        <f>IFERROR(__xludf.DUMMYFUNCTION("""COMPUTED_VALUE"""),59.25)</f>
        <v>59.25</v>
      </c>
      <c r="E471" s="1">
        <f>IFERROR(__xludf.DUMMYFUNCTION("""COMPUTED_VALUE"""),60.53)</f>
        <v>60.53</v>
      </c>
      <c r="F471" s="1">
        <f>IFERROR(__xludf.DUMMYFUNCTION("""COMPUTED_VALUE"""),3.0557975E7)</f>
        <v>30557975</v>
      </c>
    </row>
    <row r="472">
      <c r="A472" s="2">
        <f>IFERROR(__xludf.DUMMYFUNCTION("""COMPUTED_VALUE"""),39815.666666666664)</f>
        <v>39815.66667</v>
      </c>
      <c r="B472" s="1">
        <f>IFERROR(__xludf.DUMMYFUNCTION("""COMPUTED_VALUE"""),60.78)</f>
        <v>60.78</v>
      </c>
      <c r="C472" s="1">
        <f>IFERROR(__xludf.DUMMYFUNCTION("""COMPUTED_VALUE"""),62.97)</f>
        <v>62.97</v>
      </c>
      <c r="D472" s="1">
        <f>IFERROR(__xludf.DUMMYFUNCTION("""COMPUTED_VALUE"""),59.43)</f>
        <v>59.43</v>
      </c>
      <c r="E472" s="1">
        <f>IFERROR(__xludf.DUMMYFUNCTION("""COMPUTED_VALUE"""),62.8)</f>
        <v>62.8</v>
      </c>
      <c r="F472" s="1">
        <f>IFERROR(__xludf.DUMMYFUNCTION("""COMPUTED_VALUE"""),4.0592892E7)</f>
        <v>40592892</v>
      </c>
    </row>
    <row r="473">
      <c r="A473" s="2">
        <f>IFERROR(__xludf.DUMMYFUNCTION("""COMPUTED_VALUE"""),39822.666666666664)</f>
        <v>39822.66667</v>
      </c>
      <c r="B473" s="1">
        <f>IFERROR(__xludf.DUMMYFUNCTION("""COMPUTED_VALUE"""),62.32)</f>
        <v>62.32</v>
      </c>
      <c r="C473" s="1">
        <f>IFERROR(__xludf.DUMMYFUNCTION("""COMPUTED_VALUE"""),62.95)</f>
        <v>62.95</v>
      </c>
      <c r="D473" s="1">
        <f>IFERROR(__xludf.DUMMYFUNCTION("""COMPUTED_VALUE"""),59.75)</f>
        <v>59.75</v>
      </c>
      <c r="E473" s="1">
        <f>IFERROR(__xludf.DUMMYFUNCTION("""COMPUTED_VALUE"""),59.86)</f>
        <v>59.86</v>
      </c>
      <c r="F473" s="1">
        <f>IFERROR(__xludf.DUMMYFUNCTION("""COMPUTED_VALUE"""),6.2496554E7)</f>
        <v>62496554</v>
      </c>
    </row>
    <row r="474">
      <c r="A474" s="2">
        <f>IFERROR(__xludf.DUMMYFUNCTION("""COMPUTED_VALUE"""),39829.666666666664)</f>
        <v>39829.66667</v>
      </c>
      <c r="B474" s="1">
        <f>IFERROR(__xludf.DUMMYFUNCTION("""COMPUTED_VALUE"""),59.75)</f>
        <v>59.75</v>
      </c>
      <c r="C474" s="1">
        <f>IFERROR(__xludf.DUMMYFUNCTION("""COMPUTED_VALUE"""),60.42)</f>
        <v>60.42</v>
      </c>
      <c r="D474" s="1">
        <f>IFERROR(__xludf.DUMMYFUNCTION("""COMPUTED_VALUE"""),56.55)</f>
        <v>56.55</v>
      </c>
      <c r="E474" s="1">
        <f>IFERROR(__xludf.DUMMYFUNCTION("""COMPUTED_VALUE"""),57.73)</f>
        <v>57.73</v>
      </c>
      <c r="F474" s="1">
        <f>IFERROR(__xludf.DUMMYFUNCTION("""COMPUTED_VALUE"""),8.1003193E7)</f>
        <v>81003193</v>
      </c>
    </row>
    <row r="475">
      <c r="A475" s="2">
        <f>IFERROR(__xludf.DUMMYFUNCTION("""COMPUTED_VALUE"""),39836.666666666664)</f>
        <v>39836.66667</v>
      </c>
      <c r="B475" s="1">
        <f>IFERROR(__xludf.DUMMYFUNCTION("""COMPUTED_VALUE"""),57.77)</f>
        <v>57.77</v>
      </c>
      <c r="C475" s="1">
        <f>IFERROR(__xludf.DUMMYFUNCTION("""COMPUTED_VALUE"""),58.45)</f>
        <v>58.45</v>
      </c>
      <c r="D475" s="1">
        <f>IFERROR(__xludf.DUMMYFUNCTION("""COMPUTED_VALUE"""),55.59)</f>
        <v>55.59</v>
      </c>
      <c r="E475" s="1">
        <f>IFERROR(__xludf.DUMMYFUNCTION("""COMPUTED_VALUE"""),56.0)</f>
        <v>56</v>
      </c>
      <c r="F475" s="1">
        <f>IFERROR(__xludf.DUMMYFUNCTION("""COMPUTED_VALUE"""),7.6412874E7)</f>
        <v>76412874</v>
      </c>
    </row>
    <row r="476">
      <c r="A476" s="2">
        <f>IFERROR(__xludf.DUMMYFUNCTION("""COMPUTED_VALUE"""),39843.666666666664)</f>
        <v>39843.66667</v>
      </c>
      <c r="B476" s="1">
        <f>IFERROR(__xludf.DUMMYFUNCTION("""COMPUTED_VALUE"""),55.95)</f>
        <v>55.95</v>
      </c>
      <c r="C476" s="1">
        <f>IFERROR(__xludf.DUMMYFUNCTION("""COMPUTED_VALUE"""),59.0)</f>
        <v>59</v>
      </c>
      <c r="D476" s="1">
        <f>IFERROR(__xludf.DUMMYFUNCTION("""COMPUTED_VALUE"""),54.24)</f>
        <v>54.24</v>
      </c>
      <c r="E476" s="1">
        <f>IFERROR(__xludf.DUMMYFUNCTION("""COMPUTED_VALUE"""),54.5)</f>
        <v>54.5</v>
      </c>
      <c r="F476" s="1">
        <f>IFERROR(__xludf.DUMMYFUNCTION("""COMPUTED_VALUE"""),9.6687784E7)</f>
        <v>96687784</v>
      </c>
    </row>
    <row r="477">
      <c r="A477" s="2">
        <f>IFERROR(__xludf.DUMMYFUNCTION("""COMPUTED_VALUE"""),39850.666666666664)</f>
        <v>39850.66667</v>
      </c>
      <c r="B477" s="1">
        <f>IFERROR(__xludf.DUMMYFUNCTION("""COMPUTED_VALUE"""),54.0)</f>
        <v>54</v>
      </c>
      <c r="C477" s="1">
        <f>IFERROR(__xludf.DUMMYFUNCTION("""COMPUTED_VALUE"""),54.46)</f>
        <v>54.46</v>
      </c>
      <c r="D477" s="1">
        <f>IFERROR(__xludf.DUMMYFUNCTION("""COMPUTED_VALUE"""),52.13)</f>
        <v>52.13</v>
      </c>
      <c r="E477" s="1">
        <f>IFERROR(__xludf.DUMMYFUNCTION("""COMPUTED_VALUE"""),54.0)</f>
        <v>54</v>
      </c>
      <c r="F477" s="1">
        <f>IFERROR(__xludf.DUMMYFUNCTION("""COMPUTED_VALUE"""),8.2154649E7)</f>
        <v>82154649</v>
      </c>
    </row>
    <row r="478">
      <c r="A478" s="2">
        <f>IFERROR(__xludf.DUMMYFUNCTION("""COMPUTED_VALUE"""),39857.666666666664)</f>
        <v>39857.66667</v>
      </c>
      <c r="B478" s="1">
        <f>IFERROR(__xludf.DUMMYFUNCTION("""COMPUTED_VALUE"""),53.89)</f>
        <v>53.89</v>
      </c>
      <c r="C478" s="1">
        <f>IFERROR(__xludf.DUMMYFUNCTION("""COMPUTED_VALUE"""),53.98)</f>
        <v>53.98</v>
      </c>
      <c r="D478" s="1">
        <f>IFERROR(__xludf.DUMMYFUNCTION("""COMPUTED_VALUE"""),49.95)</f>
        <v>49.95</v>
      </c>
      <c r="E478" s="1">
        <f>IFERROR(__xludf.DUMMYFUNCTION("""COMPUTED_VALUE"""),51.09)</f>
        <v>51.09</v>
      </c>
      <c r="F478" s="1">
        <f>IFERROR(__xludf.DUMMYFUNCTION("""COMPUTED_VALUE"""),8.2020106E7)</f>
        <v>82020106</v>
      </c>
    </row>
    <row r="479">
      <c r="A479" s="2">
        <f>IFERROR(__xludf.DUMMYFUNCTION("""COMPUTED_VALUE"""),39864.666666666664)</f>
        <v>39864.66667</v>
      </c>
      <c r="B479" s="1">
        <f>IFERROR(__xludf.DUMMYFUNCTION("""COMPUTED_VALUE"""),50.0)</f>
        <v>50</v>
      </c>
      <c r="C479" s="1">
        <f>IFERROR(__xludf.DUMMYFUNCTION("""COMPUTED_VALUE"""),52.05)</f>
        <v>52.05</v>
      </c>
      <c r="D479" s="1">
        <f>IFERROR(__xludf.DUMMYFUNCTION("""COMPUTED_VALUE"""),49.28)</f>
        <v>49.28</v>
      </c>
      <c r="E479" s="1">
        <f>IFERROR(__xludf.DUMMYFUNCTION("""COMPUTED_VALUE"""),50.25)</f>
        <v>50.25</v>
      </c>
      <c r="F479" s="1">
        <f>IFERROR(__xludf.DUMMYFUNCTION("""COMPUTED_VALUE"""),7.0649613E7)</f>
        <v>70649613</v>
      </c>
    </row>
    <row r="480">
      <c r="A480" s="2">
        <f>IFERROR(__xludf.DUMMYFUNCTION("""COMPUTED_VALUE"""),39871.666666666664)</f>
        <v>39871.66667</v>
      </c>
      <c r="B480" s="1">
        <f>IFERROR(__xludf.DUMMYFUNCTION("""COMPUTED_VALUE"""),50.49)</f>
        <v>50.49</v>
      </c>
      <c r="C480" s="1">
        <f>IFERROR(__xludf.DUMMYFUNCTION("""COMPUTED_VALUE"""),52.46)</f>
        <v>52.46</v>
      </c>
      <c r="D480" s="1">
        <f>IFERROR(__xludf.DUMMYFUNCTION("""COMPUTED_VALUE"""),47.76)</f>
        <v>47.76</v>
      </c>
      <c r="E480" s="1">
        <f>IFERROR(__xludf.DUMMYFUNCTION("""COMPUTED_VALUE"""),48.17)</f>
        <v>48.17</v>
      </c>
      <c r="F480" s="1">
        <f>IFERROR(__xludf.DUMMYFUNCTION("""COMPUTED_VALUE"""),8.1885023E7)</f>
        <v>81885023</v>
      </c>
    </row>
    <row r="481">
      <c r="A481" s="2">
        <f>IFERROR(__xludf.DUMMYFUNCTION("""COMPUTED_VALUE"""),39878.666666666664)</f>
        <v>39878.66667</v>
      </c>
      <c r="B481" s="1">
        <f>IFERROR(__xludf.DUMMYFUNCTION("""COMPUTED_VALUE"""),47.32)</f>
        <v>47.32</v>
      </c>
      <c r="C481" s="1">
        <f>IFERROR(__xludf.DUMMYFUNCTION("""COMPUTED_VALUE"""),48.0)</f>
        <v>48</v>
      </c>
      <c r="D481" s="1">
        <f>IFERROR(__xludf.DUMMYFUNCTION("""COMPUTED_VALUE"""),44.63)</f>
        <v>44.63</v>
      </c>
      <c r="E481" s="1">
        <f>IFERROR(__xludf.DUMMYFUNCTION("""COMPUTED_VALUE"""),45.71)</f>
        <v>45.71</v>
      </c>
      <c r="F481" s="1">
        <f>IFERROR(__xludf.DUMMYFUNCTION("""COMPUTED_VALUE"""),9.3289417E7)</f>
        <v>93289417</v>
      </c>
    </row>
    <row r="482">
      <c r="A482" s="2">
        <f>IFERROR(__xludf.DUMMYFUNCTION("""COMPUTED_VALUE"""),39885.666666666664)</f>
        <v>39885.66667</v>
      </c>
      <c r="B482" s="1">
        <f>IFERROR(__xludf.DUMMYFUNCTION("""COMPUTED_VALUE"""),45.3)</f>
        <v>45.3</v>
      </c>
      <c r="C482" s="1">
        <f>IFERROR(__xludf.DUMMYFUNCTION("""COMPUTED_VALUE"""),47.08)</f>
        <v>47.08</v>
      </c>
      <c r="D482" s="1">
        <f>IFERROR(__xludf.DUMMYFUNCTION("""COMPUTED_VALUE"""),43.93)</f>
        <v>43.93</v>
      </c>
      <c r="E482" s="1">
        <f>IFERROR(__xludf.DUMMYFUNCTION("""COMPUTED_VALUE"""),46.95)</f>
        <v>46.95</v>
      </c>
      <c r="F482" s="1">
        <f>IFERROR(__xludf.DUMMYFUNCTION("""COMPUTED_VALUE"""),7.8582971E7)</f>
        <v>78582971</v>
      </c>
    </row>
    <row r="483">
      <c r="A483" s="2">
        <f>IFERROR(__xludf.DUMMYFUNCTION("""COMPUTED_VALUE"""),39892.666666666664)</f>
        <v>39892.66667</v>
      </c>
      <c r="B483" s="1">
        <f>IFERROR(__xludf.DUMMYFUNCTION("""COMPUTED_VALUE"""),47.37)</f>
        <v>47.37</v>
      </c>
      <c r="C483" s="1">
        <f>IFERROR(__xludf.DUMMYFUNCTION("""COMPUTED_VALUE"""),48.75)</f>
        <v>48.75</v>
      </c>
      <c r="D483" s="1">
        <f>IFERROR(__xludf.DUMMYFUNCTION("""COMPUTED_VALUE"""),45.52)</f>
        <v>45.52</v>
      </c>
      <c r="E483" s="1">
        <f>IFERROR(__xludf.DUMMYFUNCTION("""COMPUTED_VALUE"""),45.59)</f>
        <v>45.59</v>
      </c>
      <c r="F483" s="1">
        <f>IFERROR(__xludf.DUMMYFUNCTION("""COMPUTED_VALUE"""),8.5082132E7)</f>
        <v>85082132</v>
      </c>
    </row>
    <row r="484">
      <c r="A484" s="2">
        <f>IFERROR(__xludf.DUMMYFUNCTION("""COMPUTED_VALUE"""),39899.666666666664)</f>
        <v>39899.66667</v>
      </c>
      <c r="B484" s="1">
        <f>IFERROR(__xludf.DUMMYFUNCTION("""COMPUTED_VALUE"""),46.11)</f>
        <v>46.11</v>
      </c>
      <c r="C484" s="1">
        <f>IFERROR(__xludf.DUMMYFUNCTION("""COMPUTED_VALUE"""),49.03)</f>
        <v>49.03</v>
      </c>
      <c r="D484" s="1">
        <f>IFERROR(__xludf.DUMMYFUNCTION("""COMPUTED_VALUE"""),46.0)</f>
        <v>46</v>
      </c>
      <c r="E484" s="1">
        <f>IFERROR(__xludf.DUMMYFUNCTION("""COMPUTED_VALUE"""),48.57)</f>
        <v>48.57</v>
      </c>
      <c r="F484" s="1">
        <f>IFERROR(__xludf.DUMMYFUNCTION("""COMPUTED_VALUE"""),7.0392924E7)</f>
        <v>70392924</v>
      </c>
    </row>
    <row r="485">
      <c r="A485" s="2">
        <f>IFERROR(__xludf.DUMMYFUNCTION("""COMPUTED_VALUE"""),39906.666666666664)</f>
        <v>39906.66667</v>
      </c>
      <c r="B485" s="1">
        <f>IFERROR(__xludf.DUMMYFUNCTION("""COMPUTED_VALUE"""),48.04)</f>
        <v>48.04</v>
      </c>
      <c r="C485" s="1">
        <f>IFERROR(__xludf.DUMMYFUNCTION("""COMPUTED_VALUE"""),50.29)</f>
        <v>50.29</v>
      </c>
      <c r="D485" s="1">
        <f>IFERROR(__xludf.DUMMYFUNCTION("""COMPUTED_VALUE"""),46.29)</f>
        <v>46.29</v>
      </c>
      <c r="E485" s="1">
        <f>IFERROR(__xludf.DUMMYFUNCTION("""COMPUTED_VALUE"""),49.63)</f>
        <v>49.63</v>
      </c>
      <c r="F485" s="1">
        <f>IFERROR(__xludf.DUMMYFUNCTION("""COMPUTED_VALUE"""),7.6821869E7)</f>
        <v>76821869</v>
      </c>
    </row>
    <row r="486">
      <c r="A486" s="2">
        <f>IFERROR(__xludf.DUMMYFUNCTION("""COMPUTED_VALUE"""),39912.666666666664)</f>
        <v>39912.66667</v>
      </c>
      <c r="B486" s="1">
        <f>IFERROR(__xludf.DUMMYFUNCTION("""COMPUTED_VALUE"""),49.46)</f>
        <v>49.46</v>
      </c>
      <c r="C486" s="1">
        <f>IFERROR(__xludf.DUMMYFUNCTION("""COMPUTED_VALUE"""),49.97)</f>
        <v>49.97</v>
      </c>
      <c r="D486" s="1">
        <f>IFERROR(__xludf.DUMMYFUNCTION("""COMPUTED_VALUE"""),47.88)</f>
        <v>47.88</v>
      </c>
      <c r="E486" s="1">
        <f>IFERROR(__xludf.DUMMYFUNCTION("""COMPUTED_VALUE"""),49.19)</f>
        <v>49.19</v>
      </c>
      <c r="F486" s="1">
        <f>IFERROR(__xludf.DUMMYFUNCTION("""COMPUTED_VALUE"""),4.4348252E7)</f>
        <v>44348252</v>
      </c>
    </row>
    <row r="487">
      <c r="A487" s="2">
        <f>IFERROR(__xludf.DUMMYFUNCTION("""COMPUTED_VALUE"""),39920.666666666664)</f>
        <v>39920.66667</v>
      </c>
      <c r="B487" s="1">
        <f>IFERROR(__xludf.DUMMYFUNCTION("""COMPUTED_VALUE"""),48.88)</f>
        <v>48.88</v>
      </c>
      <c r="C487" s="1">
        <f>IFERROR(__xludf.DUMMYFUNCTION("""COMPUTED_VALUE"""),51.96)</f>
        <v>51.96</v>
      </c>
      <c r="D487" s="1">
        <f>IFERROR(__xludf.DUMMYFUNCTION("""COMPUTED_VALUE"""),46.98)</f>
        <v>46.98</v>
      </c>
      <c r="E487" s="1">
        <f>IFERROR(__xludf.DUMMYFUNCTION("""COMPUTED_VALUE"""),51.66)</f>
        <v>51.66</v>
      </c>
      <c r="F487" s="1">
        <f>IFERROR(__xludf.DUMMYFUNCTION("""COMPUTED_VALUE"""),8.0185882E7)</f>
        <v>80185882</v>
      </c>
    </row>
    <row r="488">
      <c r="A488" s="2">
        <f>IFERROR(__xludf.DUMMYFUNCTION("""COMPUTED_VALUE"""),39927.666666666664)</f>
        <v>39927.66667</v>
      </c>
      <c r="B488" s="1">
        <f>IFERROR(__xludf.DUMMYFUNCTION("""COMPUTED_VALUE"""),51.57)</f>
        <v>51.57</v>
      </c>
      <c r="C488" s="1">
        <f>IFERROR(__xludf.DUMMYFUNCTION("""COMPUTED_VALUE"""),51.97)</f>
        <v>51.97</v>
      </c>
      <c r="D488" s="1">
        <f>IFERROR(__xludf.DUMMYFUNCTION("""COMPUTED_VALUE"""),48.75)</f>
        <v>48.75</v>
      </c>
      <c r="E488" s="1">
        <f>IFERROR(__xludf.DUMMYFUNCTION("""COMPUTED_VALUE"""),49.51)</f>
        <v>49.51</v>
      </c>
      <c r="F488" s="1">
        <f>IFERROR(__xludf.DUMMYFUNCTION("""COMPUTED_VALUE"""),6.4622656E7)</f>
        <v>64622656</v>
      </c>
    </row>
    <row r="489">
      <c r="A489" s="2">
        <f>IFERROR(__xludf.DUMMYFUNCTION("""COMPUTED_VALUE"""),39934.666666666664)</f>
        <v>39934.66667</v>
      </c>
      <c r="B489" s="1">
        <f>IFERROR(__xludf.DUMMYFUNCTION("""COMPUTED_VALUE"""),49.07)</f>
        <v>49.07</v>
      </c>
      <c r="C489" s="1">
        <f>IFERROR(__xludf.DUMMYFUNCTION("""COMPUTED_VALUE"""),50.97)</f>
        <v>50.97</v>
      </c>
      <c r="D489" s="1">
        <f>IFERROR(__xludf.DUMMYFUNCTION("""COMPUTED_VALUE"""),48.25)</f>
        <v>48.25</v>
      </c>
      <c r="E489" s="1">
        <f>IFERROR(__xludf.DUMMYFUNCTION("""COMPUTED_VALUE"""),49.5)</f>
        <v>49.5</v>
      </c>
      <c r="F489" s="1">
        <f>IFERROR(__xludf.DUMMYFUNCTION("""COMPUTED_VALUE"""),6.647954E7)</f>
        <v>66479540</v>
      </c>
    </row>
    <row r="490">
      <c r="A490" s="2">
        <f>IFERROR(__xludf.DUMMYFUNCTION("""COMPUTED_VALUE"""),39941.666666666664)</f>
        <v>39941.66667</v>
      </c>
      <c r="B490" s="1">
        <f>IFERROR(__xludf.DUMMYFUNCTION("""COMPUTED_VALUE"""),49.97)</f>
        <v>49.97</v>
      </c>
      <c r="C490" s="1">
        <f>IFERROR(__xludf.DUMMYFUNCTION("""COMPUTED_VALUE"""),52.19)</f>
        <v>52.19</v>
      </c>
      <c r="D490" s="1">
        <f>IFERROR(__xludf.DUMMYFUNCTION("""COMPUTED_VALUE"""),49.51)</f>
        <v>49.51</v>
      </c>
      <c r="E490" s="1">
        <f>IFERROR(__xludf.DUMMYFUNCTION("""COMPUTED_VALUE"""),51.57)</f>
        <v>51.57</v>
      </c>
      <c r="F490" s="1">
        <f>IFERROR(__xludf.DUMMYFUNCTION("""COMPUTED_VALUE"""),6.6996601E7)</f>
        <v>66996601</v>
      </c>
    </row>
    <row r="491">
      <c r="A491" s="2">
        <f>IFERROR(__xludf.DUMMYFUNCTION("""COMPUTED_VALUE"""),39948.666666666664)</f>
        <v>39948.66667</v>
      </c>
      <c r="B491" s="1">
        <f>IFERROR(__xludf.DUMMYFUNCTION("""COMPUTED_VALUE"""),51.42)</f>
        <v>51.42</v>
      </c>
      <c r="C491" s="1">
        <f>IFERROR(__xludf.DUMMYFUNCTION("""COMPUTED_VALUE"""),51.64)</f>
        <v>51.64</v>
      </c>
      <c r="D491" s="1">
        <f>IFERROR(__xludf.DUMMYFUNCTION("""COMPUTED_VALUE"""),50.0)</f>
        <v>50</v>
      </c>
      <c r="E491" s="1">
        <f>IFERROR(__xludf.DUMMYFUNCTION("""COMPUTED_VALUE"""),50.67)</f>
        <v>50.67</v>
      </c>
      <c r="F491" s="1">
        <f>IFERROR(__xludf.DUMMYFUNCTION("""COMPUTED_VALUE"""),6.4140798E7)</f>
        <v>64140798</v>
      </c>
    </row>
    <row r="492">
      <c r="A492" s="2">
        <f>IFERROR(__xludf.DUMMYFUNCTION("""COMPUTED_VALUE"""),39955.666666666664)</f>
        <v>39955.66667</v>
      </c>
      <c r="B492" s="1">
        <f>IFERROR(__xludf.DUMMYFUNCTION("""COMPUTED_VALUE"""),50.98)</f>
        <v>50.98</v>
      </c>
      <c r="C492" s="1">
        <f>IFERROR(__xludf.DUMMYFUNCTION("""COMPUTED_VALUE"""),54.77)</f>
        <v>54.77</v>
      </c>
      <c r="D492" s="1">
        <f>IFERROR(__xludf.DUMMYFUNCTION("""COMPUTED_VALUE"""),50.92)</f>
        <v>50.92</v>
      </c>
      <c r="E492" s="1">
        <f>IFERROR(__xludf.DUMMYFUNCTION("""COMPUTED_VALUE"""),53.03)</f>
        <v>53.03</v>
      </c>
      <c r="F492" s="1">
        <f>IFERROR(__xludf.DUMMYFUNCTION("""COMPUTED_VALUE"""),6.3244612E7)</f>
        <v>63244612</v>
      </c>
    </row>
    <row r="493">
      <c r="A493" s="2">
        <f>IFERROR(__xludf.DUMMYFUNCTION("""COMPUTED_VALUE"""),39962.666666666664)</f>
        <v>39962.66667</v>
      </c>
      <c r="B493" s="1">
        <f>IFERROR(__xludf.DUMMYFUNCTION("""COMPUTED_VALUE"""),52.94)</f>
        <v>52.94</v>
      </c>
      <c r="C493" s="1">
        <f>IFERROR(__xludf.DUMMYFUNCTION("""COMPUTED_VALUE"""),54.1)</f>
        <v>54.1</v>
      </c>
      <c r="D493" s="1">
        <f>IFERROR(__xludf.DUMMYFUNCTION("""COMPUTED_VALUE"""),51.11)</f>
        <v>51.11</v>
      </c>
      <c r="E493" s="1">
        <f>IFERROR(__xludf.DUMMYFUNCTION("""COMPUTED_VALUE"""),51.94)</f>
        <v>51.94</v>
      </c>
      <c r="F493" s="1">
        <f>IFERROR(__xludf.DUMMYFUNCTION("""COMPUTED_VALUE"""),5.7161644E7)</f>
        <v>57161644</v>
      </c>
    </row>
    <row r="494">
      <c r="A494" s="2">
        <f>IFERROR(__xludf.DUMMYFUNCTION("""COMPUTED_VALUE"""),39969.666666666664)</f>
        <v>39969.66667</v>
      </c>
      <c r="B494" s="1">
        <f>IFERROR(__xludf.DUMMYFUNCTION("""COMPUTED_VALUE"""),52.55)</f>
        <v>52.55</v>
      </c>
      <c r="C494" s="1">
        <f>IFERROR(__xludf.DUMMYFUNCTION("""COMPUTED_VALUE"""),54.13)</f>
        <v>54.13</v>
      </c>
      <c r="D494" s="1">
        <f>IFERROR(__xludf.DUMMYFUNCTION("""COMPUTED_VALUE"""),52.36)</f>
        <v>52.36</v>
      </c>
      <c r="E494" s="1">
        <f>IFERROR(__xludf.DUMMYFUNCTION("""COMPUTED_VALUE"""),53.18)</f>
        <v>53.18</v>
      </c>
      <c r="F494" s="1">
        <f>IFERROR(__xludf.DUMMYFUNCTION("""COMPUTED_VALUE"""),5.7593373E7)</f>
        <v>57593373</v>
      </c>
    </row>
    <row r="495">
      <c r="A495" s="2">
        <f>IFERROR(__xludf.DUMMYFUNCTION("""COMPUTED_VALUE"""),39976.666666666664)</f>
        <v>39976.66667</v>
      </c>
      <c r="B495" s="1">
        <f>IFERROR(__xludf.DUMMYFUNCTION("""COMPUTED_VALUE"""),52.93)</f>
        <v>52.93</v>
      </c>
      <c r="C495" s="1">
        <f>IFERROR(__xludf.DUMMYFUNCTION("""COMPUTED_VALUE"""),53.58)</f>
        <v>53.58</v>
      </c>
      <c r="D495" s="1">
        <f>IFERROR(__xludf.DUMMYFUNCTION("""COMPUTED_VALUE"""),51.57)</f>
        <v>51.57</v>
      </c>
      <c r="E495" s="1">
        <f>IFERROR(__xludf.DUMMYFUNCTION("""COMPUTED_VALUE"""),52.55)</f>
        <v>52.55</v>
      </c>
      <c r="F495" s="1">
        <f>IFERROR(__xludf.DUMMYFUNCTION("""COMPUTED_VALUE"""),5.6560407E7)</f>
        <v>56560407</v>
      </c>
    </row>
    <row r="496">
      <c r="A496" s="2">
        <f>IFERROR(__xludf.DUMMYFUNCTION("""COMPUTED_VALUE"""),39983.666666666664)</f>
        <v>39983.66667</v>
      </c>
      <c r="B496" s="1">
        <f>IFERROR(__xludf.DUMMYFUNCTION("""COMPUTED_VALUE"""),52.38)</f>
        <v>52.38</v>
      </c>
      <c r="C496" s="1">
        <f>IFERROR(__xludf.DUMMYFUNCTION("""COMPUTED_VALUE"""),52.38)</f>
        <v>52.38</v>
      </c>
      <c r="D496" s="1">
        <f>IFERROR(__xludf.DUMMYFUNCTION("""COMPUTED_VALUE"""),50.0)</f>
        <v>50</v>
      </c>
      <c r="E496" s="1">
        <f>IFERROR(__xludf.DUMMYFUNCTION("""COMPUTED_VALUE"""),50.64)</f>
        <v>50.64</v>
      </c>
      <c r="F496" s="1">
        <f>IFERROR(__xludf.DUMMYFUNCTION("""COMPUTED_VALUE"""),7.3134253E7)</f>
        <v>73134253</v>
      </c>
    </row>
    <row r="497">
      <c r="A497" s="2">
        <f>IFERROR(__xludf.DUMMYFUNCTION("""COMPUTED_VALUE"""),39990.666666666664)</f>
        <v>39990.66667</v>
      </c>
      <c r="B497" s="1">
        <f>IFERROR(__xludf.DUMMYFUNCTION("""COMPUTED_VALUE"""),50.33)</f>
        <v>50.33</v>
      </c>
      <c r="C497" s="1">
        <f>IFERROR(__xludf.DUMMYFUNCTION("""COMPUTED_VALUE"""),52.03)</f>
        <v>52.03</v>
      </c>
      <c r="D497" s="1">
        <f>IFERROR(__xludf.DUMMYFUNCTION("""COMPUTED_VALUE"""),50.06)</f>
        <v>50.06</v>
      </c>
      <c r="E497" s="1">
        <f>IFERROR(__xludf.DUMMYFUNCTION("""COMPUTED_VALUE"""),51.75)</f>
        <v>51.75</v>
      </c>
      <c r="F497" s="1">
        <f>IFERROR(__xludf.DUMMYFUNCTION("""COMPUTED_VALUE"""),7.485562E7)</f>
        <v>74855620</v>
      </c>
    </row>
    <row r="498">
      <c r="A498" s="2">
        <f>IFERROR(__xludf.DUMMYFUNCTION("""COMPUTED_VALUE"""),39997.666666666664)</f>
        <v>39997.66667</v>
      </c>
      <c r="B498" s="1">
        <f>IFERROR(__xludf.DUMMYFUNCTION("""COMPUTED_VALUE"""),51.92)</f>
        <v>51.92</v>
      </c>
      <c r="C498" s="1">
        <f>IFERROR(__xludf.DUMMYFUNCTION("""COMPUTED_VALUE"""),52.53)</f>
        <v>52.53</v>
      </c>
      <c r="D498" s="1">
        <f>IFERROR(__xludf.DUMMYFUNCTION("""COMPUTED_VALUE"""),50.74)</f>
        <v>50.74</v>
      </c>
      <c r="E498" s="1">
        <f>IFERROR(__xludf.DUMMYFUNCTION("""COMPUTED_VALUE"""),51.11)</f>
        <v>51.11</v>
      </c>
      <c r="F498" s="1">
        <f>IFERROR(__xludf.DUMMYFUNCTION("""COMPUTED_VALUE"""),6.8035207E7)</f>
        <v>68035207</v>
      </c>
    </row>
    <row r="499">
      <c r="A499" s="2">
        <f>IFERROR(__xludf.DUMMYFUNCTION("""COMPUTED_VALUE"""),40004.666666666664)</f>
        <v>40004.66667</v>
      </c>
      <c r="B499" s="1">
        <f>IFERROR(__xludf.DUMMYFUNCTION("""COMPUTED_VALUE"""),50.75)</f>
        <v>50.75</v>
      </c>
      <c r="C499" s="1">
        <f>IFERROR(__xludf.DUMMYFUNCTION("""COMPUTED_VALUE"""),52.81)</f>
        <v>52.81</v>
      </c>
      <c r="D499" s="1">
        <f>IFERROR(__xludf.DUMMYFUNCTION("""COMPUTED_VALUE"""),50.52)</f>
        <v>50.52</v>
      </c>
      <c r="E499" s="1">
        <f>IFERROR(__xludf.DUMMYFUNCTION("""COMPUTED_VALUE"""),52.22)</f>
        <v>52.22</v>
      </c>
      <c r="F499" s="1">
        <f>IFERROR(__xludf.DUMMYFUNCTION("""COMPUTED_VALUE"""),6.7286174E7)</f>
        <v>67286174</v>
      </c>
    </row>
    <row r="500">
      <c r="A500" s="2">
        <f>IFERROR(__xludf.DUMMYFUNCTION("""COMPUTED_VALUE"""),40011.666666666664)</f>
        <v>40011.66667</v>
      </c>
      <c r="B500" s="1">
        <f>IFERROR(__xludf.DUMMYFUNCTION("""COMPUTED_VALUE"""),52.06)</f>
        <v>52.06</v>
      </c>
      <c r="C500" s="1">
        <f>IFERROR(__xludf.DUMMYFUNCTION("""COMPUTED_VALUE"""),55.92)</f>
        <v>55.92</v>
      </c>
      <c r="D500" s="1">
        <f>IFERROR(__xludf.DUMMYFUNCTION("""COMPUTED_VALUE"""),52.05)</f>
        <v>52.05</v>
      </c>
      <c r="E500" s="1">
        <f>IFERROR(__xludf.DUMMYFUNCTION("""COMPUTED_VALUE"""),55.92)</f>
        <v>55.92</v>
      </c>
      <c r="F500" s="1">
        <f>IFERROR(__xludf.DUMMYFUNCTION("""COMPUTED_VALUE"""),6.6234379E7)</f>
        <v>66234379</v>
      </c>
    </row>
    <row r="501">
      <c r="A501" s="2">
        <f>IFERROR(__xludf.DUMMYFUNCTION("""COMPUTED_VALUE"""),40018.666666666664)</f>
        <v>40018.66667</v>
      </c>
      <c r="B501" s="1">
        <f>IFERROR(__xludf.DUMMYFUNCTION("""COMPUTED_VALUE"""),56.01)</f>
        <v>56.01</v>
      </c>
      <c r="C501" s="1">
        <f>IFERROR(__xludf.DUMMYFUNCTION("""COMPUTED_VALUE"""),56.18)</f>
        <v>56.18</v>
      </c>
      <c r="D501" s="1">
        <f>IFERROR(__xludf.DUMMYFUNCTION("""COMPUTED_VALUE"""),52.0)</f>
        <v>52</v>
      </c>
      <c r="E501" s="1">
        <f>IFERROR(__xludf.DUMMYFUNCTION("""COMPUTED_VALUE"""),55.84)</f>
        <v>55.84</v>
      </c>
      <c r="F501" s="1">
        <f>IFERROR(__xludf.DUMMYFUNCTION("""COMPUTED_VALUE"""),5.5781988E7)</f>
        <v>55781988</v>
      </c>
    </row>
    <row r="502">
      <c r="A502" s="2">
        <f>IFERROR(__xludf.DUMMYFUNCTION("""COMPUTED_VALUE"""),40025.666666666664)</f>
        <v>40025.66667</v>
      </c>
      <c r="B502" s="1">
        <f>IFERROR(__xludf.DUMMYFUNCTION("""COMPUTED_VALUE"""),55.89)</f>
        <v>55.89</v>
      </c>
      <c r="C502" s="1">
        <f>IFERROR(__xludf.DUMMYFUNCTION("""COMPUTED_VALUE"""),57.0)</f>
        <v>57</v>
      </c>
      <c r="D502" s="1">
        <f>IFERROR(__xludf.DUMMYFUNCTION("""COMPUTED_VALUE"""),55.28)</f>
        <v>55.28</v>
      </c>
      <c r="E502" s="1">
        <f>IFERROR(__xludf.DUMMYFUNCTION("""COMPUTED_VALUE"""),55.51)</f>
        <v>55.51</v>
      </c>
      <c r="F502" s="1">
        <f>IFERROR(__xludf.DUMMYFUNCTION("""COMPUTED_VALUE"""),4.9312681E7)</f>
        <v>49312681</v>
      </c>
    </row>
    <row r="503">
      <c r="A503" s="2">
        <f>IFERROR(__xludf.DUMMYFUNCTION("""COMPUTED_VALUE"""),40032.666666666664)</f>
        <v>40032.66667</v>
      </c>
      <c r="B503" s="1">
        <f>IFERROR(__xludf.DUMMYFUNCTION("""COMPUTED_VALUE"""),55.96)</f>
        <v>55.96</v>
      </c>
      <c r="C503" s="1">
        <f>IFERROR(__xludf.DUMMYFUNCTION("""COMPUTED_VALUE"""),56.0)</f>
        <v>56</v>
      </c>
      <c r="D503" s="1">
        <f>IFERROR(__xludf.DUMMYFUNCTION("""COMPUTED_VALUE"""),51.14)</f>
        <v>51.14</v>
      </c>
      <c r="E503" s="1">
        <f>IFERROR(__xludf.DUMMYFUNCTION("""COMPUTED_VALUE"""),52.03)</f>
        <v>52.03</v>
      </c>
      <c r="F503" s="1">
        <f>IFERROR(__xludf.DUMMYFUNCTION("""COMPUTED_VALUE"""),8.956984E7)</f>
        <v>89569840</v>
      </c>
    </row>
    <row r="504">
      <c r="A504" s="2">
        <f>IFERROR(__xludf.DUMMYFUNCTION("""COMPUTED_VALUE"""),40039.666666666664)</f>
        <v>40039.66667</v>
      </c>
      <c r="B504" s="1">
        <f>IFERROR(__xludf.DUMMYFUNCTION("""COMPUTED_VALUE"""),51.92)</f>
        <v>51.92</v>
      </c>
      <c r="C504" s="1">
        <f>IFERROR(__xludf.DUMMYFUNCTION("""COMPUTED_VALUE"""),52.81)</f>
        <v>52.81</v>
      </c>
      <c r="D504" s="1">
        <f>IFERROR(__xludf.DUMMYFUNCTION("""COMPUTED_VALUE"""),51.58)</f>
        <v>51.58</v>
      </c>
      <c r="E504" s="1">
        <f>IFERROR(__xludf.DUMMYFUNCTION("""COMPUTED_VALUE"""),52.37)</f>
        <v>52.37</v>
      </c>
      <c r="F504" s="1">
        <f>IFERROR(__xludf.DUMMYFUNCTION("""COMPUTED_VALUE"""),5.3762873E7)</f>
        <v>53762873</v>
      </c>
    </row>
    <row r="505">
      <c r="A505" s="2">
        <f>IFERROR(__xludf.DUMMYFUNCTION("""COMPUTED_VALUE"""),40046.666666666664)</f>
        <v>40046.66667</v>
      </c>
      <c r="B505" s="1">
        <f>IFERROR(__xludf.DUMMYFUNCTION("""COMPUTED_VALUE"""),52.32)</f>
        <v>52.32</v>
      </c>
      <c r="C505" s="1">
        <f>IFERROR(__xludf.DUMMYFUNCTION("""COMPUTED_VALUE"""),53.77)</f>
        <v>53.77</v>
      </c>
      <c r="D505" s="1">
        <f>IFERROR(__xludf.DUMMYFUNCTION("""COMPUTED_VALUE"""),52.08)</f>
        <v>52.08</v>
      </c>
      <c r="E505" s="1">
        <f>IFERROR(__xludf.DUMMYFUNCTION("""COMPUTED_VALUE"""),53.58)</f>
        <v>53.58</v>
      </c>
      <c r="F505" s="1">
        <f>IFERROR(__xludf.DUMMYFUNCTION("""COMPUTED_VALUE"""),5.3676421E7)</f>
        <v>53676421</v>
      </c>
    </row>
    <row r="506">
      <c r="A506" s="2">
        <f>IFERROR(__xludf.DUMMYFUNCTION("""COMPUTED_VALUE"""),40053.666666666664)</f>
        <v>40053.66667</v>
      </c>
      <c r="B506" s="1">
        <f>IFERROR(__xludf.DUMMYFUNCTION("""COMPUTED_VALUE"""),53.77)</f>
        <v>53.77</v>
      </c>
      <c r="C506" s="1">
        <f>IFERROR(__xludf.DUMMYFUNCTION("""COMPUTED_VALUE"""),53.99)</f>
        <v>53.99</v>
      </c>
      <c r="D506" s="1">
        <f>IFERROR(__xludf.DUMMYFUNCTION("""COMPUTED_VALUE"""),52.66)</f>
        <v>52.66</v>
      </c>
      <c r="E506" s="1">
        <f>IFERROR(__xludf.DUMMYFUNCTION("""COMPUTED_VALUE"""),53.19)</f>
        <v>53.19</v>
      </c>
      <c r="F506" s="1">
        <f>IFERROR(__xludf.DUMMYFUNCTION("""COMPUTED_VALUE"""),5.3262552E7)</f>
        <v>53262552</v>
      </c>
    </row>
    <row r="507">
      <c r="A507" s="2">
        <f>IFERROR(__xludf.DUMMYFUNCTION("""COMPUTED_VALUE"""),40060.666666666664)</f>
        <v>40060.66667</v>
      </c>
      <c r="B507" s="1">
        <f>IFERROR(__xludf.DUMMYFUNCTION("""COMPUTED_VALUE"""),53.0)</f>
        <v>53</v>
      </c>
      <c r="C507" s="1">
        <f>IFERROR(__xludf.DUMMYFUNCTION("""COMPUTED_VALUE"""),54.12)</f>
        <v>54.12</v>
      </c>
      <c r="D507" s="1">
        <f>IFERROR(__xludf.DUMMYFUNCTION("""COMPUTED_VALUE"""),52.52)</f>
        <v>52.52</v>
      </c>
      <c r="E507" s="1">
        <f>IFERROR(__xludf.DUMMYFUNCTION("""COMPUTED_VALUE"""),52.86)</f>
        <v>52.86</v>
      </c>
      <c r="F507" s="1">
        <f>IFERROR(__xludf.DUMMYFUNCTION("""COMPUTED_VALUE"""),5.5316503E7)</f>
        <v>55316503</v>
      </c>
    </row>
    <row r="508">
      <c r="A508" s="2">
        <f>IFERROR(__xludf.DUMMYFUNCTION("""COMPUTED_VALUE"""),40067.666666666664)</f>
        <v>40067.66667</v>
      </c>
      <c r="B508" s="1">
        <f>IFERROR(__xludf.DUMMYFUNCTION("""COMPUTED_VALUE"""),53.45)</f>
        <v>53.45</v>
      </c>
      <c r="C508" s="1">
        <f>IFERROR(__xludf.DUMMYFUNCTION("""COMPUTED_VALUE"""),56.4)</f>
        <v>56.4</v>
      </c>
      <c r="D508" s="1">
        <f>IFERROR(__xludf.DUMMYFUNCTION("""COMPUTED_VALUE"""),53.21)</f>
        <v>53.21</v>
      </c>
      <c r="E508" s="1">
        <f>IFERROR(__xludf.DUMMYFUNCTION("""COMPUTED_VALUE"""),55.64)</f>
        <v>55.64</v>
      </c>
      <c r="F508" s="1">
        <f>IFERROR(__xludf.DUMMYFUNCTION("""COMPUTED_VALUE"""),6.6285593E7)</f>
        <v>66285593</v>
      </c>
    </row>
    <row r="509">
      <c r="A509" s="2">
        <f>IFERROR(__xludf.DUMMYFUNCTION("""COMPUTED_VALUE"""),40074.666666666664)</f>
        <v>40074.66667</v>
      </c>
      <c r="B509" s="1">
        <f>IFERROR(__xludf.DUMMYFUNCTION("""COMPUTED_VALUE"""),55.23)</f>
        <v>55.23</v>
      </c>
      <c r="C509" s="1">
        <f>IFERROR(__xludf.DUMMYFUNCTION("""COMPUTED_VALUE"""),57.51)</f>
        <v>57.51</v>
      </c>
      <c r="D509" s="1">
        <f>IFERROR(__xludf.DUMMYFUNCTION("""COMPUTED_VALUE"""),54.61)</f>
        <v>54.61</v>
      </c>
      <c r="E509" s="1">
        <f>IFERROR(__xludf.DUMMYFUNCTION("""COMPUTED_VALUE"""),57.32)</f>
        <v>57.32</v>
      </c>
      <c r="F509" s="1">
        <f>IFERROR(__xludf.DUMMYFUNCTION("""COMPUTED_VALUE"""),7.2294112E7)</f>
        <v>72294112</v>
      </c>
    </row>
    <row r="510">
      <c r="A510" s="2">
        <f>IFERROR(__xludf.DUMMYFUNCTION("""COMPUTED_VALUE"""),40081.666666666664)</f>
        <v>40081.66667</v>
      </c>
      <c r="B510" s="1">
        <f>IFERROR(__xludf.DUMMYFUNCTION("""COMPUTED_VALUE"""),57.35)</f>
        <v>57.35</v>
      </c>
      <c r="C510" s="1">
        <f>IFERROR(__xludf.DUMMYFUNCTION("""COMPUTED_VALUE"""),58.5)</f>
        <v>58.5</v>
      </c>
      <c r="D510" s="1">
        <f>IFERROR(__xludf.DUMMYFUNCTION("""COMPUTED_VALUE"""),56.75)</f>
        <v>56.75</v>
      </c>
      <c r="E510" s="1">
        <f>IFERROR(__xludf.DUMMYFUNCTION("""COMPUTED_VALUE"""),58.01)</f>
        <v>58.01</v>
      </c>
      <c r="F510" s="1">
        <f>IFERROR(__xludf.DUMMYFUNCTION("""COMPUTED_VALUE"""),6.4869172E7)</f>
        <v>64869172</v>
      </c>
    </row>
    <row r="511">
      <c r="A511" s="2">
        <f>IFERROR(__xludf.DUMMYFUNCTION("""COMPUTED_VALUE"""),40088.666666666664)</f>
        <v>40088.66667</v>
      </c>
      <c r="B511" s="1">
        <f>IFERROR(__xludf.DUMMYFUNCTION("""COMPUTED_VALUE"""),58.21)</f>
        <v>58.21</v>
      </c>
      <c r="C511" s="1">
        <f>IFERROR(__xludf.DUMMYFUNCTION("""COMPUTED_VALUE"""),58.66)</f>
        <v>58.66</v>
      </c>
      <c r="D511" s="1">
        <f>IFERROR(__xludf.DUMMYFUNCTION("""COMPUTED_VALUE"""),56.2)</f>
        <v>56.2</v>
      </c>
      <c r="E511" s="1">
        <f>IFERROR(__xludf.DUMMYFUNCTION("""COMPUTED_VALUE"""),56.75)</f>
        <v>56.75</v>
      </c>
      <c r="F511" s="1">
        <f>IFERROR(__xludf.DUMMYFUNCTION("""COMPUTED_VALUE"""),5.966362E7)</f>
        <v>59663620</v>
      </c>
    </row>
    <row r="512">
      <c r="A512" s="2">
        <f>IFERROR(__xludf.DUMMYFUNCTION("""COMPUTED_VALUE"""),40095.666666666664)</f>
        <v>40095.66667</v>
      </c>
      <c r="B512" s="1">
        <f>IFERROR(__xludf.DUMMYFUNCTION("""COMPUTED_VALUE"""),56.79)</f>
        <v>56.79</v>
      </c>
      <c r="C512" s="1">
        <f>IFERROR(__xludf.DUMMYFUNCTION("""COMPUTED_VALUE"""),57.85)</f>
        <v>57.85</v>
      </c>
      <c r="D512" s="1">
        <f>IFERROR(__xludf.DUMMYFUNCTION("""COMPUTED_VALUE"""),56.02)</f>
        <v>56.02</v>
      </c>
      <c r="E512" s="1">
        <f>IFERROR(__xludf.DUMMYFUNCTION("""COMPUTED_VALUE"""),57.56)</f>
        <v>57.56</v>
      </c>
      <c r="F512" s="1">
        <f>IFERROR(__xludf.DUMMYFUNCTION("""COMPUTED_VALUE"""),4.977311E7)</f>
        <v>49773110</v>
      </c>
    </row>
    <row r="513">
      <c r="A513" s="2">
        <f>IFERROR(__xludf.DUMMYFUNCTION("""COMPUTED_VALUE"""),40102.666666666664)</f>
        <v>40102.66667</v>
      </c>
      <c r="B513" s="1">
        <f>IFERROR(__xludf.DUMMYFUNCTION("""COMPUTED_VALUE"""),57.67)</f>
        <v>57.67</v>
      </c>
      <c r="C513" s="1">
        <f>IFERROR(__xludf.DUMMYFUNCTION("""COMPUTED_VALUE"""),58.37)</f>
        <v>58.37</v>
      </c>
      <c r="D513" s="1">
        <f>IFERROR(__xludf.DUMMYFUNCTION("""COMPUTED_VALUE"""),56.83)</f>
        <v>56.83</v>
      </c>
      <c r="E513" s="1">
        <f>IFERROR(__xludf.DUMMYFUNCTION("""COMPUTED_VALUE"""),57.44)</f>
        <v>57.44</v>
      </c>
      <c r="F513" s="1">
        <f>IFERROR(__xludf.DUMMYFUNCTION("""COMPUTED_VALUE"""),5.1639165E7)</f>
        <v>51639165</v>
      </c>
    </row>
    <row r="514">
      <c r="A514" s="2">
        <f>IFERROR(__xludf.DUMMYFUNCTION("""COMPUTED_VALUE"""),40109.666666666664)</f>
        <v>40109.66667</v>
      </c>
      <c r="B514" s="1">
        <f>IFERROR(__xludf.DUMMYFUNCTION("""COMPUTED_VALUE"""),57.51)</f>
        <v>57.51</v>
      </c>
      <c r="C514" s="1">
        <f>IFERROR(__xludf.DUMMYFUNCTION("""COMPUTED_VALUE"""),58.85)</f>
        <v>58.85</v>
      </c>
      <c r="D514" s="1">
        <f>IFERROR(__xludf.DUMMYFUNCTION("""COMPUTED_VALUE"""),57.21)</f>
        <v>57.21</v>
      </c>
      <c r="E514" s="1">
        <f>IFERROR(__xludf.DUMMYFUNCTION("""COMPUTED_VALUE"""),57.64)</f>
        <v>57.64</v>
      </c>
      <c r="F514" s="1">
        <f>IFERROR(__xludf.DUMMYFUNCTION("""COMPUTED_VALUE"""),5.1766184E7)</f>
        <v>51766184</v>
      </c>
    </row>
    <row r="515">
      <c r="A515" s="2">
        <f>IFERROR(__xludf.DUMMYFUNCTION("""COMPUTED_VALUE"""),40116.666666666664)</f>
        <v>40116.66667</v>
      </c>
      <c r="B515" s="1">
        <f>IFERROR(__xludf.DUMMYFUNCTION("""COMPUTED_VALUE"""),57.65)</f>
        <v>57.65</v>
      </c>
      <c r="C515" s="1">
        <f>IFERROR(__xludf.DUMMYFUNCTION("""COMPUTED_VALUE"""),59.98)</f>
        <v>59.98</v>
      </c>
      <c r="D515" s="1">
        <f>IFERROR(__xludf.DUMMYFUNCTION("""COMPUTED_VALUE"""),56.58)</f>
        <v>56.58</v>
      </c>
      <c r="E515" s="1">
        <f>IFERROR(__xludf.DUMMYFUNCTION("""COMPUTED_VALUE"""),58.0)</f>
        <v>58</v>
      </c>
      <c r="F515" s="1">
        <f>IFERROR(__xludf.DUMMYFUNCTION("""COMPUTED_VALUE"""),8.4454776E7)</f>
        <v>84454776</v>
      </c>
    </row>
    <row r="516">
      <c r="A516" s="2">
        <f>IFERROR(__xludf.DUMMYFUNCTION("""COMPUTED_VALUE"""),40123.666666666664)</f>
        <v>40123.66667</v>
      </c>
      <c r="B516" s="1">
        <f>IFERROR(__xludf.DUMMYFUNCTION("""COMPUTED_VALUE"""),58.39)</f>
        <v>58.39</v>
      </c>
      <c r="C516" s="1">
        <f>IFERROR(__xludf.DUMMYFUNCTION("""COMPUTED_VALUE"""),61.38)</f>
        <v>61.38</v>
      </c>
      <c r="D516" s="1">
        <f>IFERROR(__xludf.DUMMYFUNCTION("""COMPUTED_VALUE"""),58.0)</f>
        <v>58</v>
      </c>
      <c r="E516" s="1">
        <f>IFERROR(__xludf.DUMMYFUNCTION("""COMPUTED_VALUE"""),61.04)</f>
        <v>61.04</v>
      </c>
      <c r="F516" s="1">
        <f>IFERROR(__xludf.DUMMYFUNCTION("""COMPUTED_VALUE"""),7.2355599E7)</f>
        <v>72355599</v>
      </c>
    </row>
    <row r="517">
      <c r="A517" s="2">
        <f>IFERROR(__xludf.DUMMYFUNCTION("""COMPUTED_VALUE"""),40130.666666666664)</f>
        <v>40130.66667</v>
      </c>
      <c r="B517" s="1">
        <f>IFERROR(__xludf.DUMMYFUNCTION("""COMPUTED_VALUE"""),61.19)</f>
        <v>61.19</v>
      </c>
      <c r="C517" s="1">
        <f>IFERROR(__xludf.DUMMYFUNCTION("""COMPUTED_VALUE"""),62.36)</f>
        <v>62.36</v>
      </c>
      <c r="D517" s="1">
        <f>IFERROR(__xludf.DUMMYFUNCTION("""COMPUTED_VALUE"""),60.84)</f>
        <v>60.84</v>
      </c>
      <c r="E517" s="1">
        <f>IFERROR(__xludf.DUMMYFUNCTION("""COMPUTED_VALUE"""),61.61)</f>
        <v>61.61</v>
      </c>
      <c r="F517" s="1">
        <f>IFERROR(__xludf.DUMMYFUNCTION("""COMPUTED_VALUE"""),6.5233995E7)</f>
        <v>65233995</v>
      </c>
    </row>
    <row r="518">
      <c r="A518" s="2">
        <f>IFERROR(__xludf.DUMMYFUNCTION("""COMPUTED_VALUE"""),40137.666666666664)</f>
        <v>40137.66667</v>
      </c>
      <c r="B518" s="1">
        <f>IFERROR(__xludf.DUMMYFUNCTION("""COMPUTED_VALUE"""),62.0)</f>
        <v>62</v>
      </c>
      <c r="C518" s="1">
        <f>IFERROR(__xludf.DUMMYFUNCTION("""COMPUTED_VALUE"""),62.68)</f>
        <v>62.68</v>
      </c>
      <c r="D518" s="1">
        <f>IFERROR(__xludf.DUMMYFUNCTION("""COMPUTED_VALUE"""),61.48)</f>
        <v>61.48</v>
      </c>
      <c r="E518" s="1">
        <f>IFERROR(__xludf.DUMMYFUNCTION("""COMPUTED_VALUE"""),61.8)</f>
        <v>61.8</v>
      </c>
      <c r="F518" s="1">
        <f>IFERROR(__xludf.DUMMYFUNCTION("""COMPUTED_VALUE"""),5.7713644E7)</f>
        <v>57713644</v>
      </c>
    </row>
    <row r="519">
      <c r="A519" s="2">
        <f>IFERROR(__xludf.DUMMYFUNCTION("""COMPUTED_VALUE"""),40144.666666666664)</f>
        <v>40144.66667</v>
      </c>
      <c r="B519" s="1">
        <f>IFERROR(__xludf.DUMMYFUNCTION("""COMPUTED_VALUE"""),62.2)</f>
        <v>62.2</v>
      </c>
      <c r="C519" s="1">
        <f>IFERROR(__xludf.DUMMYFUNCTION("""COMPUTED_VALUE"""),63.48)</f>
        <v>63.48</v>
      </c>
      <c r="D519" s="1">
        <f>IFERROR(__xludf.DUMMYFUNCTION("""COMPUTED_VALUE"""),61.6)</f>
        <v>61.6</v>
      </c>
      <c r="E519" s="1">
        <f>IFERROR(__xludf.DUMMYFUNCTION("""COMPUTED_VALUE"""),62.48)</f>
        <v>62.48</v>
      </c>
      <c r="F519" s="1">
        <f>IFERROR(__xludf.DUMMYFUNCTION("""COMPUTED_VALUE"""),3.4791474E7)</f>
        <v>34791474</v>
      </c>
    </row>
    <row r="520">
      <c r="A520" s="2">
        <f>IFERROR(__xludf.DUMMYFUNCTION("""COMPUTED_VALUE"""),40151.666666666664)</f>
        <v>40151.66667</v>
      </c>
      <c r="B520" s="1">
        <f>IFERROR(__xludf.DUMMYFUNCTION("""COMPUTED_VALUE"""),62.37)</f>
        <v>62.37</v>
      </c>
      <c r="C520" s="1">
        <f>IFERROR(__xludf.DUMMYFUNCTION("""COMPUTED_VALUE"""),63.39)</f>
        <v>63.39</v>
      </c>
      <c r="D520" s="1">
        <f>IFERROR(__xludf.DUMMYFUNCTION("""COMPUTED_VALUE"""),62.12)</f>
        <v>62.12</v>
      </c>
      <c r="E520" s="1">
        <f>IFERROR(__xludf.DUMMYFUNCTION("""COMPUTED_VALUE"""),62.6)</f>
        <v>62.6</v>
      </c>
      <c r="F520" s="1">
        <f>IFERROR(__xludf.DUMMYFUNCTION("""COMPUTED_VALUE"""),5.2111014E7)</f>
        <v>52111014</v>
      </c>
    </row>
    <row r="521">
      <c r="A521" s="2">
        <f>IFERROR(__xludf.DUMMYFUNCTION("""COMPUTED_VALUE"""),40158.666666666664)</f>
        <v>40158.66667</v>
      </c>
      <c r="B521" s="1">
        <f>IFERROR(__xludf.DUMMYFUNCTION("""COMPUTED_VALUE"""),62.39)</f>
        <v>62.39</v>
      </c>
      <c r="C521" s="1">
        <f>IFERROR(__xludf.DUMMYFUNCTION("""COMPUTED_VALUE"""),62.85)</f>
        <v>62.85</v>
      </c>
      <c r="D521" s="1">
        <f>IFERROR(__xludf.DUMMYFUNCTION("""COMPUTED_VALUE"""),61.6)</f>
        <v>61.6</v>
      </c>
      <c r="E521" s="1">
        <f>IFERROR(__xludf.DUMMYFUNCTION("""COMPUTED_VALUE"""),62.34)</f>
        <v>62.34</v>
      </c>
      <c r="F521" s="1">
        <f>IFERROR(__xludf.DUMMYFUNCTION("""COMPUTED_VALUE"""),4.8198226E7)</f>
        <v>48198226</v>
      </c>
    </row>
    <row r="522">
      <c r="A522" s="2">
        <f>IFERROR(__xludf.DUMMYFUNCTION("""COMPUTED_VALUE"""),40165.666666666664)</f>
        <v>40165.66667</v>
      </c>
      <c r="B522" s="1">
        <f>IFERROR(__xludf.DUMMYFUNCTION("""COMPUTED_VALUE"""),62.54)</f>
        <v>62.54</v>
      </c>
      <c r="C522" s="1">
        <f>IFERROR(__xludf.DUMMYFUNCTION("""COMPUTED_VALUE"""),63.08)</f>
        <v>63.08</v>
      </c>
      <c r="D522" s="1">
        <f>IFERROR(__xludf.DUMMYFUNCTION("""COMPUTED_VALUE"""),60.41)</f>
        <v>60.41</v>
      </c>
      <c r="E522" s="1">
        <f>IFERROR(__xludf.DUMMYFUNCTION("""COMPUTED_VALUE"""),61.55)</f>
        <v>61.55</v>
      </c>
      <c r="F522" s="1">
        <f>IFERROR(__xludf.DUMMYFUNCTION("""COMPUTED_VALUE"""),6.4787811E7)</f>
        <v>64787811</v>
      </c>
    </row>
    <row r="523">
      <c r="A523" s="2">
        <f>IFERROR(__xludf.DUMMYFUNCTION("""COMPUTED_VALUE"""),40171.666666666664)</f>
        <v>40171.66667</v>
      </c>
      <c r="B523" s="1">
        <f>IFERROR(__xludf.DUMMYFUNCTION("""COMPUTED_VALUE"""),61.65)</f>
        <v>61.65</v>
      </c>
      <c r="C523" s="1">
        <f>IFERROR(__xludf.DUMMYFUNCTION("""COMPUTED_VALUE"""),61.85)</f>
        <v>61.85</v>
      </c>
      <c r="D523" s="1">
        <f>IFERROR(__xludf.DUMMYFUNCTION("""COMPUTED_VALUE"""),60.76)</f>
        <v>60.76</v>
      </c>
      <c r="E523" s="1">
        <f>IFERROR(__xludf.DUMMYFUNCTION("""COMPUTED_VALUE"""),61.28)</f>
        <v>61.28</v>
      </c>
      <c r="F523" s="1">
        <f>IFERROR(__xludf.DUMMYFUNCTION("""COMPUTED_VALUE"""),2.5725744E7)</f>
        <v>25725744</v>
      </c>
    </row>
    <row r="524">
      <c r="A524" s="2">
        <f>IFERROR(__xludf.DUMMYFUNCTION("""COMPUTED_VALUE"""),40178.666666666664)</f>
        <v>40178.66667</v>
      </c>
      <c r="B524" s="1">
        <f>IFERROR(__xludf.DUMMYFUNCTION("""COMPUTED_VALUE"""),61.52)</f>
        <v>61.52</v>
      </c>
      <c r="C524" s="1">
        <f>IFERROR(__xludf.DUMMYFUNCTION("""COMPUTED_VALUE"""),61.89)</f>
        <v>61.89</v>
      </c>
      <c r="D524" s="1">
        <f>IFERROR(__xludf.DUMMYFUNCTION("""COMPUTED_VALUE"""),60.56)</f>
        <v>60.56</v>
      </c>
      <c r="E524" s="1">
        <f>IFERROR(__xludf.DUMMYFUNCTION("""COMPUTED_VALUE"""),60.63)</f>
        <v>60.63</v>
      </c>
      <c r="F524" s="1">
        <f>IFERROR(__xludf.DUMMYFUNCTION("""COMPUTED_VALUE"""),2.5770212E7)</f>
        <v>25770212</v>
      </c>
    </row>
    <row r="525">
      <c r="A525" s="2">
        <f>IFERROR(__xludf.DUMMYFUNCTION("""COMPUTED_VALUE"""),40186.666666666664)</f>
        <v>40186.66667</v>
      </c>
      <c r="B525" s="1">
        <f>IFERROR(__xludf.DUMMYFUNCTION("""COMPUTED_VALUE"""),61.11)</f>
        <v>61.11</v>
      </c>
      <c r="C525" s="1">
        <f>IFERROR(__xludf.DUMMYFUNCTION("""COMPUTED_VALUE"""),61.31)</f>
        <v>61.31</v>
      </c>
      <c r="D525" s="1">
        <f>IFERROR(__xludf.DUMMYFUNCTION("""COMPUTED_VALUE"""),60.06)</f>
        <v>60.06</v>
      </c>
      <c r="E525" s="1">
        <f>IFERROR(__xludf.DUMMYFUNCTION("""COMPUTED_VALUE"""),60.44)</f>
        <v>60.44</v>
      </c>
      <c r="F525" s="1">
        <f>IFERROR(__xludf.DUMMYFUNCTION("""COMPUTED_VALUE"""),4.5190005E7)</f>
        <v>45190005</v>
      </c>
    </row>
    <row r="526">
      <c r="A526" s="2">
        <f>IFERROR(__xludf.DUMMYFUNCTION("""COMPUTED_VALUE"""),40193.666666666664)</f>
        <v>40193.66667</v>
      </c>
      <c r="B526" s="1">
        <f>IFERROR(__xludf.DUMMYFUNCTION("""COMPUTED_VALUE"""),60.08)</f>
        <v>60.08</v>
      </c>
      <c r="C526" s="1">
        <f>IFERROR(__xludf.DUMMYFUNCTION("""COMPUTED_VALUE"""),61.86)</f>
        <v>61.86</v>
      </c>
      <c r="D526" s="1">
        <f>IFERROR(__xludf.DUMMYFUNCTION("""COMPUTED_VALUE"""),59.01)</f>
        <v>59.01</v>
      </c>
      <c r="E526" s="1">
        <f>IFERROR(__xludf.DUMMYFUNCTION("""COMPUTED_VALUE"""),60.82)</f>
        <v>60.82</v>
      </c>
      <c r="F526" s="1">
        <f>IFERROR(__xludf.DUMMYFUNCTION("""COMPUTED_VALUE"""),7.0114647E7)</f>
        <v>70114647</v>
      </c>
    </row>
    <row r="527">
      <c r="A527" s="2">
        <f>IFERROR(__xludf.DUMMYFUNCTION("""COMPUTED_VALUE"""),40200.666666666664)</f>
        <v>40200.66667</v>
      </c>
      <c r="B527" s="1">
        <f>IFERROR(__xludf.DUMMYFUNCTION("""COMPUTED_VALUE"""),60.8)</f>
        <v>60.8</v>
      </c>
      <c r="C527" s="1">
        <f>IFERROR(__xludf.DUMMYFUNCTION("""COMPUTED_VALUE"""),61.83)</f>
        <v>61.83</v>
      </c>
      <c r="D527" s="1">
        <f>IFERROR(__xludf.DUMMYFUNCTION("""COMPUTED_VALUE"""),59.22)</f>
        <v>59.22</v>
      </c>
      <c r="E527" s="1">
        <f>IFERROR(__xludf.DUMMYFUNCTION("""COMPUTED_VALUE"""),60.31)</f>
        <v>60.31</v>
      </c>
      <c r="F527" s="1">
        <f>IFERROR(__xludf.DUMMYFUNCTION("""COMPUTED_VALUE"""),5.513916E7)</f>
        <v>55139160</v>
      </c>
    </row>
    <row r="528">
      <c r="A528" s="2">
        <f>IFERROR(__xludf.DUMMYFUNCTION("""COMPUTED_VALUE"""),40207.666666666664)</f>
        <v>40207.66667</v>
      </c>
      <c r="B528" s="1">
        <f>IFERROR(__xludf.DUMMYFUNCTION("""COMPUTED_VALUE"""),60.83)</f>
        <v>60.83</v>
      </c>
      <c r="C528" s="1">
        <f>IFERROR(__xludf.DUMMYFUNCTION("""COMPUTED_VALUE"""),63.31)</f>
        <v>63.31</v>
      </c>
      <c r="D528" s="1">
        <f>IFERROR(__xludf.DUMMYFUNCTION("""COMPUTED_VALUE"""),59.95)</f>
        <v>59.95</v>
      </c>
      <c r="E528" s="1">
        <f>IFERROR(__xludf.DUMMYFUNCTION("""COMPUTED_VALUE"""),61.55)</f>
        <v>61.55</v>
      </c>
      <c r="F528" s="1">
        <f>IFERROR(__xludf.DUMMYFUNCTION("""COMPUTED_VALUE"""),8.3938479E7)</f>
        <v>83938479</v>
      </c>
    </row>
    <row r="529">
      <c r="A529" s="2">
        <f>IFERROR(__xludf.DUMMYFUNCTION("""COMPUTED_VALUE"""),40214.666666666664)</f>
        <v>40214.66667</v>
      </c>
      <c r="B529" s="1">
        <f>IFERROR(__xludf.DUMMYFUNCTION("""COMPUTED_VALUE"""),61.85)</f>
        <v>61.85</v>
      </c>
      <c r="C529" s="1">
        <f>IFERROR(__xludf.DUMMYFUNCTION("""COMPUTED_VALUE"""),63.04)</f>
        <v>63.04</v>
      </c>
      <c r="D529" s="1">
        <f>IFERROR(__xludf.DUMMYFUNCTION("""COMPUTED_VALUE"""),60.43)</f>
        <v>60.43</v>
      </c>
      <c r="E529" s="1">
        <f>IFERROR(__xludf.DUMMYFUNCTION("""COMPUTED_VALUE"""),61.3)</f>
        <v>61.3</v>
      </c>
      <c r="F529" s="1">
        <f>IFERROR(__xludf.DUMMYFUNCTION("""COMPUTED_VALUE"""),7.0823078E7)</f>
        <v>70823078</v>
      </c>
    </row>
    <row r="530">
      <c r="A530" s="2">
        <f>IFERROR(__xludf.DUMMYFUNCTION("""COMPUTED_VALUE"""),40221.666666666664)</f>
        <v>40221.66667</v>
      </c>
      <c r="B530" s="1">
        <f>IFERROR(__xludf.DUMMYFUNCTION("""COMPUTED_VALUE"""),61.06)</f>
        <v>61.06</v>
      </c>
      <c r="C530" s="1">
        <f>IFERROR(__xludf.DUMMYFUNCTION("""COMPUTED_VALUE"""),62.16)</f>
        <v>62.16</v>
      </c>
      <c r="D530" s="1">
        <f>IFERROR(__xludf.DUMMYFUNCTION("""COMPUTED_VALUE"""),60.81)</f>
        <v>60.81</v>
      </c>
      <c r="E530" s="1">
        <f>IFERROR(__xludf.DUMMYFUNCTION("""COMPUTED_VALUE"""),61.76)</f>
        <v>61.76</v>
      </c>
      <c r="F530" s="1">
        <f>IFERROR(__xludf.DUMMYFUNCTION("""COMPUTED_VALUE"""),5.928496E7)</f>
        <v>59284960</v>
      </c>
    </row>
    <row r="531">
      <c r="A531" s="2">
        <f>IFERROR(__xludf.DUMMYFUNCTION("""COMPUTED_VALUE"""),40228.666666666664)</f>
        <v>40228.66667</v>
      </c>
      <c r="B531" s="1">
        <f>IFERROR(__xludf.DUMMYFUNCTION("""COMPUTED_VALUE"""),62.6)</f>
        <v>62.6</v>
      </c>
      <c r="C531" s="1">
        <f>IFERROR(__xludf.DUMMYFUNCTION("""COMPUTED_VALUE"""),63.74)</f>
        <v>63.74</v>
      </c>
      <c r="D531" s="1">
        <f>IFERROR(__xludf.DUMMYFUNCTION("""COMPUTED_VALUE"""),62.35)</f>
        <v>62.35</v>
      </c>
      <c r="E531" s="1">
        <f>IFERROR(__xludf.DUMMYFUNCTION("""COMPUTED_VALUE"""),63.45)</f>
        <v>63.45</v>
      </c>
      <c r="F531" s="1">
        <f>IFERROR(__xludf.DUMMYFUNCTION("""COMPUTED_VALUE"""),5.6264993E7)</f>
        <v>56264993</v>
      </c>
    </row>
    <row r="532">
      <c r="A532" s="2">
        <f>IFERROR(__xludf.DUMMYFUNCTION("""COMPUTED_VALUE"""),40235.666666666664)</f>
        <v>40235.66667</v>
      </c>
      <c r="B532" s="1">
        <f>IFERROR(__xludf.DUMMYFUNCTION("""COMPUTED_VALUE"""),63.69)</f>
        <v>63.69</v>
      </c>
      <c r="C532" s="1">
        <f>IFERROR(__xludf.DUMMYFUNCTION("""COMPUTED_VALUE"""),63.96)</f>
        <v>63.96</v>
      </c>
      <c r="D532" s="1">
        <f>IFERROR(__xludf.DUMMYFUNCTION("""COMPUTED_VALUE"""),62.92)</f>
        <v>62.92</v>
      </c>
      <c r="E532" s="1">
        <f>IFERROR(__xludf.DUMMYFUNCTION("""COMPUTED_VALUE"""),63.28)</f>
        <v>63.28</v>
      </c>
      <c r="F532" s="1">
        <f>IFERROR(__xludf.DUMMYFUNCTION("""COMPUTED_VALUE"""),5.5159311E7)</f>
        <v>55159311</v>
      </c>
    </row>
    <row r="533">
      <c r="A533" s="2">
        <f>IFERROR(__xludf.DUMMYFUNCTION("""COMPUTED_VALUE"""),40242.666666666664)</f>
        <v>40242.66667</v>
      </c>
      <c r="B533" s="1">
        <f>IFERROR(__xludf.DUMMYFUNCTION("""COMPUTED_VALUE"""),63.46)</f>
        <v>63.46</v>
      </c>
      <c r="C533" s="1">
        <f>IFERROR(__xludf.DUMMYFUNCTION("""COMPUTED_VALUE"""),64.15)</f>
        <v>64.15</v>
      </c>
      <c r="D533" s="1">
        <f>IFERROR(__xludf.DUMMYFUNCTION("""COMPUTED_VALUE"""),63.05)</f>
        <v>63.05</v>
      </c>
      <c r="E533" s="1">
        <f>IFERROR(__xludf.DUMMYFUNCTION("""COMPUTED_VALUE"""),63.69)</f>
        <v>63.69</v>
      </c>
      <c r="F533" s="1">
        <f>IFERROR(__xludf.DUMMYFUNCTION("""COMPUTED_VALUE"""),4.3062082E7)</f>
        <v>43062082</v>
      </c>
    </row>
    <row r="534">
      <c r="A534" s="2">
        <f>IFERROR(__xludf.DUMMYFUNCTION("""COMPUTED_VALUE"""),40249.666666666664)</f>
        <v>40249.66667</v>
      </c>
      <c r="B534" s="1">
        <f>IFERROR(__xludf.DUMMYFUNCTION("""COMPUTED_VALUE"""),63.55)</f>
        <v>63.55</v>
      </c>
      <c r="C534" s="1">
        <f>IFERROR(__xludf.DUMMYFUNCTION("""COMPUTED_VALUE"""),63.67)</f>
        <v>63.67</v>
      </c>
      <c r="D534" s="1">
        <f>IFERROR(__xludf.DUMMYFUNCTION("""COMPUTED_VALUE"""),62.51)</f>
        <v>62.51</v>
      </c>
      <c r="E534" s="1">
        <f>IFERROR(__xludf.DUMMYFUNCTION("""COMPUTED_VALUE"""),63.32)</f>
        <v>63.32</v>
      </c>
      <c r="F534" s="1">
        <f>IFERROR(__xludf.DUMMYFUNCTION("""COMPUTED_VALUE"""),4.6359846E7)</f>
        <v>46359846</v>
      </c>
    </row>
    <row r="535">
      <c r="A535" s="2">
        <f>IFERROR(__xludf.DUMMYFUNCTION("""COMPUTED_VALUE"""),40256.666666666664)</f>
        <v>40256.66667</v>
      </c>
      <c r="B535" s="1">
        <f>IFERROR(__xludf.DUMMYFUNCTION("""COMPUTED_VALUE"""),63.19)</f>
        <v>63.19</v>
      </c>
      <c r="C535" s="1">
        <f>IFERROR(__xludf.DUMMYFUNCTION("""COMPUTED_VALUE"""),64.13)</f>
        <v>64.13</v>
      </c>
      <c r="D535" s="1">
        <f>IFERROR(__xludf.DUMMYFUNCTION("""COMPUTED_VALUE"""),63.19)</f>
        <v>63.19</v>
      </c>
      <c r="E535" s="1">
        <f>IFERROR(__xludf.DUMMYFUNCTION("""COMPUTED_VALUE"""),63.84)</f>
        <v>63.84</v>
      </c>
      <c r="F535" s="1">
        <f>IFERROR(__xludf.DUMMYFUNCTION("""COMPUTED_VALUE"""),5.3075511E7)</f>
        <v>53075511</v>
      </c>
    </row>
    <row r="536">
      <c r="A536" s="2">
        <f>IFERROR(__xludf.DUMMYFUNCTION("""COMPUTED_VALUE"""),40263.666666666664)</f>
        <v>40263.66667</v>
      </c>
      <c r="B536" s="1">
        <f>IFERROR(__xludf.DUMMYFUNCTION("""COMPUTED_VALUE"""),63.52)</f>
        <v>63.52</v>
      </c>
      <c r="C536" s="1">
        <f>IFERROR(__xludf.DUMMYFUNCTION("""COMPUTED_VALUE"""),64.58)</f>
        <v>64.58</v>
      </c>
      <c r="D536" s="1">
        <f>IFERROR(__xludf.DUMMYFUNCTION("""COMPUTED_VALUE"""),63.4)</f>
        <v>63.4</v>
      </c>
      <c r="E536" s="1">
        <f>IFERROR(__xludf.DUMMYFUNCTION("""COMPUTED_VALUE"""),63.69)</f>
        <v>63.69</v>
      </c>
      <c r="F536" s="1">
        <f>IFERROR(__xludf.DUMMYFUNCTION("""COMPUTED_VALUE"""),5.2022487E7)</f>
        <v>52022487</v>
      </c>
    </row>
    <row r="537">
      <c r="A537" s="2">
        <f>IFERROR(__xludf.DUMMYFUNCTION("""COMPUTED_VALUE"""),40269.666666666664)</f>
        <v>40269.66667</v>
      </c>
      <c r="B537" s="1">
        <f>IFERROR(__xludf.DUMMYFUNCTION("""COMPUTED_VALUE"""),63.73)</f>
        <v>63.73</v>
      </c>
      <c r="C537" s="1">
        <f>IFERROR(__xludf.DUMMYFUNCTION("""COMPUTED_VALUE"""),64.04)</f>
        <v>64.04</v>
      </c>
      <c r="D537" s="1">
        <f>IFERROR(__xludf.DUMMYFUNCTION("""COMPUTED_VALUE"""),63.18)</f>
        <v>63.18</v>
      </c>
      <c r="E537" s="1">
        <f>IFERROR(__xludf.DUMMYFUNCTION("""COMPUTED_VALUE"""),63.36)</f>
        <v>63.36</v>
      </c>
      <c r="F537" s="1">
        <f>IFERROR(__xludf.DUMMYFUNCTION("""COMPUTED_VALUE"""),3.3039282E7)</f>
        <v>33039282</v>
      </c>
    </row>
    <row r="538">
      <c r="A538" s="2">
        <f>IFERROR(__xludf.DUMMYFUNCTION("""COMPUTED_VALUE"""),40277.666666666664)</f>
        <v>40277.66667</v>
      </c>
      <c r="B538" s="1">
        <f>IFERROR(__xludf.DUMMYFUNCTION("""COMPUTED_VALUE"""),63.39)</f>
        <v>63.39</v>
      </c>
      <c r="C538" s="1">
        <f>IFERROR(__xludf.DUMMYFUNCTION("""COMPUTED_VALUE"""),63.89)</f>
        <v>63.89</v>
      </c>
      <c r="D538" s="1">
        <f>IFERROR(__xludf.DUMMYFUNCTION("""COMPUTED_VALUE"""),62.12)</f>
        <v>62.12</v>
      </c>
      <c r="E538" s="1">
        <f>IFERROR(__xludf.DUMMYFUNCTION("""COMPUTED_VALUE"""),62.73)</f>
        <v>62.73</v>
      </c>
      <c r="F538" s="1">
        <f>IFERROR(__xludf.DUMMYFUNCTION("""COMPUTED_VALUE"""),5.128093E7)</f>
        <v>51280930</v>
      </c>
    </row>
    <row r="539">
      <c r="A539" s="2">
        <f>IFERROR(__xludf.DUMMYFUNCTION("""COMPUTED_VALUE"""),40284.666666666664)</f>
        <v>40284.66667</v>
      </c>
      <c r="B539" s="1">
        <f>IFERROR(__xludf.DUMMYFUNCTION("""COMPUTED_VALUE"""),62.45)</f>
        <v>62.45</v>
      </c>
      <c r="C539" s="1">
        <f>IFERROR(__xludf.DUMMYFUNCTION("""COMPUTED_VALUE"""),63.49)</f>
        <v>63.49</v>
      </c>
      <c r="D539" s="1">
        <f>IFERROR(__xludf.DUMMYFUNCTION("""COMPUTED_VALUE"""),62.41)</f>
        <v>62.41</v>
      </c>
      <c r="E539" s="1">
        <f>IFERROR(__xludf.DUMMYFUNCTION("""COMPUTED_VALUE"""),62.85)</f>
        <v>62.85</v>
      </c>
      <c r="F539" s="1">
        <f>IFERROR(__xludf.DUMMYFUNCTION("""COMPUTED_VALUE"""),5.1964963E7)</f>
        <v>51964963</v>
      </c>
    </row>
    <row r="540">
      <c r="A540" s="2">
        <f>IFERROR(__xludf.DUMMYFUNCTION("""COMPUTED_VALUE"""),40291.666666666664)</f>
        <v>40291.66667</v>
      </c>
      <c r="B540" s="1">
        <f>IFERROR(__xludf.DUMMYFUNCTION("""COMPUTED_VALUE"""),62.82)</f>
        <v>62.82</v>
      </c>
      <c r="C540" s="1">
        <f>IFERROR(__xludf.DUMMYFUNCTION("""COMPUTED_VALUE"""),63.74)</f>
        <v>63.74</v>
      </c>
      <c r="D540" s="1">
        <f>IFERROR(__xludf.DUMMYFUNCTION("""COMPUTED_VALUE"""),62.7)</f>
        <v>62.7</v>
      </c>
      <c r="E540" s="1">
        <f>IFERROR(__xludf.DUMMYFUNCTION("""COMPUTED_VALUE"""),63.54)</f>
        <v>63.54</v>
      </c>
      <c r="F540" s="1">
        <f>IFERROR(__xludf.DUMMYFUNCTION("""COMPUTED_VALUE"""),4.7464054E7)</f>
        <v>47464054</v>
      </c>
    </row>
    <row r="541">
      <c r="A541" s="2">
        <f>IFERROR(__xludf.DUMMYFUNCTION("""COMPUTED_VALUE"""),40298.666666666664)</f>
        <v>40298.66667</v>
      </c>
      <c r="B541" s="1">
        <f>IFERROR(__xludf.DUMMYFUNCTION("""COMPUTED_VALUE"""),63.45)</f>
        <v>63.45</v>
      </c>
      <c r="C541" s="1">
        <f>IFERROR(__xludf.DUMMYFUNCTION("""COMPUTED_VALUE"""),64.0)</f>
        <v>64</v>
      </c>
      <c r="D541" s="1">
        <f>IFERROR(__xludf.DUMMYFUNCTION("""COMPUTED_VALUE"""),60.83)</f>
        <v>60.83</v>
      </c>
      <c r="E541" s="1">
        <f>IFERROR(__xludf.DUMMYFUNCTION("""COMPUTED_VALUE"""),62.16)</f>
        <v>62.16</v>
      </c>
      <c r="F541" s="1">
        <f>IFERROR(__xludf.DUMMYFUNCTION("""COMPUTED_VALUE"""),7.8275467E7)</f>
        <v>78275467</v>
      </c>
    </row>
    <row r="542">
      <c r="A542" s="2">
        <f>IFERROR(__xludf.DUMMYFUNCTION("""COMPUTED_VALUE"""),40305.666666666664)</f>
        <v>40305.66667</v>
      </c>
      <c r="B542" s="1">
        <f>IFERROR(__xludf.DUMMYFUNCTION("""COMPUTED_VALUE"""),62.42)</f>
        <v>62.42</v>
      </c>
      <c r="C542" s="1">
        <f>IFERROR(__xludf.DUMMYFUNCTION("""COMPUTED_VALUE"""),62.84)</f>
        <v>62.84</v>
      </c>
      <c r="D542" s="1">
        <f>IFERROR(__xludf.DUMMYFUNCTION("""COMPUTED_VALUE"""),59.37)</f>
        <v>59.37</v>
      </c>
      <c r="E542" s="1">
        <f>IFERROR(__xludf.DUMMYFUNCTION("""COMPUTED_VALUE"""),60.31)</f>
        <v>60.31</v>
      </c>
      <c r="F542" s="1">
        <f>IFERROR(__xludf.DUMMYFUNCTION("""COMPUTED_VALUE"""),8.5313598E7)</f>
        <v>85313598</v>
      </c>
    </row>
    <row r="543">
      <c r="A543" s="2">
        <f>IFERROR(__xludf.DUMMYFUNCTION("""COMPUTED_VALUE"""),40312.666666666664)</f>
        <v>40312.66667</v>
      </c>
      <c r="B543" s="1">
        <f>IFERROR(__xludf.DUMMYFUNCTION("""COMPUTED_VALUE"""),61.57)</f>
        <v>61.57</v>
      </c>
      <c r="C543" s="1">
        <f>IFERROR(__xludf.DUMMYFUNCTION("""COMPUTED_VALUE"""),63.42)</f>
        <v>63.42</v>
      </c>
      <c r="D543" s="1">
        <f>IFERROR(__xludf.DUMMYFUNCTION("""COMPUTED_VALUE"""),61.16)</f>
        <v>61.16</v>
      </c>
      <c r="E543" s="1">
        <f>IFERROR(__xludf.DUMMYFUNCTION("""COMPUTED_VALUE"""),62.54)</f>
        <v>62.54</v>
      </c>
      <c r="F543" s="1">
        <f>IFERROR(__xludf.DUMMYFUNCTION("""COMPUTED_VALUE"""),6.5224145E7)</f>
        <v>65224145</v>
      </c>
    </row>
    <row r="544">
      <c r="A544" s="2">
        <f>IFERROR(__xludf.DUMMYFUNCTION("""COMPUTED_VALUE"""),40319.666666666664)</f>
        <v>40319.66667</v>
      </c>
      <c r="B544" s="1">
        <f>IFERROR(__xludf.DUMMYFUNCTION("""COMPUTED_VALUE"""),63.01)</f>
        <v>63.01</v>
      </c>
      <c r="C544" s="1">
        <f>IFERROR(__xludf.DUMMYFUNCTION("""COMPUTED_VALUE"""),63.95)</f>
        <v>63.95</v>
      </c>
      <c r="D544" s="1">
        <f>IFERROR(__xludf.DUMMYFUNCTION("""COMPUTED_VALUE"""),60.37)</f>
        <v>60.37</v>
      </c>
      <c r="E544" s="1">
        <f>IFERROR(__xludf.DUMMYFUNCTION("""COMPUTED_VALUE"""),61.85)</f>
        <v>61.85</v>
      </c>
      <c r="F544" s="1">
        <f>IFERROR(__xludf.DUMMYFUNCTION("""COMPUTED_VALUE"""),9.2994576E7)</f>
        <v>92994576</v>
      </c>
    </row>
    <row r="545">
      <c r="A545" s="2">
        <f>IFERROR(__xludf.DUMMYFUNCTION("""COMPUTED_VALUE"""),40326.666666666664)</f>
        <v>40326.66667</v>
      </c>
      <c r="B545" s="1">
        <f>IFERROR(__xludf.DUMMYFUNCTION("""COMPUTED_VALUE"""),61.43)</f>
        <v>61.43</v>
      </c>
      <c r="C545" s="1">
        <f>IFERROR(__xludf.DUMMYFUNCTION("""COMPUTED_VALUE"""),61.98)</f>
        <v>61.98</v>
      </c>
      <c r="D545" s="1">
        <f>IFERROR(__xludf.DUMMYFUNCTION("""COMPUTED_VALUE"""),60.05)</f>
        <v>60.05</v>
      </c>
      <c r="E545" s="1">
        <f>IFERROR(__xludf.DUMMYFUNCTION("""COMPUTED_VALUE"""),61.09)</f>
        <v>61.09</v>
      </c>
      <c r="F545" s="1">
        <f>IFERROR(__xludf.DUMMYFUNCTION("""COMPUTED_VALUE"""),7.7326569E7)</f>
        <v>77326569</v>
      </c>
    </row>
    <row r="546">
      <c r="A546" s="2">
        <f>IFERROR(__xludf.DUMMYFUNCTION("""COMPUTED_VALUE"""),40333.666666666664)</f>
        <v>40333.66667</v>
      </c>
      <c r="B546" s="1">
        <f>IFERROR(__xludf.DUMMYFUNCTION("""COMPUTED_VALUE"""),60.89)</f>
        <v>60.89</v>
      </c>
      <c r="C546" s="1">
        <f>IFERROR(__xludf.DUMMYFUNCTION("""COMPUTED_VALUE"""),62.14)</f>
        <v>62.14</v>
      </c>
      <c r="D546" s="1">
        <f>IFERROR(__xludf.DUMMYFUNCTION("""COMPUTED_VALUE"""),60.52)</f>
        <v>60.52</v>
      </c>
      <c r="E546" s="1">
        <f>IFERROR(__xludf.DUMMYFUNCTION("""COMPUTED_VALUE"""),60.8)</f>
        <v>60.8</v>
      </c>
      <c r="F546" s="1">
        <f>IFERROR(__xludf.DUMMYFUNCTION("""COMPUTED_VALUE"""),5.6976237E7)</f>
        <v>56976237</v>
      </c>
    </row>
    <row r="547">
      <c r="A547" s="2">
        <f>IFERROR(__xludf.DUMMYFUNCTION("""COMPUTED_VALUE"""),40340.666666666664)</f>
        <v>40340.66667</v>
      </c>
      <c r="B547" s="1">
        <f>IFERROR(__xludf.DUMMYFUNCTION("""COMPUTED_VALUE"""),60.72)</f>
        <v>60.72</v>
      </c>
      <c r="C547" s="1">
        <f>IFERROR(__xludf.DUMMYFUNCTION("""COMPUTED_VALUE"""),62.6)</f>
        <v>62.6</v>
      </c>
      <c r="D547" s="1">
        <f>IFERROR(__xludf.DUMMYFUNCTION("""COMPUTED_VALUE"""),60.38)</f>
        <v>60.38</v>
      </c>
      <c r="E547" s="1">
        <f>IFERROR(__xludf.DUMMYFUNCTION("""COMPUTED_VALUE"""),61.01)</f>
        <v>61.01</v>
      </c>
      <c r="F547" s="1">
        <f>IFERROR(__xludf.DUMMYFUNCTION("""COMPUTED_VALUE"""),7.7264757E7)</f>
        <v>77264757</v>
      </c>
    </row>
    <row r="548">
      <c r="A548" s="2">
        <f>IFERROR(__xludf.DUMMYFUNCTION("""COMPUTED_VALUE"""),40347.666666666664)</f>
        <v>40347.66667</v>
      </c>
      <c r="B548" s="1">
        <f>IFERROR(__xludf.DUMMYFUNCTION("""COMPUTED_VALUE"""),61.39)</f>
        <v>61.39</v>
      </c>
      <c r="C548" s="1">
        <f>IFERROR(__xludf.DUMMYFUNCTION("""COMPUTED_VALUE"""),61.94)</f>
        <v>61.94</v>
      </c>
      <c r="D548" s="1">
        <f>IFERROR(__xludf.DUMMYFUNCTION("""COMPUTED_VALUE"""),60.83)</f>
        <v>60.83</v>
      </c>
      <c r="E548" s="1">
        <f>IFERROR(__xludf.DUMMYFUNCTION("""COMPUTED_VALUE"""),61.3)</f>
        <v>61.3</v>
      </c>
      <c r="F548" s="1">
        <f>IFERROR(__xludf.DUMMYFUNCTION("""COMPUTED_VALUE"""),6.7126825E7)</f>
        <v>67126825</v>
      </c>
    </row>
    <row r="549">
      <c r="A549" s="2">
        <f>IFERROR(__xludf.DUMMYFUNCTION("""COMPUTED_VALUE"""),40354.666666666664)</f>
        <v>40354.66667</v>
      </c>
      <c r="B549" s="1">
        <f>IFERROR(__xludf.DUMMYFUNCTION("""COMPUTED_VALUE"""),61.72)</f>
        <v>61.72</v>
      </c>
      <c r="C549" s="1">
        <f>IFERROR(__xludf.DUMMYFUNCTION("""COMPUTED_VALUE"""),61.79)</f>
        <v>61.79</v>
      </c>
      <c r="D549" s="1">
        <f>IFERROR(__xludf.DUMMYFUNCTION("""COMPUTED_VALUE"""),59.79)</f>
        <v>59.79</v>
      </c>
      <c r="E549" s="1">
        <f>IFERROR(__xludf.DUMMYFUNCTION("""COMPUTED_VALUE"""),59.79)</f>
        <v>59.79</v>
      </c>
      <c r="F549" s="1">
        <f>IFERROR(__xludf.DUMMYFUNCTION("""COMPUTED_VALUE"""),9.3471875E7)</f>
        <v>93471875</v>
      </c>
    </row>
    <row r="550">
      <c r="A550" s="2">
        <f>IFERROR(__xludf.DUMMYFUNCTION("""COMPUTED_VALUE"""),40361.666666666664)</f>
        <v>40361.66667</v>
      </c>
      <c r="B550" s="1">
        <f>IFERROR(__xludf.DUMMYFUNCTION("""COMPUTED_VALUE"""),60.0)</f>
        <v>60</v>
      </c>
      <c r="C550" s="1">
        <f>IFERROR(__xludf.DUMMYFUNCTION("""COMPUTED_VALUE"""),60.94)</f>
        <v>60.94</v>
      </c>
      <c r="D550" s="1">
        <f>IFERROR(__xludf.DUMMYFUNCTION("""COMPUTED_VALUE"""),59.21)</f>
        <v>59.21</v>
      </c>
      <c r="E550" s="1">
        <f>IFERROR(__xludf.DUMMYFUNCTION("""COMPUTED_VALUE"""),59.38)</f>
        <v>59.38</v>
      </c>
      <c r="F550" s="1">
        <f>IFERROR(__xludf.DUMMYFUNCTION("""COMPUTED_VALUE"""),8.0647064E7)</f>
        <v>80647064</v>
      </c>
    </row>
    <row r="551">
      <c r="A551" s="2">
        <f>IFERROR(__xludf.DUMMYFUNCTION("""COMPUTED_VALUE"""),40368.666666666664)</f>
        <v>40368.66667</v>
      </c>
      <c r="B551" s="1">
        <f>IFERROR(__xludf.DUMMYFUNCTION("""COMPUTED_VALUE"""),59.88)</f>
        <v>59.88</v>
      </c>
      <c r="C551" s="1">
        <f>IFERROR(__xludf.DUMMYFUNCTION("""COMPUTED_VALUE"""),61.97)</f>
        <v>61.97</v>
      </c>
      <c r="D551" s="1">
        <f>IFERROR(__xludf.DUMMYFUNCTION("""COMPUTED_VALUE"""),58.92)</f>
        <v>58.92</v>
      </c>
      <c r="E551" s="1">
        <f>IFERROR(__xludf.DUMMYFUNCTION("""COMPUTED_VALUE"""),61.75)</f>
        <v>61.75</v>
      </c>
      <c r="F551" s="1">
        <f>IFERROR(__xludf.DUMMYFUNCTION("""COMPUTED_VALUE"""),5.3826685E7)</f>
        <v>53826685</v>
      </c>
    </row>
    <row r="552">
      <c r="A552" s="2">
        <f>IFERROR(__xludf.DUMMYFUNCTION("""COMPUTED_VALUE"""),40375.666666666664)</f>
        <v>40375.66667</v>
      </c>
      <c r="B552" s="1">
        <f>IFERROR(__xludf.DUMMYFUNCTION("""COMPUTED_VALUE"""),61.54)</f>
        <v>61.54</v>
      </c>
      <c r="C552" s="1">
        <f>IFERROR(__xludf.DUMMYFUNCTION("""COMPUTED_VALUE"""),62.89)</f>
        <v>62.89</v>
      </c>
      <c r="D552" s="1">
        <f>IFERROR(__xludf.DUMMYFUNCTION("""COMPUTED_VALUE"""),61.34)</f>
        <v>61.34</v>
      </c>
      <c r="E552" s="1">
        <f>IFERROR(__xludf.DUMMYFUNCTION("""COMPUTED_VALUE"""),61.99)</f>
        <v>61.99</v>
      </c>
      <c r="F552" s="1">
        <f>IFERROR(__xludf.DUMMYFUNCTION("""COMPUTED_VALUE"""),5.70284E7)</f>
        <v>57028400</v>
      </c>
    </row>
    <row r="553">
      <c r="A553" s="2">
        <f>IFERROR(__xludf.DUMMYFUNCTION("""COMPUTED_VALUE"""),40382.666666666664)</f>
        <v>40382.66667</v>
      </c>
      <c r="B553" s="1">
        <f>IFERROR(__xludf.DUMMYFUNCTION("""COMPUTED_VALUE"""),61.99)</f>
        <v>61.99</v>
      </c>
      <c r="C553" s="1">
        <f>IFERROR(__xludf.DUMMYFUNCTION("""COMPUTED_VALUE"""),62.29)</f>
        <v>62.29</v>
      </c>
      <c r="D553" s="1">
        <f>IFERROR(__xludf.DUMMYFUNCTION("""COMPUTED_VALUE"""),60.86)</f>
        <v>60.86</v>
      </c>
      <c r="E553" s="1">
        <f>IFERROR(__xludf.DUMMYFUNCTION("""COMPUTED_VALUE"""),61.91)</f>
        <v>61.91</v>
      </c>
      <c r="F553" s="1">
        <f>IFERROR(__xludf.DUMMYFUNCTION("""COMPUTED_VALUE"""),5.6956234E7)</f>
        <v>56956234</v>
      </c>
    </row>
    <row r="554">
      <c r="A554" s="2">
        <f>IFERROR(__xludf.DUMMYFUNCTION("""COMPUTED_VALUE"""),40389.666666666664)</f>
        <v>40389.66667</v>
      </c>
      <c r="B554" s="1">
        <f>IFERROR(__xludf.DUMMYFUNCTION("""COMPUTED_VALUE"""),61.66)</f>
        <v>61.66</v>
      </c>
      <c r="C554" s="1">
        <f>IFERROR(__xludf.DUMMYFUNCTION("""COMPUTED_VALUE"""),63.36)</f>
        <v>63.36</v>
      </c>
      <c r="D554" s="1">
        <f>IFERROR(__xludf.DUMMYFUNCTION("""COMPUTED_VALUE"""),60.82)</f>
        <v>60.82</v>
      </c>
      <c r="E554" s="1">
        <f>IFERROR(__xludf.DUMMYFUNCTION("""COMPUTED_VALUE"""),61.16)</f>
        <v>61.16</v>
      </c>
      <c r="F554" s="1">
        <f>IFERROR(__xludf.DUMMYFUNCTION("""COMPUTED_VALUE"""),5.565691E7)</f>
        <v>55656910</v>
      </c>
    </row>
    <row r="555">
      <c r="A555" s="2">
        <f>IFERROR(__xludf.DUMMYFUNCTION("""COMPUTED_VALUE"""),40396.666666666664)</f>
        <v>40396.66667</v>
      </c>
      <c r="B555" s="1">
        <f>IFERROR(__xludf.DUMMYFUNCTION("""COMPUTED_VALUE"""),61.95)</f>
        <v>61.95</v>
      </c>
      <c r="C555" s="1">
        <f>IFERROR(__xludf.DUMMYFUNCTION("""COMPUTED_VALUE"""),62.09)</f>
        <v>62.09</v>
      </c>
      <c r="D555" s="1">
        <f>IFERROR(__xludf.DUMMYFUNCTION("""COMPUTED_VALUE"""),59.17)</f>
        <v>59.17</v>
      </c>
      <c r="E555" s="1">
        <f>IFERROR(__xludf.DUMMYFUNCTION("""COMPUTED_VALUE"""),60.02)</f>
        <v>60.02</v>
      </c>
      <c r="F555" s="1">
        <f>IFERROR(__xludf.DUMMYFUNCTION("""COMPUTED_VALUE"""),8.0550621E7)</f>
        <v>80550621</v>
      </c>
    </row>
    <row r="556">
      <c r="A556" s="2">
        <f>IFERROR(__xludf.DUMMYFUNCTION("""COMPUTED_VALUE"""),40403.666666666664)</f>
        <v>40403.66667</v>
      </c>
      <c r="B556" s="1">
        <f>IFERROR(__xludf.DUMMYFUNCTION("""COMPUTED_VALUE"""),60.39)</f>
        <v>60.39</v>
      </c>
      <c r="C556" s="1">
        <f>IFERROR(__xludf.DUMMYFUNCTION("""COMPUTED_VALUE"""),61.34)</f>
        <v>61.34</v>
      </c>
      <c r="D556" s="1">
        <f>IFERROR(__xludf.DUMMYFUNCTION("""COMPUTED_VALUE"""),59.38)</f>
        <v>59.38</v>
      </c>
      <c r="E556" s="1">
        <f>IFERROR(__xludf.DUMMYFUNCTION("""COMPUTED_VALUE"""),59.82)</f>
        <v>59.82</v>
      </c>
      <c r="F556" s="1">
        <f>IFERROR(__xludf.DUMMYFUNCTION("""COMPUTED_VALUE"""),5.7897208E7)</f>
        <v>57897208</v>
      </c>
    </row>
    <row r="557">
      <c r="A557" s="2">
        <f>IFERROR(__xludf.DUMMYFUNCTION("""COMPUTED_VALUE"""),40410.666666666664)</f>
        <v>40410.66667</v>
      </c>
      <c r="B557" s="1">
        <f>IFERROR(__xludf.DUMMYFUNCTION("""COMPUTED_VALUE"""),59.63)</f>
        <v>59.63</v>
      </c>
      <c r="C557" s="1">
        <f>IFERROR(__xludf.DUMMYFUNCTION("""COMPUTED_VALUE"""),61.06)</f>
        <v>61.06</v>
      </c>
      <c r="D557" s="1">
        <f>IFERROR(__xludf.DUMMYFUNCTION("""COMPUTED_VALUE"""),59.32)</f>
        <v>59.32</v>
      </c>
      <c r="E557" s="1">
        <f>IFERROR(__xludf.DUMMYFUNCTION("""COMPUTED_VALUE"""),59.98)</f>
        <v>59.98</v>
      </c>
      <c r="F557" s="1">
        <f>IFERROR(__xludf.DUMMYFUNCTION("""COMPUTED_VALUE"""),5.6687186E7)</f>
        <v>56687186</v>
      </c>
    </row>
    <row r="558">
      <c r="A558" s="2">
        <f>IFERROR(__xludf.DUMMYFUNCTION("""COMPUTED_VALUE"""),40417.666666666664)</f>
        <v>40417.66667</v>
      </c>
      <c r="B558" s="1">
        <f>IFERROR(__xludf.DUMMYFUNCTION("""COMPUTED_VALUE"""),60.01)</f>
        <v>60.01</v>
      </c>
      <c r="C558" s="1">
        <f>IFERROR(__xludf.DUMMYFUNCTION("""COMPUTED_VALUE"""),60.39)</f>
        <v>60.39</v>
      </c>
      <c r="D558" s="1">
        <f>IFERROR(__xludf.DUMMYFUNCTION("""COMPUTED_VALUE"""),59.25)</f>
        <v>59.25</v>
      </c>
      <c r="E558" s="1">
        <f>IFERROR(__xludf.DUMMYFUNCTION("""COMPUTED_VALUE"""),59.8)</f>
        <v>59.8</v>
      </c>
      <c r="F558" s="1">
        <f>IFERROR(__xludf.DUMMYFUNCTION("""COMPUTED_VALUE"""),5.3185958E7)</f>
        <v>53185958</v>
      </c>
    </row>
    <row r="559">
      <c r="A559" s="2">
        <f>IFERROR(__xludf.DUMMYFUNCTION("""COMPUTED_VALUE"""),40424.666666666664)</f>
        <v>40424.66667</v>
      </c>
      <c r="B559" s="1">
        <f>IFERROR(__xludf.DUMMYFUNCTION("""COMPUTED_VALUE"""),59.71)</f>
        <v>59.71</v>
      </c>
      <c r="C559" s="1">
        <f>IFERROR(__xludf.DUMMYFUNCTION("""COMPUTED_VALUE"""),60.5)</f>
        <v>60.5</v>
      </c>
      <c r="D559" s="1">
        <f>IFERROR(__xludf.DUMMYFUNCTION("""COMPUTED_VALUE"""),59.25)</f>
        <v>59.25</v>
      </c>
      <c r="E559" s="1">
        <f>IFERROR(__xludf.DUMMYFUNCTION("""COMPUTED_VALUE"""),60.29)</f>
        <v>60.29</v>
      </c>
      <c r="F559" s="1">
        <f>IFERROR(__xludf.DUMMYFUNCTION("""COMPUTED_VALUE"""),5.403575E7)</f>
        <v>54035750</v>
      </c>
    </row>
    <row r="560">
      <c r="A560" s="2">
        <f>IFERROR(__xludf.DUMMYFUNCTION("""COMPUTED_VALUE"""),40431.666666666664)</f>
        <v>40431.66667</v>
      </c>
      <c r="B560" s="1">
        <f>IFERROR(__xludf.DUMMYFUNCTION("""COMPUTED_VALUE"""),60.01)</f>
        <v>60.01</v>
      </c>
      <c r="C560" s="1">
        <f>IFERROR(__xludf.DUMMYFUNCTION("""COMPUTED_VALUE"""),60.69)</f>
        <v>60.69</v>
      </c>
      <c r="D560" s="1">
        <f>IFERROR(__xludf.DUMMYFUNCTION("""COMPUTED_VALUE"""),59.92)</f>
        <v>59.92</v>
      </c>
      <c r="E560" s="1">
        <f>IFERROR(__xludf.DUMMYFUNCTION("""COMPUTED_VALUE"""),60.4)</f>
        <v>60.4</v>
      </c>
      <c r="F560" s="1">
        <f>IFERROR(__xludf.DUMMYFUNCTION("""COMPUTED_VALUE"""),3.0459921E7)</f>
        <v>30459921</v>
      </c>
    </row>
    <row r="561">
      <c r="A561" s="2">
        <f>IFERROR(__xludf.DUMMYFUNCTION("""COMPUTED_VALUE"""),40438.666666666664)</f>
        <v>40438.66667</v>
      </c>
      <c r="B561" s="1">
        <f>IFERROR(__xludf.DUMMYFUNCTION("""COMPUTED_VALUE"""),60.65)</f>
        <v>60.65</v>
      </c>
      <c r="C561" s="1">
        <f>IFERROR(__xludf.DUMMYFUNCTION("""COMPUTED_VALUE"""),61.47)</f>
        <v>61.47</v>
      </c>
      <c r="D561" s="1">
        <f>IFERROR(__xludf.DUMMYFUNCTION("""COMPUTED_VALUE"""),60.22)</f>
        <v>60.22</v>
      </c>
      <c r="E561" s="1">
        <f>IFERROR(__xludf.DUMMYFUNCTION("""COMPUTED_VALUE"""),60.97)</f>
        <v>60.97</v>
      </c>
      <c r="F561" s="1">
        <f>IFERROR(__xludf.DUMMYFUNCTION("""COMPUTED_VALUE"""),5.5457279E7)</f>
        <v>55457279</v>
      </c>
    </row>
    <row r="562">
      <c r="A562" s="2">
        <f>IFERROR(__xludf.DUMMYFUNCTION("""COMPUTED_VALUE"""),40445.666666666664)</f>
        <v>40445.66667</v>
      </c>
      <c r="B562" s="1">
        <f>IFERROR(__xludf.DUMMYFUNCTION("""COMPUTED_VALUE"""),61.01)</f>
        <v>61.01</v>
      </c>
      <c r="C562" s="1">
        <f>IFERROR(__xludf.DUMMYFUNCTION("""COMPUTED_VALUE"""),62.0)</f>
        <v>62</v>
      </c>
      <c r="D562" s="1">
        <f>IFERROR(__xludf.DUMMYFUNCTION("""COMPUTED_VALUE"""),60.91)</f>
        <v>60.91</v>
      </c>
      <c r="E562" s="1">
        <f>IFERROR(__xludf.DUMMYFUNCTION("""COMPUTED_VALUE"""),61.64)</f>
        <v>61.64</v>
      </c>
      <c r="F562" s="1">
        <f>IFERROR(__xludf.DUMMYFUNCTION("""COMPUTED_VALUE"""),5.0722426E7)</f>
        <v>50722426</v>
      </c>
    </row>
    <row r="563">
      <c r="A563" s="2">
        <f>IFERROR(__xludf.DUMMYFUNCTION("""COMPUTED_VALUE"""),40452.666666666664)</f>
        <v>40452.66667</v>
      </c>
      <c r="B563" s="1">
        <f>IFERROR(__xludf.DUMMYFUNCTION("""COMPUTED_VALUE"""),61.45)</f>
        <v>61.45</v>
      </c>
      <c r="C563" s="1">
        <f>IFERROR(__xludf.DUMMYFUNCTION("""COMPUTED_VALUE"""),61.7)</f>
        <v>61.7</v>
      </c>
      <c r="D563" s="1">
        <f>IFERROR(__xludf.DUMMYFUNCTION("""COMPUTED_VALUE"""),59.84)</f>
        <v>59.84</v>
      </c>
      <c r="E563" s="1">
        <f>IFERROR(__xludf.DUMMYFUNCTION("""COMPUTED_VALUE"""),60.16)</f>
        <v>60.16</v>
      </c>
      <c r="F563" s="1">
        <f>IFERROR(__xludf.DUMMYFUNCTION("""COMPUTED_VALUE"""),5.4720119E7)</f>
        <v>54720119</v>
      </c>
    </row>
    <row r="564">
      <c r="A564" s="2">
        <f>IFERROR(__xludf.DUMMYFUNCTION("""COMPUTED_VALUE"""),40459.666666666664)</f>
        <v>40459.66667</v>
      </c>
      <c r="B564" s="1">
        <f>IFERROR(__xludf.DUMMYFUNCTION("""COMPUTED_VALUE"""),60.01)</f>
        <v>60.01</v>
      </c>
      <c r="C564" s="1">
        <f>IFERROR(__xludf.DUMMYFUNCTION("""COMPUTED_VALUE"""),62.0)</f>
        <v>62</v>
      </c>
      <c r="D564" s="1">
        <f>IFERROR(__xludf.DUMMYFUNCTION("""COMPUTED_VALUE"""),59.68)</f>
        <v>59.68</v>
      </c>
      <c r="E564" s="1">
        <f>IFERROR(__xludf.DUMMYFUNCTION("""COMPUTED_VALUE"""),61.86)</f>
        <v>61.86</v>
      </c>
      <c r="F564" s="1">
        <f>IFERROR(__xludf.DUMMYFUNCTION("""COMPUTED_VALUE"""),8.2147407E7)</f>
        <v>82147407</v>
      </c>
    </row>
    <row r="565">
      <c r="A565" s="2">
        <f>IFERROR(__xludf.DUMMYFUNCTION("""COMPUTED_VALUE"""),40466.666666666664)</f>
        <v>40466.66667</v>
      </c>
      <c r="B565" s="1">
        <f>IFERROR(__xludf.DUMMYFUNCTION("""COMPUTED_VALUE"""),61.92)</f>
        <v>61.92</v>
      </c>
      <c r="C565" s="1">
        <f>IFERROR(__xludf.DUMMYFUNCTION("""COMPUTED_VALUE"""),63.0)</f>
        <v>63</v>
      </c>
      <c r="D565" s="1">
        <f>IFERROR(__xludf.DUMMYFUNCTION("""COMPUTED_VALUE"""),61.56)</f>
        <v>61.56</v>
      </c>
      <c r="E565" s="1">
        <f>IFERROR(__xludf.DUMMYFUNCTION("""COMPUTED_VALUE"""),62.76)</f>
        <v>62.76</v>
      </c>
      <c r="F565" s="1">
        <f>IFERROR(__xludf.DUMMYFUNCTION("""COMPUTED_VALUE"""),6.1031482E7)</f>
        <v>61031482</v>
      </c>
    </row>
    <row r="566">
      <c r="A566" s="2">
        <f>IFERROR(__xludf.DUMMYFUNCTION("""COMPUTED_VALUE"""),40473.666666666664)</f>
        <v>40473.66667</v>
      </c>
      <c r="B566" s="1">
        <f>IFERROR(__xludf.DUMMYFUNCTION("""COMPUTED_VALUE"""),62.88)</f>
        <v>62.88</v>
      </c>
      <c r="C566" s="1">
        <f>IFERROR(__xludf.DUMMYFUNCTION("""COMPUTED_VALUE"""),63.98)</f>
        <v>63.98</v>
      </c>
      <c r="D566" s="1">
        <f>IFERROR(__xludf.DUMMYFUNCTION("""COMPUTED_VALUE"""),62.6)</f>
        <v>62.6</v>
      </c>
      <c r="E566" s="1">
        <f>IFERROR(__xludf.DUMMYFUNCTION("""COMPUTED_VALUE"""),63.4)</f>
        <v>63.4</v>
      </c>
      <c r="F566" s="1">
        <f>IFERROR(__xludf.DUMMYFUNCTION("""COMPUTED_VALUE"""),4.9488584E7)</f>
        <v>49488584</v>
      </c>
    </row>
    <row r="567">
      <c r="A567" s="2">
        <f>IFERROR(__xludf.DUMMYFUNCTION("""COMPUTED_VALUE"""),40480.666666666664)</f>
        <v>40480.66667</v>
      </c>
      <c r="B567" s="1">
        <f>IFERROR(__xludf.DUMMYFUNCTION("""COMPUTED_VALUE"""),63.73)</f>
        <v>63.73</v>
      </c>
      <c r="C567" s="1">
        <f>IFERROR(__xludf.DUMMYFUNCTION("""COMPUTED_VALUE"""),63.85)</f>
        <v>63.85</v>
      </c>
      <c r="D567" s="1">
        <f>IFERROR(__xludf.DUMMYFUNCTION("""COMPUTED_VALUE"""),62.52)</f>
        <v>62.52</v>
      </c>
      <c r="E567" s="1">
        <f>IFERROR(__xludf.DUMMYFUNCTION("""COMPUTED_VALUE"""),63.57)</f>
        <v>63.57</v>
      </c>
      <c r="F567" s="1">
        <f>IFERROR(__xludf.DUMMYFUNCTION("""COMPUTED_VALUE"""),5.5827183E7)</f>
        <v>55827183</v>
      </c>
    </row>
    <row r="568">
      <c r="A568" s="2">
        <f>IFERROR(__xludf.DUMMYFUNCTION("""COMPUTED_VALUE"""),40487.666666666664)</f>
        <v>40487.66667</v>
      </c>
      <c r="B568" s="1">
        <f>IFERROR(__xludf.DUMMYFUNCTION("""COMPUTED_VALUE"""),63.88)</f>
        <v>63.88</v>
      </c>
      <c r="C568" s="1">
        <f>IFERROR(__xludf.DUMMYFUNCTION("""COMPUTED_VALUE"""),65.0)</f>
        <v>65</v>
      </c>
      <c r="D568" s="1">
        <f>IFERROR(__xludf.DUMMYFUNCTION("""COMPUTED_VALUE"""),63.4)</f>
        <v>63.4</v>
      </c>
      <c r="E568" s="1">
        <f>IFERROR(__xludf.DUMMYFUNCTION("""COMPUTED_VALUE"""),65.0)</f>
        <v>65</v>
      </c>
      <c r="F568" s="1">
        <f>IFERROR(__xludf.DUMMYFUNCTION("""COMPUTED_VALUE"""),5.0237358E7)</f>
        <v>50237358</v>
      </c>
    </row>
    <row r="569">
      <c r="A569" s="2">
        <f>IFERROR(__xludf.DUMMYFUNCTION("""COMPUTED_VALUE"""),40494.666666666664)</f>
        <v>40494.66667</v>
      </c>
      <c r="B569" s="1">
        <f>IFERROR(__xludf.DUMMYFUNCTION("""COMPUTED_VALUE"""),64.87)</f>
        <v>64.87</v>
      </c>
      <c r="C569" s="1">
        <f>IFERROR(__xludf.DUMMYFUNCTION("""COMPUTED_VALUE"""),64.94)</f>
        <v>64.94</v>
      </c>
      <c r="D569" s="1">
        <f>IFERROR(__xludf.DUMMYFUNCTION("""COMPUTED_VALUE"""),64.02)</f>
        <v>64.02</v>
      </c>
      <c r="E569" s="1">
        <f>IFERROR(__xludf.DUMMYFUNCTION("""COMPUTED_VALUE"""),64.33)</f>
        <v>64.33</v>
      </c>
      <c r="F569" s="1">
        <f>IFERROR(__xludf.DUMMYFUNCTION("""COMPUTED_VALUE"""),4.0108259E7)</f>
        <v>40108259</v>
      </c>
    </row>
    <row r="570">
      <c r="A570" s="2">
        <f>IFERROR(__xludf.DUMMYFUNCTION("""COMPUTED_VALUE"""),40501.666666666664)</f>
        <v>40501.66667</v>
      </c>
      <c r="B570" s="1">
        <f>IFERROR(__xludf.DUMMYFUNCTION("""COMPUTED_VALUE"""),64.55)</f>
        <v>64.55</v>
      </c>
      <c r="C570" s="1">
        <f>IFERROR(__xludf.DUMMYFUNCTION("""COMPUTED_VALUE"""),64.91)</f>
        <v>64.91</v>
      </c>
      <c r="D570" s="1">
        <f>IFERROR(__xludf.DUMMYFUNCTION("""COMPUTED_VALUE"""),63.1)</f>
        <v>63.1</v>
      </c>
      <c r="E570" s="1">
        <f>IFERROR(__xludf.DUMMYFUNCTION("""COMPUTED_VALUE"""),64.05)</f>
        <v>64.05</v>
      </c>
      <c r="F570" s="1">
        <f>IFERROR(__xludf.DUMMYFUNCTION("""COMPUTED_VALUE"""),5.3994611E7)</f>
        <v>53994611</v>
      </c>
    </row>
    <row r="571">
      <c r="A571" s="2">
        <f>IFERROR(__xludf.DUMMYFUNCTION("""COMPUTED_VALUE"""),40508.666666666664)</f>
        <v>40508.66667</v>
      </c>
      <c r="B571" s="1">
        <f>IFERROR(__xludf.DUMMYFUNCTION("""COMPUTED_VALUE"""),63.58)</f>
        <v>63.58</v>
      </c>
      <c r="C571" s="1">
        <f>IFERROR(__xludf.DUMMYFUNCTION("""COMPUTED_VALUE"""),63.79)</f>
        <v>63.79</v>
      </c>
      <c r="D571" s="1">
        <f>IFERROR(__xludf.DUMMYFUNCTION("""COMPUTED_VALUE"""),62.03)</f>
        <v>62.03</v>
      </c>
      <c r="E571" s="1">
        <f>IFERROR(__xludf.DUMMYFUNCTION("""COMPUTED_VALUE"""),62.13)</f>
        <v>62.13</v>
      </c>
      <c r="F571" s="1">
        <f>IFERROR(__xludf.DUMMYFUNCTION("""COMPUTED_VALUE"""),3.2318708E7)</f>
        <v>32318708</v>
      </c>
    </row>
    <row r="572">
      <c r="A572" s="2">
        <f>IFERROR(__xludf.DUMMYFUNCTION("""COMPUTED_VALUE"""),40515.666666666664)</f>
        <v>40515.66667</v>
      </c>
      <c r="B572" s="1">
        <f>IFERROR(__xludf.DUMMYFUNCTION("""COMPUTED_VALUE"""),62.05)</f>
        <v>62.05</v>
      </c>
      <c r="C572" s="1">
        <f>IFERROR(__xludf.DUMMYFUNCTION("""COMPUTED_VALUE"""),62.5)</f>
        <v>62.5</v>
      </c>
      <c r="D572" s="1">
        <f>IFERROR(__xludf.DUMMYFUNCTION("""COMPUTED_VALUE"""),61.02)</f>
        <v>61.02</v>
      </c>
      <c r="E572" s="1">
        <f>IFERROR(__xludf.DUMMYFUNCTION("""COMPUTED_VALUE"""),62.33)</f>
        <v>62.33</v>
      </c>
      <c r="F572" s="1">
        <f>IFERROR(__xludf.DUMMYFUNCTION("""COMPUTED_VALUE"""),5.4555358E7)</f>
        <v>54555358</v>
      </c>
    </row>
    <row r="573">
      <c r="A573" s="2">
        <f>IFERROR(__xludf.DUMMYFUNCTION("""COMPUTED_VALUE"""),40522.666666666664)</f>
        <v>40522.66667</v>
      </c>
      <c r="B573" s="1">
        <f>IFERROR(__xludf.DUMMYFUNCTION("""COMPUTED_VALUE"""),62.25)</f>
        <v>62.25</v>
      </c>
      <c r="C573" s="1">
        <f>IFERROR(__xludf.DUMMYFUNCTION("""COMPUTED_VALUE"""),63.79)</f>
        <v>63.79</v>
      </c>
      <c r="D573" s="1">
        <f>IFERROR(__xludf.DUMMYFUNCTION("""COMPUTED_VALUE"""),62.01)</f>
        <v>62.01</v>
      </c>
      <c r="E573" s="1">
        <f>IFERROR(__xludf.DUMMYFUNCTION("""COMPUTED_VALUE"""),63.2)</f>
        <v>63.2</v>
      </c>
      <c r="F573" s="1">
        <f>IFERROR(__xludf.DUMMYFUNCTION("""COMPUTED_VALUE"""),4.4132407E7)</f>
        <v>44132407</v>
      </c>
    </row>
    <row r="574">
      <c r="A574" s="2">
        <f>IFERROR(__xludf.DUMMYFUNCTION("""COMPUTED_VALUE"""),40529.666666666664)</f>
        <v>40529.66667</v>
      </c>
      <c r="B574" s="1">
        <f>IFERROR(__xludf.DUMMYFUNCTION("""COMPUTED_VALUE"""),63.31)</f>
        <v>63.31</v>
      </c>
      <c r="C574" s="1">
        <f>IFERROR(__xludf.DUMMYFUNCTION("""COMPUTED_VALUE"""),65.04)</f>
        <v>65.04</v>
      </c>
      <c r="D574" s="1">
        <f>IFERROR(__xludf.DUMMYFUNCTION("""COMPUTED_VALUE"""),63.15)</f>
        <v>63.15</v>
      </c>
      <c r="E574" s="1">
        <f>IFERROR(__xludf.DUMMYFUNCTION("""COMPUTED_VALUE"""),64.81)</f>
        <v>64.81</v>
      </c>
      <c r="F574" s="1">
        <f>IFERROR(__xludf.DUMMYFUNCTION("""COMPUTED_VALUE"""),6.6357911E7)</f>
        <v>66357911</v>
      </c>
    </row>
    <row r="575">
      <c r="A575" s="2">
        <f>IFERROR(__xludf.DUMMYFUNCTION("""COMPUTED_VALUE"""),40535.666666666664)</f>
        <v>40535.66667</v>
      </c>
      <c r="B575" s="1">
        <f>IFERROR(__xludf.DUMMYFUNCTION("""COMPUTED_VALUE"""),64.86)</f>
        <v>64.86</v>
      </c>
      <c r="C575" s="1">
        <f>IFERROR(__xludf.DUMMYFUNCTION("""COMPUTED_VALUE"""),65.38)</f>
        <v>65.38</v>
      </c>
      <c r="D575" s="1">
        <f>IFERROR(__xludf.DUMMYFUNCTION("""COMPUTED_VALUE"""),64.27)</f>
        <v>64.27</v>
      </c>
      <c r="E575" s="1">
        <f>IFERROR(__xludf.DUMMYFUNCTION("""COMPUTED_VALUE"""),65.24)</f>
        <v>65.24</v>
      </c>
      <c r="F575" s="1">
        <f>IFERROR(__xludf.DUMMYFUNCTION("""COMPUTED_VALUE"""),3.1849803E7)</f>
        <v>31849803</v>
      </c>
    </row>
    <row r="576">
      <c r="A576" s="2">
        <f>IFERROR(__xludf.DUMMYFUNCTION("""COMPUTED_VALUE"""),40543.666666666664)</f>
        <v>40543.66667</v>
      </c>
      <c r="B576" s="1">
        <f>IFERROR(__xludf.DUMMYFUNCTION("""COMPUTED_VALUE"""),65.04)</f>
        <v>65.04</v>
      </c>
      <c r="C576" s="1">
        <f>IFERROR(__xludf.DUMMYFUNCTION("""COMPUTED_VALUE"""),65.11)</f>
        <v>65.11</v>
      </c>
      <c r="D576" s="1">
        <f>IFERROR(__xludf.DUMMYFUNCTION("""COMPUTED_VALUE"""),64.01)</f>
        <v>64.01</v>
      </c>
      <c r="E576" s="1">
        <f>IFERROR(__xludf.DUMMYFUNCTION("""COMPUTED_VALUE"""),64.33)</f>
        <v>64.33</v>
      </c>
      <c r="F576" s="1">
        <f>IFERROR(__xludf.DUMMYFUNCTION("""COMPUTED_VALUE"""),2.5829468E7)</f>
        <v>25829468</v>
      </c>
    </row>
    <row r="577">
      <c r="A577" s="2">
        <f>IFERROR(__xludf.DUMMYFUNCTION("""COMPUTED_VALUE"""),40550.666666666664)</f>
        <v>40550.66667</v>
      </c>
      <c r="B577" s="1">
        <f>IFERROR(__xludf.DUMMYFUNCTION("""COMPUTED_VALUE"""),64.39)</f>
        <v>64.39</v>
      </c>
      <c r="C577" s="1">
        <f>IFERROR(__xludf.DUMMYFUNCTION("""COMPUTED_VALUE"""),65.08)</f>
        <v>65.08</v>
      </c>
      <c r="D577" s="1">
        <f>IFERROR(__xludf.DUMMYFUNCTION("""COMPUTED_VALUE"""),64.0)</f>
        <v>64</v>
      </c>
      <c r="E577" s="1">
        <f>IFERROR(__xludf.DUMMYFUNCTION("""COMPUTED_VALUE"""),64.5)</f>
        <v>64.5</v>
      </c>
      <c r="F577" s="1">
        <f>IFERROR(__xludf.DUMMYFUNCTION("""COMPUTED_VALUE"""),5.2323352E7)</f>
        <v>52323352</v>
      </c>
    </row>
    <row r="578">
      <c r="A578" s="2">
        <f>IFERROR(__xludf.DUMMYFUNCTION("""COMPUTED_VALUE"""),40557.666666666664)</f>
        <v>40557.66667</v>
      </c>
      <c r="B578" s="1">
        <f>IFERROR(__xludf.DUMMYFUNCTION("""COMPUTED_VALUE"""),64.4)</f>
        <v>64.4</v>
      </c>
      <c r="C578" s="1">
        <f>IFERROR(__xludf.DUMMYFUNCTION("""COMPUTED_VALUE"""),65.66)</f>
        <v>65.66</v>
      </c>
      <c r="D578" s="1">
        <f>IFERROR(__xludf.DUMMYFUNCTION("""COMPUTED_VALUE"""),63.4)</f>
        <v>63.4</v>
      </c>
      <c r="E578" s="1">
        <f>IFERROR(__xludf.DUMMYFUNCTION("""COMPUTED_VALUE"""),65.53)</f>
        <v>65.53</v>
      </c>
      <c r="F578" s="1">
        <f>IFERROR(__xludf.DUMMYFUNCTION("""COMPUTED_VALUE"""),5.2881153E7)</f>
        <v>52881153</v>
      </c>
    </row>
    <row r="579">
      <c r="A579" s="2">
        <f>IFERROR(__xludf.DUMMYFUNCTION("""COMPUTED_VALUE"""),40564.666666666664)</f>
        <v>40564.66667</v>
      </c>
      <c r="B579" s="1">
        <f>IFERROR(__xludf.DUMMYFUNCTION("""COMPUTED_VALUE"""),65.65)</f>
        <v>65.65</v>
      </c>
      <c r="C579" s="1">
        <f>IFERROR(__xludf.DUMMYFUNCTION("""COMPUTED_VALUE"""),65.95)</f>
        <v>65.95</v>
      </c>
      <c r="D579" s="1">
        <f>IFERROR(__xludf.DUMMYFUNCTION("""COMPUTED_VALUE"""),65.05)</f>
        <v>65.05</v>
      </c>
      <c r="E579" s="1">
        <f>IFERROR(__xludf.DUMMYFUNCTION("""COMPUTED_VALUE"""),65.91)</f>
        <v>65.91</v>
      </c>
      <c r="F579" s="1">
        <f>IFERROR(__xludf.DUMMYFUNCTION("""COMPUTED_VALUE"""),4.6213962E7)</f>
        <v>46213962</v>
      </c>
    </row>
    <row r="580">
      <c r="A580" s="2">
        <f>IFERROR(__xludf.DUMMYFUNCTION("""COMPUTED_VALUE"""),40571.666666666664)</f>
        <v>40571.66667</v>
      </c>
      <c r="B580" s="1">
        <f>IFERROR(__xludf.DUMMYFUNCTION("""COMPUTED_VALUE"""),65.9)</f>
        <v>65.9</v>
      </c>
      <c r="C580" s="1">
        <f>IFERROR(__xludf.DUMMYFUNCTION("""COMPUTED_VALUE"""),66.95)</f>
        <v>66.95</v>
      </c>
      <c r="D580" s="1">
        <f>IFERROR(__xludf.DUMMYFUNCTION("""COMPUTED_VALUE"""),63.14)</f>
        <v>63.14</v>
      </c>
      <c r="E580" s="1">
        <f>IFERROR(__xludf.DUMMYFUNCTION("""COMPUTED_VALUE"""),64.2)</f>
        <v>64.2</v>
      </c>
      <c r="F580" s="1">
        <f>IFERROR(__xludf.DUMMYFUNCTION("""COMPUTED_VALUE"""),7.0042161E7)</f>
        <v>70042161</v>
      </c>
    </row>
    <row r="581">
      <c r="A581" s="2">
        <f>IFERROR(__xludf.DUMMYFUNCTION("""COMPUTED_VALUE"""),40578.666666666664)</f>
        <v>40578.66667</v>
      </c>
      <c r="B581" s="1">
        <f>IFERROR(__xludf.DUMMYFUNCTION("""COMPUTED_VALUE"""),64.35)</f>
        <v>64.35</v>
      </c>
      <c r="C581" s="1">
        <f>IFERROR(__xludf.DUMMYFUNCTION("""COMPUTED_VALUE"""),64.36)</f>
        <v>64.36</v>
      </c>
      <c r="D581" s="1">
        <f>IFERROR(__xludf.DUMMYFUNCTION("""COMPUTED_VALUE"""),62.3)</f>
        <v>62.3</v>
      </c>
      <c r="E581" s="1">
        <f>IFERROR(__xludf.DUMMYFUNCTION("""COMPUTED_VALUE"""),63.61)</f>
        <v>63.61</v>
      </c>
      <c r="F581" s="1">
        <f>IFERROR(__xludf.DUMMYFUNCTION("""COMPUTED_VALUE"""),5.7201539E7)</f>
        <v>57201539</v>
      </c>
    </row>
    <row r="582">
      <c r="A582" s="2">
        <f>IFERROR(__xludf.DUMMYFUNCTION("""COMPUTED_VALUE"""),40585.666666666664)</f>
        <v>40585.66667</v>
      </c>
      <c r="B582" s="1">
        <f>IFERROR(__xludf.DUMMYFUNCTION("""COMPUTED_VALUE"""),63.95)</f>
        <v>63.95</v>
      </c>
      <c r="C582" s="1">
        <f>IFERROR(__xludf.DUMMYFUNCTION("""COMPUTED_VALUE"""),64.97)</f>
        <v>64.97</v>
      </c>
      <c r="D582" s="1">
        <f>IFERROR(__xludf.DUMMYFUNCTION("""COMPUTED_VALUE"""),63.8)</f>
        <v>63.8</v>
      </c>
      <c r="E582" s="1">
        <f>IFERROR(__xludf.DUMMYFUNCTION("""COMPUTED_VALUE"""),64.73)</f>
        <v>64.73</v>
      </c>
      <c r="F582" s="1">
        <f>IFERROR(__xludf.DUMMYFUNCTION("""COMPUTED_VALUE"""),5.1999812E7)</f>
        <v>51999812</v>
      </c>
    </row>
    <row r="583">
      <c r="A583" s="2">
        <f>IFERROR(__xludf.DUMMYFUNCTION("""COMPUTED_VALUE"""),40592.666666666664)</f>
        <v>40592.66667</v>
      </c>
      <c r="B583" s="1">
        <f>IFERROR(__xludf.DUMMYFUNCTION("""COMPUTED_VALUE"""),64.81)</f>
        <v>64.81</v>
      </c>
      <c r="C583" s="1">
        <f>IFERROR(__xludf.DUMMYFUNCTION("""COMPUTED_VALUE"""),64.87)</f>
        <v>64.87</v>
      </c>
      <c r="D583" s="1">
        <f>IFERROR(__xludf.DUMMYFUNCTION("""COMPUTED_VALUE"""),63.45)</f>
        <v>63.45</v>
      </c>
      <c r="E583" s="1">
        <f>IFERROR(__xludf.DUMMYFUNCTION("""COMPUTED_VALUE"""),64.3)</f>
        <v>64.3</v>
      </c>
      <c r="F583" s="1">
        <f>IFERROR(__xludf.DUMMYFUNCTION("""COMPUTED_VALUE"""),4.5192653E7)</f>
        <v>45192653</v>
      </c>
    </row>
    <row r="584">
      <c r="A584" s="2">
        <f>IFERROR(__xludf.DUMMYFUNCTION("""COMPUTED_VALUE"""),40599.666666666664)</f>
        <v>40599.66667</v>
      </c>
      <c r="B584" s="1">
        <f>IFERROR(__xludf.DUMMYFUNCTION("""COMPUTED_VALUE"""),63.73)</f>
        <v>63.73</v>
      </c>
      <c r="C584" s="1">
        <f>IFERROR(__xludf.DUMMYFUNCTION("""COMPUTED_VALUE"""),64.4)</f>
        <v>64.4</v>
      </c>
      <c r="D584" s="1">
        <f>IFERROR(__xludf.DUMMYFUNCTION("""COMPUTED_VALUE"""),62.53)</f>
        <v>62.53</v>
      </c>
      <c r="E584" s="1">
        <f>IFERROR(__xludf.DUMMYFUNCTION("""COMPUTED_VALUE"""),62.84)</f>
        <v>62.84</v>
      </c>
      <c r="F584" s="1">
        <f>IFERROR(__xludf.DUMMYFUNCTION("""COMPUTED_VALUE"""),4.7748854E7)</f>
        <v>47748854</v>
      </c>
    </row>
    <row r="585">
      <c r="A585" s="2">
        <f>IFERROR(__xludf.DUMMYFUNCTION("""COMPUTED_VALUE"""),40606.666666666664)</f>
        <v>40606.66667</v>
      </c>
      <c r="B585" s="1">
        <f>IFERROR(__xludf.DUMMYFUNCTION("""COMPUTED_VALUE"""),62.8)</f>
        <v>62.8</v>
      </c>
      <c r="C585" s="1">
        <f>IFERROR(__xludf.DUMMYFUNCTION("""COMPUTED_VALUE"""),63.65)</f>
        <v>63.65</v>
      </c>
      <c r="D585" s="1">
        <f>IFERROR(__xludf.DUMMYFUNCTION("""COMPUTED_VALUE"""),61.56)</f>
        <v>61.56</v>
      </c>
      <c r="E585" s="1">
        <f>IFERROR(__xludf.DUMMYFUNCTION("""COMPUTED_VALUE"""),62.03)</f>
        <v>62.03</v>
      </c>
      <c r="F585" s="1">
        <f>IFERROR(__xludf.DUMMYFUNCTION("""COMPUTED_VALUE"""),5.980116E7)</f>
        <v>59801160</v>
      </c>
    </row>
    <row r="586">
      <c r="A586" s="2">
        <f>IFERROR(__xludf.DUMMYFUNCTION("""COMPUTED_VALUE"""),40613.666666666664)</f>
        <v>40613.66667</v>
      </c>
      <c r="B586" s="1">
        <f>IFERROR(__xludf.DUMMYFUNCTION("""COMPUTED_VALUE"""),62.0)</f>
        <v>62</v>
      </c>
      <c r="C586" s="1">
        <f>IFERROR(__xludf.DUMMYFUNCTION("""COMPUTED_VALUE"""),62.3)</f>
        <v>62.3</v>
      </c>
      <c r="D586" s="1">
        <f>IFERROR(__xludf.DUMMYFUNCTION("""COMPUTED_VALUE"""),61.12)</f>
        <v>61.12</v>
      </c>
      <c r="E586" s="1">
        <f>IFERROR(__xludf.DUMMYFUNCTION("""COMPUTED_VALUE"""),61.49)</f>
        <v>61.49</v>
      </c>
      <c r="F586" s="1">
        <f>IFERROR(__xludf.DUMMYFUNCTION("""COMPUTED_VALUE"""),5.2731797E7)</f>
        <v>52731797</v>
      </c>
    </row>
    <row r="587">
      <c r="A587" s="2">
        <f>IFERROR(__xludf.DUMMYFUNCTION("""COMPUTED_VALUE"""),40620.666666666664)</f>
        <v>40620.66667</v>
      </c>
      <c r="B587" s="1">
        <f>IFERROR(__xludf.DUMMYFUNCTION("""COMPUTED_VALUE"""),61.04)</f>
        <v>61.04</v>
      </c>
      <c r="C587" s="1">
        <f>IFERROR(__xludf.DUMMYFUNCTION("""COMPUTED_VALUE"""),61.39)</f>
        <v>61.39</v>
      </c>
      <c r="D587" s="1">
        <f>IFERROR(__xludf.DUMMYFUNCTION("""COMPUTED_VALUE"""),59.7)</f>
        <v>59.7</v>
      </c>
      <c r="E587" s="1">
        <f>IFERROR(__xludf.DUMMYFUNCTION("""COMPUTED_VALUE"""),60.6)</f>
        <v>60.6</v>
      </c>
      <c r="F587" s="1">
        <f>IFERROR(__xludf.DUMMYFUNCTION("""COMPUTED_VALUE"""),6.6302021E7)</f>
        <v>66302021</v>
      </c>
    </row>
    <row r="588">
      <c r="A588" s="2">
        <f>IFERROR(__xludf.DUMMYFUNCTION("""COMPUTED_VALUE"""),40627.666666666664)</f>
        <v>40627.66667</v>
      </c>
      <c r="B588" s="1">
        <f>IFERROR(__xludf.DUMMYFUNCTION("""COMPUTED_VALUE"""),60.96)</f>
        <v>60.96</v>
      </c>
      <c r="C588" s="1">
        <f>IFERROR(__xludf.DUMMYFUNCTION("""COMPUTED_VALUE"""),61.52)</f>
        <v>61.52</v>
      </c>
      <c r="D588" s="1">
        <f>IFERROR(__xludf.DUMMYFUNCTION("""COMPUTED_VALUE"""),60.54)</f>
        <v>60.54</v>
      </c>
      <c r="E588" s="1">
        <f>IFERROR(__xludf.DUMMYFUNCTION("""COMPUTED_VALUE"""),60.88)</f>
        <v>60.88</v>
      </c>
      <c r="F588" s="1">
        <f>IFERROR(__xludf.DUMMYFUNCTION("""COMPUTED_VALUE"""),4.1351155E7)</f>
        <v>41351155</v>
      </c>
    </row>
    <row r="589">
      <c r="A589" s="2">
        <f>IFERROR(__xludf.DUMMYFUNCTION("""COMPUTED_VALUE"""),40634.666666666664)</f>
        <v>40634.66667</v>
      </c>
      <c r="B589" s="1">
        <f>IFERROR(__xludf.DUMMYFUNCTION("""COMPUTED_VALUE"""),61.08)</f>
        <v>61.08</v>
      </c>
      <c r="C589" s="1">
        <f>IFERROR(__xludf.DUMMYFUNCTION("""COMPUTED_VALUE"""),62.3)</f>
        <v>62.3</v>
      </c>
      <c r="D589" s="1">
        <f>IFERROR(__xludf.DUMMYFUNCTION("""COMPUTED_VALUE"""),60.61)</f>
        <v>60.61</v>
      </c>
      <c r="E589" s="1">
        <f>IFERROR(__xludf.DUMMYFUNCTION("""COMPUTED_VALUE"""),62.08)</f>
        <v>62.08</v>
      </c>
      <c r="F589" s="1">
        <f>IFERROR(__xludf.DUMMYFUNCTION("""COMPUTED_VALUE"""),4.3453701E7)</f>
        <v>43453701</v>
      </c>
    </row>
    <row r="590">
      <c r="A590" s="2">
        <f>IFERROR(__xludf.DUMMYFUNCTION("""COMPUTED_VALUE"""),40641.666666666664)</f>
        <v>40641.66667</v>
      </c>
      <c r="B590" s="1">
        <f>IFERROR(__xludf.DUMMYFUNCTION("""COMPUTED_VALUE"""),62.17)</f>
        <v>62.17</v>
      </c>
      <c r="C590" s="1">
        <f>IFERROR(__xludf.DUMMYFUNCTION("""COMPUTED_VALUE"""),62.33)</f>
        <v>62.33</v>
      </c>
      <c r="D590" s="1">
        <f>IFERROR(__xludf.DUMMYFUNCTION("""COMPUTED_VALUE"""),61.47)</f>
        <v>61.47</v>
      </c>
      <c r="E590" s="1">
        <f>IFERROR(__xludf.DUMMYFUNCTION("""COMPUTED_VALUE"""),61.9)</f>
        <v>61.9</v>
      </c>
      <c r="F590" s="1">
        <f>IFERROR(__xludf.DUMMYFUNCTION("""COMPUTED_VALUE"""),3.8792072E7)</f>
        <v>38792072</v>
      </c>
    </row>
    <row r="591">
      <c r="A591" s="2">
        <f>IFERROR(__xludf.DUMMYFUNCTION("""COMPUTED_VALUE"""),40648.666666666664)</f>
        <v>40648.66667</v>
      </c>
      <c r="B591" s="1">
        <f>IFERROR(__xludf.DUMMYFUNCTION("""COMPUTED_VALUE"""),62.02)</f>
        <v>62.02</v>
      </c>
      <c r="C591" s="1">
        <f>IFERROR(__xludf.DUMMYFUNCTION("""COMPUTED_VALUE"""),64.21)</f>
        <v>64.21</v>
      </c>
      <c r="D591" s="1">
        <f>IFERROR(__xludf.DUMMYFUNCTION("""COMPUTED_VALUE"""),61.9)</f>
        <v>61.9</v>
      </c>
      <c r="E591" s="1">
        <f>IFERROR(__xludf.DUMMYFUNCTION("""COMPUTED_VALUE"""),64.18)</f>
        <v>64.18</v>
      </c>
      <c r="F591" s="1">
        <f>IFERROR(__xludf.DUMMYFUNCTION("""COMPUTED_VALUE"""),5.1918017E7)</f>
        <v>51918017</v>
      </c>
    </row>
    <row r="592">
      <c r="A592" s="2">
        <f>IFERROR(__xludf.DUMMYFUNCTION("""COMPUTED_VALUE"""),40654.666666666664)</f>
        <v>40654.66667</v>
      </c>
      <c r="B592" s="1">
        <f>IFERROR(__xludf.DUMMYFUNCTION("""COMPUTED_VALUE"""),63.67)</f>
        <v>63.67</v>
      </c>
      <c r="C592" s="1">
        <f>IFERROR(__xludf.DUMMYFUNCTION("""COMPUTED_VALUE"""),64.34)</f>
        <v>64.34</v>
      </c>
      <c r="D592" s="1">
        <f>IFERROR(__xludf.DUMMYFUNCTION("""COMPUTED_VALUE"""),63.0)</f>
        <v>63</v>
      </c>
      <c r="E592" s="1">
        <f>IFERROR(__xludf.DUMMYFUNCTION("""COMPUTED_VALUE"""),63.27)</f>
        <v>63.27</v>
      </c>
      <c r="F592" s="1">
        <f>IFERROR(__xludf.DUMMYFUNCTION("""COMPUTED_VALUE"""),4.0104218E7)</f>
        <v>40104218</v>
      </c>
    </row>
    <row r="593">
      <c r="A593" s="2">
        <f>IFERROR(__xludf.DUMMYFUNCTION("""COMPUTED_VALUE"""),40662.666666666664)</f>
        <v>40662.66667</v>
      </c>
      <c r="B593" s="1">
        <f>IFERROR(__xludf.DUMMYFUNCTION("""COMPUTED_VALUE"""),63.08)</f>
        <v>63.08</v>
      </c>
      <c r="C593" s="1">
        <f>IFERROR(__xludf.DUMMYFUNCTION("""COMPUTED_VALUE"""),65.1)</f>
        <v>65.1</v>
      </c>
      <c r="D593" s="1">
        <f>IFERROR(__xludf.DUMMYFUNCTION("""COMPUTED_VALUE"""),62.6)</f>
        <v>62.6</v>
      </c>
      <c r="E593" s="1">
        <f>IFERROR(__xludf.DUMMYFUNCTION("""COMPUTED_VALUE"""),64.9)</f>
        <v>64.9</v>
      </c>
      <c r="F593" s="1">
        <f>IFERROR(__xludf.DUMMYFUNCTION("""COMPUTED_VALUE"""),5.3544624E7)</f>
        <v>53544624</v>
      </c>
    </row>
    <row r="594">
      <c r="A594" s="2">
        <f>IFERROR(__xludf.DUMMYFUNCTION("""COMPUTED_VALUE"""),40669.666666666664)</f>
        <v>40669.66667</v>
      </c>
      <c r="B594" s="1">
        <f>IFERROR(__xludf.DUMMYFUNCTION("""COMPUTED_VALUE"""),65.24)</f>
        <v>65.24</v>
      </c>
      <c r="C594" s="1">
        <f>IFERROR(__xludf.DUMMYFUNCTION("""COMPUTED_VALUE"""),66.5)</f>
        <v>66.5</v>
      </c>
      <c r="D594" s="1">
        <f>IFERROR(__xludf.DUMMYFUNCTION("""COMPUTED_VALUE"""),65.0)</f>
        <v>65</v>
      </c>
      <c r="E594" s="1">
        <f>IFERROR(__xludf.DUMMYFUNCTION("""COMPUTED_VALUE"""),65.27)</f>
        <v>65.27</v>
      </c>
      <c r="F594" s="1">
        <f>IFERROR(__xludf.DUMMYFUNCTION("""COMPUTED_VALUE"""),5.5046479E7)</f>
        <v>55046479</v>
      </c>
    </row>
    <row r="595">
      <c r="A595" s="2">
        <f>IFERROR(__xludf.DUMMYFUNCTION("""COMPUTED_VALUE"""),40676.666666666664)</f>
        <v>40676.66667</v>
      </c>
      <c r="B595" s="1">
        <f>IFERROR(__xludf.DUMMYFUNCTION("""COMPUTED_VALUE"""),64.93)</f>
        <v>64.93</v>
      </c>
      <c r="C595" s="1">
        <f>IFERROR(__xludf.DUMMYFUNCTION("""COMPUTED_VALUE"""),67.31)</f>
        <v>67.31</v>
      </c>
      <c r="D595" s="1">
        <f>IFERROR(__xludf.DUMMYFUNCTION("""COMPUTED_VALUE"""),64.86)</f>
        <v>64.86</v>
      </c>
      <c r="E595" s="1">
        <f>IFERROR(__xludf.DUMMYFUNCTION("""COMPUTED_VALUE"""),66.86)</f>
        <v>66.86</v>
      </c>
      <c r="F595" s="1">
        <f>IFERROR(__xludf.DUMMYFUNCTION("""COMPUTED_VALUE"""),4.9677302E7)</f>
        <v>49677302</v>
      </c>
    </row>
    <row r="596">
      <c r="A596" s="2">
        <f>IFERROR(__xludf.DUMMYFUNCTION("""COMPUTED_VALUE"""),40683.666666666664)</f>
        <v>40683.66667</v>
      </c>
      <c r="B596" s="1">
        <f>IFERROR(__xludf.DUMMYFUNCTION("""COMPUTED_VALUE"""),66.66)</f>
        <v>66.66</v>
      </c>
      <c r="C596" s="1">
        <f>IFERROR(__xludf.DUMMYFUNCTION("""COMPUTED_VALUE"""),67.72)</f>
        <v>67.72</v>
      </c>
      <c r="D596" s="1">
        <f>IFERROR(__xludf.DUMMYFUNCTION("""COMPUTED_VALUE"""),66.51)</f>
        <v>66.51</v>
      </c>
      <c r="E596" s="1">
        <f>IFERROR(__xludf.DUMMYFUNCTION("""COMPUTED_VALUE"""),67.36)</f>
        <v>67.36</v>
      </c>
      <c r="F596" s="1">
        <f>IFERROR(__xludf.DUMMYFUNCTION("""COMPUTED_VALUE"""),4.7738539E7)</f>
        <v>47738539</v>
      </c>
    </row>
    <row r="597">
      <c r="A597" s="2">
        <f>IFERROR(__xludf.DUMMYFUNCTION("""COMPUTED_VALUE"""),40690.666666666664)</f>
        <v>40690.66667</v>
      </c>
      <c r="B597" s="1">
        <f>IFERROR(__xludf.DUMMYFUNCTION("""COMPUTED_VALUE"""),66.88)</f>
        <v>66.88</v>
      </c>
      <c r="C597" s="1">
        <f>IFERROR(__xludf.DUMMYFUNCTION("""COMPUTED_VALUE"""),67.25)</f>
        <v>67.25</v>
      </c>
      <c r="D597" s="1">
        <f>IFERROR(__xludf.DUMMYFUNCTION("""COMPUTED_VALUE"""),65.76)</f>
        <v>65.76</v>
      </c>
      <c r="E597" s="1">
        <f>IFERROR(__xludf.DUMMYFUNCTION("""COMPUTED_VALUE"""),66.2)</f>
        <v>66.2</v>
      </c>
      <c r="F597" s="1">
        <f>IFERROR(__xludf.DUMMYFUNCTION("""COMPUTED_VALUE"""),4.5087655E7)</f>
        <v>45087655</v>
      </c>
    </row>
    <row r="598">
      <c r="A598" s="2">
        <f>IFERROR(__xludf.DUMMYFUNCTION("""COMPUTED_VALUE"""),40697.666666666664)</f>
        <v>40697.66667</v>
      </c>
      <c r="B598" s="1">
        <f>IFERROR(__xludf.DUMMYFUNCTION("""COMPUTED_VALUE"""),66.33)</f>
        <v>66.33</v>
      </c>
      <c r="C598" s="1">
        <f>IFERROR(__xludf.DUMMYFUNCTION("""COMPUTED_VALUE"""),67.0)</f>
        <v>67</v>
      </c>
      <c r="D598" s="1">
        <f>IFERROR(__xludf.DUMMYFUNCTION("""COMPUTED_VALUE"""),65.25)</f>
        <v>65.25</v>
      </c>
      <c r="E598" s="1">
        <f>IFERROR(__xludf.DUMMYFUNCTION("""COMPUTED_VALUE"""),65.43)</f>
        <v>65.43</v>
      </c>
      <c r="F598" s="1">
        <f>IFERROR(__xludf.DUMMYFUNCTION("""COMPUTED_VALUE"""),3.7312488E7)</f>
        <v>37312488</v>
      </c>
    </row>
    <row r="599">
      <c r="A599" s="2">
        <f>IFERROR(__xludf.DUMMYFUNCTION("""COMPUTED_VALUE"""),40704.666666666664)</f>
        <v>40704.66667</v>
      </c>
      <c r="B599" s="1">
        <f>IFERROR(__xludf.DUMMYFUNCTION("""COMPUTED_VALUE"""),65.36)</f>
        <v>65.36</v>
      </c>
      <c r="C599" s="1">
        <f>IFERROR(__xludf.DUMMYFUNCTION("""COMPUTED_VALUE"""),65.64)</f>
        <v>65.64</v>
      </c>
      <c r="D599" s="1">
        <f>IFERROR(__xludf.DUMMYFUNCTION("""COMPUTED_VALUE"""),64.65)</f>
        <v>64.65</v>
      </c>
      <c r="E599" s="1">
        <f>IFERROR(__xludf.DUMMYFUNCTION("""COMPUTED_VALUE"""),64.7)</f>
        <v>64.7</v>
      </c>
      <c r="F599" s="1">
        <f>IFERROR(__xludf.DUMMYFUNCTION("""COMPUTED_VALUE"""),4.8599369E7)</f>
        <v>48599369</v>
      </c>
    </row>
    <row r="600">
      <c r="A600" s="2">
        <f>IFERROR(__xludf.DUMMYFUNCTION("""COMPUTED_VALUE"""),40711.666666666664)</f>
        <v>40711.66667</v>
      </c>
      <c r="B600" s="1">
        <f>IFERROR(__xludf.DUMMYFUNCTION("""COMPUTED_VALUE"""),64.65)</f>
        <v>64.65</v>
      </c>
      <c r="C600" s="1">
        <f>IFERROR(__xludf.DUMMYFUNCTION("""COMPUTED_VALUE"""),65.22)</f>
        <v>65.22</v>
      </c>
      <c r="D600" s="1">
        <f>IFERROR(__xludf.DUMMYFUNCTION("""COMPUTED_VALUE"""),63.33)</f>
        <v>63.33</v>
      </c>
      <c r="E600" s="1">
        <f>IFERROR(__xludf.DUMMYFUNCTION("""COMPUTED_VALUE"""),64.69)</f>
        <v>64.69</v>
      </c>
      <c r="F600" s="1">
        <f>IFERROR(__xludf.DUMMYFUNCTION("""COMPUTED_VALUE"""),4.6861128E7)</f>
        <v>46861128</v>
      </c>
    </row>
    <row r="601">
      <c r="A601" s="2">
        <f>IFERROR(__xludf.DUMMYFUNCTION("""COMPUTED_VALUE"""),40718.666666666664)</f>
        <v>40718.66667</v>
      </c>
      <c r="B601" s="1">
        <f>IFERROR(__xludf.DUMMYFUNCTION("""COMPUTED_VALUE"""),64.51)</f>
        <v>64.51</v>
      </c>
      <c r="C601" s="1">
        <f>IFERROR(__xludf.DUMMYFUNCTION("""COMPUTED_VALUE"""),65.29)</f>
        <v>65.29</v>
      </c>
      <c r="D601" s="1">
        <f>IFERROR(__xludf.DUMMYFUNCTION("""COMPUTED_VALUE"""),62.44)</f>
        <v>62.44</v>
      </c>
      <c r="E601" s="1">
        <f>IFERROR(__xludf.DUMMYFUNCTION("""COMPUTED_VALUE"""),62.59)</f>
        <v>62.59</v>
      </c>
      <c r="F601" s="1">
        <f>IFERROR(__xludf.DUMMYFUNCTION("""COMPUTED_VALUE"""),5.3025186E7)</f>
        <v>53025186</v>
      </c>
    </row>
    <row r="602">
      <c r="A602" s="2">
        <f>IFERROR(__xludf.DUMMYFUNCTION("""COMPUTED_VALUE"""),40725.666666666664)</f>
        <v>40725.66667</v>
      </c>
      <c r="B602" s="1">
        <f>IFERROR(__xludf.DUMMYFUNCTION("""COMPUTED_VALUE"""),62.76)</f>
        <v>62.76</v>
      </c>
      <c r="C602" s="1">
        <f>IFERROR(__xludf.DUMMYFUNCTION("""COMPUTED_VALUE"""),64.44)</f>
        <v>64.44</v>
      </c>
      <c r="D602" s="1">
        <f>IFERROR(__xludf.DUMMYFUNCTION("""COMPUTED_VALUE"""),62.36)</f>
        <v>62.36</v>
      </c>
      <c r="E602" s="1">
        <f>IFERROR(__xludf.DUMMYFUNCTION("""COMPUTED_VALUE"""),64.27)</f>
        <v>64.27</v>
      </c>
      <c r="F602" s="1">
        <f>IFERROR(__xludf.DUMMYFUNCTION("""COMPUTED_VALUE"""),4.8152603E7)</f>
        <v>48152603</v>
      </c>
    </row>
    <row r="603">
      <c r="A603" s="2">
        <f>IFERROR(__xludf.DUMMYFUNCTION("""COMPUTED_VALUE"""),40732.666666666664)</f>
        <v>40732.66667</v>
      </c>
      <c r="B603" s="1">
        <f>IFERROR(__xludf.DUMMYFUNCTION("""COMPUTED_VALUE"""),64.1)</f>
        <v>64.1</v>
      </c>
      <c r="C603" s="1">
        <f>IFERROR(__xludf.DUMMYFUNCTION("""COMPUTED_VALUE"""),65.14)</f>
        <v>65.14</v>
      </c>
      <c r="D603" s="1">
        <f>IFERROR(__xludf.DUMMYFUNCTION("""COMPUTED_VALUE"""),63.95)</f>
        <v>63.95</v>
      </c>
      <c r="E603" s="1">
        <f>IFERROR(__xludf.DUMMYFUNCTION("""COMPUTED_VALUE"""),64.93)</f>
        <v>64.93</v>
      </c>
      <c r="F603" s="1">
        <f>IFERROR(__xludf.DUMMYFUNCTION("""COMPUTED_VALUE"""),3.676016E7)</f>
        <v>36760160</v>
      </c>
    </row>
    <row r="604">
      <c r="A604" s="2">
        <f>IFERROR(__xludf.DUMMYFUNCTION("""COMPUTED_VALUE"""),40739.666666666664)</f>
        <v>40739.66667</v>
      </c>
      <c r="B604" s="1">
        <f>IFERROR(__xludf.DUMMYFUNCTION("""COMPUTED_VALUE"""),64.29)</f>
        <v>64.29</v>
      </c>
      <c r="C604" s="1">
        <f>IFERROR(__xludf.DUMMYFUNCTION("""COMPUTED_VALUE"""),65.06)</f>
        <v>65.06</v>
      </c>
      <c r="D604" s="1">
        <f>IFERROR(__xludf.DUMMYFUNCTION("""COMPUTED_VALUE"""),64.26)</f>
        <v>64.26</v>
      </c>
      <c r="E604" s="1">
        <f>IFERROR(__xludf.DUMMYFUNCTION("""COMPUTED_VALUE"""),64.83)</f>
        <v>64.83</v>
      </c>
      <c r="F604" s="1">
        <f>IFERROR(__xludf.DUMMYFUNCTION("""COMPUTED_VALUE"""),6.3803652E7)</f>
        <v>63803652</v>
      </c>
    </row>
    <row r="605">
      <c r="A605" s="2">
        <f>IFERROR(__xludf.DUMMYFUNCTION("""COMPUTED_VALUE"""),40746.666666666664)</f>
        <v>40746.66667</v>
      </c>
      <c r="B605" s="1">
        <f>IFERROR(__xludf.DUMMYFUNCTION("""COMPUTED_VALUE"""),64.69)</f>
        <v>64.69</v>
      </c>
      <c r="C605" s="1">
        <f>IFERROR(__xludf.DUMMYFUNCTION("""COMPUTED_VALUE"""),64.85)</f>
        <v>64.85</v>
      </c>
      <c r="D605" s="1">
        <f>IFERROR(__xludf.DUMMYFUNCTION("""COMPUTED_VALUE"""),64.04)</f>
        <v>64.04</v>
      </c>
      <c r="E605" s="1">
        <f>IFERROR(__xludf.DUMMYFUNCTION("""COMPUTED_VALUE"""),64.25)</f>
        <v>64.25</v>
      </c>
      <c r="F605" s="1">
        <f>IFERROR(__xludf.DUMMYFUNCTION("""COMPUTED_VALUE"""),4.9444303E7)</f>
        <v>49444303</v>
      </c>
    </row>
    <row r="606">
      <c r="A606" s="2">
        <f>IFERROR(__xludf.DUMMYFUNCTION("""COMPUTED_VALUE"""),40753.666666666664)</f>
        <v>40753.66667</v>
      </c>
      <c r="B606" s="1">
        <f>IFERROR(__xludf.DUMMYFUNCTION("""COMPUTED_VALUE"""),63.96)</f>
        <v>63.96</v>
      </c>
      <c r="C606" s="1">
        <f>IFERROR(__xludf.DUMMYFUNCTION("""COMPUTED_VALUE"""),63.98)</f>
        <v>63.98</v>
      </c>
      <c r="D606" s="1">
        <f>IFERROR(__xludf.DUMMYFUNCTION("""COMPUTED_VALUE"""),61.49)</f>
        <v>61.49</v>
      </c>
      <c r="E606" s="1">
        <f>IFERROR(__xludf.DUMMYFUNCTION("""COMPUTED_VALUE"""),61.49)</f>
        <v>61.49</v>
      </c>
      <c r="F606" s="1">
        <f>IFERROR(__xludf.DUMMYFUNCTION("""COMPUTED_VALUE"""),4.6600606E7)</f>
        <v>46600606</v>
      </c>
    </row>
    <row r="607">
      <c r="A607" s="2">
        <f>IFERROR(__xludf.DUMMYFUNCTION("""COMPUTED_VALUE"""),40760.666666666664)</f>
        <v>40760.66667</v>
      </c>
      <c r="B607" s="1">
        <f>IFERROR(__xludf.DUMMYFUNCTION("""COMPUTED_VALUE"""),62.16)</f>
        <v>62.16</v>
      </c>
      <c r="C607" s="1">
        <f>IFERROR(__xludf.DUMMYFUNCTION("""COMPUTED_VALUE"""),62.31)</f>
        <v>62.31</v>
      </c>
      <c r="D607" s="1">
        <f>IFERROR(__xludf.DUMMYFUNCTION("""COMPUTED_VALUE"""),59.32)</f>
        <v>59.32</v>
      </c>
      <c r="E607" s="1">
        <f>IFERROR(__xludf.DUMMYFUNCTION("""COMPUTED_VALUE"""),60.59)</f>
        <v>60.59</v>
      </c>
      <c r="F607" s="1">
        <f>IFERROR(__xludf.DUMMYFUNCTION("""COMPUTED_VALUE"""),7.4315969E7)</f>
        <v>74315969</v>
      </c>
    </row>
    <row r="608">
      <c r="A608" s="2">
        <f>IFERROR(__xludf.DUMMYFUNCTION("""COMPUTED_VALUE"""),40767.666666666664)</f>
        <v>40767.66667</v>
      </c>
      <c r="B608" s="1">
        <f>IFERROR(__xludf.DUMMYFUNCTION("""COMPUTED_VALUE"""),60.12)</f>
        <v>60.12</v>
      </c>
      <c r="C608" s="1">
        <f>IFERROR(__xludf.DUMMYFUNCTION("""COMPUTED_VALUE"""),61.72)</f>
        <v>61.72</v>
      </c>
      <c r="D608" s="1">
        <f>IFERROR(__xludf.DUMMYFUNCTION("""COMPUTED_VALUE"""),57.56)</f>
        <v>57.56</v>
      </c>
      <c r="E608" s="1">
        <f>IFERROR(__xludf.DUMMYFUNCTION("""COMPUTED_VALUE"""),61.14)</f>
        <v>61.14</v>
      </c>
      <c r="F608" s="1">
        <f>IFERROR(__xludf.DUMMYFUNCTION("""COMPUTED_VALUE"""),1.18246371E8)</f>
        <v>118246371</v>
      </c>
    </row>
    <row r="609">
      <c r="A609" s="2">
        <f>IFERROR(__xludf.DUMMYFUNCTION("""COMPUTED_VALUE"""),40774.666666666664)</f>
        <v>40774.66667</v>
      </c>
      <c r="B609" s="1">
        <f>IFERROR(__xludf.DUMMYFUNCTION("""COMPUTED_VALUE"""),61.87)</f>
        <v>61.87</v>
      </c>
      <c r="C609" s="1">
        <f>IFERROR(__xludf.DUMMYFUNCTION("""COMPUTED_VALUE"""),62.12)</f>
        <v>62.12</v>
      </c>
      <c r="D609" s="1">
        <f>IFERROR(__xludf.DUMMYFUNCTION("""COMPUTED_VALUE"""),60.05)</f>
        <v>60.05</v>
      </c>
      <c r="E609" s="1">
        <f>IFERROR(__xludf.DUMMYFUNCTION("""COMPUTED_VALUE"""),60.96)</f>
        <v>60.96</v>
      </c>
      <c r="F609" s="1">
        <f>IFERROR(__xludf.DUMMYFUNCTION("""COMPUTED_VALUE"""),6.3499835E7)</f>
        <v>63499835</v>
      </c>
    </row>
    <row r="610">
      <c r="A610" s="2">
        <f>IFERROR(__xludf.DUMMYFUNCTION("""COMPUTED_VALUE"""),40781.666666666664)</f>
        <v>40781.66667</v>
      </c>
      <c r="B610" s="1">
        <f>IFERROR(__xludf.DUMMYFUNCTION("""COMPUTED_VALUE"""),61.74)</f>
        <v>61.74</v>
      </c>
      <c r="C610" s="1">
        <f>IFERROR(__xludf.DUMMYFUNCTION("""COMPUTED_VALUE"""),63.47)</f>
        <v>63.47</v>
      </c>
      <c r="D610" s="1">
        <f>IFERROR(__xludf.DUMMYFUNCTION("""COMPUTED_VALUE"""),61.17)</f>
        <v>61.17</v>
      </c>
      <c r="E610" s="1">
        <f>IFERROR(__xludf.DUMMYFUNCTION("""COMPUTED_VALUE"""),62.57)</f>
        <v>62.57</v>
      </c>
      <c r="F610" s="1">
        <f>IFERROR(__xludf.DUMMYFUNCTION("""COMPUTED_VALUE"""),6.175637E7)</f>
        <v>61756370</v>
      </c>
    </row>
    <row r="611">
      <c r="A611" s="2">
        <f>IFERROR(__xludf.DUMMYFUNCTION("""COMPUTED_VALUE"""),40788.666666666664)</f>
        <v>40788.66667</v>
      </c>
      <c r="B611" s="1">
        <f>IFERROR(__xludf.DUMMYFUNCTION("""COMPUTED_VALUE"""),62.78)</f>
        <v>62.78</v>
      </c>
      <c r="C611" s="1">
        <f>IFERROR(__xludf.DUMMYFUNCTION("""COMPUTED_VALUE"""),64.25)</f>
        <v>64.25</v>
      </c>
      <c r="D611" s="1">
        <f>IFERROR(__xludf.DUMMYFUNCTION("""COMPUTED_VALUE"""),62.41)</f>
        <v>62.41</v>
      </c>
      <c r="E611" s="1">
        <f>IFERROR(__xludf.DUMMYFUNCTION("""COMPUTED_VALUE"""),62.55)</f>
        <v>62.55</v>
      </c>
      <c r="F611" s="1">
        <f>IFERROR(__xludf.DUMMYFUNCTION("""COMPUTED_VALUE"""),4.4992025E7)</f>
        <v>44992025</v>
      </c>
    </row>
    <row r="612">
      <c r="A612" s="2">
        <f>IFERROR(__xludf.DUMMYFUNCTION("""COMPUTED_VALUE"""),40795.666666666664)</f>
        <v>40795.66667</v>
      </c>
      <c r="B612" s="1">
        <f>IFERROR(__xludf.DUMMYFUNCTION("""COMPUTED_VALUE"""),61.18)</f>
        <v>61.18</v>
      </c>
      <c r="C612" s="1">
        <f>IFERROR(__xludf.DUMMYFUNCTION("""COMPUTED_VALUE"""),63.83)</f>
        <v>63.83</v>
      </c>
      <c r="D612" s="1">
        <f>IFERROR(__xludf.DUMMYFUNCTION("""COMPUTED_VALUE"""),61.1)</f>
        <v>61.1</v>
      </c>
      <c r="E612" s="1">
        <f>IFERROR(__xludf.DUMMYFUNCTION("""COMPUTED_VALUE"""),61.84)</f>
        <v>61.84</v>
      </c>
      <c r="F612" s="1">
        <f>IFERROR(__xludf.DUMMYFUNCTION("""COMPUTED_VALUE"""),4.375309E7)</f>
        <v>43753090</v>
      </c>
    </row>
    <row r="613">
      <c r="A613" s="2">
        <f>IFERROR(__xludf.DUMMYFUNCTION("""COMPUTED_VALUE"""),40802.666666666664)</f>
        <v>40802.66667</v>
      </c>
      <c r="B613" s="1">
        <f>IFERROR(__xludf.DUMMYFUNCTION("""COMPUTED_VALUE"""),61.25)</f>
        <v>61.25</v>
      </c>
      <c r="C613" s="1">
        <f>IFERROR(__xludf.DUMMYFUNCTION("""COMPUTED_VALUE"""),64.7)</f>
        <v>64.7</v>
      </c>
      <c r="D613" s="1">
        <f>IFERROR(__xludf.DUMMYFUNCTION("""COMPUTED_VALUE"""),61.0)</f>
        <v>61</v>
      </c>
      <c r="E613" s="1">
        <f>IFERROR(__xludf.DUMMYFUNCTION("""COMPUTED_VALUE"""),64.33)</f>
        <v>64.33</v>
      </c>
      <c r="F613" s="1">
        <f>IFERROR(__xludf.DUMMYFUNCTION("""COMPUTED_VALUE"""),6.3596659E7)</f>
        <v>63596659</v>
      </c>
    </row>
    <row r="614">
      <c r="A614" s="2">
        <f>IFERROR(__xludf.DUMMYFUNCTION("""COMPUTED_VALUE"""),40809.666666666664)</f>
        <v>40809.66667</v>
      </c>
      <c r="B614" s="1">
        <f>IFERROR(__xludf.DUMMYFUNCTION("""COMPUTED_VALUE"""),63.64)</f>
        <v>63.64</v>
      </c>
      <c r="C614" s="1">
        <f>IFERROR(__xludf.DUMMYFUNCTION("""COMPUTED_VALUE"""),64.68)</f>
        <v>64.68</v>
      </c>
      <c r="D614" s="1">
        <f>IFERROR(__xludf.DUMMYFUNCTION("""COMPUTED_VALUE"""),60.3)</f>
        <v>60.3</v>
      </c>
      <c r="E614" s="1">
        <f>IFERROR(__xludf.DUMMYFUNCTION("""COMPUTED_VALUE"""),61.25)</f>
        <v>61.25</v>
      </c>
      <c r="F614" s="1">
        <f>IFERROR(__xludf.DUMMYFUNCTION("""COMPUTED_VALUE"""),5.5397806E7)</f>
        <v>55397806</v>
      </c>
    </row>
    <row r="615">
      <c r="A615" s="2">
        <f>IFERROR(__xludf.DUMMYFUNCTION("""COMPUTED_VALUE"""),40816.666666666664)</f>
        <v>40816.66667</v>
      </c>
      <c r="B615" s="1">
        <f>IFERROR(__xludf.DUMMYFUNCTION("""COMPUTED_VALUE"""),61.67)</f>
        <v>61.67</v>
      </c>
      <c r="C615" s="1">
        <f>IFERROR(__xludf.DUMMYFUNCTION("""COMPUTED_VALUE"""),64.4)</f>
        <v>64.4</v>
      </c>
      <c r="D615" s="1">
        <f>IFERROR(__xludf.DUMMYFUNCTION("""COMPUTED_VALUE"""),61.63)</f>
        <v>61.63</v>
      </c>
      <c r="E615" s="1">
        <f>IFERROR(__xludf.DUMMYFUNCTION("""COMPUTED_VALUE"""),63.18)</f>
        <v>63.18</v>
      </c>
      <c r="F615" s="1">
        <f>IFERROR(__xludf.DUMMYFUNCTION("""COMPUTED_VALUE"""),5.4288479E7)</f>
        <v>54288479</v>
      </c>
    </row>
    <row r="616">
      <c r="A616" s="2">
        <f>IFERROR(__xludf.DUMMYFUNCTION("""COMPUTED_VALUE"""),40823.666666666664)</f>
        <v>40823.66667</v>
      </c>
      <c r="B616" s="1">
        <f>IFERROR(__xludf.DUMMYFUNCTION("""COMPUTED_VALUE"""),63.69)</f>
        <v>63.69</v>
      </c>
      <c r="C616" s="1">
        <f>IFERROR(__xludf.DUMMYFUNCTION("""COMPUTED_VALUE"""),64.4)</f>
        <v>64.4</v>
      </c>
      <c r="D616" s="1">
        <f>IFERROR(__xludf.DUMMYFUNCTION("""COMPUTED_VALUE"""),61.78)</f>
        <v>61.78</v>
      </c>
      <c r="E616" s="1">
        <f>IFERROR(__xludf.DUMMYFUNCTION("""COMPUTED_VALUE"""),63.91)</f>
        <v>63.91</v>
      </c>
      <c r="F616" s="1">
        <f>IFERROR(__xludf.DUMMYFUNCTION("""COMPUTED_VALUE"""),5.4778103E7)</f>
        <v>54778103</v>
      </c>
    </row>
    <row r="617">
      <c r="A617" s="2">
        <f>IFERROR(__xludf.DUMMYFUNCTION("""COMPUTED_VALUE"""),40830.666666666664)</f>
        <v>40830.66667</v>
      </c>
      <c r="B617" s="1">
        <f>IFERROR(__xludf.DUMMYFUNCTION("""COMPUTED_VALUE"""),64.37)</f>
        <v>64.37</v>
      </c>
      <c r="C617" s="1">
        <f>IFERROR(__xludf.DUMMYFUNCTION("""COMPUTED_VALUE"""),65.34)</f>
        <v>65.34</v>
      </c>
      <c r="D617" s="1">
        <f>IFERROR(__xludf.DUMMYFUNCTION("""COMPUTED_VALUE"""),63.97)</f>
        <v>63.97</v>
      </c>
      <c r="E617" s="1">
        <f>IFERROR(__xludf.DUMMYFUNCTION("""COMPUTED_VALUE"""),64.89)</f>
        <v>64.89</v>
      </c>
      <c r="F617" s="1">
        <f>IFERROR(__xludf.DUMMYFUNCTION("""COMPUTED_VALUE"""),3.7366355E7)</f>
        <v>37366355</v>
      </c>
    </row>
    <row r="618">
      <c r="A618" s="2">
        <f>IFERROR(__xludf.DUMMYFUNCTION("""COMPUTED_VALUE"""),40837.666666666664)</f>
        <v>40837.66667</v>
      </c>
      <c r="B618" s="1">
        <f>IFERROR(__xludf.DUMMYFUNCTION("""COMPUTED_VALUE"""),64.84)</f>
        <v>64.84</v>
      </c>
      <c r="C618" s="1">
        <f>IFERROR(__xludf.DUMMYFUNCTION("""COMPUTED_VALUE"""),66.3)</f>
        <v>66.3</v>
      </c>
      <c r="D618" s="1">
        <f>IFERROR(__xludf.DUMMYFUNCTION("""COMPUTED_VALUE"""),64.06)</f>
        <v>64.06</v>
      </c>
      <c r="E618" s="1">
        <f>IFERROR(__xludf.DUMMYFUNCTION("""COMPUTED_VALUE"""),66.26)</f>
        <v>66.26</v>
      </c>
      <c r="F618" s="1">
        <f>IFERROR(__xludf.DUMMYFUNCTION("""COMPUTED_VALUE"""),4.8817503E7)</f>
        <v>48817503</v>
      </c>
    </row>
    <row r="619">
      <c r="A619" s="2">
        <f>IFERROR(__xludf.DUMMYFUNCTION("""COMPUTED_VALUE"""),40844.666666666664)</f>
        <v>40844.66667</v>
      </c>
      <c r="B619" s="1">
        <f>IFERROR(__xludf.DUMMYFUNCTION("""COMPUTED_VALUE"""),65.75)</f>
        <v>65.75</v>
      </c>
      <c r="C619" s="1">
        <f>IFERROR(__xludf.DUMMYFUNCTION("""COMPUTED_VALUE"""),65.89)</f>
        <v>65.89</v>
      </c>
      <c r="D619" s="1">
        <f>IFERROR(__xludf.DUMMYFUNCTION("""COMPUTED_VALUE"""),64.18)</f>
        <v>64.18</v>
      </c>
      <c r="E619" s="1">
        <f>IFERROR(__xludf.DUMMYFUNCTION("""COMPUTED_VALUE"""),64.73)</f>
        <v>64.73</v>
      </c>
      <c r="F619" s="1">
        <f>IFERROR(__xludf.DUMMYFUNCTION("""COMPUTED_VALUE"""),5.5570691E7)</f>
        <v>55570691</v>
      </c>
    </row>
    <row r="620">
      <c r="A620" s="2">
        <f>IFERROR(__xludf.DUMMYFUNCTION("""COMPUTED_VALUE"""),40851.666666666664)</f>
        <v>40851.66667</v>
      </c>
      <c r="B620" s="1">
        <f>IFERROR(__xludf.DUMMYFUNCTION("""COMPUTED_VALUE"""),64.55)</f>
        <v>64.55</v>
      </c>
      <c r="C620" s="1">
        <f>IFERROR(__xludf.DUMMYFUNCTION("""COMPUTED_VALUE"""),64.83)</f>
        <v>64.83</v>
      </c>
      <c r="D620" s="1">
        <f>IFERROR(__xludf.DUMMYFUNCTION("""COMPUTED_VALUE"""),62.37)</f>
        <v>62.37</v>
      </c>
      <c r="E620" s="1">
        <f>IFERROR(__xludf.DUMMYFUNCTION("""COMPUTED_VALUE"""),63.03)</f>
        <v>63.03</v>
      </c>
      <c r="F620" s="1">
        <f>IFERROR(__xludf.DUMMYFUNCTION("""COMPUTED_VALUE"""),4.7980585E7)</f>
        <v>47980585</v>
      </c>
    </row>
    <row r="621">
      <c r="A621" s="2">
        <f>IFERROR(__xludf.DUMMYFUNCTION("""COMPUTED_VALUE"""),40858.666666666664)</f>
        <v>40858.66667</v>
      </c>
      <c r="B621" s="1">
        <f>IFERROR(__xludf.DUMMYFUNCTION("""COMPUTED_VALUE"""),63.03)</f>
        <v>63.03</v>
      </c>
      <c r="C621" s="1">
        <f>IFERROR(__xludf.DUMMYFUNCTION("""COMPUTED_VALUE"""),64.34)</f>
        <v>64.34</v>
      </c>
      <c r="D621" s="1">
        <f>IFERROR(__xludf.DUMMYFUNCTION("""COMPUTED_VALUE"""),62.56)</f>
        <v>62.56</v>
      </c>
      <c r="E621" s="1">
        <f>IFERROR(__xludf.DUMMYFUNCTION("""COMPUTED_VALUE"""),63.89)</f>
        <v>63.89</v>
      </c>
      <c r="F621" s="1">
        <f>IFERROR(__xludf.DUMMYFUNCTION("""COMPUTED_VALUE"""),3.5557286E7)</f>
        <v>35557286</v>
      </c>
    </row>
    <row r="622">
      <c r="A622" s="2">
        <f>IFERROR(__xludf.DUMMYFUNCTION("""COMPUTED_VALUE"""),40865.666666666664)</f>
        <v>40865.66667</v>
      </c>
      <c r="B622" s="1">
        <f>IFERROR(__xludf.DUMMYFUNCTION("""COMPUTED_VALUE"""),63.44)</f>
        <v>63.44</v>
      </c>
      <c r="C622" s="1">
        <f>IFERROR(__xludf.DUMMYFUNCTION("""COMPUTED_VALUE"""),63.9)</f>
        <v>63.9</v>
      </c>
      <c r="D622" s="1">
        <f>IFERROR(__xludf.DUMMYFUNCTION("""COMPUTED_VALUE"""),62.54)</f>
        <v>62.54</v>
      </c>
      <c r="E622" s="1">
        <f>IFERROR(__xludf.DUMMYFUNCTION("""COMPUTED_VALUE"""),63.24)</f>
        <v>63.24</v>
      </c>
      <c r="F622" s="1">
        <f>IFERROR(__xludf.DUMMYFUNCTION("""COMPUTED_VALUE"""),3.9884287E7)</f>
        <v>39884287</v>
      </c>
    </row>
    <row r="623">
      <c r="A623" s="2">
        <f>IFERROR(__xludf.DUMMYFUNCTION("""COMPUTED_VALUE"""),40872.666666666664)</f>
        <v>40872.66667</v>
      </c>
      <c r="B623" s="1">
        <f>IFERROR(__xludf.DUMMYFUNCTION("""COMPUTED_VALUE"""),62.54)</f>
        <v>62.54</v>
      </c>
      <c r="C623" s="1">
        <f>IFERROR(__xludf.DUMMYFUNCTION("""COMPUTED_VALUE"""),62.97)</f>
        <v>62.97</v>
      </c>
      <c r="D623" s="1">
        <f>IFERROR(__xludf.DUMMYFUNCTION("""COMPUTED_VALUE"""),61.0)</f>
        <v>61</v>
      </c>
      <c r="E623" s="1">
        <f>IFERROR(__xludf.DUMMYFUNCTION("""COMPUTED_VALUE"""),61.0)</f>
        <v>61</v>
      </c>
      <c r="F623" s="1">
        <f>IFERROR(__xludf.DUMMYFUNCTION("""COMPUTED_VALUE"""),3.3800678E7)</f>
        <v>33800678</v>
      </c>
    </row>
    <row r="624">
      <c r="A624" s="2">
        <f>IFERROR(__xludf.DUMMYFUNCTION("""COMPUTED_VALUE"""),40879.666666666664)</f>
        <v>40879.66667</v>
      </c>
      <c r="B624" s="1">
        <f>IFERROR(__xludf.DUMMYFUNCTION("""COMPUTED_VALUE"""),61.65)</f>
        <v>61.65</v>
      </c>
      <c r="C624" s="1">
        <f>IFERROR(__xludf.DUMMYFUNCTION("""COMPUTED_VALUE"""),64.86)</f>
        <v>64.86</v>
      </c>
      <c r="D624" s="1">
        <f>IFERROR(__xludf.DUMMYFUNCTION("""COMPUTED_VALUE"""),61.57)</f>
        <v>61.57</v>
      </c>
      <c r="E624" s="1">
        <f>IFERROR(__xludf.DUMMYFUNCTION("""COMPUTED_VALUE"""),64.66)</f>
        <v>64.66</v>
      </c>
      <c r="F624" s="1">
        <f>IFERROR(__xludf.DUMMYFUNCTION("""COMPUTED_VALUE"""),4.8490888E7)</f>
        <v>48490888</v>
      </c>
    </row>
    <row r="625">
      <c r="A625" s="2">
        <f>IFERROR(__xludf.DUMMYFUNCTION("""COMPUTED_VALUE"""),40886.666666666664)</f>
        <v>40886.66667</v>
      </c>
      <c r="B625" s="1">
        <f>IFERROR(__xludf.DUMMYFUNCTION("""COMPUTED_VALUE"""),64.89)</f>
        <v>64.89</v>
      </c>
      <c r="C625" s="1">
        <f>IFERROR(__xludf.DUMMYFUNCTION("""COMPUTED_VALUE"""),65.5)</f>
        <v>65.5</v>
      </c>
      <c r="D625" s="1">
        <f>IFERROR(__xludf.DUMMYFUNCTION("""COMPUTED_VALUE"""),64.3)</f>
        <v>64.3</v>
      </c>
      <c r="E625" s="1">
        <f>IFERROR(__xludf.DUMMYFUNCTION("""COMPUTED_VALUE"""),64.97)</f>
        <v>64.97</v>
      </c>
      <c r="F625" s="1">
        <f>IFERROR(__xludf.DUMMYFUNCTION("""COMPUTED_VALUE"""),4.5280832E7)</f>
        <v>45280832</v>
      </c>
    </row>
    <row r="626">
      <c r="A626" s="2">
        <f>IFERROR(__xludf.DUMMYFUNCTION("""COMPUTED_VALUE"""),40893.666666666664)</f>
        <v>40893.66667</v>
      </c>
      <c r="B626" s="1">
        <f>IFERROR(__xludf.DUMMYFUNCTION("""COMPUTED_VALUE"""),64.58)</f>
        <v>64.58</v>
      </c>
      <c r="C626" s="1">
        <f>IFERROR(__xludf.DUMMYFUNCTION("""COMPUTED_VALUE"""),65.63)</f>
        <v>65.63</v>
      </c>
      <c r="D626" s="1">
        <f>IFERROR(__xludf.DUMMYFUNCTION("""COMPUTED_VALUE"""),63.94)</f>
        <v>63.94</v>
      </c>
      <c r="E626" s="1">
        <f>IFERROR(__xludf.DUMMYFUNCTION("""COMPUTED_VALUE"""),65.14)</f>
        <v>65.14</v>
      </c>
      <c r="F626" s="1">
        <f>IFERROR(__xludf.DUMMYFUNCTION("""COMPUTED_VALUE"""),5.8199428E7)</f>
        <v>58199428</v>
      </c>
    </row>
    <row r="627">
      <c r="A627" s="2">
        <f>IFERROR(__xludf.DUMMYFUNCTION("""COMPUTED_VALUE"""),40900.666666666664)</f>
        <v>40900.66667</v>
      </c>
      <c r="B627" s="1">
        <f>IFERROR(__xludf.DUMMYFUNCTION("""COMPUTED_VALUE"""),65.35)</f>
        <v>65.35</v>
      </c>
      <c r="C627" s="1">
        <f>IFERROR(__xludf.DUMMYFUNCTION("""COMPUTED_VALUE"""),66.69)</f>
        <v>66.69</v>
      </c>
      <c r="D627" s="1">
        <f>IFERROR(__xludf.DUMMYFUNCTION("""COMPUTED_VALUE"""),64.74)</f>
        <v>64.74</v>
      </c>
      <c r="E627" s="1">
        <f>IFERROR(__xludf.DUMMYFUNCTION("""COMPUTED_VALUE"""),66.67)</f>
        <v>66.67</v>
      </c>
      <c r="F627" s="1">
        <f>IFERROR(__xludf.DUMMYFUNCTION("""COMPUTED_VALUE"""),4.0325128E7)</f>
        <v>40325128</v>
      </c>
    </row>
    <row r="628">
      <c r="A628" s="2">
        <f>IFERROR(__xludf.DUMMYFUNCTION("""COMPUTED_VALUE"""),40907.666666666664)</f>
        <v>40907.66667</v>
      </c>
      <c r="B628" s="1">
        <f>IFERROR(__xludf.DUMMYFUNCTION("""COMPUTED_VALUE"""),66.13)</f>
        <v>66.13</v>
      </c>
      <c r="C628" s="1">
        <f>IFERROR(__xludf.DUMMYFUNCTION("""COMPUTED_VALUE"""),66.98)</f>
        <v>66.98</v>
      </c>
      <c r="D628" s="1">
        <f>IFERROR(__xludf.DUMMYFUNCTION("""COMPUTED_VALUE"""),66.07)</f>
        <v>66.07</v>
      </c>
      <c r="E628" s="1">
        <f>IFERROR(__xludf.DUMMYFUNCTION("""COMPUTED_VALUE"""),66.71)</f>
        <v>66.71</v>
      </c>
      <c r="F628" s="1">
        <f>IFERROR(__xludf.DUMMYFUNCTION("""COMPUTED_VALUE"""),1.8245944E7)</f>
        <v>18245944</v>
      </c>
    </row>
    <row r="629">
      <c r="A629" s="2">
        <f>IFERROR(__xludf.DUMMYFUNCTION("""COMPUTED_VALUE"""),40914.666666666664)</f>
        <v>40914.66667</v>
      </c>
      <c r="B629" s="1">
        <f>IFERROR(__xludf.DUMMYFUNCTION("""COMPUTED_VALUE"""),66.3)</f>
        <v>66.3</v>
      </c>
      <c r="C629" s="1">
        <f>IFERROR(__xludf.DUMMYFUNCTION("""COMPUTED_VALUE"""),67.0)</f>
        <v>67</v>
      </c>
      <c r="D629" s="1">
        <f>IFERROR(__xludf.DUMMYFUNCTION("""COMPUTED_VALUE"""),65.93)</f>
        <v>65.93</v>
      </c>
      <c r="E629" s="1">
        <f>IFERROR(__xludf.DUMMYFUNCTION("""COMPUTED_VALUE"""),66.36)</f>
        <v>66.36</v>
      </c>
      <c r="F629" s="1">
        <f>IFERROR(__xludf.DUMMYFUNCTION("""COMPUTED_VALUE"""),4.0667625E7)</f>
        <v>40667625</v>
      </c>
    </row>
    <row r="630">
      <c r="A630" s="2">
        <f>IFERROR(__xludf.DUMMYFUNCTION("""COMPUTED_VALUE"""),40921.666666666664)</f>
        <v>40921.66667</v>
      </c>
      <c r="B630" s="1">
        <f>IFERROR(__xludf.DUMMYFUNCTION("""COMPUTED_VALUE"""),66.25)</f>
        <v>66.25</v>
      </c>
      <c r="C630" s="1">
        <f>IFERROR(__xludf.DUMMYFUNCTION("""COMPUTED_VALUE"""),66.87)</f>
        <v>66.87</v>
      </c>
      <c r="D630" s="1">
        <f>IFERROR(__xludf.DUMMYFUNCTION("""COMPUTED_VALUE"""),65.37)</f>
        <v>65.37</v>
      </c>
      <c r="E630" s="1">
        <f>IFERROR(__xludf.DUMMYFUNCTION("""COMPUTED_VALUE"""),65.81)</f>
        <v>65.81</v>
      </c>
      <c r="F630" s="1">
        <f>IFERROR(__xludf.DUMMYFUNCTION("""COMPUTED_VALUE"""),9.6129901E7)</f>
        <v>96129901</v>
      </c>
    </row>
    <row r="631">
      <c r="A631" s="2">
        <f>IFERROR(__xludf.DUMMYFUNCTION("""COMPUTED_VALUE"""),40928.666666666664)</f>
        <v>40928.66667</v>
      </c>
      <c r="B631" s="1">
        <f>IFERROR(__xludf.DUMMYFUNCTION("""COMPUTED_VALUE"""),65.96)</f>
        <v>65.96</v>
      </c>
      <c r="C631" s="1">
        <f>IFERROR(__xludf.DUMMYFUNCTION("""COMPUTED_VALUE"""),66.51)</f>
        <v>66.51</v>
      </c>
      <c r="D631" s="1">
        <f>IFERROR(__xludf.DUMMYFUNCTION("""COMPUTED_VALUE"""),65.42)</f>
        <v>65.42</v>
      </c>
      <c r="E631" s="1">
        <f>IFERROR(__xludf.DUMMYFUNCTION("""COMPUTED_VALUE"""),66.23)</f>
        <v>66.23</v>
      </c>
      <c r="F631" s="1">
        <f>IFERROR(__xludf.DUMMYFUNCTION("""COMPUTED_VALUE"""),6.7652164E7)</f>
        <v>67652164</v>
      </c>
    </row>
    <row r="632">
      <c r="A632" s="2">
        <f>IFERROR(__xludf.DUMMYFUNCTION("""COMPUTED_VALUE"""),40935.666666666664)</f>
        <v>40935.66667</v>
      </c>
      <c r="B632" s="1">
        <f>IFERROR(__xludf.DUMMYFUNCTION("""COMPUTED_VALUE"""),65.91)</f>
        <v>65.91</v>
      </c>
      <c r="C632" s="1">
        <f>IFERROR(__xludf.DUMMYFUNCTION("""COMPUTED_VALUE"""),65.94)</f>
        <v>65.94</v>
      </c>
      <c r="D632" s="1">
        <f>IFERROR(__xludf.DUMMYFUNCTION("""COMPUTED_VALUE"""),63.66)</f>
        <v>63.66</v>
      </c>
      <c r="E632" s="1">
        <f>IFERROR(__xludf.DUMMYFUNCTION("""COMPUTED_VALUE"""),64.3)</f>
        <v>64.3</v>
      </c>
      <c r="F632" s="1">
        <f>IFERROR(__xludf.DUMMYFUNCTION("""COMPUTED_VALUE"""),5.8397756E7)</f>
        <v>58397756</v>
      </c>
    </row>
    <row r="633">
      <c r="A633" s="2">
        <f>IFERROR(__xludf.DUMMYFUNCTION("""COMPUTED_VALUE"""),40942.666666666664)</f>
        <v>40942.66667</v>
      </c>
      <c r="B633" s="1">
        <f>IFERROR(__xludf.DUMMYFUNCTION("""COMPUTED_VALUE"""),63.8)</f>
        <v>63.8</v>
      </c>
      <c r="C633" s="1">
        <f>IFERROR(__xludf.DUMMYFUNCTION("""COMPUTED_VALUE"""),63.86)</f>
        <v>63.86</v>
      </c>
      <c r="D633" s="1">
        <f>IFERROR(__xludf.DUMMYFUNCTION("""COMPUTED_VALUE"""),62.56)</f>
        <v>62.56</v>
      </c>
      <c r="E633" s="1">
        <f>IFERROR(__xludf.DUMMYFUNCTION("""COMPUTED_VALUE"""),62.77)</f>
        <v>62.77</v>
      </c>
      <c r="F633" s="1">
        <f>IFERROR(__xludf.DUMMYFUNCTION("""COMPUTED_VALUE"""),6.6809977E7)</f>
        <v>66809977</v>
      </c>
    </row>
    <row r="634">
      <c r="A634" s="2">
        <f>IFERROR(__xludf.DUMMYFUNCTION("""COMPUTED_VALUE"""),40949.666666666664)</f>
        <v>40949.66667</v>
      </c>
      <c r="B634" s="1">
        <f>IFERROR(__xludf.DUMMYFUNCTION("""COMPUTED_VALUE"""),62.86)</f>
        <v>62.86</v>
      </c>
      <c r="C634" s="1">
        <f>IFERROR(__xludf.DUMMYFUNCTION("""COMPUTED_VALUE"""),64.1)</f>
        <v>64.1</v>
      </c>
      <c r="D634" s="1">
        <f>IFERROR(__xludf.DUMMYFUNCTION("""COMPUTED_VALUE"""),62.78)</f>
        <v>62.78</v>
      </c>
      <c r="E634" s="1">
        <f>IFERROR(__xludf.DUMMYFUNCTION("""COMPUTED_VALUE"""),63.88)</f>
        <v>63.88</v>
      </c>
      <c r="F634" s="1">
        <f>IFERROR(__xludf.DUMMYFUNCTION("""COMPUTED_VALUE"""),4.4380609E7)</f>
        <v>44380609</v>
      </c>
    </row>
    <row r="635">
      <c r="A635" s="2">
        <f>IFERROR(__xludf.DUMMYFUNCTION("""COMPUTED_VALUE"""),40956.666666666664)</f>
        <v>40956.66667</v>
      </c>
      <c r="B635" s="1">
        <f>IFERROR(__xludf.DUMMYFUNCTION("""COMPUTED_VALUE"""),64.15)</f>
        <v>64.15</v>
      </c>
      <c r="C635" s="1">
        <f>IFERROR(__xludf.DUMMYFUNCTION("""COMPUTED_VALUE"""),65.54)</f>
        <v>65.54</v>
      </c>
      <c r="D635" s="1">
        <f>IFERROR(__xludf.DUMMYFUNCTION("""COMPUTED_VALUE"""),64.06)</f>
        <v>64.06</v>
      </c>
      <c r="E635" s="1">
        <f>IFERROR(__xludf.DUMMYFUNCTION("""COMPUTED_VALUE"""),64.91)</f>
        <v>64.91</v>
      </c>
      <c r="F635" s="1">
        <f>IFERROR(__xludf.DUMMYFUNCTION("""COMPUTED_VALUE"""),4.6661077E7)</f>
        <v>46661077</v>
      </c>
    </row>
    <row r="636">
      <c r="A636" s="2">
        <f>IFERROR(__xludf.DUMMYFUNCTION("""COMPUTED_VALUE"""),40963.666666666664)</f>
        <v>40963.66667</v>
      </c>
      <c r="B636" s="1">
        <f>IFERROR(__xludf.DUMMYFUNCTION("""COMPUTED_VALUE"""),64.99)</f>
        <v>64.99</v>
      </c>
      <c r="C636" s="1">
        <f>IFERROR(__xludf.DUMMYFUNCTION("""COMPUTED_VALUE"""),66.95)</f>
        <v>66.95</v>
      </c>
      <c r="D636" s="1">
        <f>IFERROR(__xludf.DUMMYFUNCTION("""COMPUTED_VALUE"""),64.17)</f>
        <v>64.17</v>
      </c>
      <c r="E636" s="1">
        <f>IFERROR(__xludf.DUMMYFUNCTION("""COMPUTED_VALUE"""),66.71)</f>
        <v>66.71</v>
      </c>
      <c r="F636" s="1">
        <f>IFERROR(__xludf.DUMMYFUNCTION("""COMPUTED_VALUE"""),5.5012811E7)</f>
        <v>55012811</v>
      </c>
    </row>
    <row r="637">
      <c r="A637" s="2">
        <f>IFERROR(__xludf.DUMMYFUNCTION("""COMPUTED_VALUE"""),40970.666666666664)</f>
        <v>40970.66667</v>
      </c>
      <c r="B637" s="1">
        <f>IFERROR(__xludf.DUMMYFUNCTION("""COMPUTED_VALUE"""),66.57)</f>
        <v>66.57</v>
      </c>
      <c r="C637" s="1">
        <f>IFERROR(__xludf.DUMMYFUNCTION("""COMPUTED_VALUE"""),67.77)</f>
        <v>67.77</v>
      </c>
      <c r="D637" s="1">
        <f>IFERROR(__xludf.DUMMYFUNCTION("""COMPUTED_VALUE"""),66.13)</f>
        <v>66.13</v>
      </c>
      <c r="E637" s="1">
        <f>IFERROR(__xludf.DUMMYFUNCTION("""COMPUTED_VALUE"""),66.67)</f>
        <v>66.67</v>
      </c>
      <c r="F637" s="1">
        <f>IFERROR(__xludf.DUMMYFUNCTION("""COMPUTED_VALUE"""),6.5107371E7)</f>
        <v>65107371</v>
      </c>
    </row>
    <row r="638">
      <c r="A638" s="2">
        <f>IFERROR(__xludf.DUMMYFUNCTION("""COMPUTED_VALUE"""),40977.666666666664)</f>
        <v>40977.66667</v>
      </c>
      <c r="B638" s="1">
        <f>IFERROR(__xludf.DUMMYFUNCTION("""COMPUTED_VALUE"""),66.61)</f>
        <v>66.61</v>
      </c>
      <c r="C638" s="1">
        <f>IFERROR(__xludf.DUMMYFUNCTION("""COMPUTED_VALUE"""),67.09)</f>
        <v>67.09</v>
      </c>
      <c r="D638" s="1">
        <f>IFERROR(__xludf.DUMMYFUNCTION("""COMPUTED_VALUE"""),66.2)</f>
        <v>66.2</v>
      </c>
      <c r="E638" s="1">
        <f>IFERROR(__xludf.DUMMYFUNCTION("""COMPUTED_VALUE"""),66.93)</f>
        <v>66.93</v>
      </c>
      <c r="F638" s="1">
        <f>IFERROR(__xludf.DUMMYFUNCTION("""COMPUTED_VALUE"""),3.575281E7)</f>
        <v>35752810</v>
      </c>
    </row>
    <row r="639">
      <c r="A639" s="2">
        <f>IFERROR(__xludf.DUMMYFUNCTION("""COMPUTED_VALUE"""),40984.666666666664)</f>
        <v>40984.66667</v>
      </c>
      <c r="B639" s="1">
        <f>IFERROR(__xludf.DUMMYFUNCTION("""COMPUTED_VALUE"""),66.77)</f>
        <v>66.77</v>
      </c>
      <c r="C639" s="1">
        <f>IFERROR(__xludf.DUMMYFUNCTION("""COMPUTED_VALUE"""),67.95)</f>
        <v>67.95</v>
      </c>
      <c r="D639" s="1">
        <f>IFERROR(__xludf.DUMMYFUNCTION("""COMPUTED_VALUE"""),66.73)</f>
        <v>66.73</v>
      </c>
      <c r="E639" s="1">
        <f>IFERROR(__xludf.DUMMYFUNCTION("""COMPUTED_VALUE"""),67.25)</f>
        <v>67.25</v>
      </c>
      <c r="F639" s="1">
        <f>IFERROR(__xludf.DUMMYFUNCTION("""COMPUTED_VALUE"""),5.0263609E7)</f>
        <v>50263609</v>
      </c>
    </row>
    <row r="640">
      <c r="A640" s="2">
        <f>IFERROR(__xludf.DUMMYFUNCTION("""COMPUTED_VALUE"""),40991.666666666664)</f>
        <v>40991.66667</v>
      </c>
      <c r="B640" s="1">
        <f>IFERROR(__xludf.DUMMYFUNCTION("""COMPUTED_VALUE"""),67.03)</f>
        <v>67.03</v>
      </c>
      <c r="C640" s="1">
        <f>IFERROR(__xludf.DUMMYFUNCTION("""COMPUTED_VALUE"""),67.76)</f>
        <v>67.76</v>
      </c>
      <c r="D640" s="1">
        <f>IFERROR(__xludf.DUMMYFUNCTION("""COMPUTED_VALUE"""),66.86)</f>
        <v>66.86</v>
      </c>
      <c r="E640" s="1">
        <f>IFERROR(__xludf.DUMMYFUNCTION("""COMPUTED_VALUE"""),67.43)</f>
        <v>67.43</v>
      </c>
      <c r="F640" s="1">
        <f>IFERROR(__xludf.DUMMYFUNCTION("""COMPUTED_VALUE"""),3.2625964E7)</f>
        <v>32625964</v>
      </c>
    </row>
    <row r="641">
      <c r="A641" s="2">
        <f>IFERROR(__xludf.DUMMYFUNCTION("""COMPUTED_VALUE"""),40998.666666666664)</f>
        <v>40998.66667</v>
      </c>
      <c r="B641" s="1">
        <f>IFERROR(__xludf.DUMMYFUNCTION("""COMPUTED_VALUE"""),67.54)</f>
        <v>67.54</v>
      </c>
      <c r="C641" s="1">
        <f>IFERROR(__xludf.DUMMYFUNCTION("""COMPUTED_VALUE"""),67.83)</f>
        <v>67.83</v>
      </c>
      <c r="D641" s="1">
        <f>IFERROR(__xludf.DUMMYFUNCTION("""COMPUTED_VALUE"""),66.76)</f>
        <v>66.76</v>
      </c>
      <c r="E641" s="1">
        <f>IFERROR(__xludf.DUMMYFUNCTION("""COMPUTED_VALUE"""),67.21)</f>
        <v>67.21</v>
      </c>
      <c r="F641" s="1">
        <f>IFERROR(__xludf.DUMMYFUNCTION("""COMPUTED_VALUE"""),3.887842E7)</f>
        <v>38878420</v>
      </c>
    </row>
    <row r="642">
      <c r="A642" s="2">
        <f>IFERROR(__xludf.DUMMYFUNCTION("""COMPUTED_VALUE"""),41004.666666666664)</f>
        <v>41004.66667</v>
      </c>
      <c r="B642" s="1">
        <f>IFERROR(__xludf.DUMMYFUNCTION("""COMPUTED_VALUE"""),67.43)</f>
        <v>67.43</v>
      </c>
      <c r="C642" s="1">
        <f>IFERROR(__xludf.DUMMYFUNCTION("""COMPUTED_VALUE"""),67.92)</f>
        <v>67.92</v>
      </c>
      <c r="D642" s="1">
        <f>IFERROR(__xludf.DUMMYFUNCTION("""COMPUTED_VALUE"""),66.71)</f>
        <v>66.71</v>
      </c>
      <c r="E642" s="1">
        <f>IFERROR(__xludf.DUMMYFUNCTION("""COMPUTED_VALUE"""),67.31)</f>
        <v>67.31</v>
      </c>
      <c r="F642" s="1">
        <f>IFERROR(__xludf.DUMMYFUNCTION("""COMPUTED_VALUE"""),3.161764E7)</f>
        <v>31617640</v>
      </c>
    </row>
    <row r="643">
      <c r="A643" s="2">
        <f>IFERROR(__xludf.DUMMYFUNCTION("""COMPUTED_VALUE"""),41012.666666666664)</f>
        <v>41012.66667</v>
      </c>
      <c r="B643" s="1">
        <f>IFERROR(__xludf.DUMMYFUNCTION("""COMPUTED_VALUE"""),66.72)</f>
        <v>66.72</v>
      </c>
      <c r="C643" s="1">
        <f>IFERROR(__xludf.DUMMYFUNCTION("""COMPUTED_VALUE"""),67.13)</f>
        <v>67.13</v>
      </c>
      <c r="D643" s="1">
        <f>IFERROR(__xludf.DUMMYFUNCTION("""COMPUTED_VALUE"""),65.8)</f>
        <v>65.8</v>
      </c>
      <c r="E643" s="1">
        <f>IFERROR(__xludf.DUMMYFUNCTION("""COMPUTED_VALUE"""),65.81)</f>
        <v>65.81</v>
      </c>
      <c r="F643" s="1">
        <f>IFERROR(__xludf.DUMMYFUNCTION("""COMPUTED_VALUE"""),8.1560106E7)</f>
        <v>81560106</v>
      </c>
    </row>
    <row r="644">
      <c r="A644" s="2">
        <f>IFERROR(__xludf.DUMMYFUNCTION("""COMPUTED_VALUE"""),41019.666666666664)</f>
        <v>41019.66667</v>
      </c>
      <c r="B644" s="1">
        <f>IFERROR(__xludf.DUMMYFUNCTION("""COMPUTED_VALUE"""),66.01)</f>
        <v>66.01</v>
      </c>
      <c r="C644" s="1">
        <f>IFERROR(__xludf.DUMMYFUNCTION("""COMPUTED_VALUE"""),67.61)</f>
        <v>67.61</v>
      </c>
      <c r="D644" s="1">
        <f>IFERROR(__xludf.DUMMYFUNCTION("""COMPUTED_VALUE"""),65.88)</f>
        <v>65.88</v>
      </c>
      <c r="E644" s="1">
        <f>IFERROR(__xludf.DUMMYFUNCTION("""COMPUTED_VALUE"""),67.51)</f>
        <v>67.51</v>
      </c>
      <c r="F644" s="1">
        <f>IFERROR(__xludf.DUMMYFUNCTION("""COMPUTED_VALUE"""),6.6601574E7)</f>
        <v>66601574</v>
      </c>
    </row>
    <row r="645">
      <c r="A645" s="2">
        <f>IFERROR(__xludf.DUMMYFUNCTION("""COMPUTED_VALUE"""),41026.666666666664)</f>
        <v>41026.66667</v>
      </c>
      <c r="B645" s="1">
        <f>IFERROR(__xludf.DUMMYFUNCTION("""COMPUTED_VALUE"""),66.91)</f>
        <v>66.91</v>
      </c>
      <c r="C645" s="1">
        <f>IFERROR(__xludf.DUMMYFUNCTION("""COMPUTED_VALUE"""),67.14)</f>
        <v>67.14</v>
      </c>
      <c r="D645" s="1">
        <f>IFERROR(__xludf.DUMMYFUNCTION("""COMPUTED_VALUE"""),63.95)</f>
        <v>63.95</v>
      </c>
      <c r="E645" s="1">
        <f>IFERROR(__xludf.DUMMYFUNCTION("""COMPUTED_VALUE"""),64.44)</f>
        <v>64.44</v>
      </c>
      <c r="F645" s="1">
        <f>IFERROR(__xludf.DUMMYFUNCTION("""COMPUTED_VALUE"""),5.9077643E7)</f>
        <v>59077643</v>
      </c>
    </row>
    <row r="646">
      <c r="A646" s="2">
        <f>IFERROR(__xludf.DUMMYFUNCTION("""COMPUTED_VALUE"""),41033.666666666664)</f>
        <v>41033.66667</v>
      </c>
      <c r="B646" s="1">
        <f>IFERROR(__xludf.DUMMYFUNCTION("""COMPUTED_VALUE"""),63.58)</f>
        <v>63.58</v>
      </c>
      <c r="C646" s="1">
        <f>IFERROR(__xludf.DUMMYFUNCTION("""COMPUTED_VALUE"""),64.76)</f>
        <v>64.76</v>
      </c>
      <c r="D646" s="1">
        <f>IFERROR(__xludf.DUMMYFUNCTION("""COMPUTED_VALUE"""),63.29)</f>
        <v>63.29</v>
      </c>
      <c r="E646" s="1">
        <f>IFERROR(__xludf.DUMMYFUNCTION("""COMPUTED_VALUE"""),64.28)</f>
        <v>64.28</v>
      </c>
      <c r="F646" s="1">
        <f>IFERROR(__xludf.DUMMYFUNCTION("""COMPUTED_VALUE"""),6.4874805E7)</f>
        <v>64874805</v>
      </c>
    </row>
    <row r="647">
      <c r="A647" s="2">
        <f>IFERROR(__xludf.DUMMYFUNCTION("""COMPUTED_VALUE"""),41040.666666666664)</f>
        <v>41040.66667</v>
      </c>
      <c r="B647" s="1">
        <f>IFERROR(__xludf.DUMMYFUNCTION("""COMPUTED_VALUE"""),63.46)</f>
        <v>63.46</v>
      </c>
      <c r="C647" s="1">
        <f>IFERROR(__xludf.DUMMYFUNCTION("""COMPUTED_VALUE"""),64.5)</f>
        <v>64.5</v>
      </c>
      <c r="D647" s="1">
        <f>IFERROR(__xludf.DUMMYFUNCTION("""COMPUTED_VALUE"""),63.36)</f>
        <v>63.36</v>
      </c>
      <c r="E647" s="1">
        <f>IFERROR(__xludf.DUMMYFUNCTION("""COMPUTED_VALUE"""),63.68)</f>
        <v>63.68</v>
      </c>
      <c r="F647" s="1">
        <f>IFERROR(__xludf.DUMMYFUNCTION("""COMPUTED_VALUE"""),5.588149E7)</f>
        <v>55881490</v>
      </c>
    </row>
    <row r="648">
      <c r="A648" s="2">
        <f>IFERROR(__xludf.DUMMYFUNCTION("""COMPUTED_VALUE"""),41047.666666666664)</f>
        <v>41047.66667</v>
      </c>
      <c r="B648" s="1">
        <f>IFERROR(__xludf.DUMMYFUNCTION("""COMPUTED_VALUE"""),63.5)</f>
        <v>63.5</v>
      </c>
      <c r="C648" s="1">
        <f>IFERROR(__xludf.DUMMYFUNCTION("""COMPUTED_VALUE"""),64.81)</f>
        <v>64.81</v>
      </c>
      <c r="D648" s="1">
        <f>IFERROR(__xludf.DUMMYFUNCTION("""COMPUTED_VALUE"""),63.3)</f>
        <v>63.3</v>
      </c>
      <c r="E648" s="1">
        <f>IFERROR(__xludf.DUMMYFUNCTION("""COMPUTED_VALUE"""),63.52)</f>
        <v>63.52</v>
      </c>
      <c r="F648" s="1">
        <f>IFERROR(__xludf.DUMMYFUNCTION("""COMPUTED_VALUE"""),5.6949937E7)</f>
        <v>56949937</v>
      </c>
    </row>
    <row r="649">
      <c r="A649" s="2">
        <f>IFERROR(__xludf.DUMMYFUNCTION("""COMPUTED_VALUE"""),41054.666666666664)</f>
        <v>41054.66667</v>
      </c>
      <c r="B649" s="1">
        <f>IFERROR(__xludf.DUMMYFUNCTION("""COMPUTED_VALUE"""),63.66)</f>
        <v>63.66</v>
      </c>
      <c r="C649" s="1">
        <f>IFERROR(__xludf.DUMMYFUNCTION("""COMPUTED_VALUE"""),63.8)</f>
        <v>63.8</v>
      </c>
      <c r="D649" s="1">
        <f>IFERROR(__xludf.DUMMYFUNCTION("""COMPUTED_VALUE"""),62.04)</f>
        <v>62.04</v>
      </c>
      <c r="E649" s="1">
        <f>IFERROR(__xludf.DUMMYFUNCTION("""COMPUTED_VALUE"""),62.49)</f>
        <v>62.49</v>
      </c>
      <c r="F649" s="1">
        <f>IFERROR(__xludf.DUMMYFUNCTION("""COMPUTED_VALUE"""),4.741093E7)</f>
        <v>47410930</v>
      </c>
    </row>
    <row r="650">
      <c r="A650" s="2">
        <f>IFERROR(__xludf.DUMMYFUNCTION("""COMPUTED_VALUE"""),41061.666666666664)</f>
        <v>41061.66667</v>
      </c>
      <c r="B650" s="1">
        <f>IFERROR(__xludf.DUMMYFUNCTION("""COMPUTED_VALUE"""),62.64)</f>
        <v>62.64</v>
      </c>
      <c r="C650" s="1">
        <f>IFERROR(__xludf.DUMMYFUNCTION("""COMPUTED_VALUE"""),63.03)</f>
        <v>63.03</v>
      </c>
      <c r="D650" s="1">
        <f>IFERROR(__xludf.DUMMYFUNCTION("""COMPUTED_VALUE"""),61.2)</f>
        <v>61.2</v>
      </c>
      <c r="E650" s="1">
        <f>IFERROR(__xludf.DUMMYFUNCTION("""COMPUTED_VALUE"""),61.55)</f>
        <v>61.55</v>
      </c>
      <c r="F650" s="1">
        <f>IFERROR(__xludf.DUMMYFUNCTION("""COMPUTED_VALUE"""),3.6900495E7)</f>
        <v>36900495</v>
      </c>
    </row>
    <row r="651">
      <c r="A651" s="2">
        <f>IFERROR(__xludf.DUMMYFUNCTION("""COMPUTED_VALUE"""),41068.666666666664)</f>
        <v>41068.66667</v>
      </c>
      <c r="B651" s="1">
        <f>IFERROR(__xludf.DUMMYFUNCTION("""COMPUTED_VALUE"""),61.69)</f>
        <v>61.69</v>
      </c>
      <c r="C651" s="1">
        <f>IFERROR(__xludf.DUMMYFUNCTION("""COMPUTED_VALUE"""),63.19)</f>
        <v>63.19</v>
      </c>
      <c r="D651" s="1">
        <f>IFERROR(__xludf.DUMMYFUNCTION("""COMPUTED_VALUE"""),61.02)</f>
        <v>61.02</v>
      </c>
      <c r="E651" s="1">
        <f>IFERROR(__xludf.DUMMYFUNCTION("""COMPUTED_VALUE"""),62.75)</f>
        <v>62.75</v>
      </c>
      <c r="F651" s="1">
        <f>IFERROR(__xludf.DUMMYFUNCTION("""COMPUTED_VALUE"""),4.6856138E7)</f>
        <v>46856138</v>
      </c>
    </row>
    <row r="652">
      <c r="A652" s="2">
        <f>IFERROR(__xludf.DUMMYFUNCTION("""COMPUTED_VALUE"""),41075.666666666664)</f>
        <v>41075.66667</v>
      </c>
      <c r="B652" s="1">
        <f>IFERROR(__xludf.DUMMYFUNCTION("""COMPUTED_VALUE"""),62.99)</f>
        <v>62.99</v>
      </c>
      <c r="C652" s="1">
        <f>IFERROR(__xludf.DUMMYFUNCTION("""COMPUTED_VALUE"""),63.67)</f>
        <v>63.67</v>
      </c>
      <c r="D652" s="1">
        <f>IFERROR(__xludf.DUMMYFUNCTION("""COMPUTED_VALUE"""),62.21)</f>
        <v>62.21</v>
      </c>
      <c r="E652" s="1">
        <f>IFERROR(__xludf.DUMMYFUNCTION("""COMPUTED_VALUE"""),62.88)</f>
        <v>62.88</v>
      </c>
      <c r="F652" s="1">
        <f>IFERROR(__xludf.DUMMYFUNCTION("""COMPUTED_VALUE"""),4.3524686E7)</f>
        <v>43524686</v>
      </c>
    </row>
    <row r="653">
      <c r="A653" s="2">
        <f>IFERROR(__xludf.DUMMYFUNCTION("""COMPUTED_VALUE"""),41082.666666666664)</f>
        <v>41082.66667</v>
      </c>
      <c r="B653" s="1">
        <f>IFERROR(__xludf.DUMMYFUNCTION("""COMPUTED_VALUE"""),62.56)</f>
        <v>62.56</v>
      </c>
      <c r="C653" s="1">
        <f>IFERROR(__xludf.DUMMYFUNCTION("""COMPUTED_VALUE"""),62.75)</f>
        <v>62.75</v>
      </c>
      <c r="D653" s="1">
        <f>IFERROR(__xludf.DUMMYFUNCTION("""COMPUTED_VALUE"""),59.74)</f>
        <v>59.74</v>
      </c>
      <c r="E653" s="1">
        <f>IFERROR(__xludf.DUMMYFUNCTION("""COMPUTED_VALUE"""),59.83)</f>
        <v>59.83</v>
      </c>
      <c r="F653" s="1">
        <f>IFERROR(__xludf.DUMMYFUNCTION("""COMPUTED_VALUE"""),9.5551392E7)</f>
        <v>95551392</v>
      </c>
    </row>
    <row r="654">
      <c r="A654" s="2">
        <f>IFERROR(__xludf.DUMMYFUNCTION("""COMPUTED_VALUE"""),41089.666666666664)</f>
        <v>41089.66667</v>
      </c>
      <c r="B654" s="1">
        <f>IFERROR(__xludf.DUMMYFUNCTION("""COMPUTED_VALUE"""),59.54)</f>
        <v>59.54</v>
      </c>
      <c r="C654" s="1">
        <f>IFERROR(__xludf.DUMMYFUNCTION("""COMPUTED_VALUE"""),61.27)</f>
        <v>61.27</v>
      </c>
      <c r="D654" s="1">
        <f>IFERROR(__xludf.DUMMYFUNCTION("""COMPUTED_VALUE"""),59.07)</f>
        <v>59.07</v>
      </c>
      <c r="E654" s="1">
        <f>IFERROR(__xludf.DUMMYFUNCTION("""COMPUTED_VALUE"""),61.25)</f>
        <v>61.25</v>
      </c>
      <c r="F654" s="1">
        <f>IFERROR(__xludf.DUMMYFUNCTION("""COMPUTED_VALUE"""),5.4503811E7)</f>
        <v>54503811</v>
      </c>
    </row>
    <row r="655">
      <c r="A655" s="2">
        <f>IFERROR(__xludf.DUMMYFUNCTION("""COMPUTED_VALUE"""),41096.666666666664)</f>
        <v>41096.66667</v>
      </c>
      <c r="B655" s="1">
        <f>IFERROR(__xludf.DUMMYFUNCTION("""COMPUTED_VALUE"""),61.04)</f>
        <v>61.04</v>
      </c>
      <c r="C655" s="1">
        <f>IFERROR(__xludf.DUMMYFUNCTION("""COMPUTED_VALUE"""),61.6)</f>
        <v>61.6</v>
      </c>
      <c r="D655" s="1">
        <f>IFERROR(__xludf.DUMMYFUNCTION("""COMPUTED_VALUE"""),60.78)</f>
        <v>60.78</v>
      </c>
      <c r="E655" s="1">
        <f>IFERROR(__xludf.DUMMYFUNCTION("""COMPUTED_VALUE"""),61.28)</f>
        <v>61.28</v>
      </c>
      <c r="F655" s="1">
        <f>IFERROR(__xludf.DUMMYFUNCTION("""COMPUTED_VALUE"""),8.5921973E7)</f>
        <v>85921973</v>
      </c>
    </row>
    <row r="656">
      <c r="A656" s="2">
        <f>IFERROR(__xludf.DUMMYFUNCTION("""COMPUTED_VALUE"""),41103.666666666664)</f>
        <v>41103.66667</v>
      </c>
      <c r="B656" s="1">
        <f>IFERROR(__xludf.DUMMYFUNCTION("""COMPUTED_VALUE"""),61.12)</f>
        <v>61.12</v>
      </c>
      <c r="C656" s="1">
        <f>IFERROR(__xludf.DUMMYFUNCTION("""COMPUTED_VALUE"""),65.75)</f>
        <v>65.75</v>
      </c>
      <c r="D656" s="1">
        <f>IFERROR(__xludf.DUMMYFUNCTION("""COMPUTED_VALUE"""),60.98)</f>
        <v>60.98</v>
      </c>
      <c r="E656" s="1">
        <f>IFERROR(__xludf.DUMMYFUNCTION("""COMPUTED_VALUE"""),65.09)</f>
        <v>65.09</v>
      </c>
      <c r="F656" s="1">
        <f>IFERROR(__xludf.DUMMYFUNCTION("""COMPUTED_VALUE"""),1.18431293E8)</f>
        <v>118431293</v>
      </c>
    </row>
    <row r="657">
      <c r="A657" s="2">
        <f>IFERROR(__xludf.DUMMYFUNCTION("""COMPUTED_VALUE"""),41110.666666666664)</f>
        <v>41110.66667</v>
      </c>
      <c r="B657" s="1">
        <f>IFERROR(__xludf.DUMMYFUNCTION("""COMPUTED_VALUE"""),64.62)</f>
        <v>64.62</v>
      </c>
      <c r="C657" s="1">
        <f>IFERROR(__xludf.DUMMYFUNCTION("""COMPUTED_VALUE"""),65.4)</f>
        <v>65.4</v>
      </c>
      <c r="D657" s="1">
        <f>IFERROR(__xludf.DUMMYFUNCTION("""COMPUTED_VALUE"""),64.24)</f>
        <v>64.24</v>
      </c>
      <c r="E657" s="1">
        <f>IFERROR(__xludf.DUMMYFUNCTION("""COMPUTED_VALUE"""),64.73)</f>
        <v>64.73</v>
      </c>
      <c r="F657" s="1">
        <f>IFERROR(__xludf.DUMMYFUNCTION("""COMPUTED_VALUE"""),5.4831248E7)</f>
        <v>54831248</v>
      </c>
    </row>
    <row r="658">
      <c r="A658" s="2">
        <f>IFERROR(__xludf.DUMMYFUNCTION("""COMPUTED_VALUE"""),41117.666666666664)</f>
        <v>41117.66667</v>
      </c>
      <c r="B658" s="1">
        <f>IFERROR(__xludf.DUMMYFUNCTION("""COMPUTED_VALUE"""),64.4)</f>
        <v>64.4</v>
      </c>
      <c r="C658" s="1">
        <f>IFERROR(__xludf.DUMMYFUNCTION("""COMPUTED_VALUE"""),65.27)</f>
        <v>65.27</v>
      </c>
      <c r="D658" s="1">
        <f>IFERROR(__xludf.DUMMYFUNCTION("""COMPUTED_VALUE"""),63.72)</f>
        <v>63.72</v>
      </c>
      <c r="E658" s="1">
        <f>IFERROR(__xludf.DUMMYFUNCTION("""COMPUTED_VALUE"""),65.09)</f>
        <v>65.09</v>
      </c>
      <c r="F658" s="1">
        <f>IFERROR(__xludf.DUMMYFUNCTION("""COMPUTED_VALUE"""),5.0030613E7)</f>
        <v>50030613</v>
      </c>
    </row>
    <row r="659">
      <c r="A659" s="2">
        <f>IFERROR(__xludf.DUMMYFUNCTION("""COMPUTED_VALUE"""),41124.666666666664)</f>
        <v>41124.66667</v>
      </c>
      <c r="B659" s="1">
        <f>IFERROR(__xludf.DUMMYFUNCTION("""COMPUTED_VALUE"""),64.89)</f>
        <v>64.89</v>
      </c>
      <c r="C659" s="1">
        <f>IFERROR(__xludf.DUMMYFUNCTION("""COMPUTED_VALUE"""),65.9)</f>
        <v>65.9</v>
      </c>
      <c r="D659" s="1">
        <f>IFERROR(__xludf.DUMMYFUNCTION("""COMPUTED_VALUE"""),63.25)</f>
        <v>63.25</v>
      </c>
      <c r="E659" s="1">
        <f>IFERROR(__xludf.DUMMYFUNCTION("""COMPUTED_VALUE"""),65.5)</f>
        <v>65.5</v>
      </c>
      <c r="F659" s="1">
        <f>IFERROR(__xludf.DUMMYFUNCTION("""COMPUTED_VALUE"""),5.0240719E7)</f>
        <v>50240719</v>
      </c>
    </row>
    <row r="660">
      <c r="A660" s="2">
        <f>IFERROR(__xludf.DUMMYFUNCTION("""COMPUTED_VALUE"""),41131.666666666664)</f>
        <v>41131.66667</v>
      </c>
      <c r="B660" s="1">
        <f>IFERROR(__xludf.DUMMYFUNCTION("""COMPUTED_VALUE"""),65.23)</f>
        <v>65.23</v>
      </c>
      <c r="C660" s="1">
        <f>IFERROR(__xludf.DUMMYFUNCTION("""COMPUTED_VALUE"""),66.93)</f>
        <v>66.93</v>
      </c>
      <c r="D660" s="1">
        <f>IFERROR(__xludf.DUMMYFUNCTION("""COMPUTED_VALUE"""),65.2)</f>
        <v>65.2</v>
      </c>
      <c r="E660" s="1">
        <f>IFERROR(__xludf.DUMMYFUNCTION("""COMPUTED_VALUE"""),66.77)</f>
        <v>66.77</v>
      </c>
      <c r="F660" s="1">
        <f>IFERROR(__xludf.DUMMYFUNCTION("""COMPUTED_VALUE"""),4.7142649E7)</f>
        <v>47142649</v>
      </c>
    </row>
    <row r="661">
      <c r="A661" s="2">
        <f>IFERROR(__xludf.DUMMYFUNCTION("""COMPUTED_VALUE"""),41138.666666666664)</f>
        <v>41138.66667</v>
      </c>
      <c r="B661" s="1">
        <f>IFERROR(__xludf.DUMMYFUNCTION("""COMPUTED_VALUE"""),66.56)</f>
        <v>66.56</v>
      </c>
      <c r="C661" s="1">
        <f>IFERROR(__xludf.DUMMYFUNCTION("""COMPUTED_VALUE"""),67.3)</f>
        <v>67.3</v>
      </c>
      <c r="D661" s="1">
        <f>IFERROR(__xludf.DUMMYFUNCTION("""COMPUTED_VALUE"""),66.19)</f>
        <v>66.19</v>
      </c>
      <c r="E661" s="1">
        <f>IFERROR(__xludf.DUMMYFUNCTION("""COMPUTED_VALUE"""),67.0)</f>
        <v>67</v>
      </c>
      <c r="F661" s="1">
        <f>IFERROR(__xludf.DUMMYFUNCTION("""COMPUTED_VALUE"""),4.4955663E7)</f>
        <v>44955663</v>
      </c>
    </row>
    <row r="662">
      <c r="A662" s="2">
        <f>IFERROR(__xludf.DUMMYFUNCTION("""COMPUTED_VALUE"""),41145.666666666664)</f>
        <v>41145.66667</v>
      </c>
      <c r="B662" s="1">
        <f>IFERROR(__xludf.DUMMYFUNCTION("""COMPUTED_VALUE"""),66.93)</f>
        <v>66.93</v>
      </c>
      <c r="C662" s="1">
        <f>IFERROR(__xludf.DUMMYFUNCTION("""COMPUTED_VALUE"""),67.18)</f>
        <v>67.18</v>
      </c>
      <c r="D662" s="1">
        <f>IFERROR(__xludf.DUMMYFUNCTION("""COMPUTED_VALUE"""),66.33)</f>
        <v>66.33</v>
      </c>
      <c r="E662" s="1">
        <f>IFERROR(__xludf.DUMMYFUNCTION("""COMPUTED_VALUE"""),67.02)</f>
        <v>67.02</v>
      </c>
      <c r="F662" s="1">
        <f>IFERROR(__xludf.DUMMYFUNCTION("""COMPUTED_VALUE"""),4.2420292E7)</f>
        <v>42420292</v>
      </c>
    </row>
    <row r="663">
      <c r="A663" s="2">
        <f>IFERROR(__xludf.DUMMYFUNCTION("""COMPUTED_VALUE"""),41152.666666666664)</f>
        <v>41152.66667</v>
      </c>
      <c r="B663" s="1">
        <f>IFERROR(__xludf.DUMMYFUNCTION("""COMPUTED_VALUE"""),66.93)</f>
        <v>66.93</v>
      </c>
      <c r="C663" s="1">
        <f>IFERROR(__xludf.DUMMYFUNCTION("""COMPUTED_VALUE"""),67.45)</f>
        <v>67.45</v>
      </c>
      <c r="D663" s="1">
        <f>IFERROR(__xludf.DUMMYFUNCTION("""COMPUTED_VALUE"""),66.62)</f>
        <v>66.62</v>
      </c>
      <c r="E663" s="1">
        <f>IFERROR(__xludf.DUMMYFUNCTION("""COMPUTED_VALUE"""),67.19)</f>
        <v>67.19</v>
      </c>
      <c r="F663" s="1">
        <f>IFERROR(__xludf.DUMMYFUNCTION("""COMPUTED_VALUE"""),3.8151283E7)</f>
        <v>38151283</v>
      </c>
    </row>
    <row r="664">
      <c r="A664" s="2">
        <f>IFERROR(__xludf.DUMMYFUNCTION("""COMPUTED_VALUE"""),41159.666666666664)</f>
        <v>41159.66667</v>
      </c>
      <c r="B664" s="1">
        <f>IFERROR(__xludf.DUMMYFUNCTION("""COMPUTED_VALUE"""),67.22)</f>
        <v>67.22</v>
      </c>
      <c r="C664" s="1">
        <f>IFERROR(__xludf.DUMMYFUNCTION("""COMPUTED_VALUE"""),68.6)</f>
        <v>68.6</v>
      </c>
      <c r="D664" s="1">
        <f>IFERROR(__xludf.DUMMYFUNCTION("""COMPUTED_VALUE"""),67.01)</f>
        <v>67.01</v>
      </c>
      <c r="E664" s="1">
        <f>IFERROR(__xludf.DUMMYFUNCTION("""COMPUTED_VALUE"""),68.52)</f>
        <v>68.52</v>
      </c>
      <c r="F664" s="1">
        <f>IFERROR(__xludf.DUMMYFUNCTION("""COMPUTED_VALUE"""),4.1226847E7)</f>
        <v>41226847</v>
      </c>
    </row>
    <row r="665">
      <c r="A665" s="2">
        <f>IFERROR(__xludf.DUMMYFUNCTION("""COMPUTED_VALUE"""),41166.666666666664)</f>
        <v>41166.66667</v>
      </c>
      <c r="B665" s="1">
        <f>IFERROR(__xludf.DUMMYFUNCTION("""COMPUTED_VALUE"""),68.41)</f>
        <v>68.41</v>
      </c>
      <c r="C665" s="1">
        <f>IFERROR(__xludf.DUMMYFUNCTION("""COMPUTED_VALUE"""),69.22)</f>
        <v>69.22</v>
      </c>
      <c r="D665" s="1">
        <f>IFERROR(__xludf.DUMMYFUNCTION("""COMPUTED_VALUE"""),67.89)</f>
        <v>67.89</v>
      </c>
      <c r="E665" s="1">
        <f>IFERROR(__xludf.DUMMYFUNCTION("""COMPUTED_VALUE"""),69.16)</f>
        <v>69.16</v>
      </c>
      <c r="F665" s="1">
        <f>IFERROR(__xludf.DUMMYFUNCTION("""COMPUTED_VALUE"""),4.7424735E7)</f>
        <v>47424735</v>
      </c>
    </row>
    <row r="666">
      <c r="A666" s="2">
        <f>IFERROR(__xludf.DUMMYFUNCTION("""COMPUTED_VALUE"""),41173.666666666664)</f>
        <v>41173.66667</v>
      </c>
      <c r="B666" s="1">
        <f>IFERROR(__xludf.DUMMYFUNCTION("""COMPUTED_VALUE"""),68.88)</f>
        <v>68.88</v>
      </c>
      <c r="C666" s="1">
        <f>IFERROR(__xludf.DUMMYFUNCTION("""COMPUTED_VALUE"""),69.83)</f>
        <v>69.83</v>
      </c>
      <c r="D666" s="1">
        <f>IFERROR(__xludf.DUMMYFUNCTION("""COMPUTED_VALUE"""),68.86)</f>
        <v>68.86</v>
      </c>
      <c r="E666" s="1">
        <f>IFERROR(__xludf.DUMMYFUNCTION("""COMPUTED_VALUE"""),69.42)</f>
        <v>69.42</v>
      </c>
      <c r="F666" s="1">
        <f>IFERROR(__xludf.DUMMYFUNCTION("""COMPUTED_VALUE"""),6.1753261E7)</f>
        <v>61753261</v>
      </c>
    </row>
    <row r="667">
      <c r="A667" s="2">
        <f>IFERROR(__xludf.DUMMYFUNCTION("""COMPUTED_VALUE"""),41180.666666666664)</f>
        <v>41180.66667</v>
      </c>
      <c r="B667" s="1">
        <f>IFERROR(__xludf.DUMMYFUNCTION("""COMPUTED_VALUE"""),69.34)</f>
        <v>69.34</v>
      </c>
      <c r="C667" s="1">
        <f>IFERROR(__xludf.DUMMYFUNCTION("""COMPUTED_VALUE"""),69.97)</f>
        <v>69.97</v>
      </c>
      <c r="D667" s="1">
        <f>IFERROR(__xludf.DUMMYFUNCTION("""COMPUTED_VALUE"""),68.64)</f>
        <v>68.64</v>
      </c>
      <c r="E667" s="1">
        <f>IFERROR(__xludf.DUMMYFUNCTION("""COMPUTED_VALUE"""),69.36)</f>
        <v>69.36</v>
      </c>
      <c r="F667" s="1">
        <f>IFERROR(__xludf.DUMMYFUNCTION("""COMPUTED_VALUE"""),4.1816911E7)</f>
        <v>41816911</v>
      </c>
    </row>
    <row r="668">
      <c r="A668" s="2">
        <f>IFERROR(__xludf.DUMMYFUNCTION("""COMPUTED_VALUE"""),41187.666666666664)</f>
        <v>41187.66667</v>
      </c>
      <c r="B668" s="1">
        <f>IFERROR(__xludf.DUMMYFUNCTION("""COMPUTED_VALUE"""),69.33)</f>
        <v>69.33</v>
      </c>
      <c r="C668" s="1">
        <f>IFERROR(__xludf.DUMMYFUNCTION("""COMPUTED_VALUE"""),69.85)</f>
        <v>69.85</v>
      </c>
      <c r="D668" s="1">
        <f>IFERROR(__xludf.DUMMYFUNCTION("""COMPUTED_VALUE"""),68.52)</f>
        <v>68.52</v>
      </c>
      <c r="E668" s="1">
        <f>IFERROR(__xludf.DUMMYFUNCTION("""COMPUTED_VALUE"""),69.63)</f>
        <v>69.63</v>
      </c>
      <c r="F668" s="1">
        <f>IFERROR(__xludf.DUMMYFUNCTION("""COMPUTED_VALUE"""),4.3400844E7)</f>
        <v>43400844</v>
      </c>
    </row>
    <row r="669">
      <c r="A669" s="2">
        <f>IFERROR(__xludf.DUMMYFUNCTION("""COMPUTED_VALUE"""),41194.666666666664)</f>
        <v>41194.66667</v>
      </c>
      <c r="B669" s="1">
        <f>IFERROR(__xludf.DUMMYFUNCTION("""COMPUTED_VALUE"""),69.48)</f>
        <v>69.48</v>
      </c>
      <c r="C669" s="1">
        <f>IFERROR(__xludf.DUMMYFUNCTION("""COMPUTED_VALUE"""),69.48)</f>
        <v>69.48</v>
      </c>
      <c r="D669" s="1">
        <f>IFERROR(__xludf.DUMMYFUNCTION("""COMPUTED_VALUE"""),67.82)</f>
        <v>67.82</v>
      </c>
      <c r="E669" s="1">
        <f>IFERROR(__xludf.DUMMYFUNCTION("""COMPUTED_VALUE"""),67.94)</f>
        <v>67.94</v>
      </c>
      <c r="F669" s="1">
        <f>IFERROR(__xludf.DUMMYFUNCTION("""COMPUTED_VALUE"""),3.6853141E7)</f>
        <v>36853141</v>
      </c>
    </row>
    <row r="670">
      <c r="A670" s="2">
        <f>IFERROR(__xludf.DUMMYFUNCTION("""COMPUTED_VALUE"""),41201.666666666664)</f>
        <v>41201.66667</v>
      </c>
      <c r="B670" s="1">
        <f>IFERROR(__xludf.DUMMYFUNCTION("""COMPUTED_VALUE"""),68.27)</f>
        <v>68.27</v>
      </c>
      <c r="C670" s="1">
        <f>IFERROR(__xludf.DUMMYFUNCTION("""COMPUTED_VALUE"""),69.64)</f>
        <v>69.64</v>
      </c>
      <c r="D670" s="1">
        <f>IFERROR(__xludf.DUMMYFUNCTION("""COMPUTED_VALUE"""),67.97)</f>
        <v>67.97</v>
      </c>
      <c r="E670" s="1">
        <f>IFERROR(__xludf.DUMMYFUNCTION("""COMPUTED_VALUE"""),68.57)</f>
        <v>68.57</v>
      </c>
      <c r="F670" s="1">
        <f>IFERROR(__xludf.DUMMYFUNCTION("""COMPUTED_VALUE"""),4.4611171E7)</f>
        <v>44611171</v>
      </c>
    </row>
    <row r="671">
      <c r="A671" s="2">
        <f>IFERROR(__xludf.DUMMYFUNCTION("""COMPUTED_VALUE"""),41208.666666666664)</f>
        <v>41208.66667</v>
      </c>
      <c r="B671" s="1">
        <f>IFERROR(__xludf.DUMMYFUNCTION("""COMPUTED_VALUE"""),68.35)</f>
        <v>68.35</v>
      </c>
      <c r="C671" s="1">
        <f>IFERROR(__xludf.DUMMYFUNCTION("""COMPUTED_VALUE"""),70.83)</f>
        <v>70.83</v>
      </c>
      <c r="D671" s="1">
        <f>IFERROR(__xludf.DUMMYFUNCTION("""COMPUTED_VALUE"""),67.26)</f>
        <v>67.26</v>
      </c>
      <c r="E671" s="1">
        <f>IFERROR(__xludf.DUMMYFUNCTION("""COMPUTED_VALUE"""),69.44)</f>
        <v>69.44</v>
      </c>
      <c r="F671" s="1">
        <f>IFERROR(__xludf.DUMMYFUNCTION("""COMPUTED_VALUE"""),6.2184649E7)</f>
        <v>62184649</v>
      </c>
    </row>
    <row r="672">
      <c r="A672" s="2">
        <f>IFERROR(__xludf.DUMMYFUNCTION("""COMPUTED_VALUE"""),41215.666666666664)</f>
        <v>41215.66667</v>
      </c>
      <c r="B672" s="1">
        <f>IFERROR(__xludf.DUMMYFUNCTION("""COMPUTED_VALUE"""),69.51)</f>
        <v>69.51</v>
      </c>
      <c r="C672" s="1">
        <f>IFERROR(__xludf.DUMMYFUNCTION("""COMPUTED_VALUE"""),69.95)</f>
        <v>69.95</v>
      </c>
      <c r="D672" s="1">
        <f>IFERROR(__xludf.DUMMYFUNCTION("""COMPUTED_VALUE"""),69.01)</f>
        <v>69.01</v>
      </c>
      <c r="E672" s="1">
        <f>IFERROR(__xludf.DUMMYFUNCTION("""COMPUTED_VALUE"""),69.19)</f>
        <v>69.19</v>
      </c>
      <c r="F672" s="1">
        <f>IFERROR(__xludf.DUMMYFUNCTION("""COMPUTED_VALUE"""),2.3762623E7)</f>
        <v>23762623</v>
      </c>
    </row>
    <row r="673">
      <c r="A673" s="2">
        <f>IFERROR(__xludf.DUMMYFUNCTION("""COMPUTED_VALUE"""),41222.666666666664)</f>
        <v>41222.66667</v>
      </c>
      <c r="B673" s="1">
        <f>IFERROR(__xludf.DUMMYFUNCTION("""COMPUTED_VALUE"""),69.22)</f>
        <v>69.22</v>
      </c>
      <c r="C673" s="1">
        <f>IFERROR(__xludf.DUMMYFUNCTION("""COMPUTED_VALUE"""),69.22)</f>
        <v>69.22</v>
      </c>
      <c r="D673" s="1">
        <f>IFERROR(__xludf.DUMMYFUNCTION("""COMPUTED_VALUE"""),66.76)</f>
        <v>66.76</v>
      </c>
      <c r="E673" s="1">
        <f>IFERROR(__xludf.DUMMYFUNCTION("""COMPUTED_VALUE"""),67.01)</f>
        <v>67.01</v>
      </c>
      <c r="F673" s="1">
        <f>IFERROR(__xludf.DUMMYFUNCTION("""COMPUTED_VALUE"""),3.8081925E7)</f>
        <v>38081925</v>
      </c>
    </row>
    <row r="674">
      <c r="A674" s="2">
        <f>IFERROR(__xludf.DUMMYFUNCTION("""COMPUTED_VALUE"""),41229.666666666664)</f>
        <v>41229.66667</v>
      </c>
      <c r="B674" s="1">
        <f>IFERROR(__xludf.DUMMYFUNCTION("""COMPUTED_VALUE"""),67.15)</f>
        <v>67.15</v>
      </c>
      <c r="C674" s="1">
        <f>IFERROR(__xludf.DUMMYFUNCTION("""COMPUTED_VALUE"""),67.6)</f>
        <v>67.6</v>
      </c>
      <c r="D674" s="1">
        <f>IFERROR(__xludf.DUMMYFUNCTION("""COMPUTED_VALUE"""),65.83)</f>
        <v>65.83</v>
      </c>
      <c r="E674" s="1">
        <f>IFERROR(__xludf.DUMMYFUNCTION("""COMPUTED_VALUE"""),66.82)</f>
        <v>66.82</v>
      </c>
      <c r="F674" s="1">
        <f>IFERROR(__xludf.DUMMYFUNCTION("""COMPUTED_VALUE"""),4.1468E7)</f>
        <v>41468000</v>
      </c>
    </row>
    <row r="675">
      <c r="A675" s="2">
        <f>IFERROR(__xludf.DUMMYFUNCTION("""COMPUTED_VALUE"""),41236.666666666664)</f>
        <v>41236.66667</v>
      </c>
      <c r="B675" s="1">
        <f>IFERROR(__xludf.DUMMYFUNCTION("""COMPUTED_VALUE"""),66.99)</f>
        <v>66.99</v>
      </c>
      <c r="C675" s="1">
        <f>IFERROR(__xludf.DUMMYFUNCTION("""COMPUTED_VALUE"""),69.61)</f>
        <v>69.61</v>
      </c>
      <c r="D675" s="1">
        <f>IFERROR(__xludf.DUMMYFUNCTION("""COMPUTED_VALUE"""),66.86)</f>
        <v>66.86</v>
      </c>
      <c r="E675" s="1">
        <f>IFERROR(__xludf.DUMMYFUNCTION("""COMPUTED_VALUE"""),69.59)</f>
        <v>69.59</v>
      </c>
      <c r="F675" s="1">
        <f>IFERROR(__xludf.DUMMYFUNCTION("""COMPUTED_VALUE"""),2.7152471E7)</f>
        <v>27152471</v>
      </c>
    </row>
    <row r="676">
      <c r="A676" s="2">
        <f>IFERROR(__xludf.DUMMYFUNCTION("""COMPUTED_VALUE"""),41243.666666666664)</f>
        <v>41243.66667</v>
      </c>
      <c r="B676" s="1">
        <f>IFERROR(__xludf.DUMMYFUNCTION("""COMPUTED_VALUE"""),69.14)</f>
        <v>69.14</v>
      </c>
      <c r="C676" s="1">
        <f>IFERROR(__xludf.DUMMYFUNCTION("""COMPUTED_VALUE"""),69.89)</f>
        <v>69.89</v>
      </c>
      <c r="D676" s="1">
        <f>IFERROR(__xludf.DUMMYFUNCTION("""COMPUTED_VALUE"""),68.9)</f>
        <v>68.9</v>
      </c>
      <c r="E676" s="1">
        <f>IFERROR(__xludf.DUMMYFUNCTION("""COMPUTED_VALUE"""),69.83)</f>
        <v>69.83</v>
      </c>
      <c r="F676" s="1">
        <f>IFERROR(__xludf.DUMMYFUNCTION("""COMPUTED_VALUE"""),4.4576934E7)</f>
        <v>44576934</v>
      </c>
    </row>
    <row r="677">
      <c r="A677" s="2">
        <f>IFERROR(__xludf.DUMMYFUNCTION("""COMPUTED_VALUE"""),41250.666666666664)</f>
        <v>41250.66667</v>
      </c>
      <c r="B677" s="1">
        <f>IFERROR(__xludf.DUMMYFUNCTION("""COMPUTED_VALUE"""),69.84)</f>
        <v>69.84</v>
      </c>
      <c r="C677" s="1">
        <f>IFERROR(__xludf.DUMMYFUNCTION("""COMPUTED_VALUE"""),70.66)</f>
        <v>70.66</v>
      </c>
      <c r="D677" s="1">
        <f>IFERROR(__xludf.DUMMYFUNCTION("""COMPUTED_VALUE"""),69.07)</f>
        <v>69.07</v>
      </c>
      <c r="E677" s="1">
        <f>IFERROR(__xludf.DUMMYFUNCTION("""COMPUTED_VALUE"""),70.29)</f>
        <v>70.29</v>
      </c>
      <c r="F677" s="1">
        <f>IFERROR(__xludf.DUMMYFUNCTION("""COMPUTED_VALUE"""),4.3942186E7)</f>
        <v>43942186</v>
      </c>
    </row>
    <row r="678">
      <c r="A678" s="2">
        <f>IFERROR(__xludf.DUMMYFUNCTION("""COMPUTED_VALUE"""),41257.666666666664)</f>
        <v>41257.66667</v>
      </c>
      <c r="B678" s="1">
        <f>IFERROR(__xludf.DUMMYFUNCTION("""COMPUTED_VALUE"""),70.12)</f>
        <v>70.12</v>
      </c>
      <c r="C678" s="1">
        <f>IFERROR(__xludf.DUMMYFUNCTION("""COMPUTED_VALUE"""),70.99)</f>
        <v>70.99</v>
      </c>
      <c r="D678" s="1">
        <f>IFERROR(__xludf.DUMMYFUNCTION("""COMPUTED_VALUE"""),69.78)</f>
        <v>69.78</v>
      </c>
      <c r="E678" s="1">
        <f>IFERROR(__xludf.DUMMYFUNCTION("""COMPUTED_VALUE"""),69.93)</f>
        <v>69.93</v>
      </c>
      <c r="F678" s="1">
        <f>IFERROR(__xludf.DUMMYFUNCTION("""COMPUTED_VALUE"""),4.3303897E7)</f>
        <v>43303897</v>
      </c>
    </row>
    <row r="679">
      <c r="A679" s="2">
        <f>IFERROR(__xludf.DUMMYFUNCTION("""COMPUTED_VALUE"""),41264.666666666664)</f>
        <v>41264.66667</v>
      </c>
      <c r="B679" s="1">
        <f>IFERROR(__xludf.DUMMYFUNCTION("""COMPUTED_VALUE"""),69.95)</f>
        <v>69.95</v>
      </c>
      <c r="C679" s="1">
        <f>IFERROR(__xludf.DUMMYFUNCTION("""COMPUTED_VALUE"""),70.28)</f>
        <v>70.28</v>
      </c>
      <c r="D679" s="1">
        <f>IFERROR(__xludf.DUMMYFUNCTION("""COMPUTED_VALUE"""),68.38)</f>
        <v>68.38</v>
      </c>
      <c r="E679" s="1">
        <f>IFERROR(__xludf.DUMMYFUNCTION("""COMPUTED_VALUE"""),68.72)</f>
        <v>68.72</v>
      </c>
      <c r="F679" s="1">
        <f>IFERROR(__xludf.DUMMYFUNCTION("""COMPUTED_VALUE"""),6.0658171E7)</f>
        <v>60658171</v>
      </c>
    </row>
    <row r="680">
      <c r="A680" s="2">
        <f>IFERROR(__xludf.DUMMYFUNCTION("""COMPUTED_VALUE"""),41271.666666666664)</f>
        <v>41271.66667</v>
      </c>
      <c r="B680" s="1">
        <f>IFERROR(__xludf.DUMMYFUNCTION("""COMPUTED_VALUE"""),68.67)</f>
        <v>68.67</v>
      </c>
      <c r="C680" s="1">
        <f>IFERROR(__xludf.DUMMYFUNCTION("""COMPUTED_VALUE"""),68.69)</f>
        <v>68.69</v>
      </c>
      <c r="D680" s="1">
        <f>IFERROR(__xludf.DUMMYFUNCTION("""COMPUTED_VALUE"""),67.06)</f>
        <v>67.06</v>
      </c>
      <c r="E680" s="1">
        <f>IFERROR(__xludf.DUMMYFUNCTION("""COMPUTED_VALUE"""),67.15)</f>
        <v>67.15</v>
      </c>
      <c r="F680" s="1">
        <f>IFERROR(__xludf.DUMMYFUNCTION("""COMPUTED_VALUE"""),2.4629603E7)</f>
        <v>24629603</v>
      </c>
    </row>
    <row r="681">
      <c r="A681" s="2">
        <f>IFERROR(__xludf.DUMMYFUNCTION("""COMPUTED_VALUE"""),41278.666666666664)</f>
        <v>41278.66667</v>
      </c>
      <c r="B681" s="1">
        <f>IFERROR(__xludf.DUMMYFUNCTION("""COMPUTED_VALUE"""),67.0)</f>
        <v>67</v>
      </c>
      <c r="C681" s="1">
        <f>IFERROR(__xludf.DUMMYFUNCTION("""COMPUTED_VALUE"""),69.5)</f>
        <v>69.5</v>
      </c>
      <c r="D681" s="1">
        <f>IFERROR(__xludf.DUMMYFUNCTION("""COMPUTED_VALUE"""),66.83)</f>
        <v>66.83</v>
      </c>
      <c r="E681" s="1">
        <f>IFERROR(__xludf.DUMMYFUNCTION("""COMPUTED_VALUE"""),69.09)</f>
        <v>69.09</v>
      </c>
      <c r="F681" s="1">
        <f>IFERROR(__xludf.DUMMYFUNCTION("""COMPUTED_VALUE"""),3.2647736E7)</f>
        <v>32647736</v>
      </c>
    </row>
    <row r="682">
      <c r="A682" s="2">
        <f>IFERROR(__xludf.DUMMYFUNCTION("""COMPUTED_VALUE"""),41285.666666666664)</f>
        <v>41285.66667</v>
      </c>
      <c r="B682" s="1">
        <f>IFERROR(__xludf.DUMMYFUNCTION("""COMPUTED_VALUE"""),68.92)</f>
        <v>68.92</v>
      </c>
      <c r="C682" s="1">
        <f>IFERROR(__xludf.DUMMYFUNCTION("""COMPUTED_VALUE"""),69.3)</f>
        <v>69.3</v>
      </c>
      <c r="D682" s="1">
        <f>IFERROR(__xludf.DUMMYFUNCTION("""COMPUTED_VALUE"""),68.38)</f>
        <v>68.38</v>
      </c>
      <c r="E682" s="1">
        <f>IFERROR(__xludf.DUMMYFUNCTION("""COMPUTED_VALUE"""),69.22)</f>
        <v>69.22</v>
      </c>
      <c r="F682" s="1">
        <f>IFERROR(__xludf.DUMMYFUNCTION("""COMPUTED_VALUE"""),4.3445243E7)</f>
        <v>43445243</v>
      </c>
    </row>
    <row r="683">
      <c r="A683" s="2">
        <f>IFERROR(__xludf.DUMMYFUNCTION("""COMPUTED_VALUE"""),41292.666666666664)</f>
        <v>41292.66667</v>
      </c>
      <c r="B683" s="1">
        <f>IFERROR(__xludf.DUMMYFUNCTION("""COMPUTED_VALUE"""),69.31)</f>
        <v>69.31</v>
      </c>
      <c r="C683" s="1">
        <f>IFERROR(__xludf.DUMMYFUNCTION("""COMPUTED_VALUE"""),70.0)</f>
        <v>70</v>
      </c>
      <c r="D683" s="1">
        <f>IFERROR(__xludf.DUMMYFUNCTION("""COMPUTED_VALUE"""),69.11)</f>
        <v>69.11</v>
      </c>
      <c r="E683" s="1">
        <f>IFERROR(__xludf.DUMMYFUNCTION("""COMPUTED_VALUE"""),69.94)</f>
        <v>69.94</v>
      </c>
      <c r="F683" s="1">
        <f>IFERROR(__xludf.DUMMYFUNCTION("""COMPUTED_VALUE"""),4.3085198E7)</f>
        <v>43085198</v>
      </c>
    </row>
    <row r="684">
      <c r="A684" s="2">
        <f>IFERROR(__xludf.DUMMYFUNCTION("""COMPUTED_VALUE"""),41299.666666666664)</f>
        <v>41299.66667</v>
      </c>
      <c r="B684" s="1">
        <f>IFERROR(__xludf.DUMMYFUNCTION("""COMPUTED_VALUE"""),69.86)</f>
        <v>69.86</v>
      </c>
      <c r="C684" s="1">
        <f>IFERROR(__xludf.DUMMYFUNCTION("""COMPUTED_VALUE"""),73.25)</f>
        <v>73.25</v>
      </c>
      <c r="D684" s="1">
        <f>IFERROR(__xludf.DUMMYFUNCTION("""COMPUTED_VALUE"""),69.75)</f>
        <v>69.75</v>
      </c>
      <c r="E684" s="1">
        <f>IFERROR(__xludf.DUMMYFUNCTION("""COMPUTED_VALUE"""),73.25)</f>
        <v>73.25</v>
      </c>
      <c r="F684" s="1">
        <f>IFERROR(__xludf.DUMMYFUNCTION("""COMPUTED_VALUE"""),5.6543469E7)</f>
        <v>56543469</v>
      </c>
    </row>
    <row r="685">
      <c r="A685" s="2">
        <f>IFERROR(__xludf.DUMMYFUNCTION("""COMPUTED_VALUE"""),41306.666666666664)</f>
        <v>41306.66667</v>
      </c>
      <c r="B685" s="1">
        <f>IFERROR(__xludf.DUMMYFUNCTION("""COMPUTED_VALUE"""),73.73)</f>
        <v>73.73</v>
      </c>
      <c r="C685" s="1">
        <f>IFERROR(__xludf.DUMMYFUNCTION("""COMPUTED_VALUE"""),75.97)</f>
        <v>75.97</v>
      </c>
      <c r="D685" s="1">
        <f>IFERROR(__xludf.DUMMYFUNCTION("""COMPUTED_VALUE"""),73.19)</f>
        <v>73.19</v>
      </c>
      <c r="E685" s="1">
        <f>IFERROR(__xludf.DUMMYFUNCTION("""COMPUTED_VALUE"""),75.92)</f>
        <v>75.92</v>
      </c>
      <c r="F685" s="1">
        <f>IFERROR(__xludf.DUMMYFUNCTION("""COMPUTED_VALUE"""),6.8136456E7)</f>
        <v>68136456</v>
      </c>
    </row>
    <row r="686">
      <c r="A686" s="2">
        <f>IFERROR(__xludf.DUMMYFUNCTION("""COMPUTED_VALUE"""),41313.666666666664)</f>
        <v>41313.66667</v>
      </c>
      <c r="B686" s="1">
        <f>IFERROR(__xludf.DUMMYFUNCTION("""COMPUTED_VALUE"""),75.69)</f>
        <v>75.69</v>
      </c>
      <c r="C686" s="1">
        <f>IFERROR(__xludf.DUMMYFUNCTION("""COMPUTED_VALUE"""),76.69)</f>
        <v>76.69</v>
      </c>
      <c r="D686" s="1">
        <f>IFERROR(__xludf.DUMMYFUNCTION("""COMPUTED_VALUE"""),74.95)</f>
        <v>74.95</v>
      </c>
      <c r="E686" s="1">
        <f>IFERROR(__xludf.DUMMYFUNCTION("""COMPUTED_VALUE"""),75.75)</f>
        <v>75.75</v>
      </c>
      <c r="F686" s="1">
        <f>IFERROR(__xludf.DUMMYFUNCTION("""COMPUTED_VALUE"""),6.1983686E7)</f>
        <v>61983686</v>
      </c>
    </row>
    <row r="687">
      <c r="A687" s="2">
        <f>IFERROR(__xludf.DUMMYFUNCTION("""COMPUTED_VALUE"""),41320.666666666664)</f>
        <v>41320.66667</v>
      </c>
      <c r="B687" s="1">
        <f>IFERROR(__xludf.DUMMYFUNCTION("""COMPUTED_VALUE"""),75.41)</f>
        <v>75.41</v>
      </c>
      <c r="C687" s="1">
        <f>IFERROR(__xludf.DUMMYFUNCTION("""COMPUTED_VALUE"""),76.97)</f>
        <v>76.97</v>
      </c>
      <c r="D687" s="1">
        <f>IFERROR(__xludf.DUMMYFUNCTION("""COMPUTED_VALUE"""),75.12)</f>
        <v>75.12</v>
      </c>
      <c r="E687" s="1">
        <f>IFERROR(__xludf.DUMMYFUNCTION("""COMPUTED_VALUE"""),76.54)</f>
        <v>76.54</v>
      </c>
      <c r="F687" s="1">
        <f>IFERROR(__xludf.DUMMYFUNCTION("""COMPUTED_VALUE"""),4.1541137E7)</f>
        <v>41541137</v>
      </c>
    </row>
    <row r="688">
      <c r="A688" s="2">
        <f>IFERROR(__xludf.DUMMYFUNCTION("""COMPUTED_VALUE"""),41327.666666666664)</f>
        <v>41327.66667</v>
      </c>
      <c r="B688" s="1">
        <f>IFERROR(__xludf.DUMMYFUNCTION("""COMPUTED_VALUE"""),76.56)</f>
        <v>76.56</v>
      </c>
      <c r="C688" s="1">
        <f>IFERROR(__xludf.DUMMYFUNCTION("""COMPUTED_VALUE"""),77.77)</f>
        <v>77.77</v>
      </c>
      <c r="D688" s="1">
        <f>IFERROR(__xludf.DUMMYFUNCTION("""COMPUTED_VALUE"""),75.9)</f>
        <v>75.9</v>
      </c>
      <c r="E688" s="1">
        <f>IFERROR(__xludf.DUMMYFUNCTION("""COMPUTED_VALUE"""),76.99)</f>
        <v>76.99</v>
      </c>
      <c r="F688" s="1">
        <f>IFERROR(__xludf.DUMMYFUNCTION("""COMPUTED_VALUE"""),3.9799502E7)</f>
        <v>39799502</v>
      </c>
    </row>
    <row r="689">
      <c r="A689" s="2">
        <f>IFERROR(__xludf.DUMMYFUNCTION("""COMPUTED_VALUE"""),41334.666666666664)</f>
        <v>41334.66667</v>
      </c>
      <c r="B689" s="1">
        <f>IFERROR(__xludf.DUMMYFUNCTION("""COMPUTED_VALUE"""),77.07)</f>
        <v>77.07</v>
      </c>
      <c r="C689" s="1">
        <f>IFERROR(__xludf.DUMMYFUNCTION("""COMPUTED_VALUE"""),77.67)</f>
        <v>77.67</v>
      </c>
      <c r="D689" s="1">
        <f>IFERROR(__xludf.DUMMYFUNCTION("""COMPUTED_VALUE"""),75.56)</f>
        <v>75.56</v>
      </c>
      <c r="E689" s="1">
        <f>IFERROR(__xludf.DUMMYFUNCTION("""COMPUTED_VALUE"""),76.49)</f>
        <v>76.49</v>
      </c>
      <c r="F689" s="1">
        <f>IFERROR(__xludf.DUMMYFUNCTION("""COMPUTED_VALUE"""),4.5992106E7)</f>
        <v>45992106</v>
      </c>
    </row>
    <row r="690">
      <c r="A690" s="2">
        <f>IFERROR(__xludf.DUMMYFUNCTION("""COMPUTED_VALUE"""),41341.666666666664)</f>
        <v>41341.66667</v>
      </c>
      <c r="B690" s="1">
        <f>IFERROR(__xludf.DUMMYFUNCTION("""COMPUTED_VALUE"""),76.25)</f>
        <v>76.25</v>
      </c>
      <c r="C690" s="1">
        <f>IFERROR(__xludf.DUMMYFUNCTION("""COMPUTED_VALUE"""),77.49)</f>
        <v>77.49</v>
      </c>
      <c r="D690" s="1">
        <f>IFERROR(__xludf.DUMMYFUNCTION("""COMPUTED_VALUE"""),75.97)</f>
        <v>75.97</v>
      </c>
      <c r="E690" s="1">
        <f>IFERROR(__xludf.DUMMYFUNCTION("""COMPUTED_VALUE"""),77.18)</f>
        <v>77.18</v>
      </c>
      <c r="F690" s="1">
        <f>IFERROR(__xludf.DUMMYFUNCTION("""COMPUTED_VALUE"""),3.8914399E7)</f>
        <v>38914399</v>
      </c>
    </row>
    <row r="691">
      <c r="A691" s="2">
        <f>IFERROR(__xludf.DUMMYFUNCTION("""COMPUTED_VALUE"""),41348.666666666664)</f>
        <v>41348.66667</v>
      </c>
      <c r="B691" s="1">
        <f>IFERROR(__xludf.DUMMYFUNCTION("""COMPUTED_VALUE"""),77.02)</f>
        <v>77.02</v>
      </c>
      <c r="C691" s="1">
        <f>IFERROR(__xludf.DUMMYFUNCTION("""COMPUTED_VALUE"""),77.47)</f>
        <v>77.47</v>
      </c>
      <c r="D691" s="1">
        <f>IFERROR(__xludf.DUMMYFUNCTION("""COMPUTED_VALUE"""),76.34)</f>
        <v>76.34</v>
      </c>
      <c r="E691" s="1">
        <f>IFERROR(__xludf.DUMMYFUNCTION("""COMPUTED_VALUE"""),76.34)</f>
        <v>76.34</v>
      </c>
      <c r="F691" s="1">
        <f>IFERROR(__xludf.DUMMYFUNCTION("""COMPUTED_VALUE"""),4.331348E7)</f>
        <v>43313480</v>
      </c>
    </row>
    <row r="692">
      <c r="A692" s="2">
        <f>IFERROR(__xludf.DUMMYFUNCTION("""COMPUTED_VALUE"""),41355.666666666664)</f>
        <v>41355.66667</v>
      </c>
      <c r="B692" s="1">
        <f>IFERROR(__xludf.DUMMYFUNCTION("""COMPUTED_VALUE"""),75.9)</f>
        <v>75.9</v>
      </c>
      <c r="C692" s="1">
        <f>IFERROR(__xludf.DUMMYFUNCTION("""COMPUTED_VALUE"""),77.82)</f>
        <v>77.82</v>
      </c>
      <c r="D692" s="1">
        <f>IFERROR(__xludf.DUMMYFUNCTION("""COMPUTED_VALUE"""),75.8)</f>
        <v>75.8</v>
      </c>
      <c r="E692" s="1">
        <f>IFERROR(__xludf.DUMMYFUNCTION("""COMPUTED_VALUE"""),77.27)</f>
        <v>77.27</v>
      </c>
      <c r="F692" s="1">
        <f>IFERROR(__xludf.DUMMYFUNCTION("""COMPUTED_VALUE"""),3.7222832E7)</f>
        <v>37222832</v>
      </c>
    </row>
    <row r="693">
      <c r="A693" s="2">
        <f>IFERROR(__xludf.DUMMYFUNCTION("""COMPUTED_VALUE"""),41361.666666666664)</f>
        <v>41361.66667</v>
      </c>
      <c r="B693" s="1">
        <f>IFERROR(__xludf.DUMMYFUNCTION("""COMPUTED_VALUE"""),77.27)</f>
        <v>77.27</v>
      </c>
      <c r="C693" s="1">
        <f>IFERROR(__xludf.DUMMYFUNCTION("""COMPUTED_VALUE"""),77.62)</f>
        <v>77.62</v>
      </c>
      <c r="D693" s="1">
        <f>IFERROR(__xludf.DUMMYFUNCTION("""COMPUTED_VALUE"""),76.44)</f>
        <v>76.44</v>
      </c>
      <c r="E693" s="1">
        <f>IFERROR(__xludf.DUMMYFUNCTION("""COMPUTED_VALUE"""),77.06)</f>
        <v>77.06</v>
      </c>
      <c r="F693" s="1">
        <f>IFERROR(__xludf.DUMMYFUNCTION("""COMPUTED_VALUE"""),2.5523136E7)</f>
        <v>25523136</v>
      </c>
    </row>
    <row r="694">
      <c r="A694" s="2">
        <f>IFERROR(__xludf.DUMMYFUNCTION("""COMPUTED_VALUE"""),41369.666666666664)</f>
        <v>41369.66667</v>
      </c>
      <c r="B694" s="1">
        <f>IFERROR(__xludf.DUMMYFUNCTION("""COMPUTED_VALUE"""),76.85)</f>
        <v>76.85</v>
      </c>
      <c r="C694" s="1">
        <f>IFERROR(__xludf.DUMMYFUNCTION("""COMPUTED_VALUE"""),79.15)</f>
        <v>79.15</v>
      </c>
      <c r="D694" s="1">
        <f>IFERROR(__xludf.DUMMYFUNCTION("""COMPUTED_VALUE"""),76.73)</f>
        <v>76.73</v>
      </c>
      <c r="E694" s="1">
        <f>IFERROR(__xludf.DUMMYFUNCTION("""COMPUTED_VALUE"""),78.23)</f>
        <v>78.23</v>
      </c>
      <c r="F694" s="1">
        <f>IFERROR(__xludf.DUMMYFUNCTION("""COMPUTED_VALUE"""),4.440668E7)</f>
        <v>44406680</v>
      </c>
    </row>
    <row r="695">
      <c r="A695" s="2">
        <f>IFERROR(__xludf.DUMMYFUNCTION("""COMPUTED_VALUE"""),41376.666666666664)</f>
        <v>41376.66667</v>
      </c>
      <c r="B695" s="1">
        <f>IFERROR(__xludf.DUMMYFUNCTION("""COMPUTED_VALUE"""),78.12)</f>
        <v>78.12</v>
      </c>
      <c r="C695" s="1">
        <f>IFERROR(__xludf.DUMMYFUNCTION("""COMPUTED_VALUE"""),80.66)</f>
        <v>80.66</v>
      </c>
      <c r="D695" s="1">
        <f>IFERROR(__xludf.DUMMYFUNCTION("""COMPUTED_VALUE"""),77.88)</f>
        <v>77.88</v>
      </c>
      <c r="E695" s="1">
        <f>IFERROR(__xludf.DUMMYFUNCTION("""COMPUTED_VALUE"""),80.08)</f>
        <v>80.08</v>
      </c>
      <c r="F695" s="1">
        <f>IFERROR(__xludf.DUMMYFUNCTION("""COMPUTED_VALUE"""),4.2209856E7)</f>
        <v>42209856</v>
      </c>
    </row>
    <row r="696">
      <c r="A696" s="2">
        <f>IFERROR(__xludf.DUMMYFUNCTION("""COMPUTED_VALUE"""),41383.666666666664)</f>
        <v>41383.66667</v>
      </c>
      <c r="B696" s="1">
        <f>IFERROR(__xludf.DUMMYFUNCTION("""COMPUTED_VALUE"""),79.79)</f>
        <v>79.79</v>
      </c>
      <c r="C696" s="1">
        <f>IFERROR(__xludf.DUMMYFUNCTION("""COMPUTED_VALUE"""),81.7)</f>
        <v>81.7</v>
      </c>
      <c r="D696" s="1">
        <f>IFERROR(__xludf.DUMMYFUNCTION("""COMPUTED_VALUE"""),78.85)</f>
        <v>78.85</v>
      </c>
      <c r="E696" s="1">
        <f>IFERROR(__xludf.DUMMYFUNCTION("""COMPUTED_VALUE"""),81.43)</f>
        <v>81.43</v>
      </c>
      <c r="F696" s="1">
        <f>IFERROR(__xludf.DUMMYFUNCTION("""COMPUTED_VALUE"""),5.5252667E7)</f>
        <v>55252667</v>
      </c>
    </row>
    <row r="697">
      <c r="A697" s="2">
        <f>IFERROR(__xludf.DUMMYFUNCTION("""COMPUTED_VALUE"""),41390.666666666664)</f>
        <v>41390.66667</v>
      </c>
      <c r="B697" s="1">
        <f>IFERROR(__xludf.DUMMYFUNCTION("""COMPUTED_VALUE"""),81.31)</f>
        <v>81.31</v>
      </c>
      <c r="C697" s="1">
        <f>IFERROR(__xludf.DUMMYFUNCTION("""COMPUTED_VALUE"""),82.54)</f>
        <v>82.54</v>
      </c>
      <c r="D697" s="1">
        <f>IFERROR(__xludf.DUMMYFUNCTION("""COMPUTED_VALUE"""),76.35)</f>
        <v>76.35</v>
      </c>
      <c r="E697" s="1">
        <f>IFERROR(__xludf.DUMMYFUNCTION("""COMPUTED_VALUE"""),77.1)</f>
        <v>77.1</v>
      </c>
      <c r="F697" s="1">
        <f>IFERROR(__xludf.DUMMYFUNCTION("""COMPUTED_VALUE"""),6.9406458E7)</f>
        <v>69406458</v>
      </c>
    </row>
    <row r="698">
      <c r="A698" s="2">
        <f>IFERROR(__xludf.DUMMYFUNCTION("""COMPUTED_VALUE"""),41397.666666666664)</f>
        <v>41397.66667</v>
      </c>
      <c r="B698" s="1">
        <f>IFERROR(__xludf.DUMMYFUNCTION("""COMPUTED_VALUE"""),77.56)</f>
        <v>77.56</v>
      </c>
      <c r="C698" s="1">
        <f>IFERROR(__xludf.DUMMYFUNCTION("""COMPUTED_VALUE"""),78.46)</f>
        <v>78.46</v>
      </c>
      <c r="D698" s="1">
        <f>IFERROR(__xludf.DUMMYFUNCTION("""COMPUTED_VALUE"""),76.6)</f>
        <v>76.6</v>
      </c>
      <c r="E698" s="1">
        <f>IFERROR(__xludf.DUMMYFUNCTION("""COMPUTED_VALUE"""),78.19)</f>
        <v>78.19</v>
      </c>
      <c r="F698" s="1">
        <f>IFERROR(__xludf.DUMMYFUNCTION("""COMPUTED_VALUE"""),3.9856668E7)</f>
        <v>39856668</v>
      </c>
    </row>
    <row r="699">
      <c r="A699" s="2">
        <f>IFERROR(__xludf.DUMMYFUNCTION("""COMPUTED_VALUE"""),41404.666666666664)</f>
        <v>41404.66667</v>
      </c>
      <c r="B699" s="1">
        <f>IFERROR(__xludf.DUMMYFUNCTION("""COMPUTED_VALUE"""),78.03)</f>
        <v>78.03</v>
      </c>
      <c r="C699" s="1">
        <f>IFERROR(__xludf.DUMMYFUNCTION("""COMPUTED_VALUE"""),78.89)</f>
        <v>78.89</v>
      </c>
      <c r="D699" s="1">
        <f>IFERROR(__xludf.DUMMYFUNCTION("""COMPUTED_VALUE"""),77.23)</f>
        <v>77.23</v>
      </c>
      <c r="E699" s="1">
        <f>IFERROR(__xludf.DUMMYFUNCTION("""COMPUTED_VALUE"""),78.76)</f>
        <v>78.76</v>
      </c>
      <c r="F699" s="1">
        <f>IFERROR(__xludf.DUMMYFUNCTION("""COMPUTED_VALUE"""),4.2199435E7)</f>
        <v>42199435</v>
      </c>
    </row>
    <row r="700">
      <c r="A700" s="2">
        <f>IFERROR(__xludf.DUMMYFUNCTION("""COMPUTED_VALUE"""),41411.666666666664)</f>
        <v>41411.66667</v>
      </c>
      <c r="B700" s="1">
        <f>IFERROR(__xludf.DUMMYFUNCTION("""COMPUTED_VALUE"""),78.51)</f>
        <v>78.51</v>
      </c>
      <c r="C700" s="1">
        <f>IFERROR(__xludf.DUMMYFUNCTION("""COMPUTED_VALUE"""),81.0)</f>
        <v>81</v>
      </c>
      <c r="D700" s="1">
        <f>IFERROR(__xludf.DUMMYFUNCTION("""COMPUTED_VALUE"""),78.42)</f>
        <v>78.42</v>
      </c>
      <c r="E700" s="1">
        <f>IFERROR(__xludf.DUMMYFUNCTION("""COMPUTED_VALUE"""),80.02)</f>
        <v>80.02</v>
      </c>
      <c r="F700" s="1">
        <f>IFERROR(__xludf.DUMMYFUNCTION("""COMPUTED_VALUE"""),4.0065063E7)</f>
        <v>40065063</v>
      </c>
    </row>
    <row r="701">
      <c r="A701" s="2">
        <f>IFERROR(__xludf.DUMMYFUNCTION("""COMPUTED_VALUE"""),41418.666666666664)</f>
        <v>41418.66667</v>
      </c>
      <c r="B701" s="1">
        <f>IFERROR(__xludf.DUMMYFUNCTION("""COMPUTED_VALUE"""),79.98)</f>
        <v>79.98</v>
      </c>
      <c r="C701" s="1">
        <f>IFERROR(__xludf.DUMMYFUNCTION("""COMPUTED_VALUE"""),82.35)</f>
        <v>82.35</v>
      </c>
      <c r="D701" s="1">
        <f>IFERROR(__xludf.DUMMYFUNCTION("""COMPUTED_VALUE"""),78.22)</f>
        <v>78.22</v>
      </c>
      <c r="E701" s="1">
        <f>IFERROR(__xludf.DUMMYFUNCTION("""COMPUTED_VALUE"""),81.88)</f>
        <v>81.88</v>
      </c>
      <c r="F701" s="1">
        <f>IFERROR(__xludf.DUMMYFUNCTION("""COMPUTED_VALUE"""),5.6281277E7)</f>
        <v>56281277</v>
      </c>
    </row>
    <row r="702">
      <c r="A702" s="2">
        <f>IFERROR(__xludf.DUMMYFUNCTION("""COMPUTED_VALUE"""),41425.666666666664)</f>
        <v>41425.66667</v>
      </c>
      <c r="B702" s="1">
        <f>IFERROR(__xludf.DUMMYFUNCTION("""COMPUTED_VALUE"""),82.05)</f>
        <v>82.05</v>
      </c>
      <c r="C702" s="1">
        <f>IFERROR(__xludf.DUMMYFUNCTION("""COMPUTED_VALUE"""),82.13)</f>
        <v>82.13</v>
      </c>
      <c r="D702" s="1">
        <f>IFERROR(__xludf.DUMMYFUNCTION("""COMPUTED_VALUE"""),76.75)</f>
        <v>76.75</v>
      </c>
      <c r="E702" s="1">
        <f>IFERROR(__xludf.DUMMYFUNCTION("""COMPUTED_VALUE"""),76.76)</f>
        <v>76.76</v>
      </c>
      <c r="F702" s="1">
        <f>IFERROR(__xludf.DUMMYFUNCTION("""COMPUTED_VALUE"""),5.5594953E7)</f>
        <v>55594953</v>
      </c>
    </row>
    <row r="703">
      <c r="A703" s="2">
        <f>IFERROR(__xludf.DUMMYFUNCTION("""COMPUTED_VALUE"""),41432.666666666664)</f>
        <v>41432.66667</v>
      </c>
      <c r="B703" s="1">
        <f>IFERROR(__xludf.DUMMYFUNCTION("""COMPUTED_VALUE"""),76.87)</f>
        <v>76.87</v>
      </c>
      <c r="C703" s="1">
        <f>IFERROR(__xludf.DUMMYFUNCTION("""COMPUTED_VALUE"""),78.47)</f>
        <v>78.47</v>
      </c>
      <c r="D703" s="1">
        <f>IFERROR(__xludf.DUMMYFUNCTION("""COMPUTED_VALUE"""),75.83)</f>
        <v>75.83</v>
      </c>
      <c r="E703" s="1">
        <f>IFERROR(__xludf.DUMMYFUNCTION("""COMPUTED_VALUE"""),77.75)</f>
        <v>77.75</v>
      </c>
      <c r="F703" s="1">
        <f>IFERROR(__xludf.DUMMYFUNCTION("""COMPUTED_VALUE"""),5.0869614E7)</f>
        <v>50869614</v>
      </c>
    </row>
    <row r="704">
      <c r="A704" s="2">
        <f>IFERROR(__xludf.DUMMYFUNCTION("""COMPUTED_VALUE"""),41439.666666666664)</f>
        <v>41439.66667</v>
      </c>
      <c r="B704" s="1">
        <f>IFERROR(__xludf.DUMMYFUNCTION("""COMPUTED_VALUE"""),77.69)</f>
        <v>77.69</v>
      </c>
      <c r="C704" s="1">
        <f>IFERROR(__xludf.DUMMYFUNCTION("""COMPUTED_VALUE"""),78.89)</f>
        <v>78.89</v>
      </c>
      <c r="D704" s="1">
        <f>IFERROR(__xludf.DUMMYFUNCTION("""COMPUTED_VALUE"""),77.14)</f>
        <v>77.14</v>
      </c>
      <c r="E704" s="1">
        <f>IFERROR(__xludf.DUMMYFUNCTION("""COMPUTED_VALUE"""),78.03)</f>
        <v>78.03</v>
      </c>
      <c r="F704" s="1">
        <f>IFERROR(__xludf.DUMMYFUNCTION("""COMPUTED_VALUE"""),3.7337974E7)</f>
        <v>37337974</v>
      </c>
    </row>
    <row r="705">
      <c r="A705" s="2">
        <f>IFERROR(__xludf.DUMMYFUNCTION("""COMPUTED_VALUE"""),41446.666666666664)</f>
        <v>41446.66667</v>
      </c>
      <c r="B705" s="1">
        <f>IFERROR(__xludf.DUMMYFUNCTION("""COMPUTED_VALUE"""),78.26)</f>
        <v>78.26</v>
      </c>
      <c r="C705" s="1">
        <f>IFERROR(__xludf.DUMMYFUNCTION("""COMPUTED_VALUE"""),79.47)</f>
        <v>79.47</v>
      </c>
      <c r="D705" s="1">
        <f>IFERROR(__xludf.DUMMYFUNCTION("""COMPUTED_VALUE"""),75.1)</f>
        <v>75.1</v>
      </c>
      <c r="E705" s="1">
        <f>IFERROR(__xludf.DUMMYFUNCTION("""COMPUTED_VALUE"""),77.43)</f>
        <v>77.43</v>
      </c>
      <c r="F705" s="1">
        <f>IFERROR(__xludf.DUMMYFUNCTION("""COMPUTED_VALUE"""),5.6456592E7)</f>
        <v>56456592</v>
      </c>
    </row>
    <row r="706">
      <c r="A706" s="2">
        <f>IFERROR(__xludf.DUMMYFUNCTION("""COMPUTED_VALUE"""),41453.666666666664)</f>
        <v>41453.66667</v>
      </c>
      <c r="B706" s="1">
        <f>IFERROR(__xludf.DUMMYFUNCTION("""COMPUTED_VALUE"""),76.95)</f>
        <v>76.95</v>
      </c>
      <c r="C706" s="1">
        <f>IFERROR(__xludf.DUMMYFUNCTION("""COMPUTED_VALUE"""),78.38)</f>
        <v>78.38</v>
      </c>
      <c r="D706" s="1">
        <f>IFERROR(__xludf.DUMMYFUNCTION("""COMPUTED_VALUE"""),75.63)</f>
        <v>75.63</v>
      </c>
      <c r="E706" s="1">
        <f>IFERROR(__xludf.DUMMYFUNCTION("""COMPUTED_VALUE"""),76.99)</f>
        <v>76.99</v>
      </c>
      <c r="F706" s="1">
        <f>IFERROR(__xludf.DUMMYFUNCTION("""COMPUTED_VALUE"""),5.2406812E7)</f>
        <v>52406812</v>
      </c>
    </row>
    <row r="707">
      <c r="A707" s="2">
        <f>IFERROR(__xludf.DUMMYFUNCTION("""COMPUTED_VALUE"""),41460.666666666664)</f>
        <v>41460.66667</v>
      </c>
      <c r="B707" s="1">
        <f>IFERROR(__xludf.DUMMYFUNCTION("""COMPUTED_VALUE"""),77.02)</f>
        <v>77.02</v>
      </c>
      <c r="C707" s="1">
        <f>IFERROR(__xludf.DUMMYFUNCTION("""COMPUTED_VALUE"""),79.02)</f>
        <v>79.02</v>
      </c>
      <c r="D707" s="1">
        <f>IFERROR(__xludf.DUMMYFUNCTION("""COMPUTED_VALUE"""),77.0)</f>
        <v>77</v>
      </c>
      <c r="E707" s="1">
        <f>IFERROR(__xludf.DUMMYFUNCTION("""COMPUTED_VALUE"""),78.34)</f>
        <v>78.34</v>
      </c>
      <c r="F707" s="1">
        <f>IFERROR(__xludf.DUMMYFUNCTION("""COMPUTED_VALUE"""),2.954336E7)</f>
        <v>29543360</v>
      </c>
    </row>
    <row r="708">
      <c r="A708" s="2">
        <f>IFERROR(__xludf.DUMMYFUNCTION("""COMPUTED_VALUE"""),41467.666666666664)</f>
        <v>41467.66667</v>
      </c>
      <c r="B708" s="1">
        <f>IFERROR(__xludf.DUMMYFUNCTION("""COMPUTED_VALUE"""),78.54)</f>
        <v>78.54</v>
      </c>
      <c r="C708" s="1">
        <f>IFERROR(__xludf.DUMMYFUNCTION("""COMPUTED_VALUE"""),81.64)</f>
        <v>81.64</v>
      </c>
      <c r="D708" s="1">
        <f>IFERROR(__xludf.DUMMYFUNCTION("""COMPUTED_VALUE"""),78.5)</f>
        <v>78.5</v>
      </c>
      <c r="E708" s="1">
        <f>IFERROR(__xludf.DUMMYFUNCTION("""COMPUTED_VALUE"""),81.55)</f>
        <v>81.55</v>
      </c>
      <c r="F708" s="1">
        <f>IFERROR(__xludf.DUMMYFUNCTION("""COMPUTED_VALUE"""),5.1248817E7)</f>
        <v>51248817</v>
      </c>
    </row>
    <row r="709">
      <c r="A709" s="2">
        <f>IFERROR(__xludf.DUMMYFUNCTION("""COMPUTED_VALUE"""),41474.666666666664)</f>
        <v>41474.66667</v>
      </c>
      <c r="B709" s="1">
        <f>IFERROR(__xludf.DUMMYFUNCTION("""COMPUTED_VALUE"""),81.37)</f>
        <v>81.37</v>
      </c>
      <c r="C709" s="1">
        <f>IFERROR(__xludf.DUMMYFUNCTION("""COMPUTED_VALUE"""),81.59)</f>
        <v>81.59</v>
      </c>
      <c r="D709" s="1">
        <f>IFERROR(__xludf.DUMMYFUNCTION("""COMPUTED_VALUE"""),80.01)</f>
        <v>80.01</v>
      </c>
      <c r="E709" s="1">
        <f>IFERROR(__xludf.DUMMYFUNCTION("""COMPUTED_VALUE"""),81.37)</f>
        <v>81.37</v>
      </c>
      <c r="F709" s="1">
        <f>IFERROR(__xludf.DUMMYFUNCTION("""COMPUTED_VALUE"""),4.2268829E7)</f>
        <v>42268829</v>
      </c>
    </row>
    <row r="710">
      <c r="A710" s="2">
        <f>IFERROR(__xludf.DUMMYFUNCTION("""COMPUTED_VALUE"""),41481.666666666664)</f>
        <v>41481.66667</v>
      </c>
      <c r="B710" s="1">
        <f>IFERROR(__xludf.DUMMYFUNCTION("""COMPUTED_VALUE"""),81.23)</f>
        <v>81.23</v>
      </c>
      <c r="C710" s="1">
        <f>IFERROR(__xludf.DUMMYFUNCTION("""COMPUTED_VALUE"""),81.45)</f>
        <v>81.45</v>
      </c>
      <c r="D710" s="1">
        <f>IFERROR(__xludf.DUMMYFUNCTION("""COMPUTED_VALUE"""),79.39)</f>
        <v>79.39</v>
      </c>
      <c r="E710" s="1">
        <f>IFERROR(__xludf.DUMMYFUNCTION("""COMPUTED_VALUE"""),80.39)</f>
        <v>80.39</v>
      </c>
      <c r="F710" s="1">
        <f>IFERROR(__xludf.DUMMYFUNCTION("""COMPUTED_VALUE"""),2.7517241E7)</f>
        <v>27517241</v>
      </c>
    </row>
    <row r="711">
      <c r="A711" s="2">
        <f>IFERROR(__xludf.DUMMYFUNCTION("""COMPUTED_VALUE"""),41488.666666666664)</f>
        <v>41488.66667</v>
      </c>
      <c r="B711" s="1">
        <f>IFERROR(__xludf.DUMMYFUNCTION("""COMPUTED_VALUE"""),80.1)</f>
        <v>80.1</v>
      </c>
      <c r="C711" s="1">
        <f>IFERROR(__xludf.DUMMYFUNCTION("""COMPUTED_VALUE"""),82.23)</f>
        <v>82.23</v>
      </c>
      <c r="D711" s="1">
        <f>IFERROR(__xludf.DUMMYFUNCTION("""COMPUTED_VALUE"""),80.05)</f>
        <v>80.05</v>
      </c>
      <c r="E711" s="1">
        <f>IFERROR(__xludf.DUMMYFUNCTION("""COMPUTED_VALUE"""),81.29)</f>
        <v>81.29</v>
      </c>
      <c r="F711" s="1">
        <f>IFERROR(__xludf.DUMMYFUNCTION("""COMPUTED_VALUE"""),4.0040836E7)</f>
        <v>40040836</v>
      </c>
    </row>
    <row r="712">
      <c r="A712" s="2">
        <f>IFERROR(__xludf.DUMMYFUNCTION("""COMPUTED_VALUE"""),41495.666666666664)</f>
        <v>41495.66667</v>
      </c>
      <c r="B712" s="1">
        <f>IFERROR(__xludf.DUMMYFUNCTION("""COMPUTED_VALUE"""),81.05)</f>
        <v>81.05</v>
      </c>
      <c r="C712" s="1">
        <f>IFERROR(__xludf.DUMMYFUNCTION("""COMPUTED_VALUE"""),82.4)</f>
        <v>82.4</v>
      </c>
      <c r="D712" s="1">
        <f>IFERROR(__xludf.DUMMYFUNCTION("""COMPUTED_VALUE"""),80.96)</f>
        <v>80.96</v>
      </c>
      <c r="E712" s="1">
        <f>IFERROR(__xludf.DUMMYFUNCTION("""COMPUTED_VALUE"""),81.64)</f>
        <v>81.64</v>
      </c>
      <c r="F712" s="1">
        <f>IFERROR(__xludf.DUMMYFUNCTION("""COMPUTED_VALUE"""),2.9040211E7)</f>
        <v>29040211</v>
      </c>
    </row>
    <row r="713">
      <c r="A713" s="2">
        <f>IFERROR(__xludf.DUMMYFUNCTION("""COMPUTED_VALUE"""),41502.666666666664)</f>
        <v>41502.66667</v>
      </c>
      <c r="B713" s="1">
        <f>IFERROR(__xludf.DUMMYFUNCTION("""COMPUTED_VALUE"""),81.23)</f>
        <v>81.23</v>
      </c>
      <c r="C713" s="1">
        <f>IFERROR(__xludf.DUMMYFUNCTION("""COMPUTED_VALUE"""),81.99)</f>
        <v>81.99</v>
      </c>
      <c r="D713" s="1">
        <f>IFERROR(__xludf.DUMMYFUNCTION("""COMPUTED_VALUE"""),79.06)</f>
        <v>79.06</v>
      </c>
      <c r="E713" s="1">
        <f>IFERROR(__xludf.DUMMYFUNCTION("""COMPUTED_VALUE"""),79.9)</f>
        <v>79.9</v>
      </c>
      <c r="F713" s="1">
        <f>IFERROR(__xludf.DUMMYFUNCTION("""COMPUTED_VALUE"""),3.1897268E7)</f>
        <v>31897268</v>
      </c>
    </row>
    <row r="714">
      <c r="A714" s="2">
        <f>IFERROR(__xludf.DUMMYFUNCTION("""COMPUTED_VALUE"""),41509.666666666664)</f>
        <v>41509.66667</v>
      </c>
      <c r="B714" s="1">
        <f>IFERROR(__xludf.DUMMYFUNCTION("""COMPUTED_VALUE"""),79.64)</f>
        <v>79.64</v>
      </c>
      <c r="C714" s="1">
        <f>IFERROR(__xludf.DUMMYFUNCTION("""COMPUTED_VALUE"""),80.12)</f>
        <v>80.12</v>
      </c>
      <c r="D714" s="1">
        <f>IFERROR(__xludf.DUMMYFUNCTION("""COMPUTED_VALUE"""),78.87)</f>
        <v>78.87</v>
      </c>
      <c r="E714" s="1">
        <f>IFERROR(__xludf.DUMMYFUNCTION("""COMPUTED_VALUE"""),80.01)</f>
        <v>80.01</v>
      </c>
      <c r="F714" s="1">
        <f>IFERROR(__xludf.DUMMYFUNCTION("""COMPUTED_VALUE"""),3.0026562E7)</f>
        <v>30026562</v>
      </c>
    </row>
    <row r="715">
      <c r="A715" s="2">
        <f>IFERROR(__xludf.DUMMYFUNCTION("""COMPUTED_VALUE"""),41516.666666666664)</f>
        <v>41516.66667</v>
      </c>
      <c r="B715" s="1">
        <f>IFERROR(__xludf.DUMMYFUNCTION("""COMPUTED_VALUE"""),79.92)</f>
        <v>79.92</v>
      </c>
      <c r="C715" s="1">
        <f>IFERROR(__xludf.DUMMYFUNCTION("""COMPUTED_VALUE"""),79.98)</f>
        <v>79.98</v>
      </c>
      <c r="D715" s="1">
        <f>IFERROR(__xludf.DUMMYFUNCTION("""COMPUTED_VALUE"""),73.61)</f>
        <v>73.61</v>
      </c>
      <c r="E715" s="1">
        <f>IFERROR(__xludf.DUMMYFUNCTION("""COMPUTED_VALUE"""),77.89)</f>
        <v>77.89</v>
      </c>
      <c r="F715" s="1">
        <f>IFERROR(__xludf.DUMMYFUNCTION("""COMPUTED_VALUE"""),3.7447191E7)</f>
        <v>37447191</v>
      </c>
    </row>
    <row r="716">
      <c r="A716" s="2">
        <f>IFERROR(__xludf.DUMMYFUNCTION("""COMPUTED_VALUE"""),41523.666666666664)</f>
        <v>41523.66667</v>
      </c>
      <c r="B716" s="1">
        <f>IFERROR(__xludf.DUMMYFUNCTION("""COMPUTED_VALUE"""),78.27)</f>
        <v>78.27</v>
      </c>
      <c r="C716" s="1">
        <f>IFERROR(__xludf.DUMMYFUNCTION("""COMPUTED_VALUE"""),78.42)</f>
        <v>78.42</v>
      </c>
      <c r="D716" s="1">
        <f>IFERROR(__xludf.DUMMYFUNCTION("""COMPUTED_VALUE"""),76.4)</f>
        <v>76.4</v>
      </c>
      <c r="E716" s="1">
        <f>IFERROR(__xludf.DUMMYFUNCTION("""COMPUTED_VALUE"""),77.15)</f>
        <v>77.15</v>
      </c>
      <c r="F716" s="1">
        <f>IFERROR(__xludf.DUMMYFUNCTION("""COMPUTED_VALUE"""),2.6929736E7)</f>
        <v>26929736</v>
      </c>
    </row>
    <row r="717">
      <c r="A717" s="2">
        <f>IFERROR(__xludf.DUMMYFUNCTION("""COMPUTED_VALUE"""),41530.666666666664)</f>
        <v>41530.66667</v>
      </c>
      <c r="B717" s="1">
        <f>IFERROR(__xludf.DUMMYFUNCTION("""COMPUTED_VALUE"""),77.37)</f>
        <v>77.37</v>
      </c>
      <c r="C717" s="1">
        <f>IFERROR(__xludf.DUMMYFUNCTION("""COMPUTED_VALUE"""),79.18)</f>
        <v>79.18</v>
      </c>
      <c r="D717" s="1">
        <f>IFERROR(__xludf.DUMMYFUNCTION("""COMPUTED_VALUE"""),77.25)</f>
        <v>77.25</v>
      </c>
      <c r="E717" s="1">
        <f>IFERROR(__xludf.DUMMYFUNCTION("""COMPUTED_VALUE"""),79.05)</f>
        <v>79.05</v>
      </c>
      <c r="F717" s="1">
        <f>IFERROR(__xludf.DUMMYFUNCTION("""COMPUTED_VALUE"""),3.1629003E7)</f>
        <v>31629003</v>
      </c>
    </row>
    <row r="718">
      <c r="A718" s="2">
        <f>IFERROR(__xludf.DUMMYFUNCTION("""COMPUTED_VALUE"""),41537.666666666664)</f>
        <v>41537.66667</v>
      </c>
      <c r="B718" s="1">
        <f>IFERROR(__xludf.DUMMYFUNCTION("""COMPUTED_VALUE"""),79.72)</f>
        <v>79.72</v>
      </c>
      <c r="C718" s="1">
        <f>IFERROR(__xludf.DUMMYFUNCTION("""COMPUTED_VALUE"""),80.53)</f>
        <v>80.53</v>
      </c>
      <c r="D718" s="1">
        <f>IFERROR(__xludf.DUMMYFUNCTION("""COMPUTED_VALUE"""),78.53)</f>
        <v>78.53</v>
      </c>
      <c r="E718" s="1">
        <f>IFERROR(__xludf.DUMMYFUNCTION("""COMPUTED_VALUE"""),79.39)</f>
        <v>79.39</v>
      </c>
      <c r="F718" s="1">
        <f>IFERROR(__xludf.DUMMYFUNCTION("""COMPUTED_VALUE"""),4.271977E7)</f>
        <v>42719770</v>
      </c>
    </row>
    <row r="719">
      <c r="A719" s="2">
        <f>IFERROR(__xludf.DUMMYFUNCTION("""COMPUTED_VALUE"""),41544.666666666664)</f>
        <v>41544.66667</v>
      </c>
      <c r="B719" s="1">
        <f>IFERROR(__xludf.DUMMYFUNCTION("""COMPUTED_VALUE"""),79.2)</f>
        <v>79.2</v>
      </c>
      <c r="C719" s="1">
        <f>IFERROR(__xludf.DUMMYFUNCTION("""COMPUTED_VALUE"""),79.58)</f>
        <v>79.58</v>
      </c>
      <c r="D719" s="1">
        <f>IFERROR(__xludf.DUMMYFUNCTION("""COMPUTED_VALUE"""),76.77)</f>
        <v>76.77</v>
      </c>
      <c r="E719" s="1">
        <f>IFERROR(__xludf.DUMMYFUNCTION("""COMPUTED_VALUE"""),77.21)</f>
        <v>77.21</v>
      </c>
      <c r="F719" s="1">
        <f>IFERROR(__xludf.DUMMYFUNCTION("""COMPUTED_VALUE"""),3.2776548E7)</f>
        <v>32776548</v>
      </c>
    </row>
    <row r="720">
      <c r="A720" s="2">
        <f>IFERROR(__xludf.DUMMYFUNCTION("""COMPUTED_VALUE"""),41551.666666666664)</f>
        <v>41551.66667</v>
      </c>
      <c r="B720" s="1">
        <f>IFERROR(__xludf.DUMMYFUNCTION("""COMPUTED_VALUE"""),76.8)</f>
        <v>76.8</v>
      </c>
      <c r="C720" s="1">
        <f>IFERROR(__xludf.DUMMYFUNCTION("""COMPUTED_VALUE"""),77.16)</f>
        <v>77.16</v>
      </c>
      <c r="D720" s="1">
        <f>IFERROR(__xludf.DUMMYFUNCTION("""COMPUTED_VALUE"""),75.2)</f>
        <v>75.2</v>
      </c>
      <c r="E720" s="1">
        <f>IFERROR(__xludf.DUMMYFUNCTION("""COMPUTED_VALUE"""),76.02)</f>
        <v>76.02</v>
      </c>
      <c r="F720" s="1">
        <f>IFERROR(__xludf.DUMMYFUNCTION("""COMPUTED_VALUE"""),4.5873962E7)</f>
        <v>45873962</v>
      </c>
    </row>
    <row r="721">
      <c r="A721" s="2">
        <f>IFERROR(__xludf.DUMMYFUNCTION("""COMPUTED_VALUE"""),41558.666666666664)</f>
        <v>41558.66667</v>
      </c>
      <c r="B721" s="1">
        <f>IFERROR(__xludf.DUMMYFUNCTION("""COMPUTED_VALUE"""),75.66)</f>
        <v>75.66</v>
      </c>
      <c r="C721" s="1">
        <f>IFERROR(__xludf.DUMMYFUNCTION("""COMPUTED_VALUE"""),78.49)</f>
        <v>78.49</v>
      </c>
      <c r="D721" s="1">
        <f>IFERROR(__xludf.DUMMYFUNCTION("""COMPUTED_VALUE"""),75.48)</f>
        <v>75.48</v>
      </c>
      <c r="E721" s="1">
        <f>IFERROR(__xludf.DUMMYFUNCTION("""COMPUTED_VALUE"""),78.48)</f>
        <v>78.48</v>
      </c>
      <c r="F721" s="1">
        <f>IFERROR(__xludf.DUMMYFUNCTION("""COMPUTED_VALUE"""),4.0707377E7)</f>
        <v>40707377</v>
      </c>
    </row>
    <row r="722">
      <c r="A722" s="2">
        <f>IFERROR(__xludf.DUMMYFUNCTION("""COMPUTED_VALUE"""),41565.666666666664)</f>
        <v>41565.66667</v>
      </c>
      <c r="B722" s="1">
        <f>IFERROR(__xludf.DUMMYFUNCTION("""COMPUTED_VALUE"""),78.01)</f>
        <v>78.01</v>
      </c>
      <c r="C722" s="1">
        <f>IFERROR(__xludf.DUMMYFUNCTION("""COMPUTED_VALUE"""),79.57)</f>
        <v>79.57</v>
      </c>
      <c r="D722" s="1">
        <f>IFERROR(__xludf.DUMMYFUNCTION("""COMPUTED_VALUE"""),77.26)</f>
        <v>77.26</v>
      </c>
      <c r="E722" s="1">
        <f>IFERROR(__xludf.DUMMYFUNCTION("""COMPUTED_VALUE"""),79.41)</f>
        <v>79.41</v>
      </c>
      <c r="F722" s="1">
        <f>IFERROR(__xludf.DUMMYFUNCTION("""COMPUTED_VALUE"""),4.0724045E7)</f>
        <v>40724045</v>
      </c>
    </row>
    <row r="723">
      <c r="A723" s="2">
        <f>IFERROR(__xludf.DUMMYFUNCTION("""COMPUTED_VALUE"""),41572.666666666664)</f>
        <v>41572.66667</v>
      </c>
      <c r="B723" s="1">
        <f>IFERROR(__xludf.DUMMYFUNCTION("""COMPUTED_VALUE"""),79.27)</f>
        <v>79.27</v>
      </c>
      <c r="C723" s="1">
        <f>IFERROR(__xludf.DUMMYFUNCTION("""COMPUTED_VALUE"""),81.25)</f>
        <v>81.25</v>
      </c>
      <c r="D723" s="1">
        <f>IFERROR(__xludf.DUMMYFUNCTION("""COMPUTED_VALUE"""),78.44)</f>
        <v>78.44</v>
      </c>
      <c r="E723" s="1">
        <f>IFERROR(__xludf.DUMMYFUNCTION("""COMPUTED_VALUE"""),80.0)</f>
        <v>80</v>
      </c>
      <c r="F723" s="1">
        <f>IFERROR(__xludf.DUMMYFUNCTION("""COMPUTED_VALUE"""),4.2142203E7)</f>
        <v>42142203</v>
      </c>
    </row>
    <row r="724">
      <c r="A724" s="2">
        <f>IFERROR(__xludf.DUMMYFUNCTION("""COMPUTED_VALUE"""),41579.666666666664)</f>
        <v>41579.66667</v>
      </c>
      <c r="B724" s="1">
        <f>IFERROR(__xludf.DUMMYFUNCTION("""COMPUTED_VALUE"""),80.11)</f>
        <v>80.11</v>
      </c>
      <c r="C724" s="1">
        <f>IFERROR(__xludf.DUMMYFUNCTION("""COMPUTED_VALUE"""),82.62)</f>
        <v>82.62</v>
      </c>
      <c r="D724" s="1">
        <f>IFERROR(__xludf.DUMMYFUNCTION("""COMPUTED_VALUE"""),79.95)</f>
        <v>79.95</v>
      </c>
      <c r="E724" s="1">
        <f>IFERROR(__xludf.DUMMYFUNCTION("""COMPUTED_VALUE"""),81.15)</f>
        <v>81.15</v>
      </c>
      <c r="F724" s="1">
        <f>IFERROR(__xludf.DUMMYFUNCTION("""COMPUTED_VALUE"""),4.0386502E7)</f>
        <v>40386502</v>
      </c>
    </row>
    <row r="725">
      <c r="A725" s="2">
        <f>IFERROR(__xludf.DUMMYFUNCTION("""COMPUTED_VALUE"""),41586.666666666664)</f>
        <v>41586.66667</v>
      </c>
      <c r="B725" s="1">
        <f>IFERROR(__xludf.DUMMYFUNCTION("""COMPUTED_VALUE"""),81.46)</f>
        <v>81.46</v>
      </c>
      <c r="C725" s="1">
        <f>IFERROR(__xludf.DUMMYFUNCTION("""COMPUTED_VALUE"""),83.1)</f>
        <v>83.1</v>
      </c>
      <c r="D725" s="1">
        <f>IFERROR(__xludf.DUMMYFUNCTION("""COMPUTED_VALUE"""),80.85)</f>
        <v>80.85</v>
      </c>
      <c r="E725" s="1">
        <f>IFERROR(__xludf.DUMMYFUNCTION("""COMPUTED_VALUE"""),82.51)</f>
        <v>82.51</v>
      </c>
      <c r="F725" s="1">
        <f>IFERROR(__xludf.DUMMYFUNCTION("""COMPUTED_VALUE"""),3.9798698E7)</f>
        <v>39798698</v>
      </c>
    </row>
    <row r="726">
      <c r="A726" s="2">
        <f>IFERROR(__xludf.DUMMYFUNCTION("""COMPUTED_VALUE"""),41593.666666666664)</f>
        <v>41593.66667</v>
      </c>
      <c r="B726" s="1">
        <f>IFERROR(__xludf.DUMMYFUNCTION("""COMPUTED_VALUE"""),82.35)</f>
        <v>82.35</v>
      </c>
      <c r="C726" s="1">
        <f>IFERROR(__xludf.DUMMYFUNCTION("""COMPUTED_VALUE"""),84.92)</f>
        <v>84.92</v>
      </c>
      <c r="D726" s="1">
        <f>IFERROR(__xludf.DUMMYFUNCTION("""COMPUTED_VALUE"""),82.02)</f>
        <v>82.02</v>
      </c>
      <c r="E726" s="1">
        <f>IFERROR(__xludf.DUMMYFUNCTION("""COMPUTED_VALUE"""),84.84)</f>
        <v>84.84</v>
      </c>
      <c r="F726" s="1">
        <f>IFERROR(__xludf.DUMMYFUNCTION("""COMPUTED_VALUE"""),3.9214866E7)</f>
        <v>39214866</v>
      </c>
    </row>
    <row r="727">
      <c r="A727" s="2">
        <f>IFERROR(__xludf.DUMMYFUNCTION("""COMPUTED_VALUE"""),41600.666666666664)</f>
        <v>41600.66667</v>
      </c>
      <c r="B727" s="1">
        <f>IFERROR(__xludf.DUMMYFUNCTION("""COMPUTED_VALUE"""),84.79)</f>
        <v>84.79</v>
      </c>
      <c r="C727" s="1">
        <f>IFERROR(__xludf.DUMMYFUNCTION("""COMPUTED_VALUE"""),85.0)</f>
        <v>85</v>
      </c>
      <c r="D727" s="1">
        <f>IFERROR(__xludf.DUMMYFUNCTION("""COMPUTED_VALUE"""),84.18)</f>
        <v>84.18</v>
      </c>
      <c r="E727" s="1">
        <f>IFERROR(__xludf.DUMMYFUNCTION("""COMPUTED_VALUE"""),84.95)</f>
        <v>84.95</v>
      </c>
      <c r="F727" s="1">
        <f>IFERROR(__xludf.DUMMYFUNCTION("""COMPUTED_VALUE"""),3.8837814E7)</f>
        <v>38837814</v>
      </c>
    </row>
    <row r="728">
      <c r="A728" s="2">
        <f>IFERROR(__xludf.DUMMYFUNCTION("""COMPUTED_VALUE"""),41607.666666666664)</f>
        <v>41607.66667</v>
      </c>
      <c r="B728" s="1">
        <f>IFERROR(__xludf.DUMMYFUNCTION("""COMPUTED_VALUE"""),84.96)</f>
        <v>84.96</v>
      </c>
      <c r="C728" s="1">
        <f>IFERROR(__xludf.DUMMYFUNCTION("""COMPUTED_VALUE"""),85.82)</f>
        <v>85.82</v>
      </c>
      <c r="D728" s="1">
        <f>IFERROR(__xludf.DUMMYFUNCTION("""COMPUTED_VALUE"""),84.02)</f>
        <v>84.02</v>
      </c>
      <c r="E728" s="1">
        <f>IFERROR(__xludf.DUMMYFUNCTION("""COMPUTED_VALUE"""),84.22)</f>
        <v>84.22</v>
      </c>
      <c r="F728" s="1">
        <f>IFERROR(__xludf.DUMMYFUNCTION("""COMPUTED_VALUE"""),2.6641827E7)</f>
        <v>26641827</v>
      </c>
    </row>
    <row r="729">
      <c r="A729" s="2">
        <f>IFERROR(__xludf.DUMMYFUNCTION("""COMPUTED_VALUE"""),41614.666666666664)</f>
        <v>41614.66667</v>
      </c>
      <c r="B729" s="1">
        <f>IFERROR(__xludf.DUMMYFUNCTION("""COMPUTED_VALUE"""),84.04)</f>
        <v>84.04</v>
      </c>
      <c r="C729" s="1">
        <f>IFERROR(__xludf.DUMMYFUNCTION("""COMPUTED_VALUE"""),84.53)</f>
        <v>84.53</v>
      </c>
      <c r="D729" s="1">
        <f>IFERROR(__xludf.DUMMYFUNCTION("""COMPUTED_VALUE"""),82.3)</f>
        <v>82.3</v>
      </c>
      <c r="E729" s="1">
        <f>IFERROR(__xludf.DUMMYFUNCTION("""COMPUTED_VALUE"""),84.52)</f>
        <v>84.52</v>
      </c>
      <c r="F729" s="1">
        <f>IFERROR(__xludf.DUMMYFUNCTION("""COMPUTED_VALUE"""),3.7220363E7)</f>
        <v>37220363</v>
      </c>
    </row>
    <row r="730">
      <c r="A730" s="2">
        <f>IFERROR(__xludf.DUMMYFUNCTION("""COMPUTED_VALUE"""),41621.666666666664)</f>
        <v>41621.66667</v>
      </c>
      <c r="B730" s="1">
        <f>IFERROR(__xludf.DUMMYFUNCTION("""COMPUTED_VALUE"""),84.48)</f>
        <v>84.48</v>
      </c>
      <c r="C730" s="1">
        <f>IFERROR(__xludf.DUMMYFUNCTION("""COMPUTED_VALUE"""),84.94)</f>
        <v>84.94</v>
      </c>
      <c r="D730" s="1">
        <f>IFERROR(__xludf.DUMMYFUNCTION("""COMPUTED_VALUE"""),81.56)</f>
        <v>81.56</v>
      </c>
      <c r="E730" s="1">
        <f>IFERROR(__xludf.DUMMYFUNCTION("""COMPUTED_VALUE"""),82.37)</f>
        <v>82.37</v>
      </c>
      <c r="F730" s="1">
        <f>IFERROR(__xludf.DUMMYFUNCTION("""COMPUTED_VALUE"""),4.2178921E7)</f>
        <v>42178921</v>
      </c>
    </row>
    <row r="731">
      <c r="A731" s="2">
        <f>IFERROR(__xludf.DUMMYFUNCTION("""COMPUTED_VALUE"""),41628.666666666664)</f>
        <v>41628.66667</v>
      </c>
      <c r="B731" s="1">
        <f>IFERROR(__xludf.DUMMYFUNCTION("""COMPUTED_VALUE"""),82.72)</f>
        <v>82.72</v>
      </c>
      <c r="C731" s="1">
        <f>IFERROR(__xludf.DUMMYFUNCTION("""COMPUTED_VALUE"""),83.07)</f>
        <v>83.07</v>
      </c>
      <c r="D731" s="1">
        <f>IFERROR(__xludf.DUMMYFUNCTION("""COMPUTED_VALUE"""),80.48)</f>
        <v>80.48</v>
      </c>
      <c r="E731" s="1">
        <f>IFERROR(__xludf.DUMMYFUNCTION("""COMPUTED_VALUE"""),81.84)</f>
        <v>81.84</v>
      </c>
      <c r="F731" s="1">
        <f>IFERROR(__xludf.DUMMYFUNCTION("""COMPUTED_VALUE"""),5.1955387E7)</f>
        <v>51955387</v>
      </c>
    </row>
    <row r="732">
      <c r="A732" s="2">
        <f>IFERROR(__xludf.DUMMYFUNCTION("""COMPUTED_VALUE"""),41635.666666666664)</f>
        <v>41635.66667</v>
      </c>
      <c r="B732" s="1">
        <f>IFERROR(__xludf.DUMMYFUNCTION("""COMPUTED_VALUE"""),82.14)</f>
        <v>82.14</v>
      </c>
      <c r="C732" s="1">
        <f>IFERROR(__xludf.DUMMYFUNCTION("""COMPUTED_VALUE"""),82.48)</f>
        <v>82.48</v>
      </c>
      <c r="D732" s="1">
        <f>IFERROR(__xludf.DUMMYFUNCTION("""COMPUTED_VALUE"""),81.01)</f>
        <v>81.01</v>
      </c>
      <c r="E732" s="1">
        <f>IFERROR(__xludf.DUMMYFUNCTION("""COMPUTED_VALUE"""),82.01)</f>
        <v>82.01</v>
      </c>
      <c r="F732" s="1">
        <f>IFERROR(__xludf.DUMMYFUNCTION("""COMPUTED_VALUE"""),2.0908341E7)</f>
        <v>20908341</v>
      </c>
    </row>
    <row r="733">
      <c r="A733" s="2">
        <f>IFERROR(__xludf.DUMMYFUNCTION("""COMPUTED_VALUE"""),41642.666666666664)</f>
        <v>41642.66667</v>
      </c>
      <c r="B733" s="1">
        <f>IFERROR(__xludf.DUMMYFUNCTION("""COMPUTED_VALUE"""),82.0)</f>
        <v>82</v>
      </c>
      <c r="C733" s="1">
        <f>IFERROR(__xludf.DUMMYFUNCTION("""COMPUTED_VALUE"""),82.05)</f>
        <v>82.05</v>
      </c>
      <c r="D733" s="1">
        <f>IFERROR(__xludf.DUMMYFUNCTION("""COMPUTED_VALUE"""),80.19)</f>
        <v>80.19</v>
      </c>
      <c r="E733" s="1">
        <f>IFERROR(__xludf.DUMMYFUNCTION("""COMPUTED_VALUE"""),80.45)</f>
        <v>80.45</v>
      </c>
      <c r="F733" s="1">
        <f>IFERROR(__xludf.DUMMYFUNCTION("""COMPUTED_VALUE"""),2.3823757E7)</f>
        <v>23823757</v>
      </c>
    </row>
    <row r="734">
      <c r="A734" s="2">
        <f>IFERROR(__xludf.DUMMYFUNCTION("""COMPUTED_VALUE"""),41649.666666666664)</f>
        <v>41649.66667</v>
      </c>
      <c r="B734" s="1">
        <f>IFERROR(__xludf.DUMMYFUNCTION("""COMPUTED_VALUE"""),80.61)</f>
        <v>80.61</v>
      </c>
      <c r="C734" s="1">
        <f>IFERROR(__xludf.DUMMYFUNCTION("""COMPUTED_VALUE"""),81.58)</f>
        <v>81.58</v>
      </c>
      <c r="D734" s="1">
        <f>IFERROR(__xludf.DUMMYFUNCTION("""COMPUTED_VALUE"""),80.03)</f>
        <v>80.03</v>
      </c>
      <c r="E734" s="1">
        <f>IFERROR(__xludf.DUMMYFUNCTION("""COMPUTED_VALUE"""),80.3)</f>
        <v>80.3</v>
      </c>
      <c r="F734" s="1">
        <f>IFERROR(__xludf.DUMMYFUNCTION("""COMPUTED_VALUE"""),4.712273E7)</f>
        <v>47122730</v>
      </c>
    </row>
    <row r="735">
      <c r="A735" s="2">
        <f>IFERROR(__xludf.DUMMYFUNCTION("""COMPUTED_VALUE"""),41656.666666666664)</f>
        <v>41656.66667</v>
      </c>
      <c r="B735" s="1">
        <f>IFERROR(__xludf.DUMMYFUNCTION("""COMPUTED_VALUE"""),80.01)</f>
        <v>80.01</v>
      </c>
      <c r="C735" s="1">
        <f>IFERROR(__xludf.DUMMYFUNCTION("""COMPUTED_VALUE"""),81.18)</f>
        <v>81.18</v>
      </c>
      <c r="D735" s="1">
        <f>IFERROR(__xludf.DUMMYFUNCTION("""COMPUTED_VALUE"""),79.69)</f>
        <v>79.69</v>
      </c>
      <c r="E735" s="1">
        <f>IFERROR(__xludf.DUMMYFUNCTION("""COMPUTED_VALUE"""),79.88)</f>
        <v>79.88</v>
      </c>
      <c r="F735" s="1">
        <f>IFERROR(__xludf.DUMMYFUNCTION("""COMPUTED_VALUE"""),5.1634238E7)</f>
        <v>51634238</v>
      </c>
    </row>
    <row r="736">
      <c r="A736" s="2">
        <f>IFERROR(__xludf.DUMMYFUNCTION("""COMPUTED_VALUE"""),41663.666666666664)</f>
        <v>41663.66667</v>
      </c>
      <c r="B736" s="1">
        <f>IFERROR(__xludf.DUMMYFUNCTION("""COMPUTED_VALUE"""),80.59)</f>
        <v>80.59</v>
      </c>
      <c r="C736" s="1">
        <f>IFERROR(__xludf.DUMMYFUNCTION("""COMPUTED_VALUE"""),81.7)</f>
        <v>81.7</v>
      </c>
      <c r="D736" s="1">
        <f>IFERROR(__xludf.DUMMYFUNCTION("""COMPUTED_VALUE"""),78.12)</f>
        <v>78.12</v>
      </c>
      <c r="E736" s="1">
        <f>IFERROR(__xludf.DUMMYFUNCTION("""COMPUTED_VALUE"""),79.18)</f>
        <v>79.18</v>
      </c>
      <c r="F736" s="1">
        <f>IFERROR(__xludf.DUMMYFUNCTION("""COMPUTED_VALUE"""),5.4537858E7)</f>
        <v>54537858</v>
      </c>
    </row>
    <row r="737">
      <c r="A737" s="2">
        <f>IFERROR(__xludf.DUMMYFUNCTION("""COMPUTED_VALUE"""),41670.666666666664)</f>
        <v>41670.66667</v>
      </c>
      <c r="B737" s="1">
        <f>IFERROR(__xludf.DUMMYFUNCTION("""COMPUTED_VALUE"""),79.24)</f>
        <v>79.24</v>
      </c>
      <c r="C737" s="1">
        <f>IFERROR(__xludf.DUMMYFUNCTION("""COMPUTED_VALUE"""),79.52)</f>
        <v>79.52</v>
      </c>
      <c r="D737" s="1">
        <f>IFERROR(__xludf.DUMMYFUNCTION("""COMPUTED_VALUE"""),75.26)</f>
        <v>75.26</v>
      </c>
      <c r="E737" s="1">
        <f>IFERROR(__xludf.DUMMYFUNCTION("""COMPUTED_VALUE"""),76.62)</f>
        <v>76.62</v>
      </c>
      <c r="F737" s="1">
        <f>IFERROR(__xludf.DUMMYFUNCTION("""COMPUTED_VALUE"""),5.6360726E7)</f>
        <v>56360726</v>
      </c>
    </row>
    <row r="738">
      <c r="A738" s="2">
        <f>IFERROR(__xludf.DUMMYFUNCTION("""COMPUTED_VALUE"""),41677.666666666664)</f>
        <v>41677.66667</v>
      </c>
      <c r="B738" s="1">
        <f>IFERROR(__xludf.DUMMYFUNCTION("""COMPUTED_VALUE"""),76.69)</f>
        <v>76.69</v>
      </c>
      <c r="C738" s="1">
        <f>IFERROR(__xludf.DUMMYFUNCTION("""COMPUTED_VALUE"""),77.39)</f>
        <v>77.39</v>
      </c>
      <c r="D738" s="1">
        <f>IFERROR(__xludf.DUMMYFUNCTION("""COMPUTED_VALUE"""),75.4)</f>
        <v>75.4</v>
      </c>
      <c r="E738" s="1">
        <f>IFERROR(__xludf.DUMMYFUNCTION("""COMPUTED_VALUE"""),77.31)</f>
        <v>77.31</v>
      </c>
      <c r="F738" s="1">
        <f>IFERROR(__xludf.DUMMYFUNCTION("""COMPUTED_VALUE"""),5.4760837E7)</f>
        <v>54760837</v>
      </c>
    </row>
    <row r="739">
      <c r="A739" s="2">
        <f>IFERROR(__xludf.DUMMYFUNCTION("""COMPUTED_VALUE"""),41684.666666666664)</f>
        <v>41684.66667</v>
      </c>
      <c r="B739" s="1">
        <f>IFERROR(__xludf.DUMMYFUNCTION("""COMPUTED_VALUE"""),77.43)</f>
        <v>77.43</v>
      </c>
      <c r="C739" s="1">
        <f>IFERROR(__xludf.DUMMYFUNCTION("""COMPUTED_VALUE"""),79.75)</f>
        <v>79.75</v>
      </c>
      <c r="D739" s="1">
        <f>IFERROR(__xludf.DUMMYFUNCTION("""COMPUTED_VALUE"""),77.0)</f>
        <v>77</v>
      </c>
      <c r="E739" s="1">
        <f>IFERROR(__xludf.DUMMYFUNCTION("""COMPUTED_VALUE"""),79.4)</f>
        <v>79.4</v>
      </c>
      <c r="F739" s="1">
        <f>IFERROR(__xludf.DUMMYFUNCTION("""COMPUTED_VALUE"""),4.8757795E7)</f>
        <v>48757795</v>
      </c>
    </row>
    <row r="740">
      <c r="A740" s="2">
        <f>IFERROR(__xludf.DUMMYFUNCTION("""COMPUTED_VALUE"""),41691.666666666664)</f>
        <v>41691.66667</v>
      </c>
      <c r="B740" s="1">
        <f>IFERROR(__xludf.DUMMYFUNCTION("""COMPUTED_VALUE"""),79.48)</f>
        <v>79.48</v>
      </c>
      <c r="C740" s="1">
        <f>IFERROR(__xludf.DUMMYFUNCTION("""COMPUTED_VALUE"""),79.63)</f>
        <v>79.63</v>
      </c>
      <c r="D740" s="1">
        <f>IFERROR(__xludf.DUMMYFUNCTION("""COMPUTED_VALUE"""),77.5)</f>
        <v>77.5</v>
      </c>
      <c r="E740" s="1">
        <f>IFERROR(__xludf.DUMMYFUNCTION("""COMPUTED_VALUE"""),77.97)</f>
        <v>77.97</v>
      </c>
      <c r="F740" s="1">
        <f>IFERROR(__xludf.DUMMYFUNCTION("""COMPUTED_VALUE"""),4.0874944E7)</f>
        <v>40874944</v>
      </c>
    </row>
    <row r="741">
      <c r="A741" s="2">
        <f>IFERROR(__xludf.DUMMYFUNCTION("""COMPUTED_VALUE"""),41698.666666666664)</f>
        <v>41698.66667</v>
      </c>
      <c r="B741" s="1">
        <f>IFERROR(__xludf.DUMMYFUNCTION("""COMPUTED_VALUE"""),78.03)</f>
        <v>78.03</v>
      </c>
      <c r="C741" s="1">
        <f>IFERROR(__xludf.DUMMYFUNCTION("""COMPUTED_VALUE"""),78.91)</f>
        <v>78.91</v>
      </c>
      <c r="D741" s="1">
        <f>IFERROR(__xludf.DUMMYFUNCTION("""COMPUTED_VALUE"""),77.4)</f>
        <v>77.4</v>
      </c>
      <c r="E741" s="1">
        <f>IFERROR(__xludf.DUMMYFUNCTION("""COMPUTED_VALUE"""),78.66)</f>
        <v>78.66</v>
      </c>
      <c r="F741" s="1">
        <f>IFERROR(__xludf.DUMMYFUNCTION("""COMPUTED_VALUE"""),3.8833645E7)</f>
        <v>38833645</v>
      </c>
    </row>
    <row r="742">
      <c r="A742" s="2">
        <f>IFERROR(__xludf.DUMMYFUNCTION("""COMPUTED_VALUE"""),41705.666666666664)</f>
        <v>41705.66667</v>
      </c>
      <c r="B742" s="1">
        <f>IFERROR(__xludf.DUMMYFUNCTION("""COMPUTED_VALUE"""),78.26)</f>
        <v>78.26</v>
      </c>
      <c r="C742" s="1">
        <f>IFERROR(__xludf.DUMMYFUNCTION("""COMPUTED_VALUE"""),78.72)</f>
        <v>78.72</v>
      </c>
      <c r="D742" s="1">
        <f>IFERROR(__xludf.DUMMYFUNCTION("""COMPUTED_VALUE"""),77.35)</f>
        <v>77.35</v>
      </c>
      <c r="E742" s="1">
        <f>IFERROR(__xludf.DUMMYFUNCTION("""COMPUTED_VALUE"""),78.38)</f>
        <v>78.38</v>
      </c>
      <c r="F742" s="1">
        <f>IFERROR(__xludf.DUMMYFUNCTION("""COMPUTED_VALUE"""),3.780025E7)</f>
        <v>37800250</v>
      </c>
    </row>
    <row r="743">
      <c r="A743" s="2">
        <f>IFERROR(__xludf.DUMMYFUNCTION("""COMPUTED_VALUE"""),41712.666666666664)</f>
        <v>41712.66667</v>
      </c>
      <c r="B743" s="1">
        <f>IFERROR(__xludf.DUMMYFUNCTION("""COMPUTED_VALUE"""),78.29)</f>
        <v>78.29</v>
      </c>
      <c r="C743" s="1">
        <f>IFERROR(__xludf.DUMMYFUNCTION("""COMPUTED_VALUE"""),79.76)</f>
        <v>79.76</v>
      </c>
      <c r="D743" s="1">
        <f>IFERROR(__xludf.DUMMYFUNCTION("""COMPUTED_VALUE"""),78.2)</f>
        <v>78.2</v>
      </c>
      <c r="E743" s="1">
        <f>IFERROR(__xludf.DUMMYFUNCTION("""COMPUTED_VALUE"""),78.98)</f>
        <v>78.98</v>
      </c>
      <c r="F743" s="1">
        <f>IFERROR(__xludf.DUMMYFUNCTION("""COMPUTED_VALUE"""),4.3830553E7)</f>
        <v>43830553</v>
      </c>
    </row>
    <row r="744">
      <c r="A744" s="2">
        <f>IFERROR(__xludf.DUMMYFUNCTION("""COMPUTED_VALUE"""),41719.666666666664)</f>
        <v>41719.66667</v>
      </c>
      <c r="B744" s="1">
        <f>IFERROR(__xludf.DUMMYFUNCTION("""COMPUTED_VALUE"""),79.02)</f>
        <v>79.02</v>
      </c>
      <c r="C744" s="1">
        <f>IFERROR(__xludf.DUMMYFUNCTION("""COMPUTED_VALUE"""),80.08)</f>
        <v>80.08</v>
      </c>
      <c r="D744" s="1">
        <f>IFERROR(__xludf.DUMMYFUNCTION("""COMPUTED_VALUE"""),77.88)</f>
        <v>77.88</v>
      </c>
      <c r="E744" s="1">
        <f>IFERROR(__xludf.DUMMYFUNCTION("""COMPUTED_VALUE"""),77.88)</f>
        <v>77.88</v>
      </c>
      <c r="F744" s="1">
        <f>IFERROR(__xludf.DUMMYFUNCTION("""COMPUTED_VALUE"""),5.4672257E7)</f>
        <v>54672257</v>
      </c>
    </row>
    <row r="745">
      <c r="A745" s="2">
        <f>IFERROR(__xludf.DUMMYFUNCTION("""COMPUTED_VALUE"""),41726.666666666664)</f>
        <v>41726.66667</v>
      </c>
      <c r="B745" s="1">
        <f>IFERROR(__xludf.DUMMYFUNCTION("""COMPUTED_VALUE"""),78.5)</f>
        <v>78.5</v>
      </c>
      <c r="C745" s="1">
        <f>IFERROR(__xludf.DUMMYFUNCTION("""COMPUTED_VALUE"""),80.43)</f>
        <v>80.43</v>
      </c>
      <c r="D745" s="1">
        <f>IFERROR(__xludf.DUMMYFUNCTION("""COMPUTED_VALUE"""),78.47)</f>
        <v>78.47</v>
      </c>
      <c r="E745" s="1">
        <f>IFERROR(__xludf.DUMMYFUNCTION("""COMPUTED_VALUE"""),79.76)</f>
        <v>79.76</v>
      </c>
      <c r="F745" s="1">
        <f>IFERROR(__xludf.DUMMYFUNCTION("""COMPUTED_VALUE"""),4.2931637E7)</f>
        <v>42931637</v>
      </c>
    </row>
    <row r="746">
      <c r="A746" s="2">
        <f>IFERROR(__xludf.DUMMYFUNCTION("""COMPUTED_VALUE"""),41733.666666666664)</f>
        <v>41733.66667</v>
      </c>
      <c r="B746" s="1">
        <f>IFERROR(__xludf.DUMMYFUNCTION("""COMPUTED_VALUE"""),80.0)</f>
        <v>80</v>
      </c>
      <c r="C746" s="1">
        <f>IFERROR(__xludf.DUMMYFUNCTION("""COMPUTED_VALUE"""),80.84)</f>
        <v>80.84</v>
      </c>
      <c r="D746" s="1">
        <f>IFERROR(__xludf.DUMMYFUNCTION("""COMPUTED_VALUE"""),79.55)</f>
        <v>79.55</v>
      </c>
      <c r="E746" s="1">
        <f>IFERROR(__xludf.DUMMYFUNCTION("""COMPUTED_VALUE"""),79.77)</f>
        <v>79.77</v>
      </c>
      <c r="F746" s="1">
        <f>IFERROR(__xludf.DUMMYFUNCTION("""COMPUTED_VALUE"""),3.7754094E7)</f>
        <v>37754094</v>
      </c>
    </row>
    <row r="747">
      <c r="A747" s="2">
        <f>IFERROR(__xludf.DUMMYFUNCTION("""COMPUTED_VALUE"""),41740.666666666664)</f>
        <v>41740.66667</v>
      </c>
      <c r="B747" s="1">
        <f>IFERROR(__xludf.DUMMYFUNCTION("""COMPUTED_VALUE"""),80.02)</f>
        <v>80.02</v>
      </c>
      <c r="C747" s="1">
        <f>IFERROR(__xludf.DUMMYFUNCTION("""COMPUTED_VALUE"""),82.24)</f>
        <v>82.24</v>
      </c>
      <c r="D747" s="1">
        <f>IFERROR(__xludf.DUMMYFUNCTION("""COMPUTED_VALUE"""),79.93)</f>
        <v>79.93</v>
      </c>
      <c r="E747" s="1">
        <f>IFERROR(__xludf.DUMMYFUNCTION("""COMPUTED_VALUE"""),80.76)</f>
        <v>80.76</v>
      </c>
      <c r="F747" s="1">
        <f>IFERROR(__xludf.DUMMYFUNCTION("""COMPUTED_VALUE"""),6.0704924E7)</f>
        <v>60704924</v>
      </c>
    </row>
    <row r="748">
      <c r="A748" s="2">
        <f>IFERROR(__xludf.DUMMYFUNCTION("""COMPUTED_VALUE"""),41746.666666666664)</f>
        <v>41746.66667</v>
      </c>
      <c r="B748" s="1">
        <f>IFERROR(__xludf.DUMMYFUNCTION("""COMPUTED_VALUE"""),81.0)</f>
        <v>81</v>
      </c>
      <c r="C748" s="1">
        <f>IFERROR(__xludf.DUMMYFUNCTION("""COMPUTED_VALUE"""),81.89)</f>
        <v>81.89</v>
      </c>
      <c r="D748" s="1">
        <f>IFERROR(__xludf.DUMMYFUNCTION("""COMPUTED_VALUE"""),80.51)</f>
        <v>80.51</v>
      </c>
      <c r="E748" s="1">
        <f>IFERROR(__xludf.DUMMYFUNCTION("""COMPUTED_VALUE"""),81.76)</f>
        <v>81.76</v>
      </c>
      <c r="F748" s="1">
        <f>IFERROR(__xludf.DUMMYFUNCTION("""COMPUTED_VALUE"""),3.278898E7)</f>
        <v>32788980</v>
      </c>
    </row>
    <row r="749">
      <c r="A749" s="2">
        <f>IFERROR(__xludf.DUMMYFUNCTION("""COMPUTED_VALUE"""),41754.666666666664)</f>
        <v>41754.66667</v>
      </c>
      <c r="B749" s="1">
        <f>IFERROR(__xludf.DUMMYFUNCTION("""COMPUTED_VALUE"""),81.81)</f>
        <v>81.81</v>
      </c>
      <c r="C749" s="1">
        <f>IFERROR(__xludf.DUMMYFUNCTION("""COMPUTED_VALUE"""),81.81)</f>
        <v>81.81</v>
      </c>
      <c r="D749" s="1">
        <f>IFERROR(__xludf.DUMMYFUNCTION("""COMPUTED_VALUE"""),79.38)</f>
        <v>79.38</v>
      </c>
      <c r="E749" s="1">
        <f>IFERROR(__xludf.DUMMYFUNCTION("""COMPUTED_VALUE"""),81.41)</f>
        <v>81.41</v>
      </c>
      <c r="F749" s="1">
        <f>IFERROR(__xludf.DUMMYFUNCTION("""COMPUTED_VALUE"""),4.2261982E7)</f>
        <v>42261982</v>
      </c>
    </row>
    <row r="750">
      <c r="A750" s="2">
        <f>IFERROR(__xludf.DUMMYFUNCTION("""COMPUTED_VALUE"""),41761.666666666664)</f>
        <v>41761.66667</v>
      </c>
      <c r="B750" s="1">
        <f>IFERROR(__xludf.DUMMYFUNCTION("""COMPUTED_VALUE"""),81.54)</f>
        <v>81.54</v>
      </c>
      <c r="C750" s="1">
        <f>IFERROR(__xludf.DUMMYFUNCTION("""COMPUTED_VALUE"""),82.98)</f>
        <v>82.98</v>
      </c>
      <c r="D750" s="1">
        <f>IFERROR(__xludf.DUMMYFUNCTION("""COMPUTED_VALUE"""),81.51)</f>
        <v>81.51</v>
      </c>
      <c r="E750" s="1">
        <f>IFERROR(__xludf.DUMMYFUNCTION("""COMPUTED_VALUE"""),81.92)</f>
        <v>81.92</v>
      </c>
      <c r="F750" s="1">
        <f>IFERROR(__xludf.DUMMYFUNCTION("""COMPUTED_VALUE"""),3.7004514E7)</f>
        <v>37004514</v>
      </c>
    </row>
    <row r="751">
      <c r="A751" s="2">
        <f>IFERROR(__xludf.DUMMYFUNCTION("""COMPUTED_VALUE"""),41768.666666666664)</f>
        <v>41768.66667</v>
      </c>
      <c r="B751" s="1">
        <f>IFERROR(__xludf.DUMMYFUNCTION("""COMPUTED_VALUE"""),81.64)</f>
        <v>81.64</v>
      </c>
      <c r="C751" s="1">
        <f>IFERROR(__xludf.DUMMYFUNCTION("""COMPUTED_VALUE"""),82.8)</f>
        <v>82.8</v>
      </c>
      <c r="D751" s="1">
        <f>IFERROR(__xludf.DUMMYFUNCTION("""COMPUTED_VALUE"""),81.12)</f>
        <v>81.12</v>
      </c>
      <c r="E751" s="1">
        <f>IFERROR(__xludf.DUMMYFUNCTION("""COMPUTED_VALUE"""),82.39)</f>
        <v>82.39</v>
      </c>
      <c r="F751" s="1">
        <f>IFERROR(__xludf.DUMMYFUNCTION("""COMPUTED_VALUE"""),2.77292E7)</f>
        <v>27729200</v>
      </c>
    </row>
    <row r="752">
      <c r="A752" s="2">
        <f>IFERROR(__xludf.DUMMYFUNCTION("""COMPUTED_VALUE"""),41775.666666666664)</f>
        <v>41775.66667</v>
      </c>
      <c r="B752" s="1">
        <f>IFERROR(__xludf.DUMMYFUNCTION("""COMPUTED_VALUE"""),82.61)</f>
        <v>82.61</v>
      </c>
      <c r="C752" s="1">
        <f>IFERROR(__xludf.DUMMYFUNCTION("""COMPUTED_VALUE"""),82.71)</f>
        <v>82.71</v>
      </c>
      <c r="D752" s="1">
        <f>IFERROR(__xludf.DUMMYFUNCTION("""COMPUTED_VALUE"""),80.0)</f>
        <v>80</v>
      </c>
      <c r="E752" s="1">
        <f>IFERROR(__xludf.DUMMYFUNCTION("""COMPUTED_VALUE"""),80.33)</f>
        <v>80.33</v>
      </c>
      <c r="F752" s="1">
        <f>IFERROR(__xludf.DUMMYFUNCTION("""COMPUTED_VALUE"""),4.2233286E7)</f>
        <v>42233286</v>
      </c>
    </row>
    <row r="753">
      <c r="A753" s="2">
        <f>IFERROR(__xludf.DUMMYFUNCTION("""COMPUTED_VALUE"""),41782.666666666664)</f>
        <v>41782.66667</v>
      </c>
      <c r="B753" s="1">
        <f>IFERROR(__xludf.DUMMYFUNCTION("""COMPUTED_VALUE"""),80.01)</f>
        <v>80.01</v>
      </c>
      <c r="C753" s="1">
        <f>IFERROR(__xludf.DUMMYFUNCTION("""COMPUTED_VALUE"""),80.85)</f>
        <v>80.85</v>
      </c>
      <c r="D753" s="1">
        <f>IFERROR(__xludf.DUMMYFUNCTION("""COMPUTED_VALUE"""),79.54)</f>
        <v>79.54</v>
      </c>
      <c r="E753" s="1">
        <f>IFERROR(__xludf.DUMMYFUNCTION("""COMPUTED_VALUE"""),80.52)</f>
        <v>80.52</v>
      </c>
      <c r="F753" s="1">
        <f>IFERROR(__xludf.DUMMYFUNCTION("""COMPUTED_VALUE"""),2.9504456E7)</f>
        <v>29504456</v>
      </c>
    </row>
    <row r="754">
      <c r="A754" s="2">
        <f>IFERROR(__xludf.DUMMYFUNCTION("""COMPUTED_VALUE"""),41789.666666666664)</f>
        <v>41789.66667</v>
      </c>
      <c r="B754" s="1">
        <f>IFERROR(__xludf.DUMMYFUNCTION("""COMPUTED_VALUE"""),80.55)</f>
        <v>80.55</v>
      </c>
      <c r="C754" s="1">
        <f>IFERROR(__xludf.DUMMYFUNCTION("""COMPUTED_VALUE"""),80.85)</f>
        <v>80.85</v>
      </c>
      <c r="D754" s="1">
        <f>IFERROR(__xludf.DUMMYFUNCTION("""COMPUTED_VALUE"""),80.02)</f>
        <v>80.02</v>
      </c>
      <c r="E754" s="1">
        <f>IFERROR(__xludf.DUMMYFUNCTION("""COMPUTED_VALUE"""),80.79)</f>
        <v>80.79</v>
      </c>
      <c r="F754" s="1">
        <f>IFERROR(__xludf.DUMMYFUNCTION("""COMPUTED_VALUE"""),2.2525069E7)</f>
        <v>22525069</v>
      </c>
    </row>
    <row r="755">
      <c r="A755" s="2">
        <f>IFERROR(__xludf.DUMMYFUNCTION("""COMPUTED_VALUE"""),41796.666666666664)</f>
        <v>41796.66667</v>
      </c>
      <c r="B755" s="1">
        <f>IFERROR(__xludf.DUMMYFUNCTION("""COMPUTED_VALUE"""),80.66)</f>
        <v>80.66</v>
      </c>
      <c r="C755" s="1">
        <f>IFERROR(__xludf.DUMMYFUNCTION("""COMPUTED_VALUE"""),80.67)</f>
        <v>80.67</v>
      </c>
      <c r="D755" s="1">
        <f>IFERROR(__xludf.DUMMYFUNCTION("""COMPUTED_VALUE"""),79.6)</f>
        <v>79.6</v>
      </c>
      <c r="E755" s="1">
        <f>IFERROR(__xludf.DUMMYFUNCTION("""COMPUTED_VALUE"""),80.03)</f>
        <v>80.03</v>
      </c>
      <c r="F755" s="1">
        <f>IFERROR(__xludf.DUMMYFUNCTION("""COMPUTED_VALUE"""),2.8040215E7)</f>
        <v>28040215</v>
      </c>
    </row>
    <row r="756">
      <c r="A756" s="2">
        <f>IFERROR(__xludf.DUMMYFUNCTION("""COMPUTED_VALUE"""),41803.666666666664)</f>
        <v>41803.66667</v>
      </c>
      <c r="B756" s="1">
        <f>IFERROR(__xludf.DUMMYFUNCTION("""COMPUTED_VALUE"""),79.91)</f>
        <v>79.91</v>
      </c>
      <c r="C756" s="1">
        <f>IFERROR(__xludf.DUMMYFUNCTION("""COMPUTED_VALUE"""),80.3)</f>
        <v>80.3</v>
      </c>
      <c r="D756" s="1">
        <f>IFERROR(__xludf.DUMMYFUNCTION("""COMPUTED_VALUE"""),79.5)</f>
        <v>79.5</v>
      </c>
      <c r="E756" s="1">
        <f>IFERROR(__xludf.DUMMYFUNCTION("""COMPUTED_VALUE"""),79.64)</f>
        <v>79.64</v>
      </c>
      <c r="F756" s="1">
        <f>IFERROR(__xludf.DUMMYFUNCTION("""COMPUTED_VALUE"""),3.1205832E7)</f>
        <v>31205832</v>
      </c>
    </row>
    <row r="757">
      <c r="A757" s="2">
        <f>IFERROR(__xludf.DUMMYFUNCTION("""COMPUTED_VALUE"""),41810.666666666664)</f>
        <v>41810.66667</v>
      </c>
      <c r="B757" s="1">
        <f>IFERROR(__xludf.DUMMYFUNCTION("""COMPUTED_VALUE"""),79.52)</f>
        <v>79.52</v>
      </c>
      <c r="C757" s="1">
        <f>IFERROR(__xludf.DUMMYFUNCTION("""COMPUTED_VALUE"""),80.57)</f>
        <v>80.57</v>
      </c>
      <c r="D757" s="1">
        <f>IFERROR(__xludf.DUMMYFUNCTION("""COMPUTED_VALUE"""),79.11)</f>
        <v>79.11</v>
      </c>
      <c r="E757" s="1">
        <f>IFERROR(__xludf.DUMMYFUNCTION("""COMPUTED_VALUE"""),79.93)</f>
        <v>79.93</v>
      </c>
      <c r="F757" s="1">
        <f>IFERROR(__xludf.DUMMYFUNCTION("""COMPUTED_VALUE"""),4.4447802E7)</f>
        <v>44447802</v>
      </c>
    </row>
    <row r="758">
      <c r="A758" s="2">
        <f>IFERROR(__xludf.DUMMYFUNCTION("""COMPUTED_VALUE"""),41817.666666666664)</f>
        <v>41817.66667</v>
      </c>
      <c r="B758" s="1">
        <f>IFERROR(__xludf.DUMMYFUNCTION("""COMPUTED_VALUE"""),80.06)</f>
        <v>80.06</v>
      </c>
      <c r="C758" s="1">
        <f>IFERROR(__xludf.DUMMYFUNCTION("""COMPUTED_VALUE"""),80.06)</f>
        <v>80.06</v>
      </c>
      <c r="D758" s="1">
        <f>IFERROR(__xludf.DUMMYFUNCTION("""COMPUTED_VALUE"""),78.52)</f>
        <v>78.52</v>
      </c>
      <c r="E758" s="1">
        <f>IFERROR(__xludf.DUMMYFUNCTION("""COMPUTED_VALUE"""),79.02)</f>
        <v>79.02</v>
      </c>
      <c r="F758" s="1">
        <f>IFERROR(__xludf.DUMMYFUNCTION("""COMPUTED_VALUE"""),4.3911639E7)</f>
        <v>43911639</v>
      </c>
    </row>
    <row r="759">
      <c r="A759" s="2">
        <f>IFERROR(__xludf.DUMMYFUNCTION("""COMPUTED_VALUE"""),41823.666666666664)</f>
        <v>41823.66667</v>
      </c>
      <c r="B759" s="1">
        <f>IFERROR(__xludf.DUMMYFUNCTION("""COMPUTED_VALUE"""),79.01)</f>
        <v>79.01</v>
      </c>
      <c r="C759" s="1">
        <f>IFERROR(__xludf.DUMMYFUNCTION("""COMPUTED_VALUE"""),80.14)</f>
        <v>80.14</v>
      </c>
      <c r="D759" s="1">
        <f>IFERROR(__xludf.DUMMYFUNCTION("""COMPUTED_VALUE"""),78.43)</f>
        <v>78.43</v>
      </c>
      <c r="E759" s="1">
        <f>IFERROR(__xludf.DUMMYFUNCTION("""COMPUTED_VALUE"""),79.98)</f>
        <v>79.98</v>
      </c>
      <c r="F759" s="1">
        <f>IFERROR(__xludf.DUMMYFUNCTION("""COMPUTED_VALUE"""),3.0513148E7)</f>
        <v>30513148</v>
      </c>
    </row>
    <row r="760">
      <c r="A760" s="2">
        <f>IFERROR(__xludf.DUMMYFUNCTION("""COMPUTED_VALUE"""),41831.666666666664)</f>
        <v>41831.66667</v>
      </c>
      <c r="B760" s="1">
        <f>IFERROR(__xludf.DUMMYFUNCTION("""COMPUTED_VALUE"""),79.75)</f>
        <v>79.75</v>
      </c>
      <c r="C760" s="1">
        <f>IFERROR(__xludf.DUMMYFUNCTION("""COMPUTED_VALUE"""),81.91)</f>
        <v>81.91</v>
      </c>
      <c r="D760" s="1">
        <f>IFERROR(__xludf.DUMMYFUNCTION("""COMPUTED_VALUE"""),79.66)</f>
        <v>79.66</v>
      </c>
      <c r="E760" s="1">
        <f>IFERROR(__xludf.DUMMYFUNCTION("""COMPUTED_VALUE"""),81.16)</f>
        <v>81.16</v>
      </c>
      <c r="F760" s="1">
        <f>IFERROR(__xludf.DUMMYFUNCTION("""COMPUTED_VALUE"""),4.4251251E7)</f>
        <v>44251251</v>
      </c>
    </row>
    <row r="761">
      <c r="A761" s="2">
        <f>IFERROR(__xludf.DUMMYFUNCTION("""COMPUTED_VALUE"""),41838.666666666664)</f>
        <v>41838.66667</v>
      </c>
      <c r="B761" s="1">
        <f>IFERROR(__xludf.DUMMYFUNCTION("""COMPUTED_VALUE"""),81.36)</f>
        <v>81.36</v>
      </c>
      <c r="C761" s="1">
        <f>IFERROR(__xludf.DUMMYFUNCTION("""COMPUTED_VALUE"""),81.74)</f>
        <v>81.74</v>
      </c>
      <c r="D761" s="1">
        <f>IFERROR(__xludf.DUMMYFUNCTION("""COMPUTED_VALUE"""),80.16)</f>
        <v>80.16</v>
      </c>
      <c r="E761" s="1">
        <f>IFERROR(__xludf.DUMMYFUNCTION("""COMPUTED_VALUE"""),80.55)</f>
        <v>80.55</v>
      </c>
      <c r="F761" s="1">
        <f>IFERROR(__xludf.DUMMYFUNCTION("""COMPUTED_VALUE"""),3.7751451E7)</f>
        <v>37751451</v>
      </c>
    </row>
    <row r="762">
      <c r="A762" s="2">
        <f>IFERROR(__xludf.DUMMYFUNCTION("""COMPUTED_VALUE"""),41845.666666666664)</f>
        <v>41845.66667</v>
      </c>
      <c r="B762" s="1">
        <f>IFERROR(__xludf.DUMMYFUNCTION("""COMPUTED_VALUE"""),80.33)</f>
        <v>80.33</v>
      </c>
      <c r="C762" s="1">
        <f>IFERROR(__xludf.DUMMYFUNCTION("""COMPUTED_VALUE"""),80.58)</f>
        <v>80.58</v>
      </c>
      <c r="D762" s="1">
        <f>IFERROR(__xludf.DUMMYFUNCTION("""COMPUTED_VALUE"""),79.37)</f>
        <v>79.37</v>
      </c>
      <c r="E762" s="1">
        <f>IFERROR(__xludf.DUMMYFUNCTION("""COMPUTED_VALUE"""),79.56)</f>
        <v>79.56</v>
      </c>
      <c r="F762" s="1">
        <f>IFERROR(__xludf.DUMMYFUNCTION("""COMPUTED_VALUE"""),2.8970217E7)</f>
        <v>28970217</v>
      </c>
    </row>
    <row r="763">
      <c r="A763" s="2">
        <f>IFERROR(__xludf.DUMMYFUNCTION("""COMPUTED_VALUE"""),41852.666666666664)</f>
        <v>41852.66667</v>
      </c>
      <c r="B763" s="1">
        <f>IFERROR(__xludf.DUMMYFUNCTION("""COMPUTED_VALUE"""),79.41)</f>
        <v>79.41</v>
      </c>
      <c r="C763" s="1">
        <f>IFERROR(__xludf.DUMMYFUNCTION("""COMPUTED_VALUE"""),80.67)</f>
        <v>80.67</v>
      </c>
      <c r="D763" s="1">
        <f>IFERROR(__xludf.DUMMYFUNCTION("""COMPUTED_VALUE"""),77.29)</f>
        <v>77.29</v>
      </c>
      <c r="E763" s="1">
        <f>IFERROR(__xludf.DUMMYFUNCTION("""COMPUTED_VALUE"""),79.65)</f>
        <v>79.65</v>
      </c>
      <c r="F763" s="1">
        <f>IFERROR(__xludf.DUMMYFUNCTION("""COMPUTED_VALUE"""),5.082963E7)</f>
        <v>50829630</v>
      </c>
    </row>
    <row r="764">
      <c r="A764" s="2">
        <f>IFERROR(__xludf.DUMMYFUNCTION("""COMPUTED_VALUE"""),41859.666666666664)</f>
        <v>41859.66667</v>
      </c>
      <c r="B764" s="1">
        <f>IFERROR(__xludf.DUMMYFUNCTION("""COMPUTED_VALUE"""),79.46)</f>
        <v>79.46</v>
      </c>
      <c r="C764" s="1">
        <f>IFERROR(__xludf.DUMMYFUNCTION("""COMPUTED_VALUE"""),81.3)</f>
        <v>81.3</v>
      </c>
      <c r="D764" s="1">
        <f>IFERROR(__xludf.DUMMYFUNCTION("""COMPUTED_VALUE"""),78.66)</f>
        <v>78.66</v>
      </c>
      <c r="E764" s="1">
        <f>IFERROR(__xludf.DUMMYFUNCTION("""COMPUTED_VALUE"""),80.95)</f>
        <v>80.95</v>
      </c>
      <c r="F764" s="1">
        <f>IFERROR(__xludf.DUMMYFUNCTION("""COMPUTED_VALUE"""),4.7038642E7)</f>
        <v>47038642</v>
      </c>
    </row>
    <row r="765">
      <c r="A765" s="2">
        <f>IFERROR(__xludf.DUMMYFUNCTION("""COMPUTED_VALUE"""),41866.666666666664)</f>
        <v>41866.66667</v>
      </c>
      <c r="B765" s="1">
        <f>IFERROR(__xludf.DUMMYFUNCTION("""COMPUTED_VALUE"""),81.23)</f>
        <v>81.23</v>
      </c>
      <c r="C765" s="1">
        <f>IFERROR(__xludf.DUMMYFUNCTION("""COMPUTED_VALUE"""),82.23)</f>
        <v>82.23</v>
      </c>
      <c r="D765" s="1">
        <f>IFERROR(__xludf.DUMMYFUNCTION("""COMPUTED_VALUE"""),81.03)</f>
        <v>81.03</v>
      </c>
      <c r="E765" s="1">
        <f>IFERROR(__xludf.DUMMYFUNCTION("""COMPUTED_VALUE"""),81.78)</f>
        <v>81.78</v>
      </c>
      <c r="F765" s="1">
        <f>IFERROR(__xludf.DUMMYFUNCTION("""COMPUTED_VALUE"""),3.3605102E7)</f>
        <v>33605102</v>
      </c>
    </row>
    <row r="766">
      <c r="A766" s="2">
        <f>IFERROR(__xludf.DUMMYFUNCTION("""COMPUTED_VALUE"""),41873.666666666664)</f>
        <v>41873.66667</v>
      </c>
      <c r="B766" s="1">
        <f>IFERROR(__xludf.DUMMYFUNCTION("""COMPUTED_VALUE"""),81.99)</f>
        <v>81.99</v>
      </c>
      <c r="C766" s="1">
        <f>IFERROR(__xludf.DUMMYFUNCTION("""COMPUTED_VALUE"""),83.66)</f>
        <v>83.66</v>
      </c>
      <c r="D766" s="1">
        <f>IFERROR(__xludf.DUMMYFUNCTION("""COMPUTED_VALUE"""),81.81)</f>
        <v>81.81</v>
      </c>
      <c r="E766" s="1">
        <f>IFERROR(__xludf.DUMMYFUNCTION("""COMPUTED_VALUE"""),83.39)</f>
        <v>83.39</v>
      </c>
      <c r="F766" s="1">
        <f>IFERROR(__xludf.DUMMYFUNCTION("""COMPUTED_VALUE"""),3.3991358E7)</f>
        <v>33991358</v>
      </c>
    </row>
    <row r="767">
      <c r="A767" s="2">
        <f>IFERROR(__xludf.DUMMYFUNCTION("""COMPUTED_VALUE"""),41880.666666666664)</f>
        <v>41880.66667</v>
      </c>
      <c r="B767" s="1">
        <f>IFERROR(__xludf.DUMMYFUNCTION("""COMPUTED_VALUE"""),83.75)</f>
        <v>83.75</v>
      </c>
      <c r="C767" s="1">
        <f>IFERROR(__xludf.DUMMYFUNCTION("""COMPUTED_VALUE"""),83.83)</f>
        <v>83.83</v>
      </c>
      <c r="D767" s="1">
        <f>IFERROR(__xludf.DUMMYFUNCTION("""COMPUTED_VALUE"""),82.6)</f>
        <v>82.6</v>
      </c>
      <c r="E767" s="1">
        <f>IFERROR(__xludf.DUMMYFUNCTION("""COMPUTED_VALUE"""),83.11)</f>
        <v>83.11</v>
      </c>
      <c r="F767" s="1">
        <f>IFERROR(__xludf.DUMMYFUNCTION("""COMPUTED_VALUE"""),2.4208189E7)</f>
        <v>24208189</v>
      </c>
    </row>
    <row r="768">
      <c r="A768" s="2">
        <f>IFERROR(__xludf.DUMMYFUNCTION("""COMPUTED_VALUE"""),41887.666666666664)</f>
        <v>41887.66667</v>
      </c>
      <c r="B768" s="1">
        <f>IFERROR(__xludf.DUMMYFUNCTION("""COMPUTED_VALUE"""),83.21)</f>
        <v>83.21</v>
      </c>
      <c r="C768" s="1">
        <f>IFERROR(__xludf.DUMMYFUNCTION("""COMPUTED_VALUE"""),83.8)</f>
        <v>83.8</v>
      </c>
      <c r="D768" s="1">
        <f>IFERROR(__xludf.DUMMYFUNCTION("""COMPUTED_VALUE"""),82.71)</f>
        <v>82.71</v>
      </c>
      <c r="E768" s="1">
        <f>IFERROR(__xludf.DUMMYFUNCTION("""COMPUTED_VALUE"""),83.77)</f>
        <v>83.77</v>
      </c>
      <c r="F768" s="1">
        <f>IFERROR(__xludf.DUMMYFUNCTION("""COMPUTED_VALUE"""),2.4714114E7)</f>
        <v>24714114</v>
      </c>
    </row>
    <row r="769">
      <c r="A769" s="2">
        <f>IFERROR(__xludf.DUMMYFUNCTION("""COMPUTED_VALUE"""),41894.666666666664)</f>
        <v>41894.66667</v>
      </c>
      <c r="B769" s="1">
        <f>IFERROR(__xludf.DUMMYFUNCTION("""COMPUTED_VALUE"""),83.57)</f>
        <v>83.57</v>
      </c>
      <c r="C769" s="1">
        <f>IFERROR(__xludf.DUMMYFUNCTION("""COMPUTED_VALUE"""),83.96)</f>
        <v>83.96</v>
      </c>
      <c r="D769" s="1">
        <f>IFERROR(__xludf.DUMMYFUNCTION("""COMPUTED_VALUE"""),82.83)</f>
        <v>82.83</v>
      </c>
      <c r="E769" s="1">
        <f>IFERROR(__xludf.DUMMYFUNCTION("""COMPUTED_VALUE"""),83.26)</f>
        <v>83.26</v>
      </c>
      <c r="F769" s="1">
        <f>IFERROR(__xludf.DUMMYFUNCTION("""COMPUTED_VALUE"""),2.9540898E7)</f>
        <v>29540898</v>
      </c>
    </row>
    <row r="770">
      <c r="A770" s="2">
        <f>IFERROR(__xludf.DUMMYFUNCTION("""COMPUTED_VALUE"""),41901.666666666664)</f>
        <v>41901.66667</v>
      </c>
      <c r="B770" s="1">
        <f>IFERROR(__xludf.DUMMYFUNCTION("""COMPUTED_VALUE"""),83.18)</f>
        <v>83.18</v>
      </c>
      <c r="C770" s="1">
        <f>IFERROR(__xludf.DUMMYFUNCTION("""COMPUTED_VALUE"""),84.77)</f>
        <v>84.77</v>
      </c>
      <c r="D770" s="1">
        <f>IFERROR(__xludf.DUMMYFUNCTION("""COMPUTED_VALUE"""),83.14)</f>
        <v>83.14</v>
      </c>
      <c r="E770" s="1">
        <f>IFERROR(__xludf.DUMMYFUNCTION("""COMPUTED_VALUE"""),84.47)</f>
        <v>84.47</v>
      </c>
      <c r="F770" s="1">
        <f>IFERROR(__xludf.DUMMYFUNCTION("""COMPUTED_VALUE"""),3.9122128E7)</f>
        <v>39122128</v>
      </c>
    </row>
    <row r="771">
      <c r="A771" s="2">
        <f>IFERROR(__xludf.DUMMYFUNCTION("""COMPUTED_VALUE"""),41908.666666666664)</f>
        <v>41908.66667</v>
      </c>
      <c r="B771" s="1">
        <f>IFERROR(__xludf.DUMMYFUNCTION("""COMPUTED_VALUE"""),84.64)</f>
        <v>84.64</v>
      </c>
      <c r="C771" s="1">
        <f>IFERROR(__xludf.DUMMYFUNCTION("""COMPUTED_VALUE"""),85.4)</f>
        <v>85.4</v>
      </c>
      <c r="D771" s="1">
        <f>IFERROR(__xludf.DUMMYFUNCTION("""COMPUTED_VALUE"""),83.86)</f>
        <v>83.86</v>
      </c>
      <c r="E771" s="1">
        <f>IFERROR(__xludf.DUMMYFUNCTION("""COMPUTED_VALUE"""),84.58)</f>
        <v>84.58</v>
      </c>
      <c r="F771" s="1">
        <f>IFERROR(__xludf.DUMMYFUNCTION("""COMPUTED_VALUE"""),4.151031E7)</f>
        <v>41510310</v>
      </c>
    </row>
    <row r="772">
      <c r="A772" s="2">
        <f>IFERROR(__xludf.DUMMYFUNCTION("""COMPUTED_VALUE"""),41915.666666666664)</f>
        <v>41915.66667</v>
      </c>
      <c r="B772" s="1">
        <f>IFERROR(__xludf.DUMMYFUNCTION("""COMPUTED_VALUE"""),84.11)</f>
        <v>84.11</v>
      </c>
      <c r="C772" s="1">
        <f>IFERROR(__xludf.DUMMYFUNCTION("""COMPUTED_VALUE"""),84.47)</f>
        <v>84.47</v>
      </c>
      <c r="D772" s="1">
        <f>IFERROR(__xludf.DUMMYFUNCTION("""COMPUTED_VALUE"""),82.88)</f>
        <v>82.88</v>
      </c>
      <c r="E772" s="1">
        <f>IFERROR(__xludf.DUMMYFUNCTION("""COMPUTED_VALUE"""),83.79)</f>
        <v>83.79</v>
      </c>
      <c r="F772" s="1">
        <f>IFERROR(__xludf.DUMMYFUNCTION("""COMPUTED_VALUE"""),3.9032553E7)</f>
        <v>39032553</v>
      </c>
    </row>
    <row r="773">
      <c r="A773" s="2">
        <f>IFERROR(__xludf.DUMMYFUNCTION("""COMPUTED_VALUE"""),41922.666666666664)</f>
        <v>41922.66667</v>
      </c>
      <c r="B773" s="1">
        <f>IFERROR(__xludf.DUMMYFUNCTION("""COMPUTED_VALUE"""),83.57)</f>
        <v>83.57</v>
      </c>
      <c r="C773" s="1">
        <f>IFERROR(__xludf.DUMMYFUNCTION("""COMPUTED_VALUE"""),85.28)</f>
        <v>85.28</v>
      </c>
      <c r="D773" s="1">
        <f>IFERROR(__xludf.DUMMYFUNCTION("""COMPUTED_VALUE"""),83.12)</f>
        <v>83.12</v>
      </c>
      <c r="E773" s="1">
        <f>IFERROR(__xludf.DUMMYFUNCTION("""COMPUTED_VALUE"""),84.69)</f>
        <v>84.69</v>
      </c>
      <c r="F773" s="1">
        <f>IFERROR(__xludf.DUMMYFUNCTION("""COMPUTED_VALUE"""),4.2652966E7)</f>
        <v>42652966</v>
      </c>
    </row>
    <row r="774">
      <c r="A774" s="2">
        <f>IFERROR(__xludf.DUMMYFUNCTION("""COMPUTED_VALUE"""),41929.666666666664)</f>
        <v>41929.66667</v>
      </c>
      <c r="B774" s="1">
        <f>IFERROR(__xludf.DUMMYFUNCTION("""COMPUTED_VALUE"""),84.31)</f>
        <v>84.31</v>
      </c>
      <c r="C774" s="1">
        <f>IFERROR(__xludf.DUMMYFUNCTION("""COMPUTED_VALUE"""),84.47)</f>
        <v>84.47</v>
      </c>
      <c r="D774" s="1">
        <f>IFERROR(__xludf.DUMMYFUNCTION("""COMPUTED_VALUE"""),81.57)</f>
        <v>81.57</v>
      </c>
      <c r="E774" s="1">
        <f>IFERROR(__xludf.DUMMYFUNCTION("""COMPUTED_VALUE"""),83.27)</f>
        <v>83.27</v>
      </c>
      <c r="F774" s="1">
        <f>IFERROR(__xludf.DUMMYFUNCTION("""COMPUTED_VALUE"""),5.4670246E7)</f>
        <v>54670246</v>
      </c>
    </row>
    <row r="775">
      <c r="A775" s="2">
        <f>IFERROR(__xludf.DUMMYFUNCTION("""COMPUTED_VALUE"""),41936.666666666664)</f>
        <v>41936.66667</v>
      </c>
      <c r="B775" s="1">
        <f>IFERROR(__xludf.DUMMYFUNCTION("""COMPUTED_VALUE"""),83.25)</f>
        <v>83.25</v>
      </c>
      <c r="C775" s="1">
        <f>IFERROR(__xludf.DUMMYFUNCTION("""COMPUTED_VALUE"""),85.97)</f>
        <v>85.97</v>
      </c>
      <c r="D775" s="1">
        <f>IFERROR(__xludf.DUMMYFUNCTION("""COMPUTED_VALUE"""),82.3)</f>
        <v>82.3</v>
      </c>
      <c r="E775" s="1">
        <f>IFERROR(__xludf.DUMMYFUNCTION("""COMPUTED_VALUE"""),85.16)</f>
        <v>85.16</v>
      </c>
      <c r="F775" s="1">
        <f>IFERROR(__xludf.DUMMYFUNCTION("""COMPUTED_VALUE"""),5.8460614E7)</f>
        <v>58460614</v>
      </c>
    </row>
    <row r="776">
      <c r="A776" s="2">
        <f>IFERROR(__xludf.DUMMYFUNCTION("""COMPUTED_VALUE"""),41943.666666666664)</f>
        <v>41943.66667</v>
      </c>
      <c r="B776" s="1">
        <f>IFERROR(__xludf.DUMMYFUNCTION("""COMPUTED_VALUE"""),84.96)</f>
        <v>84.96</v>
      </c>
      <c r="C776" s="1">
        <f>IFERROR(__xludf.DUMMYFUNCTION("""COMPUTED_VALUE"""),87.36)</f>
        <v>87.36</v>
      </c>
      <c r="D776" s="1">
        <f>IFERROR(__xludf.DUMMYFUNCTION("""COMPUTED_VALUE"""),84.83)</f>
        <v>84.83</v>
      </c>
      <c r="E776" s="1">
        <f>IFERROR(__xludf.DUMMYFUNCTION("""COMPUTED_VALUE"""),87.27)</f>
        <v>87.27</v>
      </c>
      <c r="F776" s="1">
        <f>IFERROR(__xludf.DUMMYFUNCTION("""COMPUTED_VALUE"""),4.1562363E7)</f>
        <v>41562363</v>
      </c>
    </row>
    <row r="777">
      <c r="A777" s="2">
        <f>IFERROR(__xludf.DUMMYFUNCTION("""COMPUTED_VALUE"""),41950.666666666664)</f>
        <v>41950.66667</v>
      </c>
      <c r="B777" s="1">
        <f>IFERROR(__xludf.DUMMYFUNCTION("""COMPUTED_VALUE"""),86.66)</f>
        <v>86.66</v>
      </c>
      <c r="C777" s="1">
        <f>IFERROR(__xludf.DUMMYFUNCTION("""COMPUTED_VALUE"""),89.49)</f>
        <v>89.49</v>
      </c>
      <c r="D777" s="1">
        <f>IFERROR(__xludf.DUMMYFUNCTION("""COMPUTED_VALUE"""),86.2)</f>
        <v>86.2</v>
      </c>
      <c r="E777" s="1">
        <f>IFERROR(__xludf.DUMMYFUNCTION("""COMPUTED_VALUE"""),89.13)</f>
        <v>89.13</v>
      </c>
      <c r="F777" s="1">
        <f>IFERROR(__xludf.DUMMYFUNCTION("""COMPUTED_VALUE"""),3.9458572E7)</f>
        <v>39458572</v>
      </c>
    </row>
    <row r="778">
      <c r="A778" s="2">
        <f>IFERROR(__xludf.DUMMYFUNCTION("""COMPUTED_VALUE"""),41957.66666666667)</f>
        <v>41957.66667</v>
      </c>
      <c r="B778" s="1">
        <f>IFERROR(__xludf.DUMMYFUNCTION("""COMPUTED_VALUE"""),88.92)</f>
        <v>88.92</v>
      </c>
      <c r="C778" s="1">
        <f>IFERROR(__xludf.DUMMYFUNCTION("""COMPUTED_VALUE"""),89.88)</f>
        <v>89.88</v>
      </c>
      <c r="D778" s="1">
        <f>IFERROR(__xludf.DUMMYFUNCTION("""COMPUTED_VALUE"""),87.93)</f>
        <v>87.93</v>
      </c>
      <c r="E778" s="1">
        <f>IFERROR(__xludf.DUMMYFUNCTION("""COMPUTED_VALUE"""),88.11)</f>
        <v>88.11</v>
      </c>
      <c r="F778" s="1">
        <f>IFERROR(__xludf.DUMMYFUNCTION("""COMPUTED_VALUE"""),3.6323439E7)</f>
        <v>36323439</v>
      </c>
    </row>
    <row r="779">
      <c r="A779" s="2">
        <f>IFERROR(__xludf.DUMMYFUNCTION("""COMPUTED_VALUE"""),41964.66666666667)</f>
        <v>41964.66667</v>
      </c>
      <c r="B779" s="1">
        <f>IFERROR(__xludf.DUMMYFUNCTION("""COMPUTED_VALUE"""),88.0)</f>
        <v>88</v>
      </c>
      <c r="C779" s="1">
        <f>IFERROR(__xludf.DUMMYFUNCTION("""COMPUTED_VALUE"""),89.43)</f>
        <v>89.43</v>
      </c>
      <c r="D779" s="1">
        <f>IFERROR(__xludf.DUMMYFUNCTION("""COMPUTED_VALUE"""),87.37)</f>
        <v>87.37</v>
      </c>
      <c r="E779" s="1">
        <f>IFERROR(__xludf.DUMMYFUNCTION("""COMPUTED_VALUE"""),88.6)</f>
        <v>88.6</v>
      </c>
      <c r="F779" s="1">
        <f>IFERROR(__xludf.DUMMYFUNCTION("""COMPUTED_VALUE"""),3.6977514E7)</f>
        <v>36977514</v>
      </c>
    </row>
    <row r="780">
      <c r="A780" s="2">
        <f>IFERROR(__xludf.DUMMYFUNCTION("""COMPUTED_VALUE"""),41971.66666666667)</f>
        <v>41971.66667</v>
      </c>
      <c r="B780" s="1">
        <f>IFERROR(__xludf.DUMMYFUNCTION("""COMPUTED_VALUE"""),88.88)</f>
        <v>88.88</v>
      </c>
      <c r="C780" s="1">
        <f>IFERROR(__xludf.DUMMYFUNCTION("""COMPUTED_VALUE"""),90.56)</f>
        <v>90.56</v>
      </c>
      <c r="D780" s="1">
        <f>IFERROR(__xludf.DUMMYFUNCTION("""COMPUTED_VALUE"""),87.86)</f>
        <v>87.86</v>
      </c>
      <c r="E780" s="1">
        <f>IFERROR(__xludf.DUMMYFUNCTION("""COMPUTED_VALUE"""),90.43)</f>
        <v>90.43</v>
      </c>
      <c r="F780" s="1">
        <f>IFERROR(__xludf.DUMMYFUNCTION("""COMPUTED_VALUE"""),2.4090705E7)</f>
        <v>24090705</v>
      </c>
    </row>
    <row r="781">
      <c r="A781" s="2">
        <f>IFERROR(__xludf.DUMMYFUNCTION("""COMPUTED_VALUE"""),41978.66666666667)</f>
        <v>41978.66667</v>
      </c>
      <c r="B781" s="1">
        <f>IFERROR(__xludf.DUMMYFUNCTION("""COMPUTED_VALUE"""),90.17)</f>
        <v>90.17</v>
      </c>
      <c r="C781" s="1">
        <f>IFERROR(__xludf.DUMMYFUNCTION("""COMPUTED_VALUE"""),91.17)</f>
        <v>91.17</v>
      </c>
      <c r="D781" s="1">
        <f>IFERROR(__xludf.DUMMYFUNCTION("""COMPUTED_VALUE"""),89.21)</f>
        <v>89.21</v>
      </c>
      <c r="E781" s="1">
        <f>IFERROR(__xludf.DUMMYFUNCTION("""COMPUTED_VALUE"""),90.38)</f>
        <v>90.38</v>
      </c>
      <c r="F781" s="1">
        <f>IFERROR(__xludf.DUMMYFUNCTION("""COMPUTED_VALUE"""),3.3437734E7)</f>
        <v>33437734</v>
      </c>
    </row>
    <row r="782">
      <c r="A782" s="2">
        <f>IFERROR(__xludf.DUMMYFUNCTION("""COMPUTED_VALUE"""),41985.66666666667)</f>
        <v>41985.66667</v>
      </c>
      <c r="B782" s="1">
        <f>IFERROR(__xludf.DUMMYFUNCTION("""COMPUTED_VALUE"""),90.34)</f>
        <v>90.34</v>
      </c>
      <c r="C782" s="1">
        <f>IFERROR(__xludf.DUMMYFUNCTION("""COMPUTED_VALUE"""),91.28)</f>
        <v>91.28</v>
      </c>
      <c r="D782" s="1">
        <f>IFERROR(__xludf.DUMMYFUNCTION("""COMPUTED_VALUE"""),89.53)</f>
        <v>89.53</v>
      </c>
      <c r="E782" s="1">
        <f>IFERROR(__xludf.DUMMYFUNCTION("""COMPUTED_VALUE"""),89.55)</f>
        <v>89.55</v>
      </c>
      <c r="F782" s="1">
        <f>IFERROR(__xludf.DUMMYFUNCTION("""COMPUTED_VALUE"""),2.9764469E7)</f>
        <v>29764469</v>
      </c>
    </row>
    <row r="783">
      <c r="A783" s="2">
        <f>IFERROR(__xludf.DUMMYFUNCTION("""COMPUTED_VALUE"""),41992.66666666667)</f>
        <v>41992.66667</v>
      </c>
      <c r="B783" s="1">
        <f>IFERROR(__xludf.DUMMYFUNCTION("""COMPUTED_VALUE"""),89.7)</f>
        <v>89.7</v>
      </c>
      <c r="C783" s="1">
        <f>IFERROR(__xludf.DUMMYFUNCTION("""COMPUTED_VALUE"""),92.73)</f>
        <v>92.73</v>
      </c>
      <c r="D783" s="1">
        <f>IFERROR(__xludf.DUMMYFUNCTION("""COMPUTED_VALUE"""),88.38)</f>
        <v>88.38</v>
      </c>
      <c r="E783" s="1">
        <f>IFERROR(__xludf.DUMMYFUNCTION("""COMPUTED_VALUE"""),92.05)</f>
        <v>92.05</v>
      </c>
      <c r="F783" s="1">
        <f>IFERROR(__xludf.DUMMYFUNCTION("""COMPUTED_VALUE"""),4.5466022E7)</f>
        <v>45466022</v>
      </c>
    </row>
    <row r="784">
      <c r="A784" s="2">
        <f>IFERROR(__xludf.DUMMYFUNCTION("""COMPUTED_VALUE"""),41999.66666666667)</f>
        <v>41999.66667</v>
      </c>
      <c r="B784" s="1">
        <f>IFERROR(__xludf.DUMMYFUNCTION("""COMPUTED_VALUE"""),92.1)</f>
        <v>92.1</v>
      </c>
      <c r="C784" s="1">
        <f>IFERROR(__xludf.DUMMYFUNCTION("""COMPUTED_VALUE"""),93.89)</f>
        <v>93.89</v>
      </c>
      <c r="D784" s="1">
        <f>IFERROR(__xludf.DUMMYFUNCTION("""COMPUTED_VALUE"""),92.0)</f>
        <v>92</v>
      </c>
      <c r="E784" s="1">
        <f>IFERROR(__xludf.DUMMYFUNCTION("""COMPUTED_VALUE"""),93.46)</f>
        <v>93.46</v>
      </c>
      <c r="F784" s="1">
        <f>IFERROR(__xludf.DUMMYFUNCTION("""COMPUTED_VALUE"""),1.8324606E7)</f>
        <v>18324606</v>
      </c>
    </row>
    <row r="785">
      <c r="A785" s="2">
        <f>IFERROR(__xludf.DUMMYFUNCTION("""COMPUTED_VALUE"""),42006.66666666667)</f>
        <v>42006.66667</v>
      </c>
      <c r="B785" s="1">
        <f>IFERROR(__xludf.DUMMYFUNCTION("""COMPUTED_VALUE"""),93.12)</f>
        <v>93.12</v>
      </c>
      <c r="C785" s="1">
        <f>IFERROR(__xludf.DUMMYFUNCTION("""COMPUTED_VALUE"""),93.43)</f>
        <v>93.43</v>
      </c>
      <c r="D785" s="1">
        <f>IFERROR(__xludf.DUMMYFUNCTION("""COMPUTED_VALUE"""),89.92)</f>
        <v>89.92</v>
      </c>
      <c r="E785" s="1">
        <f>IFERROR(__xludf.DUMMYFUNCTION("""COMPUTED_VALUE"""),90.44)</f>
        <v>90.44</v>
      </c>
      <c r="F785" s="1">
        <f>IFERROR(__xludf.DUMMYFUNCTION("""COMPUTED_VALUE"""),2.2355351E7)</f>
        <v>22355351</v>
      </c>
    </row>
    <row r="786">
      <c r="A786" s="2">
        <f>IFERROR(__xludf.DUMMYFUNCTION("""COMPUTED_VALUE"""),42013.66666666667)</f>
        <v>42013.66667</v>
      </c>
      <c r="B786" s="1">
        <f>IFERROR(__xludf.DUMMYFUNCTION("""COMPUTED_VALUE"""),90.23)</f>
        <v>90.23</v>
      </c>
      <c r="C786" s="1">
        <f>IFERROR(__xludf.DUMMYFUNCTION("""COMPUTED_VALUE"""),91.23)</f>
        <v>91.23</v>
      </c>
      <c r="D786" s="1">
        <f>IFERROR(__xludf.DUMMYFUNCTION("""COMPUTED_VALUE"""),89.26)</f>
        <v>89.26</v>
      </c>
      <c r="E786" s="1">
        <f>IFERROR(__xludf.DUMMYFUNCTION("""COMPUTED_VALUE"""),90.25)</f>
        <v>90.25</v>
      </c>
      <c r="F786" s="1">
        <f>IFERROR(__xludf.DUMMYFUNCTION("""COMPUTED_VALUE"""),3.4108951E7)</f>
        <v>34108951</v>
      </c>
    </row>
    <row r="787">
      <c r="A787" s="2">
        <f>IFERROR(__xludf.DUMMYFUNCTION("""COMPUTED_VALUE"""),42020.66666666667)</f>
        <v>42020.66667</v>
      </c>
      <c r="B787" s="1">
        <f>IFERROR(__xludf.DUMMYFUNCTION("""COMPUTED_VALUE"""),90.48)</f>
        <v>90.48</v>
      </c>
      <c r="C787" s="1">
        <f>IFERROR(__xludf.DUMMYFUNCTION("""COMPUTED_VALUE"""),91.5)</f>
        <v>91.5</v>
      </c>
      <c r="D787" s="1">
        <f>IFERROR(__xludf.DUMMYFUNCTION("""COMPUTED_VALUE"""),89.34)</f>
        <v>89.34</v>
      </c>
      <c r="E787" s="1">
        <f>IFERROR(__xludf.DUMMYFUNCTION("""COMPUTED_VALUE"""),91.25)</f>
        <v>91.25</v>
      </c>
      <c r="F787" s="1">
        <f>IFERROR(__xludf.DUMMYFUNCTION("""COMPUTED_VALUE"""),3.3983696E7)</f>
        <v>33983696</v>
      </c>
    </row>
    <row r="788">
      <c r="A788" s="2">
        <f>IFERROR(__xludf.DUMMYFUNCTION("""COMPUTED_VALUE"""),42027.66666666667)</f>
        <v>42027.66667</v>
      </c>
      <c r="B788" s="1">
        <f>IFERROR(__xludf.DUMMYFUNCTION("""COMPUTED_VALUE"""),91.25)</f>
        <v>91.25</v>
      </c>
      <c r="C788" s="1">
        <f>IFERROR(__xludf.DUMMYFUNCTION("""COMPUTED_VALUE"""),91.79)</f>
        <v>91.79</v>
      </c>
      <c r="D788" s="1">
        <f>IFERROR(__xludf.DUMMYFUNCTION("""COMPUTED_VALUE"""),89.63)</f>
        <v>89.63</v>
      </c>
      <c r="E788" s="1">
        <f>IFERROR(__xludf.DUMMYFUNCTION("""COMPUTED_VALUE"""),90.08)</f>
        <v>90.08</v>
      </c>
      <c r="F788" s="1">
        <f>IFERROR(__xludf.DUMMYFUNCTION("""COMPUTED_VALUE"""),3.0806143E7)</f>
        <v>30806143</v>
      </c>
    </row>
    <row r="789">
      <c r="A789" s="2">
        <f>IFERROR(__xludf.DUMMYFUNCTION("""COMPUTED_VALUE"""),42034.66666666667)</f>
        <v>42034.66667</v>
      </c>
      <c r="B789" s="1">
        <f>IFERROR(__xludf.DUMMYFUNCTION("""COMPUTED_VALUE"""),89.95)</f>
        <v>89.95</v>
      </c>
      <c r="C789" s="1">
        <f>IFERROR(__xludf.DUMMYFUNCTION("""COMPUTED_VALUE"""),89.95)</f>
        <v>89.95</v>
      </c>
      <c r="D789" s="1">
        <f>IFERROR(__xludf.DUMMYFUNCTION("""COMPUTED_VALUE"""),84.25)</f>
        <v>84.25</v>
      </c>
      <c r="E789" s="1">
        <f>IFERROR(__xludf.DUMMYFUNCTION("""COMPUTED_VALUE"""),84.29)</f>
        <v>84.29</v>
      </c>
      <c r="F789" s="1">
        <f>IFERROR(__xludf.DUMMYFUNCTION("""COMPUTED_VALUE"""),6.4562327E7)</f>
        <v>64562327</v>
      </c>
    </row>
    <row r="790">
      <c r="A790" s="2">
        <f>IFERROR(__xludf.DUMMYFUNCTION("""COMPUTED_VALUE"""),42041.66666666667)</f>
        <v>42041.66667</v>
      </c>
      <c r="B790" s="1">
        <f>IFERROR(__xludf.DUMMYFUNCTION("""COMPUTED_VALUE"""),84.58)</f>
        <v>84.58</v>
      </c>
      <c r="C790" s="1">
        <f>IFERROR(__xludf.DUMMYFUNCTION("""COMPUTED_VALUE"""),86.78)</f>
        <v>86.78</v>
      </c>
      <c r="D790" s="1">
        <f>IFERROR(__xludf.DUMMYFUNCTION("""COMPUTED_VALUE"""),83.68)</f>
        <v>83.68</v>
      </c>
      <c r="E790" s="1">
        <f>IFERROR(__xludf.DUMMYFUNCTION("""COMPUTED_VALUE"""),85.61)</f>
        <v>85.61</v>
      </c>
      <c r="F790" s="1">
        <f>IFERROR(__xludf.DUMMYFUNCTION("""COMPUTED_VALUE"""),4.5200492E7)</f>
        <v>45200492</v>
      </c>
    </row>
    <row r="791">
      <c r="A791" s="2">
        <f>IFERROR(__xludf.DUMMYFUNCTION("""COMPUTED_VALUE"""),42048.66666666667)</f>
        <v>42048.66667</v>
      </c>
      <c r="B791" s="1">
        <f>IFERROR(__xludf.DUMMYFUNCTION("""COMPUTED_VALUE"""),85.31)</f>
        <v>85.31</v>
      </c>
      <c r="C791" s="1">
        <f>IFERROR(__xludf.DUMMYFUNCTION("""COMPUTED_VALUE"""),86.2)</f>
        <v>86.2</v>
      </c>
      <c r="D791" s="1">
        <f>IFERROR(__xludf.DUMMYFUNCTION("""COMPUTED_VALUE"""),84.59)</f>
        <v>84.59</v>
      </c>
      <c r="E791" s="1">
        <f>IFERROR(__xludf.DUMMYFUNCTION("""COMPUTED_VALUE"""),85.9)</f>
        <v>85.9</v>
      </c>
      <c r="F791" s="1">
        <f>IFERROR(__xludf.DUMMYFUNCTION("""COMPUTED_VALUE"""),3.5402336E7)</f>
        <v>35402336</v>
      </c>
    </row>
    <row r="792">
      <c r="A792" s="2">
        <f>IFERROR(__xludf.DUMMYFUNCTION("""COMPUTED_VALUE"""),42055.66666666667)</f>
        <v>42055.66667</v>
      </c>
      <c r="B792" s="1">
        <f>IFERROR(__xludf.DUMMYFUNCTION("""COMPUTED_VALUE"""),86.06)</f>
        <v>86.06</v>
      </c>
      <c r="C792" s="1">
        <f>IFERROR(__xludf.DUMMYFUNCTION("""COMPUTED_VALUE"""),86.39)</f>
        <v>86.39</v>
      </c>
      <c r="D792" s="1">
        <f>IFERROR(__xludf.DUMMYFUNCTION("""COMPUTED_VALUE"""),84.19)</f>
        <v>84.19</v>
      </c>
      <c r="E792" s="1">
        <f>IFERROR(__xludf.DUMMYFUNCTION("""COMPUTED_VALUE"""),84.87)</f>
        <v>84.87</v>
      </c>
      <c r="F792" s="1">
        <f>IFERROR(__xludf.DUMMYFUNCTION("""COMPUTED_VALUE"""),3.5295664E7)</f>
        <v>35295664</v>
      </c>
    </row>
    <row r="793">
      <c r="A793" s="2">
        <f>IFERROR(__xludf.DUMMYFUNCTION("""COMPUTED_VALUE"""),42062.66666666667)</f>
        <v>42062.66667</v>
      </c>
      <c r="B793" s="1">
        <f>IFERROR(__xludf.DUMMYFUNCTION("""COMPUTED_VALUE"""),84.96)</f>
        <v>84.96</v>
      </c>
      <c r="C793" s="1">
        <f>IFERROR(__xludf.DUMMYFUNCTION("""COMPUTED_VALUE"""),85.8)</f>
        <v>85.8</v>
      </c>
      <c r="D793" s="1">
        <f>IFERROR(__xludf.DUMMYFUNCTION("""COMPUTED_VALUE"""),84.57)</f>
        <v>84.57</v>
      </c>
      <c r="E793" s="1">
        <f>IFERROR(__xludf.DUMMYFUNCTION("""COMPUTED_VALUE"""),85.13)</f>
        <v>85.13</v>
      </c>
      <c r="F793" s="1">
        <f>IFERROR(__xludf.DUMMYFUNCTION("""COMPUTED_VALUE"""),3.604666E7)</f>
        <v>36046660</v>
      </c>
    </row>
    <row r="794">
      <c r="A794" s="2">
        <f>IFERROR(__xludf.DUMMYFUNCTION("""COMPUTED_VALUE"""),42069.66666666667)</f>
        <v>42069.66667</v>
      </c>
      <c r="B794" s="1">
        <f>IFERROR(__xludf.DUMMYFUNCTION("""COMPUTED_VALUE"""),85.02)</f>
        <v>85.02</v>
      </c>
      <c r="C794" s="1">
        <f>IFERROR(__xludf.DUMMYFUNCTION("""COMPUTED_VALUE"""),85.44)</f>
        <v>85.44</v>
      </c>
      <c r="D794" s="1">
        <f>IFERROR(__xludf.DUMMYFUNCTION("""COMPUTED_VALUE"""),82.37)</f>
        <v>82.37</v>
      </c>
      <c r="E794" s="1">
        <f>IFERROR(__xludf.DUMMYFUNCTION("""COMPUTED_VALUE"""),82.66)</f>
        <v>82.66</v>
      </c>
      <c r="F794" s="1">
        <f>IFERROR(__xludf.DUMMYFUNCTION("""COMPUTED_VALUE"""),3.7953607E7)</f>
        <v>37953607</v>
      </c>
    </row>
    <row r="795">
      <c r="A795" s="2">
        <f>IFERROR(__xludf.DUMMYFUNCTION("""COMPUTED_VALUE"""),42076.66666666667)</f>
        <v>42076.66667</v>
      </c>
      <c r="B795" s="1">
        <f>IFERROR(__xludf.DUMMYFUNCTION("""COMPUTED_VALUE"""),82.79)</f>
        <v>82.79</v>
      </c>
      <c r="C795" s="1">
        <f>IFERROR(__xludf.DUMMYFUNCTION("""COMPUTED_VALUE"""),83.21)</f>
        <v>83.21</v>
      </c>
      <c r="D795" s="1">
        <f>IFERROR(__xludf.DUMMYFUNCTION("""COMPUTED_VALUE"""),80.81)</f>
        <v>80.81</v>
      </c>
      <c r="E795" s="1">
        <f>IFERROR(__xludf.DUMMYFUNCTION("""COMPUTED_VALUE"""),81.83)</f>
        <v>81.83</v>
      </c>
      <c r="F795" s="1">
        <f>IFERROR(__xludf.DUMMYFUNCTION("""COMPUTED_VALUE"""),4.1518E7)</f>
        <v>41518000</v>
      </c>
    </row>
    <row r="796">
      <c r="A796" s="2">
        <f>IFERROR(__xludf.DUMMYFUNCTION("""COMPUTED_VALUE"""),42083.66666666667)</f>
        <v>42083.66667</v>
      </c>
      <c r="B796" s="1">
        <f>IFERROR(__xludf.DUMMYFUNCTION("""COMPUTED_VALUE"""),82.08)</f>
        <v>82.08</v>
      </c>
      <c r="C796" s="1">
        <f>IFERROR(__xludf.DUMMYFUNCTION("""COMPUTED_VALUE"""),84.79)</f>
        <v>84.79</v>
      </c>
      <c r="D796" s="1">
        <f>IFERROR(__xludf.DUMMYFUNCTION("""COMPUTED_VALUE"""),81.99)</f>
        <v>81.99</v>
      </c>
      <c r="E796" s="1">
        <f>IFERROR(__xludf.DUMMYFUNCTION("""COMPUTED_VALUE"""),84.74)</f>
        <v>84.74</v>
      </c>
      <c r="F796" s="1">
        <f>IFERROR(__xludf.DUMMYFUNCTION("""COMPUTED_VALUE"""),6.7571793E7)</f>
        <v>67571793</v>
      </c>
    </row>
    <row r="797">
      <c r="A797" s="2">
        <f>IFERROR(__xludf.DUMMYFUNCTION("""COMPUTED_VALUE"""),42090.66666666667)</f>
        <v>42090.66667</v>
      </c>
      <c r="B797" s="1">
        <f>IFERROR(__xludf.DUMMYFUNCTION("""COMPUTED_VALUE"""),84.37)</f>
        <v>84.37</v>
      </c>
      <c r="C797" s="1">
        <f>IFERROR(__xludf.DUMMYFUNCTION("""COMPUTED_VALUE"""),85.11)</f>
        <v>85.11</v>
      </c>
      <c r="D797" s="1">
        <f>IFERROR(__xludf.DUMMYFUNCTION("""COMPUTED_VALUE"""),81.95)</f>
        <v>81.95</v>
      </c>
      <c r="E797" s="1">
        <f>IFERROR(__xludf.DUMMYFUNCTION("""COMPUTED_VALUE"""),82.31)</f>
        <v>82.31</v>
      </c>
      <c r="F797" s="1">
        <f>IFERROR(__xludf.DUMMYFUNCTION("""COMPUTED_VALUE"""),3.9605075E7)</f>
        <v>39605075</v>
      </c>
    </row>
    <row r="798">
      <c r="A798" s="2">
        <f>IFERROR(__xludf.DUMMYFUNCTION("""COMPUTED_VALUE"""),42096.66666666667)</f>
        <v>42096.66667</v>
      </c>
      <c r="B798" s="1">
        <f>IFERROR(__xludf.DUMMYFUNCTION("""COMPUTED_VALUE"""),82.26)</f>
        <v>82.26</v>
      </c>
      <c r="C798" s="1">
        <f>IFERROR(__xludf.DUMMYFUNCTION("""COMPUTED_VALUE"""),82.95)</f>
        <v>82.95</v>
      </c>
      <c r="D798" s="1">
        <f>IFERROR(__xludf.DUMMYFUNCTION("""COMPUTED_VALUE"""),81.45)</f>
        <v>81.45</v>
      </c>
      <c r="E798" s="1">
        <f>IFERROR(__xludf.DUMMYFUNCTION("""COMPUTED_VALUE"""),82.43)</f>
        <v>82.43</v>
      </c>
      <c r="F798" s="1">
        <f>IFERROR(__xludf.DUMMYFUNCTION("""COMPUTED_VALUE"""),2.863138E7)</f>
        <v>28631380</v>
      </c>
    </row>
    <row r="799">
      <c r="A799" s="2">
        <f>IFERROR(__xludf.DUMMYFUNCTION("""COMPUTED_VALUE"""),42104.66666666667)</f>
        <v>42104.66667</v>
      </c>
      <c r="B799" s="1">
        <f>IFERROR(__xludf.DUMMYFUNCTION("""COMPUTED_VALUE"""),81.92)</f>
        <v>81.92</v>
      </c>
      <c r="C799" s="1">
        <f>IFERROR(__xludf.DUMMYFUNCTION("""COMPUTED_VALUE"""),83.63)</f>
        <v>83.63</v>
      </c>
      <c r="D799" s="1">
        <f>IFERROR(__xludf.DUMMYFUNCTION("""COMPUTED_VALUE"""),81.51)</f>
        <v>81.51</v>
      </c>
      <c r="E799" s="1">
        <f>IFERROR(__xludf.DUMMYFUNCTION("""COMPUTED_VALUE"""),83.35)</f>
        <v>83.35</v>
      </c>
      <c r="F799" s="1">
        <f>IFERROR(__xludf.DUMMYFUNCTION("""COMPUTED_VALUE"""),3.2896269E7)</f>
        <v>32896269</v>
      </c>
    </row>
    <row r="800">
      <c r="A800" s="2">
        <f>IFERROR(__xludf.DUMMYFUNCTION("""COMPUTED_VALUE"""),42111.66666666667)</f>
        <v>42111.66667</v>
      </c>
      <c r="B800" s="1">
        <f>IFERROR(__xludf.DUMMYFUNCTION("""COMPUTED_VALUE"""),83.0)</f>
        <v>83</v>
      </c>
      <c r="C800" s="1">
        <f>IFERROR(__xludf.DUMMYFUNCTION("""COMPUTED_VALUE"""),84.2)</f>
        <v>84.2</v>
      </c>
      <c r="D800" s="1">
        <f>IFERROR(__xludf.DUMMYFUNCTION("""COMPUTED_VALUE"""),82.03)</f>
        <v>82.03</v>
      </c>
      <c r="E800" s="1">
        <f>IFERROR(__xludf.DUMMYFUNCTION("""COMPUTED_VALUE"""),82.53)</f>
        <v>82.53</v>
      </c>
      <c r="F800" s="1">
        <f>IFERROR(__xludf.DUMMYFUNCTION("""COMPUTED_VALUE"""),3.8819059E7)</f>
        <v>38819059</v>
      </c>
    </row>
    <row r="801">
      <c r="A801" s="2">
        <f>IFERROR(__xludf.DUMMYFUNCTION("""COMPUTED_VALUE"""),42118.66666666667)</f>
        <v>42118.66667</v>
      </c>
      <c r="B801" s="1">
        <f>IFERROR(__xludf.DUMMYFUNCTION("""COMPUTED_VALUE"""),83.09)</f>
        <v>83.09</v>
      </c>
      <c r="C801" s="1">
        <f>IFERROR(__xludf.DUMMYFUNCTION("""COMPUTED_VALUE"""),83.98)</f>
        <v>83.98</v>
      </c>
      <c r="D801" s="1">
        <f>IFERROR(__xludf.DUMMYFUNCTION("""COMPUTED_VALUE"""),80.9)</f>
        <v>80.9</v>
      </c>
      <c r="E801" s="1">
        <f>IFERROR(__xludf.DUMMYFUNCTION("""COMPUTED_VALUE"""),81.0)</f>
        <v>81</v>
      </c>
      <c r="F801" s="1">
        <f>IFERROR(__xludf.DUMMYFUNCTION("""COMPUTED_VALUE"""),4.5217295E7)</f>
        <v>45217295</v>
      </c>
    </row>
    <row r="802">
      <c r="A802" s="2">
        <f>IFERROR(__xludf.DUMMYFUNCTION("""COMPUTED_VALUE"""),42125.66666666667)</f>
        <v>42125.66667</v>
      </c>
      <c r="B802" s="1">
        <f>IFERROR(__xludf.DUMMYFUNCTION("""COMPUTED_VALUE"""),80.91)</f>
        <v>80.91</v>
      </c>
      <c r="C802" s="1">
        <f>IFERROR(__xludf.DUMMYFUNCTION("""COMPUTED_VALUE"""),81.2)</f>
        <v>81.2</v>
      </c>
      <c r="D802" s="1">
        <f>IFERROR(__xludf.DUMMYFUNCTION("""COMPUTED_VALUE"""),79.07)</f>
        <v>79.07</v>
      </c>
      <c r="E802" s="1">
        <f>IFERROR(__xludf.DUMMYFUNCTION("""COMPUTED_VALUE"""),80.29)</f>
        <v>80.29</v>
      </c>
      <c r="F802" s="1">
        <f>IFERROR(__xludf.DUMMYFUNCTION("""COMPUTED_VALUE"""),4.7036308E7)</f>
        <v>47036308</v>
      </c>
    </row>
    <row r="803">
      <c r="A803" s="2">
        <f>IFERROR(__xludf.DUMMYFUNCTION("""COMPUTED_VALUE"""),42132.66666666667)</f>
        <v>42132.66667</v>
      </c>
      <c r="B803" s="1">
        <f>IFERROR(__xludf.DUMMYFUNCTION("""COMPUTED_VALUE"""),80.48)</f>
        <v>80.48</v>
      </c>
      <c r="C803" s="1">
        <f>IFERROR(__xludf.DUMMYFUNCTION("""COMPUTED_VALUE"""),81.21)</f>
        <v>81.21</v>
      </c>
      <c r="D803" s="1">
        <f>IFERROR(__xludf.DUMMYFUNCTION("""COMPUTED_VALUE"""),79.52)</f>
        <v>79.52</v>
      </c>
      <c r="E803" s="1">
        <f>IFERROR(__xludf.DUMMYFUNCTION("""COMPUTED_VALUE"""),80.96)</f>
        <v>80.96</v>
      </c>
      <c r="F803" s="1">
        <f>IFERROR(__xludf.DUMMYFUNCTION("""COMPUTED_VALUE"""),3.5279599E7)</f>
        <v>35279599</v>
      </c>
    </row>
    <row r="804">
      <c r="A804" s="2">
        <f>IFERROR(__xludf.DUMMYFUNCTION("""COMPUTED_VALUE"""),42139.66666666667)</f>
        <v>42139.66667</v>
      </c>
      <c r="B804" s="1">
        <f>IFERROR(__xludf.DUMMYFUNCTION("""COMPUTED_VALUE"""),80.95)</f>
        <v>80.95</v>
      </c>
      <c r="C804" s="1">
        <f>IFERROR(__xludf.DUMMYFUNCTION("""COMPUTED_VALUE"""),81.12)</f>
        <v>81.12</v>
      </c>
      <c r="D804" s="1">
        <f>IFERROR(__xludf.DUMMYFUNCTION("""COMPUTED_VALUE"""),79.36)</f>
        <v>79.36</v>
      </c>
      <c r="E804" s="1">
        <f>IFERROR(__xludf.DUMMYFUNCTION("""COMPUTED_VALUE"""),81.05)</f>
        <v>81.05</v>
      </c>
      <c r="F804" s="1">
        <f>IFERROR(__xludf.DUMMYFUNCTION("""COMPUTED_VALUE"""),3.1091216E7)</f>
        <v>31091216</v>
      </c>
    </row>
    <row r="805">
      <c r="A805" s="2">
        <f>IFERROR(__xludf.DUMMYFUNCTION("""COMPUTED_VALUE"""),42146.66666666667)</f>
        <v>42146.66667</v>
      </c>
      <c r="B805" s="1">
        <f>IFERROR(__xludf.DUMMYFUNCTION("""COMPUTED_VALUE"""),80.97)</f>
        <v>80.97</v>
      </c>
      <c r="C805" s="1">
        <f>IFERROR(__xludf.DUMMYFUNCTION("""COMPUTED_VALUE"""),81.13)</f>
        <v>81.13</v>
      </c>
      <c r="D805" s="1">
        <f>IFERROR(__xludf.DUMMYFUNCTION("""COMPUTED_VALUE"""),79.84)</f>
        <v>79.84</v>
      </c>
      <c r="E805" s="1">
        <f>IFERROR(__xludf.DUMMYFUNCTION("""COMPUTED_VALUE"""),79.95)</f>
        <v>79.95</v>
      </c>
      <c r="F805" s="1">
        <f>IFERROR(__xludf.DUMMYFUNCTION("""COMPUTED_VALUE"""),2.8865905E7)</f>
        <v>28865905</v>
      </c>
    </row>
    <row r="806">
      <c r="A806" s="2">
        <f>IFERROR(__xludf.DUMMYFUNCTION("""COMPUTED_VALUE"""),42153.66666666667)</f>
        <v>42153.66667</v>
      </c>
      <c r="B806" s="1">
        <f>IFERROR(__xludf.DUMMYFUNCTION("""COMPUTED_VALUE"""),79.97)</f>
        <v>79.97</v>
      </c>
      <c r="C806" s="1">
        <f>IFERROR(__xludf.DUMMYFUNCTION("""COMPUTED_VALUE"""),80.07)</f>
        <v>80.07</v>
      </c>
      <c r="D806" s="1">
        <f>IFERROR(__xludf.DUMMYFUNCTION("""COMPUTED_VALUE"""),78.19)</f>
        <v>78.19</v>
      </c>
      <c r="E806" s="1">
        <f>IFERROR(__xludf.DUMMYFUNCTION("""COMPUTED_VALUE"""),78.39)</f>
        <v>78.39</v>
      </c>
      <c r="F806" s="1">
        <f>IFERROR(__xludf.DUMMYFUNCTION("""COMPUTED_VALUE"""),3.3147807E7)</f>
        <v>33147807</v>
      </c>
    </row>
    <row r="807">
      <c r="A807" s="2">
        <f>IFERROR(__xludf.DUMMYFUNCTION("""COMPUTED_VALUE"""),42160.66666666667)</f>
        <v>42160.66667</v>
      </c>
      <c r="B807" s="1">
        <f>IFERROR(__xludf.DUMMYFUNCTION("""COMPUTED_VALUE"""),78.65)</f>
        <v>78.65</v>
      </c>
      <c r="C807" s="1">
        <f>IFERROR(__xludf.DUMMYFUNCTION("""COMPUTED_VALUE"""),79.07)</f>
        <v>79.07</v>
      </c>
      <c r="D807" s="1">
        <f>IFERROR(__xludf.DUMMYFUNCTION("""COMPUTED_VALUE"""),77.37)</f>
        <v>77.37</v>
      </c>
      <c r="E807" s="1">
        <f>IFERROR(__xludf.DUMMYFUNCTION("""COMPUTED_VALUE"""),77.43)</f>
        <v>77.43</v>
      </c>
      <c r="F807" s="1">
        <f>IFERROR(__xludf.DUMMYFUNCTION("""COMPUTED_VALUE"""),3.8107582E7)</f>
        <v>38107582</v>
      </c>
    </row>
    <row r="808">
      <c r="A808" s="2">
        <f>IFERROR(__xludf.DUMMYFUNCTION("""COMPUTED_VALUE"""),42167.66666666667)</f>
        <v>42167.66667</v>
      </c>
      <c r="B808" s="1">
        <f>IFERROR(__xludf.DUMMYFUNCTION("""COMPUTED_VALUE"""),77.48)</f>
        <v>77.48</v>
      </c>
      <c r="C808" s="1">
        <f>IFERROR(__xludf.DUMMYFUNCTION("""COMPUTED_VALUE"""),79.93)</f>
        <v>79.93</v>
      </c>
      <c r="D808" s="1">
        <f>IFERROR(__xludf.DUMMYFUNCTION("""COMPUTED_VALUE"""),77.1)</f>
        <v>77.1</v>
      </c>
      <c r="E808" s="1">
        <f>IFERROR(__xludf.DUMMYFUNCTION("""COMPUTED_VALUE"""),78.87)</f>
        <v>78.87</v>
      </c>
      <c r="F808" s="1">
        <f>IFERROR(__xludf.DUMMYFUNCTION("""COMPUTED_VALUE"""),4.6068843E7)</f>
        <v>46068843</v>
      </c>
    </row>
    <row r="809">
      <c r="A809" s="2">
        <f>IFERROR(__xludf.DUMMYFUNCTION("""COMPUTED_VALUE"""),42174.66666666667)</f>
        <v>42174.66667</v>
      </c>
      <c r="B809" s="1">
        <f>IFERROR(__xludf.DUMMYFUNCTION("""COMPUTED_VALUE"""),78.33)</f>
        <v>78.33</v>
      </c>
      <c r="C809" s="1">
        <f>IFERROR(__xludf.DUMMYFUNCTION("""COMPUTED_VALUE"""),81.22)</f>
        <v>81.22</v>
      </c>
      <c r="D809" s="1">
        <f>IFERROR(__xludf.DUMMYFUNCTION("""COMPUTED_VALUE"""),77.93)</f>
        <v>77.93</v>
      </c>
      <c r="E809" s="1">
        <f>IFERROR(__xludf.DUMMYFUNCTION("""COMPUTED_VALUE"""),80.54)</f>
        <v>80.54</v>
      </c>
      <c r="F809" s="1">
        <f>IFERROR(__xludf.DUMMYFUNCTION("""COMPUTED_VALUE"""),5.1296144E7)</f>
        <v>51296144</v>
      </c>
    </row>
    <row r="810">
      <c r="A810" s="2">
        <f>IFERROR(__xludf.DUMMYFUNCTION("""COMPUTED_VALUE"""),42181.66666666667)</f>
        <v>42181.66667</v>
      </c>
      <c r="B810" s="1">
        <f>IFERROR(__xludf.DUMMYFUNCTION("""COMPUTED_VALUE"""),80.92)</f>
        <v>80.92</v>
      </c>
      <c r="C810" s="1">
        <f>IFERROR(__xludf.DUMMYFUNCTION("""COMPUTED_VALUE"""),81.18)</f>
        <v>81.18</v>
      </c>
      <c r="D810" s="1">
        <f>IFERROR(__xludf.DUMMYFUNCTION("""COMPUTED_VALUE"""),79.28)</f>
        <v>79.28</v>
      </c>
      <c r="E810" s="1">
        <f>IFERROR(__xludf.DUMMYFUNCTION("""COMPUTED_VALUE"""),79.34)</f>
        <v>79.34</v>
      </c>
      <c r="F810" s="1">
        <f>IFERROR(__xludf.DUMMYFUNCTION("""COMPUTED_VALUE"""),3.6491291E7)</f>
        <v>36491291</v>
      </c>
    </row>
    <row r="811">
      <c r="A811" s="2">
        <f>IFERROR(__xludf.DUMMYFUNCTION("""COMPUTED_VALUE"""),42187.66666666667)</f>
        <v>42187.66667</v>
      </c>
      <c r="B811" s="1">
        <f>IFERROR(__xludf.DUMMYFUNCTION("""COMPUTED_VALUE"""),78.95)</f>
        <v>78.95</v>
      </c>
      <c r="C811" s="1">
        <f>IFERROR(__xludf.DUMMYFUNCTION("""COMPUTED_VALUE"""),80.35)</f>
        <v>80.35</v>
      </c>
      <c r="D811" s="1">
        <f>IFERROR(__xludf.DUMMYFUNCTION("""COMPUTED_VALUE"""),78.12)</f>
        <v>78.12</v>
      </c>
      <c r="E811" s="1">
        <f>IFERROR(__xludf.DUMMYFUNCTION("""COMPUTED_VALUE"""),79.93)</f>
        <v>79.93</v>
      </c>
      <c r="F811" s="1">
        <f>IFERROR(__xludf.DUMMYFUNCTION("""COMPUTED_VALUE"""),3.1886558E7)</f>
        <v>31886558</v>
      </c>
    </row>
    <row r="812">
      <c r="A812" s="2">
        <f>IFERROR(__xludf.DUMMYFUNCTION("""COMPUTED_VALUE"""),42195.66666666667)</f>
        <v>42195.66667</v>
      </c>
      <c r="B812" s="1">
        <f>IFERROR(__xludf.DUMMYFUNCTION("""COMPUTED_VALUE"""),79.61)</f>
        <v>79.61</v>
      </c>
      <c r="C812" s="1">
        <f>IFERROR(__xludf.DUMMYFUNCTION("""COMPUTED_VALUE"""),82.0)</f>
        <v>82</v>
      </c>
      <c r="D812" s="1">
        <f>IFERROR(__xludf.DUMMYFUNCTION("""COMPUTED_VALUE"""),79.5)</f>
        <v>79.5</v>
      </c>
      <c r="E812" s="1">
        <f>IFERROR(__xludf.DUMMYFUNCTION("""COMPUTED_VALUE"""),80.95)</f>
        <v>80.95</v>
      </c>
      <c r="F812" s="1">
        <f>IFERROR(__xludf.DUMMYFUNCTION("""COMPUTED_VALUE"""),4.2227326E7)</f>
        <v>42227326</v>
      </c>
    </row>
    <row r="813">
      <c r="A813" s="2">
        <f>IFERROR(__xludf.DUMMYFUNCTION("""COMPUTED_VALUE"""),42202.66666666667)</f>
        <v>42202.66667</v>
      </c>
      <c r="B813" s="1">
        <f>IFERROR(__xludf.DUMMYFUNCTION("""COMPUTED_VALUE"""),81.52)</f>
        <v>81.52</v>
      </c>
      <c r="C813" s="1">
        <f>IFERROR(__xludf.DUMMYFUNCTION("""COMPUTED_VALUE"""),82.55)</f>
        <v>82.55</v>
      </c>
      <c r="D813" s="1">
        <f>IFERROR(__xludf.DUMMYFUNCTION("""COMPUTED_VALUE"""),81.34)</f>
        <v>81.34</v>
      </c>
      <c r="E813" s="1">
        <f>IFERROR(__xludf.DUMMYFUNCTION("""COMPUTED_VALUE"""),82.24)</f>
        <v>82.24</v>
      </c>
      <c r="F813" s="1">
        <f>IFERROR(__xludf.DUMMYFUNCTION("""COMPUTED_VALUE"""),3.2576677E7)</f>
        <v>32576677</v>
      </c>
    </row>
    <row r="814">
      <c r="A814" s="2">
        <f>IFERROR(__xludf.DUMMYFUNCTION("""COMPUTED_VALUE"""),42209.66666666667)</f>
        <v>42209.66667</v>
      </c>
      <c r="B814" s="1">
        <f>IFERROR(__xludf.DUMMYFUNCTION("""COMPUTED_VALUE"""),82.09)</f>
        <v>82.09</v>
      </c>
      <c r="C814" s="1">
        <f>IFERROR(__xludf.DUMMYFUNCTION("""COMPUTED_VALUE"""),82.35)</f>
        <v>82.35</v>
      </c>
      <c r="D814" s="1">
        <f>IFERROR(__xludf.DUMMYFUNCTION("""COMPUTED_VALUE"""),80.14)</f>
        <v>80.14</v>
      </c>
      <c r="E814" s="1">
        <f>IFERROR(__xludf.DUMMYFUNCTION("""COMPUTED_VALUE"""),80.29)</f>
        <v>80.29</v>
      </c>
      <c r="F814" s="1">
        <f>IFERROR(__xludf.DUMMYFUNCTION("""COMPUTED_VALUE"""),2.9671697E7)</f>
        <v>29671697</v>
      </c>
    </row>
    <row r="815">
      <c r="A815" s="2">
        <f>IFERROR(__xludf.DUMMYFUNCTION("""COMPUTED_VALUE"""),42216.66666666667)</f>
        <v>42216.66667</v>
      </c>
      <c r="B815" s="1">
        <f>IFERROR(__xludf.DUMMYFUNCTION("""COMPUTED_VALUE"""),79.83)</f>
        <v>79.83</v>
      </c>
      <c r="C815" s="1">
        <f>IFERROR(__xludf.DUMMYFUNCTION("""COMPUTED_VALUE"""),80.99)</f>
        <v>80.99</v>
      </c>
      <c r="D815" s="1">
        <f>IFERROR(__xludf.DUMMYFUNCTION("""COMPUTED_VALUE"""),76.66)</f>
        <v>76.66</v>
      </c>
      <c r="E815" s="1">
        <f>IFERROR(__xludf.DUMMYFUNCTION("""COMPUTED_VALUE"""),76.7)</f>
        <v>76.7</v>
      </c>
      <c r="F815" s="1">
        <f>IFERROR(__xludf.DUMMYFUNCTION("""COMPUTED_VALUE"""),6.0128828E7)</f>
        <v>60128828</v>
      </c>
    </row>
    <row r="816">
      <c r="A816" s="2">
        <f>IFERROR(__xludf.DUMMYFUNCTION("""COMPUTED_VALUE"""),42223.66666666667)</f>
        <v>42223.66667</v>
      </c>
      <c r="B816" s="1">
        <f>IFERROR(__xludf.DUMMYFUNCTION("""COMPUTED_VALUE"""),76.51)</f>
        <v>76.51</v>
      </c>
      <c r="C816" s="1">
        <f>IFERROR(__xludf.DUMMYFUNCTION("""COMPUTED_VALUE"""),77.09)</f>
        <v>77.09</v>
      </c>
      <c r="D816" s="1">
        <f>IFERROR(__xludf.DUMMYFUNCTION("""COMPUTED_VALUE"""),75.25)</f>
        <v>75.25</v>
      </c>
      <c r="E816" s="1">
        <f>IFERROR(__xludf.DUMMYFUNCTION("""COMPUTED_VALUE"""),75.48)</f>
        <v>75.48</v>
      </c>
      <c r="F816" s="1">
        <f>IFERROR(__xludf.DUMMYFUNCTION("""COMPUTED_VALUE"""),5.3170761E7)</f>
        <v>53170761</v>
      </c>
    </row>
    <row r="817">
      <c r="A817" s="2">
        <f>IFERROR(__xludf.DUMMYFUNCTION("""COMPUTED_VALUE"""),42230.66666666667)</f>
        <v>42230.66667</v>
      </c>
      <c r="B817" s="1">
        <f>IFERROR(__xludf.DUMMYFUNCTION("""COMPUTED_VALUE"""),75.95)</f>
        <v>75.95</v>
      </c>
      <c r="C817" s="1">
        <f>IFERROR(__xludf.DUMMYFUNCTION("""COMPUTED_VALUE"""),76.51)</f>
        <v>76.51</v>
      </c>
      <c r="D817" s="1">
        <f>IFERROR(__xludf.DUMMYFUNCTION("""COMPUTED_VALUE"""),75.34)</f>
        <v>75.34</v>
      </c>
      <c r="E817" s="1">
        <f>IFERROR(__xludf.DUMMYFUNCTION("""COMPUTED_VALUE"""),75.62)</f>
        <v>75.62</v>
      </c>
      <c r="F817" s="1">
        <f>IFERROR(__xludf.DUMMYFUNCTION("""COMPUTED_VALUE"""),3.8676123E7)</f>
        <v>38676123</v>
      </c>
    </row>
    <row r="818">
      <c r="A818" s="2">
        <f>IFERROR(__xludf.DUMMYFUNCTION("""COMPUTED_VALUE"""),42237.66666666667)</f>
        <v>42237.66667</v>
      </c>
      <c r="B818" s="1">
        <f>IFERROR(__xludf.DUMMYFUNCTION("""COMPUTED_VALUE"""),75.81)</f>
        <v>75.81</v>
      </c>
      <c r="C818" s="1">
        <f>IFERROR(__xludf.DUMMYFUNCTION("""COMPUTED_VALUE"""),75.81)</f>
        <v>75.81</v>
      </c>
      <c r="D818" s="1">
        <f>IFERROR(__xludf.DUMMYFUNCTION("""COMPUTED_VALUE"""),71.83)</f>
        <v>71.83</v>
      </c>
      <c r="E818" s="1">
        <f>IFERROR(__xludf.DUMMYFUNCTION("""COMPUTED_VALUE"""),71.84)</f>
        <v>71.84</v>
      </c>
      <c r="F818" s="1">
        <f>IFERROR(__xludf.DUMMYFUNCTION("""COMPUTED_VALUE"""),5.2451926E7)</f>
        <v>52451926</v>
      </c>
    </row>
    <row r="819">
      <c r="A819" s="2">
        <f>IFERROR(__xludf.DUMMYFUNCTION("""COMPUTED_VALUE"""),42244.66666666667)</f>
        <v>42244.66667</v>
      </c>
      <c r="B819" s="1">
        <f>IFERROR(__xludf.DUMMYFUNCTION("""COMPUTED_VALUE"""),68.57)</f>
        <v>68.57</v>
      </c>
      <c r="C819" s="1">
        <f>IFERROR(__xludf.DUMMYFUNCTION("""COMPUTED_VALUE"""),72.23)</f>
        <v>72.23</v>
      </c>
      <c r="D819" s="1">
        <f>IFERROR(__xludf.DUMMYFUNCTION("""COMPUTED_VALUE"""),65.02)</f>
        <v>65.02</v>
      </c>
      <c r="E819" s="1">
        <f>IFERROR(__xludf.DUMMYFUNCTION("""COMPUTED_VALUE"""),71.21)</f>
        <v>71.21</v>
      </c>
      <c r="F819" s="1">
        <f>IFERROR(__xludf.DUMMYFUNCTION("""COMPUTED_VALUE"""),8.6085445E7)</f>
        <v>86085445</v>
      </c>
    </row>
    <row r="820">
      <c r="A820" s="2">
        <f>IFERROR(__xludf.DUMMYFUNCTION("""COMPUTED_VALUE"""),42251.66666666667)</f>
        <v>42251.66667</v>
      </c>
      <c r="B820" s="1">
        <f>IFERROR(__xludf.DUMMYFUNCTION("""COMPUTED_VALUE"""),71.0)</f>
        <v>71</v>
      </c>
      <c r="C820" s="1">
        <f>IFERROR(__xludf.DUMMYFUNCTION("""COMPUTED_VALUE"""),71.0)</f>
        <v>71</v>
      </c>
      <c r="D820" s="1">
        <f>IFERROR(__xludf.DUMMYFUNCTION("""COMPUTED_VALUE"""),68.5)</f>
        <v>68.5</v>
      </c>
      <c r="E820" s="1">
        <f>IFERROR(__xludf.DUMMYFUNCTION("""COMPUTED_VALUE"""),68.76)</f>
        <v>68.76</v>
      </c>
      <c r="F820" s="1">
        <f>IFERROR(__xludf.DUMMYFUNCTION("""COMPUTED_VALUE"""),5.3820385E7)</f>
        <v>53820385</v>
      </c>
    </row>
    <row r="821">
      <c r="A821" s="2">
        <f>IFERROR(__xludf.DUMMYFUNCTION("""COMPUTED_VALUE"""),42258.66666666667)</f>
        <v>42258.66667</v>
      </c>
      <c r="B821" s="1">
        <f>IFERROR(__xludf.DUMMYFUNCTION("""COMPUTED_VALUE"""),70.31)</f>
        <v>70.31</v>
      </c>
      <c r="C821" s="1">
        <f>IFERROR(__xludf.DUMMYFUNCTION("""COMPUTED_VALUE"""),70.54)</f>
        <v>70.54</v>
      </c>
      <c r="D821" s="1">
        <f>IFERROR(__xludf.DUMMYFUNCTION("""COMPUTED_VALUE"""),67.73)</f>
        <v>67.73</v>
      </c>
      <c r="E821" s="1">
        <f>IFERROR(__xludf.DUMMYFUNCTION("""COMPUTED_VALUE"""),68.42)</f>
        <v>68.42</v>
      </c>
      <c r="F821" s="1">
        <f>IFERROR(__xludf.DUMMYFUNCTION("""COMPUTED_VALUE"""),4.4134386E7)</f>
        <v>44134386</v>
      </c>
    </row>
    <row r="822">
      <c r="A822" s="2">
        <f>IFERROR(__xludf.DUMMYFUNCTION("""COMPUTED_VALUE"""),42265.66666666667)</f>
        <v>42265.66667</v>
      </c>
      <c r="B822" s="1">
        <f>IFERROR(__xludf.DUMMYFUNCTION("""COMPUTED_VALUE"""),68.23)</f>
        <v>68.23</v>
      </c>
      <c r="C822" s="1">
        <f>IFERROR(__xludf.DUMMYFUNCTION("""COMPUTED_VALUE"""),71.27)</f>
        <v>71.27</v>
      </c>
      <c r="D822" s="1">
        <f>IFERROR(__xludf.DUMMYFUNCTION("""COMPUTED_VALUE"""),67.33)</f>
        <v>67.33</v>
      </c>
      <c r="E822" s="1">
        <f>IFERROR(__xludf.DUMMYFUNCTION("""COMPUTED_VALUE"""),69.94)</f>
        <v>69.94</v>
      </c>
      <c r="F822" s="1">
        <f>IFERROR(__xludf.DUMMYFUNCTION("""COMPUTED_VALUE"""),5.8698508E7)</f>
        <v>58698508</v>
      </c>
    </row>
    <row r="823">
      <c r="A823" s="2">
        <f>IFERROR(__xludf.DUMMYFUNCTION("""COMPUTED_VALUE"""),42272.66666666667)</f>
        <v>42272.66667</v>
      </c>
      <c r="B823" s="1">
        <f>IFERROR(__xludf.DUMMYFUNCTION("""COMPUTED_VALUE"""),70.15)</f>
        <v>70.15</v>
      </c>
      <c r="C823" s="1">
        <f>IFERROR(__xludf.DUMMYFUNCTION("""COMPUTED_VALUE"""),73.38)</f>
        <v>73.38</v>
      </c>
      <c r="D823" s="1">
        <f>IFERROR(__xludf.DUMMYFUNCTION("""COMPUTED_VALUE"""),69.74)</f>
        <v>69.74</v>
      </c>
      <c r="E823" s="1">
        <f>IFERROR(__xludf.DUMMYFUNCTION("""COMPUTED_VALUE"""),72.67)</f>
        <v>72.67</v>
      </c>
      <c r="F823" s="1">
        <f>IFERROR(__xludf.DUMMYFUNCTION("""COMPUTED_VALUE"""),5.2746851E7)</f>
        <v>52746851</v>
      </c>
    </row>
    <row r="824">
      <c r="A824" s="2">
        <f>IFERROR(__xludf.DUMMYFUNCTION("""COMPUTED_VALUE"""),42279.66666666667)</f>
        <v>42279.66667</v>
      </c>
      <c r="B824" s="1">
        <f>IFERROR(__xludf.DUMMYFUNCTION("""COMPUTED_VALUE"""),72.31)</f>
        <v>72.31</v>
      </c>
      <c r="C824" s="1">
        <f>IFERROR(__xludf.DUMMYFUNCTION("""COMPUTED_VALUE"""),73.06)</f>
        <v>73.06</v>
      </c>
      <c r="D824" s="1">
        <f>IFERROR(__xludf.DUMMYFUNCTION("""COMPUTED_VALUE"""),71.29)</f>
        <v>71.29</v>
      </c>
      <c r="E824" s="1">
        <f>IFERROR(__xludf.DUMMYFUNCTION("""COMPUTED_VALUE"""),72.42)</f>
        <v>72.42</v>
      </c>
      <c r="F824" s="1">
        <f>IFERROR(__xludf.DUMMYFUNCTION("""COMPUTED_VALUE"""),4.69151E7)</f>
        <v>46915100</v>
      </c>
    </row>
    <row r="825">
      <c r="A825" s="2">
        <f>IFERROR(__xludf.DUMMYFUNCTION("""COMPUTED_VALUE"""),42286.66666666667)</f>
        <v>42286.66667</v>
      </c>
      <c r="B825" s="1">
        <f>IFERROR(__xludf.DUMMYFUNCTION("""COMPUTED_VALUE"""),72.97)</f>
        <v>72.97</v>
      </c>
      <c r="C825" s="1">
        <f>IFERROR(__xludf.DUMMYFUNCTION("""COMPUTED_VALUE"""),74.91)</f>
        <v>74.91</v>
      </c>
      <c r="D825" s="1">
        <f>IFERROR(__xludf.DUMMYFUNCTION("""COMPUTED_VALUE"""),72.5)</f>
        <v>72.5</v>
      </c>
      <c r="E825" s="1">
        <f>IFERROR(__xludf.DUMMYFUNCTION("""COMPUTED_VALUE"""),74.48)</f>
        <v>74.48</v>
      </c>
      <c r="F825" s="1">
        <f>IFERROR(__xludf.DUMMYFUNCTION("""COMPUTED_VALUE"""),3.984982E7)</f>
        <v>39849820</v>
      </c>
    </row>
    <row r="826">
      <c r="A826" s="2">
        <f>IFERROR(__xludf.DUMMYFUNCTION("""COMPUTED_VALUE"""),42293.66666666667)</f>
        <v>42293.66667</v>
      </c>
      <c r="B826" s="1">
        <f>IFERROR(__xludf.DUMMYFUNCTION("""COMPUTED_VALUE"""),74.69)</f>
        <v>74.69</v>
      </c>
      <c r="C826" s="1">
        <f>IFERROR(__xludf.DUMMYFUNCTION("""COMPUTED_VALUE"""),75.04)</f>
        <v>75.04</v>
      </c>
      <c r="D826" s="1">
        <f>IFERROR(__xludf.DUMMYFUNCTION("""COMPUTED_VALUE"""),73.66)</f>
        <v>73.66</v>
      </c>
      <c r="E826" s="1">
        <f>IFERROR(__xludf.DUMMYFUNCTION("""COMPUTED_VALUE"""),74.9)</f>
        <v>74.9</v>
      </c>
      <c r="F826" s="1">
        <f>IFERROR(__xludf.DUMMYFUNCTION("""COMPUTED_VALUE"""),4.1311454E7)</f>
        <v>41311454</v>
      </c>
    </row>
    <row r="827">
      <c r="A827" s="2">
        <f>IFERROR(__xludf.DUMMYFUNCTION("""COMPUTED_VALUE"""),42300.66666666667)</f>
        <v>42300.66667</v>
      </c>
      <c r="B827" s="1">
        <f>IFERROR(__xludf.DUMMYFUNCTION("""COMPUTED_VALUE"""),74.65)</f>
        <v>74.65</v>
      </c>
      <c r="C827" s="1">
        <f>IFERROR(__xludf.DUMMYFUNCTION("""COMPUTED_VALUE"""),78.45)</f>
        <v>78.45</v>
      </c>
      <c r="D827" s="1">
        <f>IFERROR(__xludf.DUMMYFUNCTION("""COMPUTED_VALUE"""),73.5)</f>
        <v>73.5</v>
      </c>
      <c r="E827" s="1">
        <f>IFERROR(__xludf.DUMMYFUNCTION("""COMPUTED_VALUE"""),77.03)</f>
        <v>77.03</v>
      </c>
      <c r="F827" s="1">
        <f>IFERROR(__xludf.DUMMYFUNCTION("""COMPUTED_VALUE"""),5.4673176E7)</f>
        <v>54673176</v>
      </c>
    </row>
    <row r="828">
      <c r="A828" s="2">
        <f>IFERROR(__xludf.DUMMYFUNCTION("""COMPUTED_VALUE"""),42307.66666666667)</f>
        <v>42307.66667</v>
      </c>
      <c r="B828" s="1">
        <f>IFERROR(__xludf.DUMMYFUNCTION("""COMPUTED_VALUE"""),77.0)</f>
        <v>77</v>
      </c>
      <c r="C828" s="1">
        <f>IFERROR(__xludf.DUMMYFUNCTION("""COMPUTED_VALUE"""),77.9)</f>
        <v>77.9</v>
      </c>
      <c r="D828" s="1">
        <f>IFERROR(__xludf.DUMMYFUNCTION("""COMPUTED_VALUE"""),75.69)</f>
        <v>75.69</v>
      </c>
      <c r="E828" s="1">
        <f>IFERROR(__xludf.DUMMYFUNCTION("""COMPUTED_VALUE"""),76.38)</f>
        <v>76.38</v>
      </c>
      <c r="F828" s="1">
        <f>IFERROR(__xludf.DUMMYFUNCTION("""COMPUTED_VALUE"""),4.8842184E7)</f>
        <v>48842184</v>
      </c>
    </row>
    <row r="829">
      <c r="A829" s="2">
        <f>IFERROR(__xludf.DUMMYFUNCTION("""COMPUTED_VALUE"""),42314.66666666667)</f>
        <v>42314.66667</v>
      </c>
      <c r="B829" s="1">
        <f>IFERROR(__xludf.DUMMYFUNCTION("""COMPUTED_VALUE"""),76.57)</f>
        <v>76.57</v>
      </c>
      <c r="C829" s="1">
        <f>IFERROR(__xludf.DUMMYFUNCTION("""COMPUTED_VALUE"""),77.42)</f>
        <v>77.42</v>
      </c>
      <c r="D829" s="1">
        <f>IFERROR(__xludf.DUMMYFUNCTION("""COMPUTED_VALUE"""),74.69)</f>
        <v>74.69</v>
      </c>
      <c r="E829" s="1">
        <f>IFERROR(__xludf.DUMMYFUNCTION("""COMPUTED_VALUE"""),75.57)</f>
        <v>75.57</v>
      </c>
      <c r="F829" s="1">
        <f>IFERROR(__xludf.DUMMYFUNCTION("""COMPUTED_VALUE"""),3.7886476E7)</f>
        <v>37886476</v>
      </c>
    </row>
    <row r="830">
      <c r="A830" s="2">
        <f>IFERROR(__xludf.DUMMYFUNCTION("""COMPUTED_VALUE"""),42321.66666666667)</f>
        <v>42321.66667</v>
      </c>
      <c r="B830" s="1">
        <f>IFERROR(__xludf.DUMMYFUNCTION("""COMPUTED_VALUE"""),75.21)</f>
        <v>75.21</v>
      </c>
      <c r="C830" s="1">
        <f>IFERROR(__xludf.DUMMYFUNCTION("""COMPUTED_VALUE"""),76.43)</f>
        <v>76.43</v>
      </c>
      <c r="D830" s="1">
        <f>IFERROR(__xludf.DUMMYFUNCTION("""COMPUTED_VALUE"""),73.95)</f>
        <v>73.95</v>
      </c>
      <c r="E830" s="1">
        <f>IFERROR(__xludf.DUMMYFUNCTION("""COMPUTED_VALUE"""),73.96)</f>
        <v>73.96</v>
      </c>
      <c r="F830" s="1">
        <f>IFERROR(__xludf.DUMMYFUNCTION("""COMPUTED_VALUE"""),3.660148E7)</f>
        <v>36601480</v>
      </c>
    </row>
    <row r="831">
      <c r="A831" s="2">
        <f>IFERROR(__xludf.DUMMYFUNCTION("""COMPUTED_VALUE"""),42328.66666666667)</f>
        <v>42328.66667</v>
      </c>
      <c r="B831" s="1">
        <f>IFERROR(__xludf.DUMMYFUNCTION("""COMPUTED_VALUE"""),74.25)</f>
        <v>74.25</v>
      </c>
      <c r="C831" s="1">
        <f>IFERROR(__xludf.DUMMYFUNCTION("""COMPUTED_VALUE"""),76.96)</f>
        <v>76.96</v>
      </c>
      <c r="D831" s="1">
        <f>IFERROR(__xludf.DUMMYFUNCTION("""COMPUTED_VALUE"""),74.01)</f>
        <v>74.01</v>
      </c>
      <c r="E831" s="1">
        <f>IFERROR(__xludf.DUMMYFUNCTION("""COMPUTED_VALUE"""),75.82)</f>
        <v>75.82</v>
      </c>
      <c r="F831" s="1">
        <f>IFERROR(__xludf.DUMMYFUNCTION("""COMPUTED_VALUE"""),4.0051219E7)</f>
        <v>40051219</v>
      </c>
    </row>
    <row r="832">
      <c r="A832" s="2">
        <f>IFERROR(__xludf.DUMMYFUNCTION("""COMPUTED_VALUE"""),42335.66666666667)</f>
        <v>42335.66667</v>
      </c>
      <c r="B832" s="1">
        <f>IFERROR(__xludf.DUMMYFUNCTION("""COMPUTED_VALUE"""),75.82)</f>
        <v>75.82</v>
      </c>
      <c r="C832" s="1">
        <f>IFERROR(__xludf.DUMMYFUNCTION("""COMPUTED_VALUE"""),76.74)</f>
        <v>76.74</v>
      </c>
      <c r="D832" s="1">
        <f>IFERROR(__xludf.DUMMYFUNCTION("""COMPUTED_VALUE"""),75.4)</f>
        <v>75.4</v>
      </c>
      <c r="E832" s="1">
        <f>IFERROR(__xludf.DUMMYFUNCTION("""COMPUTED_VALUE"""),75.7)</f>
        <v>75.7</v>
      </c>
      <c r="F832" s="1">
        <f>IFERROR(__xludf.DUMMYFUNCTION("""COMPUTED_VALUE"""),2.3164556E7)</f>
        <v>23164556</v>
      </c>
    </row>
    <row r="833">
      <c r="A833" s="2">
        <f>IFERROR(__xludf.DUMMYFUNCTION("""COMPUTED_VALUE"""),42342.66666666667)</f>
        <v>42342.66667</v>
      </c>
      <c r="B833" s="1">
        <f>IFERROR(__xludf.DUMMYFUNCTION("""COMPUTED_VALUE"""),75.58)</f>
        <v>75.58</v>
      </c>
      <c r="C833" s="1">
        <f>IFERROR(__xludf.DUMMYFUNCTION("""COMPUTED_VALUE"""),77.9)</f>
        <v>77.9</v>
      </c>
      <c r="D833" s="1">
        <f>IFERROR(__xludf.DUMMYFUNCTION("""COMPUTED_VALUE"""),74.84)</f>
        <v>74.84</v>
      </c>
      <c r="E833" s="1">
        <f>IFERROR(__xludf.DUMMYFUNCTION("""COMPUTED_VALUE"""),77.83)</f>
        <v>77.83</v>
      </c>
      <c r="F833" s="1">
        <f>IFERROR(__xludf.DUMMYFUNCTION("""COMPUTED_VALUE"""),4.8571059E7)</f>
        <v>48571059</v>
      </c>
    </row>
    <row r="834">
      <c r="A834" s="2">
        <f>IFERROR(__xludf.DUMMYFUNCTION("""COMPUTED_VALUE"""),42349.66666666667)</f>
        <v>42349.66667</v>
      </c>
      <c r="B834" s="1">
        <f>IFERROR(__xludf.DUMMYFUNCTION("""COMPUTED_VALUE"""),77.54)</f>
        <v>77.54</v>
      </c>
      <c r="C834" s="1">
        <f>IFERROR(__xludf.DUMMYFUNCTION("""COMPUTED_VALUE"""),78.99)</f>
        <v>78.99</v>
      </c>
      <c r="D834" s="1">
        <f>IFERROR(__xludf.DUMMYFUNCTION("""COMPUTED_VALUE"""),77.11)</f>
        <v>77.11</v>
      </c>
      <c r="E834" s="1">
        <f>IFERROR(__xludf.DUMMYFUNCTION("""COMPUTED_VALUE"""),77.78)</f>
        <v>77.78</v>
      </c>
      <c r="F834" s="1">
        <f>IFERROR(__xludf.DUMMYFUNCTION("""COMPUTED_VALUE"""),4.9119262E7)</f>
        <v>49119262</v>
      </c>
    </row>
    <row r="835">
      <c r="A835" s="2">
        <f>IFERROR(__xludf.DUMMYFUNCTION("""COMPUTED_VALUE"""),42356.66666666667)</f>
        <v>42356.66667</v>
      </c>
      <c r="B835" s="1">
        <f>IFERROR(__xludf.DUMMYFUNCTION("""COMPUTED_VALUE"""),77.63)</f>
        <v>77.63</v>
      </c>
      <c r="C835" s="1">
        <f>IFERROR(__xludf.DUMMYFUNCTION("""COMPUTED_VALUE"""),81.23)</f>
        <v>81.23</v>
      </c>
      <c r="D835" s="1">
        <f>IFERROR(__xludf.DUMMYFUNCTION("""COMPUTED_VALUE"""),77.44)</f>
        <v>77.44</v>
      </c>
      <c r="E835" s="1">
        <f>IFERROR(__xludf.DUMMYFUNCTION("""COMPUTED_VALUE"""),78.13)</f>
        <v>78.13</v>
      </c>
      <c r="F835" s="1">
        <f>IFERROR(__xludf.DUMMYFUNCTION("""COMPUTED_VALUE"""),7.1505515E7)</f>
        <v>71505515</v>
      </c>
    </row>
    <row r="836">
      <c r="A836" s="2">
        <f>IFERROR(__xludf.DUMMYFUNCTION("""COMPUTED_VALUE"""),42362.66666666667)</f>
        <v>42362.66667</v>
      </c>
      <c r="B836" s="1">
        <f>IFERROR(__xludf.DUMMYFUNCTION("""COMPUTED_VALUE"""),78.63)</f>
        <v>78.63</v>
      </c>
      <c r="C836" s="1">
        <f>IFERROR(__xludf.DUMMYFUNCTION("""COMPUTED_VALUE"""),80.43)</f>
        <v>80.43</v>
      </c>
      <c r="D836" s="1">
        <f>IFERROR(__xludf.DUMMYFUNCTION("""COMPUTED_VALUE"""),78.15)</f>
        <v>78.15</v>
      </c>
      <c r="E836" s="1">
        <f>IFERROR(__xludf.DUMMYFUNCTION("""COMPUTED_VALUE"""),79.79)</f>
        <v>79.79</v>
      </c>
      <c r="F836" s="1">
        <f>IFERROR(__xludf.DUMMYFUNCTION("""COMPUTED_VALUE"""),2.9730081E7)</f>
        <v>29730081</v>
      </c>
    </row>
    <row r="837">
      <c r="A837" s="2">
        <f>IFERROR(__xludf.DUMMYFUNCTION("""COMPUTED_VALUE"""),42369.66666666667)</f>
        <v>42369.66667</v>
      </c>
      <c r="B837" s="1">
        <f>IFERROR(__xludf.DUMMYFUNCTION("""COMPUTED_VALUE"""),79.74)</f>
        <v>79.74</v>
      </c>
      <c r="C837" s="1">
        <f>IFERROR(__xludf.DUMMYFUNCTION("""COMPUTED_VALUE"""),80.61)</f>
        <v>80.61</v>
      </c>
      <c r="D837" s="1">
        <f>IFERROR(__xludf.DUMMYFUNCTION("""COMPUTED_VALUE"""),79.31)</f>
        <v>79.31</v>
      </c>
      <c r="E837" s="1">
        <f>IFERROR(__xludf.DUMMYFUNCTION("""COMPUTED_VALUE"""),79.41)</f>
        <v>79.41</v>
      </c>
      <c r="F837" s="1">
        <f>IFERROR(__xludf.DUMMYFUNCTION("""COMPUTED_VALUE"""),1.7426492E7)</f>
        <v>17426492</v>
      </c>
    </row>
    <row r="838">
      <c r="A838" s="2">
        <f>IFERROR(__xludf.DUMMYFUNCTION("""COMPUTED_VALUE"""),42377.66666666667)</f>
        <v>42377.66667</v>
      </c>
      <c r="B838" s="1">
        <f>IFERROR(__xludf.DUMMYFUNCTION("""COMPUTED_VALUE"""),78.36)</f>
        <v>78.36</v>
      </c>
      <c r="C838" s="1">
        <f>IFERROR(__xludf.DUMMYFUNCTION("""COMPUTED_VALUE"""),78.96)</f>
        <v>78.96</v>
      </c>
      <c r="D838" s="1">
        <f>IFERROR(__xludf.DUMMYFUNCTION("""COMPUTED_VALUE"""),75.67)</f>
        <v>75.67</v>
      </c>
      <c r="E838" s="1">
        <f>IFERROR(__xludf.DUMMYFUNCTION("""COMPUTED_VALUE"""),75.97)</f>
        <v>75.97</v>
      </c>
      <c r="F838" s="1">
        <f>IFERROR(__xludf.DUMMYFUNCTION("""COMPUTED_VALUE"""),5.0863701E7)</f>
        <v>50863701</v>
      </c>
    </row>
    <row r="839">
      <c r="A839" s="2">
        <f>IFERROR(__xludf.DUMMYFUNCTION("""COMPUTED_VALUE"""),42384.66666666667)</f>
        <v>42384.66667</v>
      </c>
      <c r="B839" s="1">
        <f>IFERROR(__xludf.DUMMYFUNCTION("""COMPUTED_VALUE"""),76.17)</f>
        <v>76.17</v>
      </c>
      <c r="C839" s="1">
        <f>IFERROR(__xludf.DUMMYFUNCTION("""COMPUTED_VALUE"""),77.04)</f>
        <v>77.04</v>
      </c>
      <c r="D839" s="1">
        <f>IFERROR(__xludf.DUMMYFUNCTION("""COMPUTED_VALUE"""),74.47)</f>
        <v>74.47</v>
      </c>
      <c r="E839" s="1">
        <f>IFERROR(__xludf.DUMMYFUNCTION("""COMPUTED_VALUE"""),74.98)</f>
        <v>74.98</v>
      </c>
      <c r="F839" s="1">
        <f>IFERROR(__xludf.DUMMYFUNCTION("""COMPUTED_VALUE"""),5.8149441E7)</f>
        <v>58149441</v>
      </c>
    </row>
    <row r="840">
      <c r="A840" s="2">
        <f>IFERROR(__xludf.DUMMYFUNCTION("""COMPUTED_VALUE"""),42391.66666666667)</f>
        <v>42391.66667</v>
      </c>
      <c r="B840" s="1">
        <f>IFERROR(__xludf.DUMMYFUNCTION("""COMPUTED_VALUE"""),75.8)</f>
        <v>75.8</v>
      </c>
      <c r="C840" s="1">
        <f>IFERROR(__xludf.DUMMYFUNCTION("""COMPUTED_VALUE"""),77.97)</f>
        <v>77.97</v>
      </c>
      <c r="D840" s="1">
        <f>IFERROR(__xludf.DUMMYFUNCTION("""COMPUTED_VALUE"""),74.46)</f>
        <v>74.46</v>
      </c>
      <c r="E840" s="1">
        <f>IFERROR(__xludf.DUMMYFUNCTION("""COMPUTED_VALUE"""),77.36)</f>
        <v>77.36</v>
      </c>
      <c r="F840" s="1">
        <f>IFERROR(__xludf.DUMMYFUNCTION("""COMPUTED_VALUE"""),5.3430928E7)</f>
        <v>53430928</v>
      </c>
    </row>
    <row r="841">
      <c r="A841" s="2">
        <f>IFERROR(__xludf.DUMMYFUNCTION("""COMPUTED_VALUE"""),42398.66666666667)</f>
        <v>42398.66667</v>
      </c>
      <c r="B841" s="1">
        <f>IFERROR(__xludf.DUMMYFUNCTION("""COMPUTED_VALUE"""),77.2)</f>
        <v>77.2</v>
      </c>
      <c r="C841" s="1">
        <f>IFERROR(__xludf.DUMMYFUNCTION("""COMPUTED_VALUE"""),82.0)</f>
        <v>82</v>
      </c>
      <c r="D841" s="1">
        <f>IFERROR(__xludf.DUMMYFUNCTION("""COMPUTED_VALUE"""),76.56)</f>
        <v>76.56</v>
      </c>
      <c r="E841" s="1">
        <f>IFERROR(__xludf.DUMMYFUNCTION("""COMPUTED_VALUE"""),81.69)</f>
        <v>81.69</v>
      </c>
      <c r="F841" s="1">
        <f>IFERROR(__xludf.DUMMYFUNCTION("""COMPUTED_VALUE"""),6.6848301E7)</f>
        <v>66848301</v>
      </c>
    </row>
    <row r="842">
      <c r="A842" s="2">
        <f>IFERROR(__xludf.DUMMYFUNCTION("""COMPUTED_VALUE"""),42405.66666666667)</f>
        <v>42405.66667</v>
      </c>
      <c r="B842" s="1">
        <f>IFERROR(__xludf.DUMMYFUNCTION("""COMPUTED_VALUE"""),81.21)</f>
        <v>81.21</v>
      </c>
      <c r="C842" s="1">
        <f>IFERROR(__xludf.DUMMYFUNCTION("""COMPUTED_VALUE"""),81.4)</f>
        <v>81.4</v>
      </c>
      <c r="D842" s="1">
        <f>IFERROR(__xludf.DUMMYFUNCTION("""COMPUTED_VALUE"""),79.81)</f>
        <v>79.81</v>
      </c>
      <c r="E842" s="1">
        <f>IFERROR(__xludf.DUMMYFUNCTION("""COMPUTED_VALUE"""),81.2)</f>
        <v>81.2</v>
      </c>
      <c r="F842" s="1">
        <f>IFERROR(__xludf.DUMMYFUNCTION("""COMPUTED_VALUE"""),4.7175483E7)</f>
        <v>47175483</v>
      </c>
    </row>
    <row r="843">
      <c r="A843" s="2">
        <f>IFERROR(__xludf.DUMMYFUNCTION("""COMPUTED_VALUE"""),42412.66666666667)</f>
        <v>42412.66667</v>
      </c>
      <c r="B843" s="1">
        <f>IFERROR(__xludf.DUMMYFUNCTION("""COMPUTED_VALUE"""),80.29)</f>
        <v>80.29</v>
      </c>
      <c r="C843" s="1">
        <f>IFERROR(__xludf.DUMMYFUNCTION("""COMPUTED_VALUE"""),83.0)</f>
        <v>83</v>
      </c>
      <c r="D843" s="1">
        <f>IFERROR(__xludf.DUMMYFUNCTION("""COMPUTED_VALUE"""),79.63)</f>
        <v>79.63</v>
      </c>
      <c r="E843" s="1">
        <f>IFERROR(__xludf.DUMMYFUNCTION("""COMPUTED_VALUE"""),80.99)</f>
        <v>80.99</v>
      </c>
      <c r="F843" s="1">
        <f>IFERROR(__xludf.DUMMYFUNCTION("""COMPUTED_VALUE"""),6.3072162E7)</f>
        <v>63072162</v>
      </c>
    </row>
    <row r="844">
      <c r="A844" s="2">
        <f>IFERROR(__xludf.DUMMYFUNCTION("""COMPUTED_VALUE"""),42419.66666666667)</f>
        <v>42419.66667</v>
      </c>
      <c r="B844" s="1">
        <f>IFERROR(__xludf.DUMMYFUNCTION("""COMPUTED_VALUE"""),81.99)</f>
        <v>81.99</v>
      </c>
      <c r="C844" s="1">
        <f>IFERROR(__xludf.DUMMYFUNCTION("""COMPUTED_VALUE"""),82.83)</f>
        <v>82.83</v>
      </c>
      <c r="D844" s="1">
        <f>IFERROR(__xludf.DUMMYFUNCTION("""COMPUTED_VALUE"""),80.84)</f>
        <v>80.84</v>
      </c>
      <c r="E844" s="1">
        <f>IFERROR(__xludf.DUMMYFUNCTION("""COMPUTED_VALUE"""),81.79)</f>
        <v>81.79</v>
      </c>
      <c r="F844" s="1">
        <f>IFERROR(__xludf.DUMMYFUNCTION("""COMPUTED_VALUE"""),3.5657275E7)</f>
        <v>35657275</v>
      </c>
    </row>
    <row r="845">
      <c r="A845" s="2">
        <f>IFERROR(__xludf.DUMMYFUNCTION("""COMPUTED_VALUE"""),42426.66666666667)</f>
        <v>42426.66667</v>
      </c>
      <c r="B845" s="1">
        <f>IFERROR(__xludf.DUMMYFUNCTION("""COMPUTED_VALUE"""),82.07)</f>
        <v>82.07</v>
      </c>
      <c r="C845" s="1">
        <f>IFERROR(__xludf.DUMMYFUNCTION("""COMPUTED_VALUE"""),82.67)</f>
        <v>82.67</v>
      </c>
      <c r="D845" s="1">
        <f>IFERROR(__xludf.DUMMYFUNCTION("""COMPUTED_VALUE"""),80.66)</f>
        <v>80.66</v>
      </c>
      <c r="E845" s="1">
        <f>IFERROR(__xludf.DUMMYFUNCTION("""COMPUTED_VALUE"""),81.1)</f>
        <v>81.1</v>
      </c>
      <c r="F845" s="1">
        <f>IFERROR(__xludf.DUMMYFUNCTION("""COMPUTED_VALUE"""),3.5587093E7)</f>
        <v>35587093</v>
      </c>
    </row>
    <row r="846">
      <c r="A846" s="2">
        <f>IFERROR(__xludf.DUMMYFUNCTION("""COMPUTED_VALUE"""),42433.66666666667)</f>
        <v>42433.66667</v>
      </c>
      <c r="B846" s="1">
        <f>IFERROR(__xludf.DUMMYFUNCTION("""COMPUTED_VALUE"""),81.1)</f>
        <v>81.1</v>
      </c>
      <c r="C846" s="1">
        <f>IFERROR(__xludf.DUMMYFUNCTION("""COMPUTED_VALUE"""),83.74)</f>
        <v>83.74</v>
      </c>
      <c r="D846" s="1">
        <f>IFERROR(__xludf.DUMMYFUNCTION("""COMPUTED_VALUE"""),80.21)</f>
        <v>80.21</v>
      </c>
      <c r="E846" s="1">
        <f>IFERROR(__xludf.DUMMYFUNCTION("""COMPUTED_VALUE"""),83.49)</f>
        <v>83.49</v>
      </c>
      <c r="F846" s="1">
        <f>IFERROR(__xludf.DUMMYFUNCTION("""COMPUTED_VALUE"""),5.0785369E7)</f>
        <v>50785369</v>
      </c>
    </row>
    <row r="847">
      <c r="A847" s="2">
        <f>IFERROR(__xludf.DUMMYFUNCTION("""COMPUTED_VALUE"""),42440.66666666667)</f>
        <v>42440.66667</v>
      </c>
      <c r="B847" s="1">
        <f>IFERROR(__xludf.DUMMYFUNCTION("""COMPUTED_VALUE"""),83.18)</f>
        <v>83.18</v>
      </c>
      <c r="C847" s="1">
        <f>IFERROR(__xludf.DUMMYFUNCTION("""COMPUTED_VALUE"""),83.75)</f>
        <v>83.75</v>
      </c>
      <c r="D847" s="1">
        <f>IFERROR(__xludf.DUMMYFUNCTION("""COMPUTED_VALUE"""),81.44)</f>
        <v>81.44</v>
      </c>
      <c r="E847" s="1">
        <f>IFERROR(__xludf.DUMMYFUNCTION("""COMPUTED_VALUE"""),81.75)</f>
        <v>81.75</v>
      </c>
      <c r="F847" s="1">
        <f>IFERROR(__xludf.DUMMYFUNCTION("""COMPUTED_VALUE"""),4.5030416E7)</f>
        <v>45030416</v>
      </c>
    </row>
    <row r="848">
      <c r="A848" s="2">
        <f>IFERROR(__xludf.DUMMYFUNCTION("""COMPUTED_VALUE"""),42447.66666666667)</f>
        <v>42447.66667</v>
      </c>
      <c r="B848" s="1">
        <f>IFERROR(__xludf.DUMMYFUNCTION("""COMPUTED_VALUE"""),81.57)</f>
        <v>81.57</v>
      </c>
      <c r="C848" s="1">
        <f>IFERROR(__xludf.DUMMYFUNCTION("""COMPUTED_VALUE"""),83.5)</f>
        <v>83.5</v>
      </c>
      <c r="D848" s="1">
        <f>IFERROR(__xludf.DUMMYFUNCTION("""COMPUTED_VALUE"""),80.48)</f>
        <v>80.48</v>
      </c>
      <c r="E848" s="1">
        <f>IFERROR(__xludf.DUMMYFUNCTION("""COMPUTED_VALUE"""),83.15)</f>
        <v>83.15</v>
      </c>
      <c r="F848" s="1">
        <f>IFERROR(__xludf.DUMMYFUNCTION("""COMPUTED_VALUE"""),7.0108165E7)</f>
        <v>70108165</v>
      </c>
    </row>
    <row r="849">
      <c r="A849" s="2">
        <f>IFERROR(__xludf.DUMMYFUNCTION("""COMPUTED_VALUE"""),42453.66666666667)</f>
        <v>42453.66667</v>
      </c>
      <c r="B849" s="1">
        <f>IFERROR(__xludf.DUMMYFUNCTION("""COMPUTED_VALUE"""),83.12)</f>
        <v>83.12</v>
      </c>
      <c r="C849" s="1">
        <f>IFERROR(__xludf.DUMMYFUNCTION("""COMPUTED_VALUE"""),83.87)</f>
        <v>83.87</v>
      </c>
      <c r="D849" s="1">
        <f>IFERROR(__xludf.DUMMYFUNCTION("""COMPUTED_VALUE"""),82.43)</f>
        <v>82.43</v>
      </c>
      <c r="E849" s="1">
        <f>IFERROR(__xludf.DUMMYFUNCTION("""COMPUTED_VALUE"""),82.89)</f>
        <v>82.89</v>
      </c>
      <c r="F849" s="1">
        <f>IFERROR(__xludf.DUMMYFUNCTION("""COMPUTED_VALUE"""),2.8071624E7)</f>
        <v>28071624</v>
      </c>
    </row>
    <row r="850">
      <c r="A850" s="2">
        <f>IFERROR(__xludf.DUMMYFUNCTION("""COMPUTED_VALUE"""),42461.66666666667)</f>
        <v>42461.66667</v>
      </c>
      <c r="B850" s="1">
        <f>IFERROR(__xludf.DUMMYFUNCTION("""COMPUTED_VALUE"""),82.99)</f>
        <v>82.99</v>
      </c>
      <c r="C850" s="1">
        <f>IFERROR(__xludf.DUMMYFUNCTION("""COMPUTED_VALUE"""),83.62)</f>
        <v>83.62</v>
      </c>
      <c r="D850" s="1">
        <f>IFERROR(__xludf.DUMMYFUNCTION("""COMPUTED_VALUE"""),81.93)</f>
        <v>81.93</v>
      </c>
      <c r="E850" s="1">
        <f>IFERROR(__xludf.DUMMYFUNCTION("""COMPUTED_VALUE"""),83.53)</f>
        <v>83.53</v>
      </c>
      <c r="F850" s="1">
        <f>IFERROR(__xludf.DUMMYFUNCTION("""COMPUTED_VALUE"""),3.349275E7)</f>
        <v>33492750</v>
      </c>
    </row>
    <row r="851">
      <c r="A851" s="2">
        <f>IFERROR(__xludf.DUMMYFUNCTION("""COMPUTED_VALUE"""),42468.66666666667)</f>
        <v>42468.66667</v>
      </c>
      <c r="B851" s="1">
        <f>IFERROR(__xludf.DUMMYFUNCTION("""COMPUTED_VALUE"""),83.65)</f>
        <v>83.65</v>
      </c>
      <c r="C851" s="1">
        <f>IFERROR(__xludf.DUMMYFUNCTION("""COMPUTED_VALUE"""),83.84)</f>
        <v>83.84</v>
      </c>
      <c r="D851" s="1">
        <f>IFERROR(__xludf.DUMMYFUNCTION("""COMPUTED_VALUE"""),82.77)</f>
        <v>82.77</v>
      </c>
      <c r="E851" s="1">
        <f>IFERROR(__xludf.DUMMYFUNCTION("""COMPUTED_VALUE"""),83.2)</f>
        <v>83.2</v>
      </c>
      <c r="F851" s="1">
        <f>IFERROR(__xludf.DUMMYFUNCTION("""COMPUTED_VALUE"""),2.9253027E7)</f>
        <v>29253027</v>
      </c>
    </row>
    <row r="852">
      <c r="A852" s="2">
        <f>IFERROR(__xludf.DUMMYFUNCTION("""COMPUTED_VALUE"""),42475.66666666667)</f>
        <v>42475.66667</v>
      </c>
      <c r="B852" s="1">
        <f>IFERROR(__xludf.DUMMYFUNCTION("""COMPUTED_VALUE"""),83.03)</f>
        <v>83.03</v>
      </c>
      <c r="C852" s="1">
        <f>IFERROR(__xludf.DUMMYFUNCTION("""COMPUTED_VALUE"""),83.43)</f>
        <v>83.43</v>
      </c>
      <c r="D852" s="1">
        <f>IFERROR(__xludf.DUMMYFUNCTION("""COMPUTED_VALUE"""),81.54)</f>
        <v>81.54</v>
      </c>
      <c r="E852" s="1">
        <f>IFERROR(__xludf.DUMMYFUNCTION("""COMPUTED_VALUE"""),82.3)</f>
        <v>82.3</v>
      </c>
      <c r="F852" s="1">
        <f>IFERROR(__xludf.DUMMYFUNCTION("""COMPUTED_VALUE"""),4.0104323E7)</f>
        <v>40104323</v>
      </c>
    </row>
    <row r="853">
      <c r="A853" s="2">
        <f>IFERROR(__xludf.DUMMYFUNCTION("""COMPUTED_VALUE"""),42482.66666666667)</f>
        <v>42482.66667</v>
      </c>
      <c r="B853" s="1">
        <f>IFERROR(__xludf.DUMMYFUNCTION("""COMPUTED_VALUE"""),82.29)</f>
        <v>82.29</v>
      </c>
      <c r="C853" s="1">
        <f>IFERROR(__xludf.DUMMYFUNCTION("""COMPUTED_VALUE"""),83.7)</f>
        <v>83.7</v>
      </c>
      <c r="D853" s="1">
        <f>IFERROR(__xludf.DUMMYFUNCTION("""COMPUTED_VALUE"""),79.91)</f>
        <v>79.91</v>
      </c>
      <c r="E853" s="1">
        <f>IFERROR(__xludf.DUMMYFUNCTION("""COMPUTED_VALUE"""),80.95)</f>
        <v>80.95</v>
      </c>
      <c r="F853" s="1">
        <f>IFERROR(__xludf.DUMMYFUNCTION("""COMPUTED_VALUE"""),3.8187789E7)</f>
        <v>38187789</v>
      </c>
    </row>
    <row r="854">
      <c r="A854" s="2">
        <f>IFERROR(__xludf.DUMMYFUNCTION("""COMPUTED_VALUE"""),42489.66666666667)</f>
        <v>42489.66667</v>
      </c>
      <c r="B854" s="1">
        <f>IFERROR(__xludf.DUMMYFUNCTION("""COMPUTED_VALUE"""),80.92)</f>
        <v>80.92</v>
      </c>
      <c r="C854" s="1">
        <f>IFERROR(__xludf.DUMMYFUNCTION("""COMPUTED_VALUE"""),81.5)</f>
        <v>81.5</v>
      </c>
      <c r="D854" s="1">
        <f>IFERROR(__xludf.DUMMYFUNCTION("""COMPUTED_VALUE"""),79.1)</f>
        <v>79.1</v>
      </c>
      <c r="E854" s="1">
        <f>IFERROR(__xludf.DUMMYFUNCTION("""COMPUTED_VALUE"""),80.12)</f>
        <v>80.12</v>
      </c>
      <c r="F854" s="1">
        <f>IFERROR(__xludf.DUMMYFUNCTION("""COMPUTED_VALUE"""),4.6110604E7)</f>
        <v>46110604</v>
      </c>
    </row>
    <row r="855">
      <c r="A855" s="2">
        <f>IFERROR(__xludf.DUMMYFUNCTION("""COMPUTED_VALUE"""),42496.66666666667)</f>
        <v>42496.66667</v>
      </c>
      <c r="B855" s="1">
        <f>IFERROR(__xludf.DUMMYFUNCTION("""COMPUTED_VALUE"""),80.02)</f>
        <v>80.02</v>
      </c>
      <c r="C855" s="1">
        <f>IFERROR(__xludf.DUMMYFUNCTION("""COMPUTED_VALUE"""),82.25)</f>
        <v>82.25</v>
      </c>
      <c r="D855" s="1">
        <f>IFERROR(__xludf.DUMMYFUNCTION("""COMPUTED_VALUE"""),80.02)</f>
        <v>80.02</v>
      </c>
      <c r="E855" s="1">
        <f>IFERROR(__xludf.DUMMYFUNCTION("""COMPUTED_VALUE"""),82.13)</f>
        <v>82.13</v>
      </c>
      <c r="F855" s="1">
        <f>IFERROR(__xludf.DUMMYFUNCTION("""COMPUTED_VALUE"""),3.5543175E7)</f>
        <v>35543175</v>
      </c>
    </row>
    <row r="856">
      <c r="A856" s="2">
        <f>IFERROR(__xludf.DUMMYFUNCTION("""COMPUTED_VALUE"""),42503.66666666667)</f>
        <v>42503.66667</v>
      </c>
      <c r="B856" s="1">
        <f>IFERROR(__xludf.DUMMYFUNCTION("""COMPUTED_VALUE"""),82.21)</f>
        <v>82.21</v>
      </c>
      <c r="C856" s="1">
        <f>IFERROR(__xludf.DUMMYFUNCTION("""COMPUTED_VALUE"""),82.89)</f>
        <v>82.89</v>
      </c>
      <c r="D856" s="1">
        <f>IFERROR(__xludf.DUMMYFUNCTION("""COMPUTED_VALUE"""),81.0)</f>
        <v>81</v>
      </c>
      <c r="E856" s="1">
        <f>IFERROR(__xludf.DUMMYFUNCTION("""COMPUTED_VALUE"""),81.23)</f>
        <v>81.23</v>
      </c>
      <c r="F856" s="1">
        <f>IFERROR(__xludf.DUMMYFUNCTION("""COMPUTED_VALUE"""),3.0419225E7)</f>
        <v>30419225</v>
      </c>
    </row>
    <row r="857">
      <c r="A857" s="2">
        <f>IFERROR(__xludf.DUMMYFUNCTION("""COMPUTED_VALUE"""),42510.66666666667)</f>
        <v>42510.66667</v>
      </c>
      <c r="B857" s="1">
        <f>IFERROR(__xludf.DUMMYFUNCTION("""COMPUTED_VALUE"""),81.01)</f>
        <v>81.01</v>
      </c>
      <c r="C857" s="1">
        <f>IFERROR(__xludf.DUMMYFUNCTION("""COMPUTED_VALUE"""),82.06)</f>
        <v>82.06</v>
      </c>
      <c r="D857" s="1">
        <f>IFERROR(__xludf.DUMMYFUNCTION("""COMPUTED_VALUE"""),79.41)</f>
        <v>79.41</v>
      </c>
      <c r="E857" s="1">
        <f>IFERROR(__xludf.DUMMYFUNCTION("""COMPUTED_VALUE"""),80.02)</f>
        <v>80.02</v>
      </c>
      <c r="F857" s="1">
        <f>IFERROR(__xludf.DUMMYFUNCTION("""COMPUTED_VALUE"""),3.7798815E7)</f>
        <v>37798815</v>
      </c>
    </row>
    <row r="858">
      <c r="A858" s="2">
        <f>IFERROR(__xludf.DUMMYFUNCTION("""COMPUTED_VALUE"""),42517.66666666667)</f>
        <v>42517.66667</v>
      </c>
      <c r="B858" s="1">
        <f>IFERROR(__xludf.DUMMYFUNCTION("""COMPUTED_VALUE"""),80.05)</f>
        <v>80.05</v>
      </c>
      <c r="C858" s="1">
        <f>IFERROR(__xludf.DUMMYFUNCTION("""COMPUTED_VALUE"""),81.78)</f>
        <v>81.78</v>
      </c>
      <c r="D858" s="1">
        <f>IFERROR(__xludf.DUMMYFUNCTION("""COMPUTED_VALUE"""),79.85)</f>
        <v>79.85</v>
      </c>
      <c r="E858" s="1">
        <f>IFERROR(__xludf.DUMMYFUNCTION("""COMPUTED_VALUE"""),81.43)</f>
        <v>81.43</v>
      </c>
      <c r="F858" s="1">
        <f>IFERROR(__xludf.DUMMYFUNCTION("""COMPUTED_VALUE"""),2.6908653E7)</f>
        <v>26908653</v>
      </c>
    </row>
    <row r="859">
      <c r="A859" s="2">
        <f>IFERROR(__xludf.DUMMYFUNCTION("""COMPUTED_VALUE"""),42524.66666666667)</f>
        <v>42524.66667</v>
      </c>
      <c r="B859" s="1">
        <f>IFERROR(__xludf.DUMMYFUNCTION("""COMPUTED_VALUE"""),81.58)</f>
        <v>81.58</v>
      </c>
      <c r="C859" s="1">
        <f>IFERROR(__xludf.DUMMYFUNCTION("""COMPUTED_VALUE"""),82.49)</f>
        <v>82.49</v>
      </c>
      <c r="D859" s="1">
        <f>IFERROR(__xludf.DUMMYFUNCTION("""COMPUTED_VALUE"""),80.74)</f>
        <v>80.74</v>
      </c>
      <c r="E859" s="1">
        <f>IFERROR(__xludf.DUMMYFUNCTION("""COMPUTED_VALUE"""),82.47)</f>
        <v>82.47</v>
      </c>
      <c r="F859" s="1">
        <f>IFERROR(__xludf.DUMMYFUNCTION("""COMPUTED_VALUE"""),2.4381311E7)</f>
        <v>24381311</v>
      </c>
    </row>
    <row r="860">
      <c r="A860" s="2">
        <f>IFERROR(__xludf.DUMMYFUNCTION("""COMPUTED_VALUE"""),42531.66666666667)</f>
        <v>42531.66667</v>
      </c>
      <c r="B860" s="1">
        <f>IFERROR(__xludf.DUMMYFUNCTION("""COMPUTED_VALUE"""),82.4)</f>
        <v>82.4</v>
      </c>
      <c r="C860" s="1">
        <f>IFERROR(__xludf.DUMMYFUNCTION("""COMPUTED_VALUE"""),83.34)</f>
        <v>83.34</v>
      </c>
      <c r="D860" s="1">
        <f>IFERROR(__xludf.DUMMYFUNCTION("""COMPUTED_VALUE"""),82.02)</f>
        <v>82.02</v>
      </c>
      <c r="E860" s="1">
        <f>IFERROR(__xludf.DUMMYFUNCTION("""COMPUTED_VALUE"""),83.2)</f>
        <v>83.2</v>
      </c>
      <c r="F860" s="1">
        <f>IFERROR(__xludf.DUMMYFUNCTION("""COMPUTED_VALUE"""),2.9318053E7)</f>
        <v>29318053</v>
      </c>
    </row>
    <row r="861">
      <c r="A861" s="2">
        <f>IFERROR(__xludf.DUMMYFUNCTION("""COMPUTED_VALUE"""),42538.66666666667)</f>
        <v>42538.66667</v>
      </c>
      <c r="B861" s="1">
        <f>IFERROR(__xludf.DUMMYFUNCTION("""COMPUTED_VALUE"""),82.96)</f>
        <v>82.96</v>
      </c>
      <c r="C861" s="1">
        <f>IFERROR(__xludf.DUMMYFUNCTION("""COMPUTED_VALUE"""),83.61)</f>
        <v>83.61</v>
      </c>
      <c r="D861" s="1">
        <f>IFERROR(__xludf.DUMMYFUNCTION("""COMPUTED_VALUE"""),82.27)</f>
        <v>82.27</v>
      </c>
      <c r="E861" s="1">
        <f>IFERROR(__xludf.DUMMYFUNCTION("""COMPUTED_VALUE"""),83.13)</f>
        <v>83.13</v>
      </c>
      <c r="F861" s="1">
        <f>IFERROR(__xludf.DUMMYFUNCTION("""COMPUTED_VALUE"""),3.8489846E7)</f>
        <v>38489846</v>
      </c>
    </row>
    <row r="862">
      <c r="A862" s="2">
        <f>IFERROR(__xludf.DUMMYFUNCTION("""COMPUTED_VALUE"""),42545.66666666667)</f>
        <v>42545.66667</v>
      </c>
      <c r="B862" s="1">
        <f>IFERROR(__xludf.DUMMYFUNCTION("""COMPUTED_VALUE"""),83.52)</f>
        <v>83.52</v>
      </c>
      <c r="C862" s="1">
        <f>IFERROR(__xludf.DUMMYFUNCTION("""COMPUTED_VALUE"""),84.21)</f>
        <v>84.21</v>
      </c>
      <c r="D862" s="1">
        <f>IFERROR(__xludf.DUMMYFUNCTION("""COMPUTED_VALUE"""),81.99)</f>
        <v>81.99</v>
      </c>
      <c r="E862" s="1">
        <f>IFERROR(__xludf.DUMMYFUNCTION("""COMPUTED_VALUE"""),82.26)</f>
        <v>82.26</v>
      </c>
      <c r="F862" s="1">
        <f>IFERROR(__xludf.DUMMYFUNCTION("""COMPUTED_VALUE"""),3.7460462E7)</f>
        <v>37460462</v>
      </c>
    </row>
    <row r="863">
      <c r="A863" s="2">
        <f>IFERROR(__xludf.DUMMYFUNCTION("""COMPUTED_VALUE"""),42552.66666666667)</f>
        <v>42552.66667</v>
      </c>
      <c r="B863" s="1">
        <f>IFERROR(__xludf.DUMMYFUNCTION("""COMPUTED_VALUE"""),81.83)</f>
        <v>81.83</v>
      </c>
      <c r="C863" s="1">
        <f>IFERROR(__xludf.DUMMYFUNCTION("""COMPUTED_VALUE"""),84.99)</f>
        <v>84.99</v>
      </c>
      <c r="D863" s="1">
        <f>IFERROR(__xludf.DUMMYFUNCTION("""COMPUTED_VALUE"""),80.95)</f>
        <v>80.95</v>
      </c>
      <c r="E863" s="1">
        <f>IFERROR(__xludf.DUMMYFUNCTION("""COMPUTED_VALUE"""),84.78)</f>
        <v>84.78</v>
      </c>
      <c r="F863" s="1">
        <f>IFERROR(__xludf.DUMMYFUNCTION("""COMPUTED_VALUE"""),4.7303214E7)</f>
        <v>47303214</v>
      </c>
    </row>
    <row r="864">
      <c r="A864" s="2">
        <f>IFERROR(__xludf.DUMMYFUNCTION("""COMPUTED_VALUE"""),42559.66666666667)</f>
        <v>42559.66667</v>
      </c>
      <c r="B864" s="1">
        <f>IFERROR(__xludf.DUMMYFUNCTION("""COMPUTED_VALUE"""),84.48)</f>
        <v>84.48</v>
      </c>
      <c r="C864" s="1">
        <f>IFERROR(__xludf.DUMMYFUNCTION("""COMPUTED_VALUE"""),85.95)</f>
        <v>85.95</v>
      </c>
      <c r="D864" s="1">
        <f>IFERROR(__xludf.DUMMYFUNCTION("""COMPUTED_VALUE"""),84.45)</f>
        <v>84.45</v>
      </c>
      <c r="E864" s="1">
        <f>IFERROR(__xludf.DUMMYFUNCTION("""COMPUTED_VALUE"""),85.77)</f>
        <v>85.77</v>
      </c>
      <c r="F864" s="1">
        <f>IFERROR(__xludf.DUMMYFUNCTION("""COMPUTED_VALUE"""),3.4484959E7)</f>
        <v>34484959</v>
      </c>
    </row>
    <row r="865">
      <c r="A865" s="2">
        <f>IFERROR(__xludf.DUMMYFUNCTION("""COMPUTED_VALUE"""),42566.66666666667)</f>
        <v>42566.66667</v>
      </c>
      <c r="B865" s="1">
        <f>IFERROR(__xludf.DUMMYFUNCTION("""COMPUTED_VALUE"""),85.61)</f>
        <v>85.61</v>
      </c>
      <c r="C865" s="1">
        <f>IFERROR(__xludf.DUMMYFUNCTION("""COMPUTED_VALUE"""),86.89)</f>
        <v>86.89</v>
      </c>
      <c r="D865" s="1">
        <f>IFERROR(__xludf.DUMMYFUNCTION("""COMPUTED_VALUE"""),84.91)</f>
        <v>84.91</v>
      </c>
      <c r="E865" s="1">
        <f>IFERROR(__xludf.DUMMYFUNCTION("""COMPUTED_VALUE"""),86.01)</f>
        <v>86.01</v>
      </c>
      <c r="F865" s="1">
        <f>IFERROR(__xludf.DUMMYFUNCTION("""COMPUTED_VALUE"""),4.0212044E7)</f>
        <v>40212044</v>
      </c>
    </row>
    <row r="866">
      <c r="A866" s="2">
        <f>IFERROR(__xludf.DUMMYFUNCTION("""COMPUTED_VALUE"""),42573.66666666667)</f>
        <v>42573.66667</v>
      </c>
      <c r="B866" s="1">
        <f>IFERROR(__xludf.DUMMYFUNCTION("""COMPUTED_VALUE"""),86.02)</f>
        <v>86.02</v>
      </c>
      <c r="C866" s="1">
        <f>IFERROR(__xludf.DUMMYFUNCTION("""COMPUTED_VALUE"""),86.18)</f>
        <v>86.18</v>
      </c>
      <c r="D866" s="1">
        <f>IFERROR(__xludf.DUMMYFUNCTION("""COMPUTED_VALUE"""),84.88)</f>
        <v>84.88</v>
      </c>
      <c r="E866" s="1">
        <f>IFERROR(__xludf.DUMMYFUNCTION("""COMPUTED_VALUE"""),85.72)</f>
        <v>85.72</v>
      </c>
      <c r="F866" s="1">
        <f>IFERROR(__xludf.DUMMYFUNCTION("""COMPUTED_VALUE"""),2.8785829E7)</f>
        <v>28785829</v>
      </c>
    </row>
    <row r="867">
      <c r="A867" s="2">
        <f>IFERROR(__xludf.DUMMYFUNCTION("""COMPUTED_VALUE"""),42580.66666666667)</f>
        <v>42580.66667</v>
      </c>
      <c r="B867" s="1">
        <f>IFERROR(__xludf.DUMMYFUNCTION("""COMPUTED_VALUE"""),85.53)</f>
        <v>85.53</v>
      </c>
      <c r="C867" s="1">
        <f>IFERROR(__xludf.DUMMYFUNCTION("""COMPUTED_VALUE"""),86.08)</f>
        <v>86.08</v>
      </c>
      <c r="D867" s="1">
        <f>IFERROR(__xludf.DUMMYFUNCTION("""COMPUTED_VALUE"""),84.32)</f>
        <v>84.32</v>
      </c>
      <c r="E867" s="1">
        <f>IFERROR(__xludf.DUMMYFUNCTION("""COMPUTED_VALUE"""),85.59)</f>
        <v>85.59</v>
      </c>
      <c r="F867" s="1">
        <f>IFERROR(__xludf.DUMMYFUNCTION("""COMPUTED_VALUE"""),3.215934E7)</f>
        <v>32159340</v>
      </c>
    </row>
    <row r="868">
      <c r="A868" s="2">
        <f>IFERROR(__xludf.DUMMYFUNCTION("""COMPUTED_VALUE"""),42587.66666666667)</f>
        <v>42587.66667</v>
      </c>
      <c r="B868" s="1">
        <f>IFERROR(__xludf.DUMMYFUNCTION("""COMPUTED_VALUE"""),85.44)</f>
        <v>85.44</v>
      </c>
      <c r="C868" s="1">
        <f>IFERROR(__xludf.DUMMYFUNCTION("""COMPUTED_VALUE"""),87.15)</f>
        <v>87.15</v>
      </c>
      <c r="D868" s="1">
        <f>IFERROR(__xludf.DUMMYFUNCTION("""COMPUTED_VALUE"""),85.42)</f>
        <v>85.42</v>
      </c>
      <c r="E868" s="1">
        <f>IFERROR(__xludf.DUMMYFUNCTION("""COMPUTED_VALUE"""),85.78)</f>
        <v>85.78</v>
      </c>
      <c r="F868" s="1">
        <f>IFERROR(__xludf.DUMMYFUNCTION("""COMPUTED_VALUE"""),4.3989028E7)</f>
        <v>43989028</v>
      </c>
    </row>
    <row r="869">
      <c r="A869" s="2">
        <f>IFERROR(__xludf.DUMMYFUNCTION("""COMPUTED_VALUE"""),42594.66666666667)</f>
        <v>42594.66667</v>
      </c>
      <c r="B869" s="1">
        <f>IFERROR(__xludf.DUMMYFUNCTION("""COMPUTED_VALUE"""),85.61)</f>
        <v>85.61</v>
      </c>
      <c r="C869" s="1">
        <f>IFERROR(__xludf.DUMMYFUNCTION("""COMPUTED_VALUE"""),87.45)</f>
        <v>87.45</v>
      </c>
      <c r="D869" s="1">
        <f>IFERROR(__xludf.DUMMYFUNCTION("""COMPUTED_VALUE"""),85.13)</f>
        <v>85.13</v>
      </c>
      <c r="E869" s="1">
        <f>IFERROR(__xludf.DUMMYFUNCTION("""COMPUTED_VALUE"""),87.04)</f>
        <v>87.04</v>
      </c>
      <c r="F869" s="1">
        <f>IFERROR(__xludf.DUMMYFUNCTION("""COMPUTED_VALUE"""),3.0978878E7)</f>
        <v>30978878</v>
      </c>
    </row>
    <row r="870">
      <c r="A870" s="2">
        <f>IFERROR(__xludf.DUMMYFUNCTION("""COMPUTED_VALUE"""),42601.66666666667)</f>
        <v>42601.66667</v>
      </c>
      <c r="B870" s="1">
        <f>IFERROR(__xludf.DUMMYFUNCTION("""COMPUTED_VALUE"""),87.52)</f>
        <v>87.52</v>
      </c>
      <c r="C870" s="1">
        <f>IFERROR(__xludf.DUMMYFUNCTION("""COMPUTED_VALUE"""),87.57)</f>
        <v>87.57</v>
      </c>
      <c r="D870" s="1">
        <f>IFERROR(__xludf.DUMMYFUNCTION("""COMPUTED_VALUE"""),85.97)</f>
        <v>85.97</v>
      </c>
      <c r="E870" s="1">
        <f>IFERROR(__xludf.DUMMYFUNCTION("""COMPUTED_VALUE"""),87.31)</f>
        <v>87.31</v>
      </c>
      <c r="F870" s="1">
        <f>IFERROR(__xludf.DUMMYFUNCTION("""COMPUTED_VALUE"""),3.4987E7)</f>
        <v>34987000</v>
      </c>
    </row>
    <row r="871">
      <c r="A871" s="2">
        <f>IFERROR(__xludf.DUMMYFUNCTION("""COMPUTED_VALUE"""),42608.66666666667)</f>
        <v>42608.66667</v>
      </c>
      <c r="B871" s="1">
        <f>IFERROR(__xludf.DUMMYFUNCTION("""COMPUTED_VALUE"""),87.14)</f>
        <v>87.14</v>
      </c>
      <c r="C871" s="1">
        <f>IFERROR(__xludf.DUMMYFUNCTION("""COMPUTED_VALUE"""),88.5)</f>
        <v>88.5</v>
      </c>
      <c r="D871" s="1">
        <f>IFERROR(__xludf.DUMMYFUNCTION("""COMPUTED_VALUE"""),86.56)</f>
        <v>86.56</v>
      </c>
      <c r="E871" s="1">
        <f>IFERROR(__xludf.DUMMYFUNCTION("""COMPUTED_VALUE"""),87.58)</f>
        <v>87.58</v>
      </c>
      <c r="F871" s="1">
        <f>IFERROR(__xludf.DUMMYFUNCTION("""COMPUTED_VALUE"""),4.4057473E7)</f>
        <v>44057473</v>
      </c>
    </row>
    <row r="872">
      <c r="A872" s="2">
        <f>IFERROR(__xludf.DUMMYFUNCTION("""COMPUTED_VALUE"""),42615.66666666667)</f>
        <v>42615.66667</v>
      </c>
      <c r="B872" s="1">
        <f>IFERROR(__xludf.DUMMYFUNCTION("""COMPUTED_VALUE"""),87.39)</f>
        <v>87.39</v>
      </c>
      <c r="C872" s="1">
        <f>IFERROR(__xludf.DUMMYFUNCTION("""COMPUTED_VALUE"""),88.87)</f>
        <v>88.87</v>
      </c>
      <c r="D872" s="1">
        <f>IFERROR(__xludf.DUMMYFUNCTION("""COMPUTED_VALUE"""),86.98)</f>
        <v>86.98</v>
      </c>
      <c r="E872" s="1">
        <f>IFERROR(__xludf.DUMMYFUNCTION("""COMPUTED_VALUE"""),88.2)</f>
        <v>88.2</v>
      </c>
      <c r="F872" s="1">
        <f>IFERROR(__xludf.DUMMYFUNCTION("""COMPUTED_VALUE"""),7.9221348E7)</f>
        <v>79221348</v>
      </c>
    </row>
    <row r="873">
      <c r="A873" s="2">
        <f>IFERROR(__xludf.DUMMYFUNCTION("""COMPUTED_VALUE"""),42622.66666666667)</f>
        <v>42622.66667</v>
      </c>
      <c r="B873" s="1">
        <f>IFERROR(__xludf.DUMMYFUNCTION("""COMPUTED_VALUE"""),88.25)</f>
        <v>88.25</v>
      </c>
      <c r="C873" s="1">
        <f>IFERROR(__xludf.DUMMYFUNCTION("""COMPUTED_VALUE"""),88.64)</f>
        <v>88.64</v>
      </c>
      <c r="D873" s="1">
        <f>IFERROR(__xludf.DUMMYFUNCTION("""COMPUTED_VALUE"""),86.24)</f>
        <v>86.24</v>
      </c>
      <c r="E873" s="1">
        <f>IFERROR(__xludf.DUMMYFUNCTION("""COMPUTED_VALUE"""),86.24)</f>
        <v>86.24</v>
      </c>
      <c r="F873" s="1">
        <f>IFERROR(__xludf.DUMMYFUNCTION("""COMPUTED_VALUE"""),7.7447539E7)</f>
        <v>77447539</v>
      </c>
    </row>
    <row r="874">
      <c r="A874" s="2">
        <f>IFERROR(__xludf.DUMMYFUNCTION("""COMPUTED_VALUE"""),42629.66666666667)</f>
        <v>42629.66667</v>
      </c>
      <c r="B874" s="1">
        <f>IFERROR(__xludf.DUMMYFUNCTION("""COMPUTED_VALUE"""),86.04)</f>
        <v>86.04</v>
      </c>
      <c r="C874" s="1">
        <f>IFERROR(__xludf.DUMMYFUNCTION("""COMPUTED_VALUE"""),88.38)</f>
        <v>88.38</v>
      </c>
      <c r="D874" s="1">
        <f>IFERROR(__xludf.DUMMYFUNCTION("""COMPUTED_VALUE"""),85.96)</f>
        <v>85.96</v>
      </c>
      <c r="E874" s="1">
        <f>IFERROR(__xludf.DUMMYFUNCTION("""COMPUTED_VALUE"""),88.05)</f>
        <v>88.05</v>
      </c>
      <c r="F874" s="1">
        <f>IFERROR(__xludf.DUMMYFUNCTION("""COMPUTED_VALUE"""),9.8595475E7)</f>
        <v>98595475</v>
      </c>
    </row>
    <row r="875">
      <c r="A875" s="2">
        <f>IFERROR(__xludf.DUMMYFUNCTION("""COMPUTED_VALUE"""),42636.66666666667)</f>
        <v>42636.66667</v>
      </c>
      <c r="B875" s="1">
        <f>IFERROR(__xludf.DUMMYFUNCTION("""COMPUTED_VALUE"""),87.92)</f>
        <v>87.92</v>
      </c>
      <c r="C875" s="1">
        <f>IFERROR(__xludf.DUMMYFUNCTION("""COMPUTED_VALUE"""),89.3)</f>
        <v>89.3</v>
      </c>
      <c r="D875" s="1">
        <f>IFERROR(__xludf.DUMMYFUNCTION("""COMPUTED_VALUE"""),86.44)</f>
        <v>86.44</v>
      </c>
      <c r="E875" s="1">
        <f>IFERROR(__xludf.DUMMYFUNCTION("""COMPUTED_VALUE"""),87.76)</f>
        <v>87.76</v>
      </c>
      <c r="F875" s="1">
        <f>IFERROR(__xludf.DUMMYFUNCTION("""COMPUTED_VALUE"""),2.09543601E8)</f>
        <v>209543601</v>
      </c>
    </row>
    <row r="876">
      <c r="A876" s="2">
        <f>IFERROR(__xludf.DUMMYFUNCTION("""COMPUTED_VALUE"""),42643.66666666667)</f>
        <v>42643.66667</v>
      </c>
      <c r="B876" s="1">
        <f>IFERROR(__xludf.DUMMYFUNCTION("""COMPUTED_VALUE"""),87.42)</f>
        <v>87.42</v>
      </c>
      <c r="C876" s="1">
        <f>IFERROR(__xludf.DUMMYFUNCTION("""COMPUTED_VALUE"""),90.22)</f>
        <v>90.22</v>
      </c>
      <c r="D876" s="1">
        <f>IFERROR(__xludf.DUMMYFUNCTION("""COMPUTED_VALUE"""),86.61)</f>
        <v>86.61</v>
      </c>
      <c r="E876" s="1">
        <f>IFERROR(__xludf.DUMMYFUNCTION("""COMPUTED_VALUE"""),89.75)</f>
        <v>89.75</v>
      </c>
      <c r="F876" s="1">
        <f>IFERROR(__xludf.DUMMYFUNCTION("""COMPUTED_VALUE"""),4.13556197E8)</f>
        <v>413556197</v>
      </c>
    </row>
    <row r="877">
      <c r="A877" s="2">
        <f>IFERROR(__xludf.DUMMYFUNCTION("""COMPUTED_VALUE"""),42650.66666666667)</f>
        <v>42650.66667</v>
      </c>
      <c r="B877" s="1">
        <f>IFERROR(__xludf.DUMMYFUNCTION("""COMPUTED_VALUE"""),89.35)</f>
        <v>89.35</v>
      </c>
      <c r="C877" s="1">
        <f>IFERROR(__xludf.DUMMYFUNCTION("""COMPUTED_VALUE"""),90.05)</f>
        <v>90.05</v>
      </c>
      <c r="D877" s="1">
        <f>IFERROR(__xludf.DUMMYFUNCTION("""COMPUTED_VALUE"""),87.95)</f>
        <v>87.95</v>
      </c>
      <c r="E877" s="1">
        <f>IFERROR(__xludf.DUMMYFUNCTION("""COMPUTED_VALUE"""),90.0)</f>
        <v>90</v>
      </c>
      <c r="F877" s="1">
        <f>IFERROR(__xludf.DUMMYFUNCTION("""COMPUTED_VALUE"""),1.96668752E8)</f>
        <v>196668752</v>
      </c>
    </row>
    <row r="878">
      <c r="A878" s="2">
        <f>IFERROR(__xludf.DUMMYFUNCTION("""COMPUTED_VALUE"""),42657.66666666667)</f>
        <v>42657.66667</v>
      </c>
      <c r="B878" s="1">
        <f>IFERROR(__xludf.DUMMYFUNCTION("""COMPUTED_VALUE"""),90.19)</f>
        <v>90.19</v>
      </c>
      <c r="C878" s="1">
        <f>IFERROR(__xludf.DUMMYFUNCTION("""COMPUTED_VALUE"""),90.33)</f>
        <v>90.33</v>
      </c>
      <c r="D878" s="1">
        <f>IFERROR(__xludf.DUMMYFUNCTION("""COMPUTED_VALUE"""),87.6)</f>
        <v>87.6</v>
      </c>
      <c r="E878" s="1">
        <f>IFERROR(__xludf.DUMMYFUNCTION("""COMPUTED_VALUE"""),88.43)</f>
        <v>88.43</v>
      </c>
      <c r="F878" s="1">
        <f>IFERROR(__xludf.DUMMYFUNCTION("""COMPUTED_VALUE"""),6.2860537E7)</f>
        <v>62860537</v>
      </c>
    </row>
    <row r="879">
      <c r="A879" s="2">
        <f>IFERROR(__xludf.DUMMYFUNCTION("""COMPUTED_VALUE"""),42664.66666666667)</f>
        <v>42664.66667</v>
      </c>
      <c r="B879" s="1">
        <f>IFERROR(__xludf.DUMMYFUNCTION("""COMPUTED_VALUE"""),88.43)</f>
        <v>88.43</v>
      </c>
      <c r="C879" s="1">
        <f>IFERROR(__xludf.DUMMYFUNCTION("""COMPUTED_VALUE"""),88.65)</f>
        <v>88.65</v>
      </c>
      <c r="D879" s="1">
        <f>IFERROR(__xludf.DUMMYFUNCTION("""COMPUTED_VALUE"""),84.24)</f>
        <v>84.24</v>
      </c>
      <c r="E879" s="1">
        <f>IFERROR(__xludf.DUMMYFUNCTION("""COMPUTED_VALUE"""),84.33)</f>
        <v>84.33</v>
      </c>
      <c r="F879" s="1">
        <f>IFERROR(__xludf.DUMMYFUNCTION("""COMPUTED_VALUE"""),5.5297836E7)</f>
        <v>55297836</v>
      </c>
    </row>
    <row r="880">
      <c r="A880" s="2">
        <f>IFERROR(__xludf.DUMMYFUNCTION("""COMPUTED_VALUE"""),42671.66666666667)</f>
        <v>42671.66667</v>
      </c>
      <c r="B880" s="1">
        <f>IFERROR(__xludf.DUMMYFUNCTION("""COMPUTED_VALUE"""),84.39)</f>
        <v>84.39</v>
      </c>
      <c r="C880" s="1">
        <f>IFERROR(__xludf.DUMMYFUNCTION("""COMPUTED_VALUE"""),88.08)</f>
        <v>88.08</v>
      </c>
      <c r="D880" s="1">
        <f>IFERROR(__xludf.DUMMYFUNCTION("""COMPUTED_VALUE"""),84.06)</f>
        <v>84.06</v>
      </c>
      <c r="E880" s="1">
        <f>IFERROR(__xludf.DUMMYFUNCTION("""COMPUTED_VALUE"""),86.84)</f>
        <v>86.84</v>
      </c>
      <c r="F880" s="1">
        <f>IFERROR(__xludf.DUMMYFUNCTION("""COMPUTED_VALUE"""),5.3415916E7)</f>
        <v>53415916</v>
      </c>
    </row>
    <row r="881">
      <c r="A881" s="2">
        <f>IFERROR(__xludf.DUMMYFUNCTION("""COMPUTED_VALUE"""),42678.66666666667)</f>
        <v>42678.66667</v>
      </c>
      <c r="B881" s="1">
        <f>IFERROR(__xludf.DUMMYFUNCTION("""COMPUTED_VALUE"""),87.01)</f>
        <v>87.01</v>
      </c>
      <c r="C881" s="1">
        <f>IFERROR(__xludf.DUMMYFUNCTION("""COMPUTED_VALUE"""),87.47)</f>
        <v>87.47</v>
      </c>
      <c r="D881" s="1">
        <f>IFERROR(__xludf.DUMMYFUNCTION("""COMPUTED_VALUE"""),85.07)</f>
        <v>85.07</v>
      </c>
      <c r="E881" s="1">
        <f>IFERROR(__xludf.DUMMYFUNCTION("""COMPUTED_VALUE"""),85.08)</f>
        <v>85.08</v>
      </c>
      <c r="F881" s="1">
        <f>IFERROR(__xludf.DUMMYFUNCTION("""COMPUTED_VALUE"""),4.0822894E7)</f>
        <v>40822894</v>
      </c>
    </row>
    <row r="882">
      <c r="A882" s="2">
        <f>IFERROR(__xludf.DUMMYFUNCTION("""COMPUTED_VALUE"""),42685.66666666667)</f>
        <v>42685.66667</v>
      </c>
      <c r="B882" s="1">
        <f>IFERROR(__xludf.DUMMYFUNCTION("""COMPUTED_VALUE"""),86.02)</f>
        <v>86.02</v>
      </c>
      <c r="C882" s="1">
        <f>IFERROR(__xludf.DUMMYFUNCTION("""COMPUTED_VALUE"""),87.69)</f>
        <v>87.69</v>
      </c>
      <c r="D882" s="1">
        <f>IFERROR(__xludf.DUMMYFUNCTION("""COMPUTED_VALUE"""),82.18)</f>
        <v>82.18</v>
      </c>
      <c r="E882" s="1">
        <f>IFERROR(__xludf.DUMMYFUNCTION("""COMPUTED_VALUE"""),83.58)</f>
        <v>83.58</v>
      </c>
      <c r="F882" s="1">
        <f>IFERROR(__xludf.DUMMYFUNCTION("""COMPUTED_VALUE"""),5.952564E7)</f>
        <v>59525640</v>
      </c>
    </row>
    <row r="883">
      <c r="A883" s="2">
        <f>IFERROR(__xludf.DUMMYFUNCTION("""COMPUTED_VALUE"""),42692.66666666667)</f>
        <v>42692.66667</v>
      </c>
      <c r="B883" s="1">
        <f>IFERROR(__xludf.DUMMYFUNCTION("""COMPUTED_VALUE"""),83.56)</f>
        <v>83.56</v>
      </c>
      <c r="C883" s="1">
        <f>IFERROR(__xludf.DUMMYFUNCTION("""COMPUTED_VALUE"""),84.58)</f>
        <v>84.58</v>
      </c>
      <c r="D883" s="1">
        <f>IFERROR(__xludf.DUMMYFUNCTION("""COMPUTED_VALUE"""),81.99)</f>
        <v>81.99</v>
      </c>
      <c r="E883" s="1">
        <f>IFERROR(__xludf.DUMMYFUNCTION("""COMPUTED_VALUE"""),82.0)</f>
        <v>82</v>
      </c>
      <c r="F883" s="1">
        <f>IFERROR(__xludf.DUMMYFUNCTION("""COMPUTED_VALUE"""),5.4518492E7)</f>
        <v>54518492</v>
      </c>
    </row>
    <row r="884">
      <c r="A884" s="2">
        <f>IFERROR(__xludf.DUMMYFUNCTION("""COMPUTED_VALUE"""),42699.66666666667)</f>
        <v>42699.66667</v>
      </c>
      <c r="B884" s="1">
        <f>IFERROR(__xludf.DUMMYFUNCTION("""COMPUTED_VALUE"""),82.1)</f>
        <v>82.1</v>
      </c>
      <c r="C884" s="1">
        <f>IFERROR(__xludf.DUMMYFUNCTION("""COMPUTED_VALUE"""),83.46)</f>
        <v>83.46</v>
      </c>
      <c r="D884" s="1">
        <f>IFERROR(__xludf.DUMMYFUNCTION("""COMPUTED_VALUE"""),81.71)</f>
        <v>81.71</v>
      </c>
      <c r="E884" s="1">
        <f>IFERROR(__xludf.DUMMYFUNCTION("""COMPUTED_VALUE"""),83.46)</f>
        <v>83.46</v>
      </c>
      <c r="F884" s="1">
        <f>IFERROR(__xludf.DUMMYFUNCTION("""COMPUTED_VALUE"""),3.3555283E7)</f>
        <v>33555283</v>
      </c>
    </row>
    <row r="885">
      <c r="A885" s="2">
        <f>IFERROR(__xludf.DUMMYFUNCTION("""COMPUTED_VALUE"""),42706.66666666667)</f>
        <v>42706.66667</v>
      </c>
      <c r="B885" s="1">
        <f>IFERROR(__xludf.DUMMYFUNCTION("""COMPUTED_VALUE"""),83.13)</f>
        <v>83.13</v>
      </c>
      <c r="C885" s="1">
        <f>IFERROR(__xludf.DUMMYFUNCTION("""COMPUTED_VALUE"""),83.48)</f>
        <v>83.48</v>
      </c>
      <c r="D885" s="1">
        <f>IFERROR(__xludf.DUMMYFUNCTION("""COMPUTED_VALUE"""),81.18)</f>
        <v>81.18</v>
      </c>
      <c r="E885" s="1">
        <f>IFERROR(__xludf.DUMMYFUNCTION("""COMPUTED_VALUE"""),82.4)</f>
        <v>82.4</v>
      </c>
      <c r="F885" s="1">
        <f>IFERROR(__xludf.DUMMYFUNCTION("""COMPUTED_VALUE"""),4.6884783E7)</f>
        <v>46884783</v>
      </c>
    </row>
    <row r="886">
      <c r="A886" s="2">
        <f>IFERROR(__xludf.DUMMYFUNCTION("""COMPUTED_VALUE"""),42713.66666666667)</f>
        <v>42713.66667</v>
      </c>
      <c r="B886" s="1">
        <f>IFERROR(__xludf.DUMMYFUNCTION("""COMPUTED_VALUE"""),82.56)</f>
        <v>82.56</v>
      </c>
      <c r="C886" s="1">
        <f>IFERROR(__xludf.DUMMYFUNCTION("""COMPUTED_VALUE"""),84.4)</f>
        <v>84.4</v>
      </c>
      <c r="D886" s="1">
        <f>IFERROR(__xludf.DUMMYFUNCTION("""COMPUTED_VALUE"""),82.48)</f>
        <v>82.48</v>
      </c>
      <c r="E886" s="1">
        <f>IFERROR(__xludf.DUMMYFUNCTION("""COMPUTED_VALUE"""),84.37)</f>
        <v>84.37</v>
      </c>
      <c r="F886" s="1">
        <f>IFERROR(__xludf.DUMMYFUNCTION("""COMPUTED_VALUE"""),4.0019378E7)</f>
        <v>40019378</v>
      </c>
    </row>
    <row r="887">
      <c r="A887" s="2">
        <f>IFERROR(__xludf.DUMMYFUNCTION("""COMPUTED_VALUE"""),42720.66666666667)</f>
        <v>42720.66667</v>
      </c>
      <c r="B887" s="1">
        <f>IFERROR(__xludf.DUMMYFUNCTION("""COMPUTED_VALUE"""),84.21)</f>
        <v>84.21</v>
      </c>
      <c r="C887" s="1">
        <f>IFERROR(__xludf.DUMMYFUNCTION("""COMPUTED_VALUE"""),85.74)</f>
        <v>85.74</v>
      </c>
      <c r="D887" s="1">
        <f>IFERROR(__xludf.DUMMYFUNCTION("""COMPUTED_VALUE"""),83.61)</f>
        <v>83.61</v>
      </c>
      <c r="E887" s="1">
        <f>IFERROR(__xludf.DUMMYFUNCTION("""COMPUTED_VALUE"""),84.68)</f>
        <v>84.68</v>
      </c>
      <c r="F887" s="1">
        <f>IFERROR(__xludf.DUMMYFUNCTION("""COMPUTED_VALUE"""),6.1521548E7)</f>
        <v>61521548</v>
      </c>
    </row>
    <row r="888">
      <c r="A888" s="2">
        <f>IFERROR(__xludf.DUMMYFUNCTION("""COMPUTED_VALUE"""),42727.66666666667)</f>
        <v>42727.66667</v>
      </c>
      <c r="B888" s="1">
        <f>IFERROR(__xludf.DUMMYFUNCTION("""COMPUTED_VALUE"""),84.75)</f>
        <v>84.75</v>
      </c>
      <c r="C888" s="1">
        <f>IFERROR(__xludf.DUMMYFUNCTION("""COMPUTED_VALUE"""),85.18)</f>
        <v>85.18</v>
      </c>
      <c r="D888" s="1">
        <f>IFERROR(__xludf.DUMMYFUNCTION("""COMPUTED_VALUE"""),83.87)</f>
        <v>83.87</v>
      </c>
      <c r="E888" s="1">
        <f>IFERROR(__xludf.DUMMYFUNCTION("""COMPUTED_VALUE"""),84.96)</f>
        <v>84.96</v>
      </c>
      <c r="F888" s="1">
        <f>IFERROR(__xludf.DUMMYFUNCTION("""COMPUTED_VALUE"""),3.3162003E7)</f>
        <v>33162003</v>
      </c>
    </row>
    <row r="889">
      <c r="A889" s="2">
        <f>IFERROR(__xludf.DUMMYFUNCTION("""COMPUTED_VALUE"""),42734.66666666667)</f>
        <v>42734.66667</v>
      </c>
      <c r="B889" s="1">
        <f>IFERROR(__xludf.DUMMYFUNCTION("""COMPUTED_VALUE"""),84.9)</f>
        <v>84.9</v>
      </c>
      <c r="C889" s="1">
        <f>IFERROR(__xludf.DUMMYFUNCTION("""COMPUTED_VALUE"""),84.94)</f>
        <v>84.94</v>
      </c>
      <c r="D889" s="1">
        <f>IFERROR(__xludf.DUMMYFUNCTION("""COMPUTED_VALUE"""),83.92)</f>
        <v>83.92</v>
      </c>
      <c r="E889" s="1">
        <f>IFERROR(__xludf.DUMMYFUNCTION("""COMPUTED_VALUE"""),84.08)</f>
        <v>84.08</v>
      </c>
      <c r="F889" s="1">
        <f>IFERROR(__xludf.DUMMYFUNCTION("""COMPUTED_VALUE"""),1.800954E7)</f>
        <v>18009540</v>
      </c>
    </row>
    <row r="890">
      <c r="A890" s="2">
        <f>IFERROR(__xludf.DUMMYFUNCTION("""COMPUTED_VALUE"""),42741.66666666667)</f>
        <v>42741.66667</v>
      </c>
      <c r="B890" s="1">
        <f>IFERROR(__xludf.DUMMYFUNCTION("""COMPUTED_VALUE"""),83.88)</f>
        <v>83.88</v>
      </c>
      <c r="C890" s="1">
        <f>IFERROR(__xludf.DUMMYFUNCTION("""COMPUTED_VALUE"""),85.43)</f>
        <v>85.43</v>
      </c>
      <c r="D890" s="1">
        <f>IFERROR(__xludf.DUMMYFUNCTION("""COMPUTED_VALUE"""),83.5)</f>
        <v>83.5</v>
      </c>
      <c r="E890" s="1">
        <f>IFERROR(__xludf.DUMMYFUNCTION("""COMPUTED_VALUE"""),85.03)</f>
        <v>85.03</v>
      </c>
      <c r="F890" s="1">
        <f>IFERROR(__xludf.DUMMYFUNCTION("""COMPUTED_VALUE"""),2.8541396E7)</f>
        <v>28541396</v>
      </c>
    </row>
    <row r="891">
      <c r="A891" s="2">
        <f>IFERROR(__xludf.DUMMYFUNCTION("""COMPUTED_VALUE"""),42748.66666666667)</f>
        <v>42748.66667</v>
      </c>
      <c r="B891" s="1">
        <f>IFERROR(__xludf.DUMMYFUNCTION("""COMPUTED_VALUE"""),84.06)</f>
        <v>84.06</v>
      </c>
      <c r="C891" s="1">
        <f>IFERROR(__xludf.DUMMYFUNCTION("""COMPUTED_VALUE"""),84.66)</f>
        <v>84.66</v>
      </c>
      <c r="D891" s="1">
        <f>IFERROR(__xludf.DUMMYFUNCTION("""COMPUTED_VALUE"""),83.24)</f>
        <v>83.24</v>
      </c>
      <c r="E891" s="1">
        <f>IFERROR(__xludf.DUMMYFUNCTION("""COMPUTED_VALUE"""),84.01)</f>
        <v>84.01</v>
      </c>
      <c r="F891" s="1">
        <f>IFERROR(__xludf.DUMMYFUNCTION("""COMPUTED_VALUE"""),4.4799059E7)</f>
        <v>44799059</v>
      </c>
    </row>
    <row r="892">
      <c r="A892" s="2">
        <f>IFERROR(__xludf.DUMMYFUNCTION("""COMPUTED_VALUE"""),42755.66666666667)</f>
        <v>42755.66667</v>
      </c>
      <c r="B892" s="1">
        <f>IFERROR(__xludf.DUMMYFUNCTION("""COMPUTED_VALUE"""),83.9)</f>
        <v>83.9</v>
      </c>
      <c r="C892" s="1">
        <f>IFERROR(__xludf.DUMMYFUNCTION("""COMPUTED_VALUE"""),87.98)</f>
        <v>87.98</v>
      </c>
      <c r="D892" s="1">
        <f>IFERROR(__xludf.DUMMYFUNCTION("""COMPUTED_VALUE"""),83.88)</f>
        <v>83.88</v>
      </c>
      <c r="E892" s="1">
        <f>IFERROR(__xludf.DUMMYFUNCTION("""COMPUTED_VALUE"""),87.45)</f>
        <v>87.45</v>
      </c>
      <c r="F892" s="1">
        <f>IFERROR(__xludf.DUMMYFUNCTION("""COMPUTED_VALUE"""),6.0665543E7)</f>
        <v>60665543</v>
      </c>
    </row>
    <row r="893">
      <c r="A893" s="2">
        <f>IFERROR(__xludf.DUMMYFUNCTION("""COMPUTED_VALUE"""),42762.66666666667)</f>
        <v>42762.66667</v>
      </c>
      <c r="B893" s="1">
        <f>IFERROR(__xludf.DUMMYFUNCTION("""COMPUTED_VALUE"""),87.09)</f>
        <v>87.09</v>
      </c>
      <c r="C893" s="1">
        <f>IFERROR(__xludf.DUMMYFUNCTION("""COMPUTED_VALUE"""),87.95)</f>
        <v>87.95</v>
      </c>
      <c r="D893" s="1">
        <f>IFERROR(__xludf.DUMMYFUNCTION("""COMPUTED_VALUE"""),86.02)</f>
        <v>86.02</v>
      </c>
      <c r="E893" s="1">
        <f>IFERROR(__xludf.DUMMYFUNCTION("""COMPUTED_VALUE"""),86.72)</f>
        <v>86.72</v>
      </c>
      <c r="F893" s="1">
        <f>IFERROR(__xludf.DUMMYFUNCTION("""COMPUTED_VALUE"""),4.2068348E7)</f>
        <v>42068348</v>
      </c>
    </row>
    <row r="894">
      <c r="A894" s="2">
        <f>IFERROR(__xludf.DUMMYFUNCTION("""COMPUTED_VALUE"""),42769.66666666667)</f>
        <v>42769.66667</v>
      </c>
      <c r="B894" s="1">
        <f>IFERROR(__xludf.DUMMYFUNCTION("""COMPUTED_VALUE"""),86.78)</f>
        <v>86.78</v>
      </c>
      <c r="C894" s="1">
        <f>IFERROR(__xludf.DUMMYFUNCTION("""COMPUTED_VALUE"""),88.35)</f>
        <v>88.35</v>
      </c>
      <c r="D894" s="1">
        <f>IFERROR(__xludf.DUMMYFUNCTION("""COMPUTED_VALUE"""),86.5)</f>
        <v>86.5</v>
      </c>
      <c r="E894" s="1">
        <f>IFERROR(__xludf.DUMMYFUNCTION("""COMPUTED_VALUE"""),87.41)</f>
        <v>87.41</v>
      </c>
      <c r="F894" s="1">
        <f>IFERROR(__xludf.DUMMYFUNCTION("""COMPUTED_VALUE"""),4.1512903E7)</f>
        <v>41512903</v>
      </c>
    </row>
    <row r="895">
      <c r="A895" s="2">
        <f>IFERROR(__xludf.DUMMYFUNCTION("""COMPUTED_VALUE"""),42776.66666666667)</f>
        <v>42776.66667</v>
      </c>
      <c r="B895" s="1">
        <f>IFERROR(__xludf.DUMMYFUNCTION("""COMPUTED_VALUE"""),87.5)</f>
        <v>87.5</v>
      </c>
      <c r="C895" s="1">
        <f>IFERROR(__xludf.DUMMYFUNCTION("""COMPUTED_VALUE"""),88.78)</f>
        <v>88.78</v>
      </c>
      <c r="D895" s="1">
        <f>IFERROR(__xludf.DUMMYFUNCTION("""COMPUTED_VALUE"""),87.13)</f>
        <v>87.13</v>
      </c>
      <c r="E895" s="1">
        <f>IFERROR(__xludf.DUMMYFUNCTION("""COMPUTED_VALUE"""),87.97)</f>
        <v>87.97</v>
      </c>
      <c r="F895" s="1">
        <f>IFERROR(__xludf.DUMMYFUNCTION("""COMPUTED_VALUE"""),4.1916395E7)</f>
        <v>41916395</v>
      </c>
    </row>
    <row r="896">
      <c r="A896" s="2">
        <f>IFERROR(__xludf.DUMMYFUNCTION("""COMPUTED_VALUE"""),42783.66666666667)</f>
        <v>42783.66667</v>
      </c>
      <c r="B896" s="1">
        <f>IFERROR(__xludf.DUMMYFUNCTION("""COMPUTED_VALUE"""),88.04)</f>
        <v>88.04</v>
      </c>
      <c r="C896" s="1">
        <f>IFERROR(__xludf.DUMMYFUNCTION("""COMPUTED_VALUE"""),91.36)</f>
        <v>91.36</v>
      </c>
      <c r="D896" s="1">
        <f>IFERROR(__xludf.DUMMYFUNCTION("""COMPUTED_VALUE"""),87.23)</f>
        <v>87.23</v>
      </c>
      <c r="E896" s="1">
        <f>IFERROR(__xludf.DUMMYFUNCTION("""COMPUTED_VALUE"""),91.09)</f>
        <v>91.09</v>
      </c>
      <c r="F896" s="1">
        <f>IFERROR(__xludf.DUMMYFUNCTION("""COMPUTED_VALUE"""),7.7427119E7)</f>
        <v>77427119</v>
      </c>
    </row>
    <row r="897">
      <c r="A897" s="2">
        <f>IFERROR(__xludf.DUMMYFUNCTION("""COMPUTED_VALUE"""),42790.66666666667)</f>
        <v>42790.66667</v>
      </c>
      <c r="B897" s="1">
        <f>IFERROR(__xludf.DUMMYFUNCTION("""COMPUTED_VALUE"""),90.58)</f>
        <v>90.58</v>
      </c>
      <c r="C897" s="1">
        <f>IFERROR(__xludf.DUMMYFUNCTION("""COMPUTED_VALUE"""),91.8)</f>
        <v>91.8</v>
      </c>
      <c r="D897" s="1">
        <f>IFERROR(__xludf.DUMMYFUNCTION("""COMPUTED_VALUE"""),90.58)</f>
        <v>90.58</v>
      </c>
      <c r="E897" s="1">
        <f>IFERROR(__xludf.DUMMYFUNCTION("""COMPUTED_VALUE"""),91.05)</f>
        <v>91.05</v>
      </c>
      <c r="F897" s="1">
        <f>IFERROR(__xludf.DUMMYFUNCTION("""COMPUTED_VALUE"""),3.0023625E7)</f>
        <v>30023625</v>
      </c>
    </row>
    <row r="898">
      <c r="A898" s="2">
        <f>IFERROR(__xludf.DUMMYFUNCTION("""COMPUTED_VALUE"""),42797.66666666667)</f>
        <v>42797.66667</v>
      </c>
      <c r="B898" s="1">
        <f>IFERROR(__xludf.DUMMYFUNCTION("""COMPUTED_VALUE"""),90.53)</f>
        <v>90.53</v>
      </c>
      <c r="C898" s="1">
        <f>IFERROR(__xludf.DUMMYFUNCTION("""COMPUTED_VALUE"""),91.89)</f>
        <v>91.89</v>
      </c>
      <c r="D898" s="1">
        <f>IFERROR(__xludf.DUMMYFUNCTION("""COMPUTED_VALUE"""),89.89)</f>
        <v>89.89</v>
      </c>
      <c r="E898" s="1">
        <f>IFERROR(__xludf.DUMMYFUNCTION("""COMPUTED_VALUE"""),90.5)</f>
        <v>90.5</v>
      </c>
      <c r="F898" s="1">
        <f>IFERROR(__xludf.DUMMYFUNCTION("""COMPUTED_VALUE"""),4.6539943E7)</f>
        <v>46539943</v>
      </c>
    </row>
    <row r="899">
      <c r="A899" s="2">
        <f>IFERROR(__xludf.DUMMYFUNCTION("""COMPUTED_VALUE"""),42804.66666666667)</f>
        <v>42804.66667</v>
      </c>
      <c r="B899" s="1">
        <f>IFERROR(__xludf.DUMMYFUNCTION("""COMPUTED_VALUE"""),89.89)</f>
        <v>89.89</v>
      </c>
      <c r="C899" s="1">
        <f>IFERROR(__xludf.DUMMYFUNCTION("""COMPUTED_VALUE"""),91.16)</f>
        <v>91.16</v>
      </c>
      <c r="D899" s="1">
        <f>IFERROR(__xludf.DUMMYFUNCTION("""COMPUTED_VALUE"""),89.59)</f>
        <v>89.59</v>
      </c>
      <c r="E899" s="1">
        <f>IFERROR(__xludf.DUMMYFUNCTION("""COMPUTED_VALUE"""),91.07)</f>
        <v>91.07</v>
      </c>
      <c r="F899" s="1">
        <f>IFERROR(__xludf.DUMMYFUNCTION("""COMPUTED_VALUE"""),3.2793686E7)</f>
        <v>32793686</v>
      </c>
    </row>
    <row r="900">
      <c r="A900" s="2">
        <f>IFERROR(__xludf.DUMMYFUNCTION("""COMPUTED_VALUE"""),42811.66666666667)</f>
        <v>42811.66667</v>
      </c>
      <c r="B900" s="1">
        <f>IFERROR(__xludf.DUMMYFUNCTION("""COMPUTED_VALUE"""),91.06)</f>
        <v>91.06</v>
      </c>
      <c r="C900" s="1">
        <f>IFERROR(__xludf.DUMMYFUNCTION("""COMPUTED_VALUE"""),92.0)</f>
        <v>92</v>
      </c>
      <c r="D900" s="1">
        <f>IFERROR(__xludf.DUMMYFUNCTION("""COMPUTED_VALUE"""),90.73)</f>
        <v>90.73</v>
      </c>
      <c r="E900" s="1">
        <f>IFERROR(__xludf.DUMMYFUNCTION("""COMPUTED_VALUE"""),91.0)</f>
        <v>91</v>
      </c>
      <c r="F900" s="1">
        <f>IFERROR(__xludf.DUMMYFUNCTION("""COMPUTED_VALUE"""),6.5473476E7)</f>
        <v>65473476</v>
      </c>
    </row>
    <row r="901">
      <c r="A901" s="2">
        <f>IFERROR(__xludf.DUMMYFUNCTION("""COMPUTED_VALUE"""),42818.66666666667)</f>
        <v>42818.66667</v>
      </c>
      <c r="B901" s="1">
        <f>IFERROR(__xludf.DUMMYFUNCTION("""COMPUTED_VALUE"""),90.96)</f>
        <v>90.96</v>
      </c>
      <c r="C901" s="1">
        <f>IFERROR(__xludf.DUMMYFUNCTION("""COMPUTED_VALUE"""),91.8)</f>
        <v>91.8</v>
      </c>
      <c r="D901" s="1">
        <f>IFERROR(__xludf.DUMMYFUNCTION("""COMPUTED_VALUE"""),90.21)</f>
        <v>90.21</v>
      </c>
      <c r="E901" s="1">
        <f>IFERROR(__xludf.DUMMYFUNCTION("""COMPUTED_VALUE"""),90.57)</f>
        <v>90.57</v>
      </c>
      <c r="F901" s="1">
        <f>IFERROR(__xludf.DUMMYFUNCTION("""COMPUTED_VALUE"""),3.9865212E7)</f>
        <v>39865212</v>
      </c>
    </row>
    <row r="902">
      <c r="A902" s="2">
        <f>IFERROR(__xludf.DUMMYFUNCTION("""COMPUTED_VALUE"""),42825.66666666667)</f>
        <v>42825.66667</v>
      </c>
      <c r="B902" s="1">
        <f>IFERROR(__xludf.DUMMYFUNCTION("""COMPUTED_VALUE"""),90.45)</f>
        <v>90.45</v>
      </c>
      <c r="C902" s="1">
        <f>IFERROR(__xludf.DUMMYFUNCTION("""COMPUTED_VALUE"""),91.06)</f>
        <v>91.06</v>
      </c>
      <c r="D902" s="1">
        <f>IFERROR(__xludf.DUMMYFUNCTION("""COMPUTED_VALUE"""),89.84)</f>
        <v>89.84</v>
      </c>
      <c r="E902" s="1">
        <f>IFERROR(__xludf.DUMMYFUNCTION("""COMPUTED_VALUE"""),89.85)</f>
        <v>89.85</v>
      </c>
      <c r="F902" s="1">
        <f>IFERROR(__xludf.DUMMYFUNCTION("""COMPUTED_VALUE"""),3.6814867E7)</f>
        <v>36814867</v>
      </c>
    </row>
    <row r="903">
      <c r="A903" s="2">
        <f>IFERROR(__xludf.DUMMYFUNCTION("""COMPUTED_VALUE"""),42832.66666666667)</f>
        <v>42832.66667</v>
      </c>
      <c r="B903" s="1">
        <f>IFERROR(__xludf.DUMMYFUNCTION("""COMPUTED_VALUE"""),89.86)</f>
        <v>89.86</v>
      </c>
      <c r="C903" s="1">
        <f>IFERROR(__xludf.DUMMYFUNCTION("""COMPUTED_VALUE"""),90.5)</f>
        <v>90.5</v>
      </c>
      <c r="D903" s="1">
        <f>IFERROR(__xludf.DUMMYFUNCTION("""COMPUTED_VALUE"""),89.18)</f>
        <v>89.18</v>
      </c>
      <c r="E903" s="1">
        <f>IFERROR(__xludf.DUMMYFUNCTION("""COMPUTED_VALUE"""),89.23)</f>
        <v>89.23</v>
      </c>
      <c r="F903" s="1">
        <f>IFERROR(__xludf.DUMMYFUNCTION("""COMPUTED_VALUE"""),3.0938811E7)</f>
        <v>30938811</v>
      </c>
    </row>
    <row r="904">
      <c r="A904" s="2">
        <f>IFERROR(__xludf.DUMMYFUNCTION("""COMPUTED_VALUE"""),42838.66666666667)</f>
        <v>42838.66667</v>
      </c>
      <c r="B904" s="1">
        <f>IFERROR(__xludf.DUMMYFUNCTION("""COMPUTED_VALUE"""),89.13)</f>
        <v>89.13</v>
      </c>
      <c r="C904" s="1">
        <f>IFERROR(__xludf.DUMMYFUNCTION("""COMPUTED_VALUE"""),90.54)</f>
        <v>90.54</v>
      </c>
      <c r="D904" s="1">
        <f>IFERROR(__xludf.DUMMYFUNCTION("""COMPUTED_VALUE"""),88.75)</f>
        <v>88.75</v>
      </c>
      <c r="E904" s="1">
        <f>IFERROR(__xludf.DUMMYFUNCTION("""COMPUTED_VALUE"""),90.03)</f>
        <v>90.03</v>
      </c>
      <c r="F904" s="1">
        <f>IFERROR(__xludf.DUMMYFUNCTION("""COMPUTED_VALUE"""),2.2467092E7)</f>
        <v>22467092</v>
      </c>
    </row>
    <row r="905">
      <c r="A905" s="2">
        <f>IFERROR(__xludf.DUMMYFUNCTION("""COMPUTED_VALUE"""),42846.66666666667)</f>
        <v>42846.66667</v>
      </c>
      <c r="B905" s="1">
        <f>IFERROR(__xludf.DUMMYFUNCTION("""COMPUTED_VALUE"""),90.23)</f>
        <v>90.23</v>
      </c>
      <c r="C905" s="1">
        <f>IFERROR(__xludf.DUMMYFUNCTION("""COMPUTED_VALUE"""),91.13)</f>
        <v>91.13</v>
      </c>
      <c r="D905" s="1">
        <f>IFERROR(__xludf.DUMMYFUNCTION("""COMPUTED_VALUE"""),88.61)</f>
        <v>88.61</v>
      </c>
      <c r="E905" s="1">
        <f>IFERROR(__xludf.DUMMYFUNCTION("""COMPUTED_VALUE"""),88.62)</f>
        <v>88.62</v>
      </c>
      <c r="F905" s="1">
        <f>IFERROR(__xludf.DUMMYFUNCTION("""COMPUTED_VALUE"""),3.6983066E7)</f>
        <v>36983066</v>
      </c>
    </row>
    <row r="906">
      <c r="A906" s="2">
        <f>IFERROR(__xludf.DUMMYFUNCTION("""COMPUTED_VALUE"""),42853.66666666667)</f>
        <v>42853.66667</v>
      </c>
      <c r="B906" s="1">
        <f>IFERROR(__xludf.DUMMYFUNCTION("""COMPUTED_VALUE"""),89.12)</f>
        <v>89.12</v>
      </c>
      <c r="C906" s="1">
        <f>IFERROR(__xludf.DUMMYFUNCTION("""COMPUTED_VALUE"""),90.25)</f>
        <v>90.25</v>
      </c>
      <c r="D906" s="1">
        <f>IFERROR(__xludf.DUMMYFUNCTION("""COMPUTED_VALUE"""),87.15)</f>
        <v>87.15</v>
      </c>
      <c r="E906" s="1">
        <f>IFERROR(__xludf.DUMMYFUNCTION("""COMPUTED_VALUE"""),87.33)</f>
        <v>87.33</v>
      </c>
      <c r="F906" s="1">
        <f>IFERROR(__xludf.DUMMYFUNCTION("""COMPUTED_VALUE"""),4.6188168E7)</f>
        <v>46188168</v>
      </c>
    </row>
    <row r="907">
      <c r="A907" s="2">
        <f>IFERROR(__xludf.DUMMYFUNCTION("""COMPUTED_VALUE"""),42860.66666666667)</f>
        <v>42860.66667</v>
      </c>
      <c r="B907" s="1">
        <f>IFERROR(__xludf.DUMMYFUNCTION("""COMPUTED_VALUE"""),87.38)</f>
        <v>87.38</v>
      </c>
      <c r="C907" s="1">
        <f>IFERROR(__xludf.DUMMYFUNCTION("""COMPUTED_VALUE"""),87.6)</f>
        <v>87.6</v>
      </c>
      <c r="D907" s="1">
        <f>IFERROR(__xludf.DUMMYFUNCTION("""COMPUTED_VALUE"""),85.9)</f>
        <v>85.9</v>
      </c>
      <c r="E907" s="1">
        <f>IFERROR(__xludf.DUMMYFUNCTION("""COMPUTED_VALUE"""),86.5)</f>
        <v>86.5</v>
      </c>
      <c r="F907" s="1">
        <f>IFERROR(__xludf.DUMMYFUNCTION("""COMPUTED_VALUE"""),3.4357242E7)</f>
        <v>34357242</v>
      </c>
    </row>
    <row r="908">
      <c r="A908" s="2">
        <f>IFERROR(__xludf.DUMMYFUNCTION("""COMPUTED_VALUE"""),42867.66666666667)</f>
        <v>42867.66667</v>
      </c>
      <c r="B908" s="1">
        <f>IFERROR(__xludf.DUMMYFUNCTION("""COMPUTED_VALUE"""),86.33)</f>
        <v>86.33</v>
      </c>
      <c r="C908" s="1">
        <f>IFERROR(__xludf.DUMMYFUNCTION("""COMPUTED_VALUE"""),86.82)</f>
        <v>86.82</v>
      </c>
      <c r="D908" s="1">
        <f>IFERROR(__xludf.DUMMYFUNCTION("""COMPUTED_VALUE"""),85.88)</f>
        <v>85.88</v>
      </c>
      <c r="E908" s="1">
        <f>IFERROR(__xludf.DUMMYFUNCTION("""COMPUTED_VALUE"""),86.19)</f>
        <v>86.19</v>
      </c>
      <c r="F908" s="1">
        <f>IFERROR(__xludf.DUMMYFUNCTION("""COMPUTED_VALUE"""),3.2347555E7)</f>
        <v>32347555</v>
      </c>
    </row>
    <row r="909">
      <c r="A909" s="2">
        <f>IFERROR(__xludf.DUMMYFUNCTION("""COMPUTED_VALUE"""),42874.66666666667)</f>
        <v>42874.66667</v>
      </c>
      <c r="B909" s="1">
        <f>IFERROR(__xludf.DUMMYFUNCTION("""COMPUTED_VALUE"""),86.65)</f>
        <v>86.65</v>
      </c>
      <c r="C909" s="1">
        <f>IFERROR(__xludf.DUMMYFUNCTION("""COMPUTED_VALUE"""),87.0)</f>
        <v>87</v>
      </c>
      <c r="D909" s="1">
        <f>IFERROR(__xludf.DUMMYFUNCTION("""COMPUTED_VALUE"""),85.52)</f>
        <v>85.52</v>
      </c>
      <c r="E909" s="1">
        <f>IFERROR(__xludf.DUMMYFUNCTION("""COMPUTED_VALUE"""),86.24)</f>
        <v>86.24</v>
      </c>
      <c r="F909" s="1">
        <f>IFERROR(__xludf.DUMMYFUNCTION("""COMPUTED_VALUE"""),3.4454037E7)</f>
        <v>34454037</v>
      </c>
    </row>
    <row r="910">
      <c r="A910" s="2">
        <f>IFERROR(__xludf.DUMMYFUNCTION("""COMPUTED_VALUE"""),42881.66666666667)</f>
        <v>42881.66667</v>
      </c>
      <c r="B910" s="1">
        <f>IFERROR(__xludf.DUMMYFUNCTION("""COMPUTED_VALUE"""),86.25)</f>
        <v>86.25</v>
      </c>
      <c r="C910" s="1">
        <f>IFERROR(__xludf.DUMMYFUNCTION("""COMPUTED_VALUE"""),87.38)</f>
        <v>87.38</v>
      </c>
      <c r="D910" s="1">
        <f>IFERROR(__xludf.DUMMYFUNCTION("""COMPUTED_VALUE"""),85.98)</f>
        <v>85.98</v>
      </c>
      <c r="E910" s="1">
        <f>IFERROR(__xludf.DUMMYFUNCTION("""COMPUTED_VALUE"""),87.25)</f>
        <v>87.25</v>
      </c>
      <c r="F910" s="1">
        <f>IFERROR(__xludf.DUMMYFUNCTION("""COMPUTED_VALUE"""),2.2261177E7)</f>
        <v>22261177</v>
      </c>
    </row>
    <row r="911">
      <c r="A911" s="2">
        <f>IFERROR(__xludf.DUMMYFUNCTION("""COMPUTED_VALUE"""),42888.66666666667)</f>
        <v>42888.66667</v>
      </c>
      <c r="B911" s="1">
        <f>IFERROR(__xludf.DUMMYFUNCTION("""COMPUTED_VALUE"""),87.25)</f>
        <v>87.25</v>
      </c>
      <c r="C911" s="1">
        <f>IFERROR(__xludf.DUMMYFUNCTION("""COMPUTED_VALUE"""),88.68)</f>
        <v>88.68</v>
      </c>
      <c r="D911" s="1">
        <f>IFERROR(__xludf.DUMMYFUNCTION("""COMPUTED_VALUE"""),87.1)</f>
        <v>87.1</v>
      </c>
      <c r="E911" s="1">
        <f>IFERROR(__xludf.DUMMYFUNCTION("""COMPUTED_VALUE"""),88.59)</f>
        <v>88.59</v>
      </c>
      <c r="F911" s="1">
        <f>IFERROR(__xludf.DUMMYFUNCTION("""COMPUTED_VALUE"""),2.7128725E7)</f>
        <v>27128725</v>
      </c>
    </row>
    <row r="912">
      <c r="A912" s="2">
        <f>IFERROR(__xludf.DUMMYFUNCTION("""COMPUTED_VALUE"""),42895.66666666667)</f>
        <v>42895.66667</v>
      </c>
      <c r="B912" s="1">
        <f>IFERROR(__xludf.DUMMYFUNCTION("""COMPUTED_VALUE"""),88.3)</f>
        <v>88.3</v>
      </c>
      <c r="C912" s="1">
        <f>IFERROR(__xludf.DUMMYFUNCTION("""COMPUTED_VALUE"""),88.97)</f>
        <v>88.97</v>
      </c>
      <c r="D912" s="1">
        <f>IFERROR(__xludf.DUMMYFUNCTION("""COMPUTED_VALUE"""),87.36)</f>
        <v>87.36</v>
      </c>
      <c r="E912" s="1">
        <f>IFERROR(__xludf.DUMMYFUNCTION("""COMPUTED_VALUE"""),88.16)</f>
        <v>88.16</v>
      </c>
      <c r="F912" s="1">
        <f>IFERROR(__xludf.DUMMYFUNCTION("""COMPUTED_VALUE"""),3.2808891E7)</f>
        <v>32808891</v>
      </c>
    </row>
    <row r="913">
      <c r="A913" s="2">
        <f>IFERROR(__xludf.DUMMYFUNCTION("""COMPUTED_VALUE"""),42902.66666666667)</f>
        <v>42902.66667</v>
      </c>
      <c r="B913" s="1">
        <f>IFERROR(__xludf.DUMMYFUNCTION("""COMPUTED_VALUE"""),88.28)</f>
        <v>88.28</v>
      </c>
      <c r="C913" s="1">
        <f>IFERROR(__xludf.DUMMYFUNCTION("""COMPUTED_VALUE"""),89.77)</f>
        <v>89.77</v>
      </c>
      <c r="D913" s="1">
        <f>IFERROR(__xludf.DUMMYFUNCTION("""COMPUTED_VALUE"""),87.77)</f>
        <v>87.77</v>
      </c>
      <c r="E913" s="1">
        <f>IFERROR(__xludf.DUMMYFUNCTION("""COMPUTED_VALUE"""),89.66)</f>
        <v>89.66</v>
      </c>
      <c r="F913" s="1">
        <f>IFERROR(__xludf.DUMMYFUNCTION("""COMPUTED_VALUE"""),4.1371859E7)</f>
        <v>41371859</v>
      </c>
    </row>
    <row r="914">
      <c r="A914" s="2">
        <f>IFERROR(__xludf.DUMMYFUNCTION("""COMPUTED_VALUE"""),42909.66666666667)</f>
        <v>42909.66667</v>
      </c>
      <c r="B914" s="1">
        <f>IFERROR(__xludf.DUMMYFUNCTION("""COMPUTED_VALUE"""),89.6)</f>
        <v>89.6</v>
      </c>
      <c r="C914" s="1">
        <f>IFERROR(__xludf.DUMMYFUNCTION("""COMPUTED_VALUE"""),90.21)</f>
        <v>90.21</v>
      </c>
      <c r="D914" s="1">
        <f>IFERROR(__xludf.DUMMYFUNCTION("""COMPUTED_VALUE"""),88.9)</f>
        <v>88.9</v>
      </c>
      <c r="E914" s="1">
        <f>IFERROR(__xludf.DUMMYFUNCTION("""COMPUTED_VALUE"""),89.42)</f>
        <v>89.42</v>
      </c>
      <c r="F914" s="1">
        <f>IFERROR(__xludf.DUMMYFUNCTION("""COMPUTED_VALUE"""),2.8403607E7)</f>
        <v>28403607</v>
      </c>
    </row>
    <row r="915">
      <c r="A915" s="2">
        <f>IFERROR(__xludf.DUMMYFUNCTION("""COMPUTED_VALUE"""),42916.66666666667)</f>
        <v>42916.66667</v>
      </c>
      <c r="B915" s="1">
        <f>IFERROR(__xludf.DUMMYFUNCTION("""COMPUTED_VALUE"""),89.63)</f>
        <v>89.63</v>
      </c>
      <c r="C915" s="1">
        <f>IFERROR(__xludf.DUMMYFUNCTION("""COMPUTED_VALUE"""),89.68)</f>
        <v>89.68</v>
      </c>
      <c r="D915" s="1">
        <f>IFERROR(__xludf.DUMMYFUNCTION("""COMPUTED_VALUE"""),86.93)</f>
        <v>86.93</v>
      </c>
      <c r="E915" s="1">
        <f>IFERROR(__xludf.DUMMYFUNCTION("""COMPUTED_VALUE"""),87.15)</f>
        <v>87.15</v>
      </c>
      <c r="F915" s="1">
        <f>IFERROR(__xludf.DUMMYFUNCTION("""COMPUTED_VALUE"""),2.862244E7)</f>
        <v>28622440</v>
      </c>
    </row>
    <row r="916">
      <c r="A916" s="2">
        <f>IFERROR(__xludf.DUMMYFUNCTION("""COMPUTED_VALUE"""),42923.66666666667)</f>
        <v>42923.66667</v>
      </c>
      <c r="B916" s="1">
        <f>IFERROR(__xludf.DUMMYFUNCTION("""COMPUTED_VALUE"""),87.4)</f>
        <v>87.4</v>
      </c>
      <c r="C916" s="1">
        <f>IFERROR(__xludf.DUMMYFUNCTION("""COMPUTED_VALUE"""),88.0)</f>
        <v>88</v>
      </c>
      <c r="D916" s="1">
        <f>IFERROR(__xludf.DUMMYFUNCTION("""COMPUTED_VALUE"""),87.18)</f>
        <v>87.18</v>
      </c>
      <c r="E916" s="1">
        <f>IFERROR(__xludf.DUMMYFUNCTION("""COMPUTED_VALUE"""),87.65)</f>
        <v>87.65</v>
      </c>
      <c r="F916" s="1">
        <f>IFERROR(__xludf.DUMMYFUNCTION("""COMPUTED_VALUE"""),1.9762814E7)</f>
        <v>19762814</v>
      </c>
    </row>
    <row r="917">
      <c r="A917" s="2">
        <f>IFERROR(__xludf.DUMMYFUNCTION("""COMPUTED_VALUE"""),42930.66666666667)</f>
        <v>42930.66667</v>
      </c>
      <c r="B917" s="1">
        <f>IFERROR(__xludf.DUMMYFUNCTION("""COMPUTED_VALUE"""),87.63)</f>
        <v>87.63</v>
      </c>
      <c r="C917" s="1">
        <f>IFERROR(__xludf.DUMMYFUNCTION("""COMPUTED_VALUE"""),87.87)</f>
        <v>87.87</v>
      </c>
      <c r="D917" s="1">
        <f>IFERROR(__xludf.DUMMYFUNCTION("""COMPUTED_VALUE"""),86.31)</f>
        <v>86.31</v>
      </c>
      <c r="E917" s="1">
        <f>IFERROR(__xludf.DUMMYFUNCTION("""COMPUTED_VALUE"""),87.1)</f>
        <v>87.1</v>
      </c>
      <c r="F917" s="1">
        <f>IFERROR(__xludf.DUMMYFUNCTION("""COMPUTED_VALUE"""),2.5595031E7)</f>
        <v>25595031</v>
      </c>
    </row>
    <row r="918">
      <c r="A918" s="2">
        <f>IFERROR(__xludf.DUMMYFUNCTION("""COMPUTED_VALUE"""),42937.66666666667)</f>
        <v>42937.66667</v>
      </c>
      <c r="B918" s="1">
        <f>IFERROR(__xludf.DUMMYFUNCTION("""COMPUTED_VALUE"""),87.07)</f>
        <v>87.07</v>
      </c>
      <c r="C918" s="1">
        <f>IFERROR(__xludf.DUMMYFUNCTION("""COMPUTED_VALUE"""),89.31)</f>
        <v>89.31</v>
      </c>
      <c r="D918" s="1">
        <f>IFERROR(__xludf.DUMMYFUNCTION("""COMPUTED_VALUE"""),86.74)</f>
        <v>86.74</v>
      </c>
      <c r="E918" s="1">
        <f>IFERROR(__xludf.DUMMYFUNCTION("""COMPUTED_VALUE"""),88.61)</f>
        <v>88.61</v>
      </c>
      <c r="F918" s="1">
        <f>IFERROR(__xludf.DUMMYFUNCTION("""COMPUTED_VALUE"""),3.1726361E7)</f>
        <v>31726361</v>
      </c>
    </row>
    <row r="919">
      <c r="A919" s="2">
        <f>IFERROR(__xludf.DUMMYFUNCTION("""COMPUTED_VALUE"""),42944.66666666667)</f>
        <v>42944.66667</v>
      </c>
      <c r="B919" s="1">
        <f>IFERROR(__xludf.DUMMYFUNCTION("""COMPUTED_VALUE"""),88.55)</f>
        <v>88.55</v>
      </c>
      <c r="C919" s="1">
        <f>IFERROR(__xludf.DUMMYFUNCTION("""COMPUTED_VALUE"""),91.0)</f>
        <v>91</v>
      </c>
      <c r="D919" s="1">
        <f>IFERROR(__xludf.DUMMYFUNCTION("""COMPUTED_VALUE"""),87.97)</f>
        <v>87.97</v>
      </c>
      <c r="E919" s="1">
        <f>IFERROR(__xludf.DUMMYFUNCTION("""COMPUTED_VALUE"""),90.21)</f>
        <v>90.21</v>
      </c>
      <c r="F919" s="1">
        <f>IFERROR(__xludf.DUMMYFUNCTION("""COMPUTED_VALUE"""),3.718134E7)</f>
        <v>37181340</v>
      </c>
    </row>
    <row r="920">
      <c r="A920" s="2">
        <f>IFERROR(__xludf.DUMMYFUNCTION("""COMPUTED_VALUE"""),42951.66666666667)</f>
        <v>42951.66667</v>
      </c>
      <c r="B920" s="1">
        <f>IFERROR(__xludf.DUMMYFUNCTION("""COMPUTED_VALUE"""),90.21)</f>
        <v>90.21</v>
      </c>
      <c r="C920" s="1">
        <f>IFERROR(__xludf.DUMMYFUNCTION("""COMPUTED_VALUE"""),91.75)</f>
        <v>91.75</v>
      </c>
      <c r="D920" s="1">
        <f>IFERROR(__xludf.DUMMYFUNCTION("""COMPUTED_VALUE"""),90.21)</f>
        <v>90.21</v>
      </c>
      <c r="E920" s="1">
        <f>IFERROR(__xludf.DUMMYFUNCTION("""COMPUTED_VALUE"""),90.67)</f>
        <v>90.67</v>
      </c>
      <c r="F920" s="1">
        <f>IFERROR(__xludf.DUMMYFUNCTION("""COMPUTED_VALUE"""),3.5475376E7)</f>
        <v>35475376</v>
      </c>
    </row>
    <row r="921">
      <c r="A921" s="2">
        <f>IFERROR(__xludf.DUMMYFUNCTION("""COMPUTED_VALUE"""),42958.66666666667)</f>
        <v>42958.66667</v>
      </c>
      <c r="B921" s="1">
        <f>IFERROR(__xludf.DUMMYFUNCTION("""COMPUTED_VALUE"""),90.67)</f>
        <v>90.67</v>
      </c>
      <c r="C921" s="1">
        <f>IFERROR(__xludf.DUMMYFUNCTION("""COMPUTED_VALUE"""),92.08)</f>
        <v>92.08</v>
      </c>
      <c r="D921" s="1">
        <f>IFERROR(__xludf.DUMMYFUNCTION("""COMPUTED_VALUE"""),90.52)</f>
        <v>90.52</v>
      </c>
      <c r="E921" s="1">
        <f>IFERROR(__xludf.DUMMYFUNCTION("""COMPUTED_VALUE"""),91.34)</f>
        <v>91.34</v>
      </c>
      <c r="F921" s="1">
        <f>IFERROR(__xludf.DUMMYFUNCTION("""COMPUTED_VALUE"""),2.9616978E7)</f>
        <v>29616978</v>
      </c>
    </row>
    <row r="922">
      <c r="A922" s="2">
        <f>IFERROR(__xludf.DUMMYFUNCTION("""COMPUTED_VALUE"""),42965.66666666667)</f>
        <v>42965.66667</v>
      </c>
      <c r="B922" s="1">
        <f>IFERROR(__xludf.DUMMYFUNCTION("""COMPUTED_VALUE"""),91.54)</f>
        <v>91.54</v>
      </c>
      <c r="C922" s="1">
        <f>IFERROR(__xludf.DUMMYFUNCTION("""COMPUTED_VALUE"""),92.95)</f>
        <v>92.95</v>
      </c>
      <c r="D922" s="1">
        <f>IFERROR(__xludf.DUMMYFUNCTION("""COMPUTED_VALUE"""),91.25)</f>
        <v>91.25</v>
      </c>
      <c r="E922" s="1">
        <f>IFERROR(__xludf.DUMMYFUNCTION("""COMPUTED_VALUE"""),92.47)</f>
        <v>92.47</v>
      </c>
      <c r="F922" s="1">
        <f>IFERROR(__xludf.DUMMYFUNCTION("""COMPUTED_VALUE"""),3.1183706E7)</f>
        <v>31183706</v>
      </c>
    </row>
    <row r="923">
      <c r="A923" s="2">
        <f>IFERROR(__xludf.DUMMYFUNCTION("""COMPUTED_VALUE"""),42972.66666666667)</f>
        <v>42972.66667</v>
      </c>
      <c r="B923" s="1">
        <f>IFERROR(__xludf.DUMMYFUNCTION("""COMPUTED_VALUE"""),92.38)</f>
        <v>92.38</v>
      </c>
      <c r="C923" s="1">
        <f>IFERROR(__xludf.DUMMYFUNCTION("""COMPUTED_VALUE"""),92.96)</f>
        <v>92.96</v>
      </c>
      <c r="D923" s="1">
        <f>IFERROR(__xludf.DUMMYFUNCTION("""COMPUTED_VALUE"""),92.04)</f>
        <v>92.04</v>
      </c>
      <c r="E923" s="1">
        <f>IFERROR(__xludf.DUMMYFUNCTION("""COMPUTED_VALUE"""),92.51)</f>
        <v>92.51</v>
      </c>
      <c r="F923" s="1">
        <f>IFERROR(__xludf.DUMMYFUNCTION("""COMPUTED_VALUE"""),2.2828451E7)</f>
        <v>22828451</v>
      </c>
    </row>
    <row r="924">
      <c r="A924" s="2">
        <f>IFERROR(__xludf.DUMMYFUNCTION("""COMPUTED_VALUE"""),42979.66666666667)</f>
        <v>42979.66667</v>
      </c>
      <c r="B924" s="1">
        <f>IFERROR(__xludf.DUMMYFUNCTION("""COMPUTED_VALUE"""),92.52)</f>
        <v>92.52</v>
      </c>
      <c r="C924" s="1">
        <f>IFERROR(__xludf.DUMMYFUNCTION("""COMPUTED_VALUE"""),92.71)</f>
        <v>92.71</v>
      </c>
      <c r="D924" s="1">
        <f>IFERROR(__xludf.DUMMYFUNCTION("""COMPUTED_VALUE"""),91.66)</f>
        <v>91.66</v>
      </c>
      <c r="E924" s="1">
        <f>IFERROR(__xludf.DUMMYFUNCTION("""COMPUTED_VALUE"""),92.53)</f>
        <v>92.53</v>
      </c>
      <c r="F924" s="1">
        <f>IFERROR(__xludf.DUMMYFUNCTION("""COMPUTED_VALUE"""),2.4597483E7)</f>
        <v>24597483</v>
      </c>
    </row>
    <row r="925">
      <c r="A925" s="2">
        <f>IFERROR(__xludf.DUMMYFUNCTION("""COMPUTED_VALUE"""),42986.66666666667)</f>
        <v>42986.66667</v>
      </c>
      <c r="B925" s="1">
        <f>IFERROR(__xludf.DUMMYFUNCTION("""COMPUTED_VALUE"""),92.18)</f>
        <v>92.18</v>
      </c>
      <c r="C925" s="1">
        <f>IFERROR(__xludf.DUMMYFUNCTION("""COMPUTED_VALUE"""),93.36)</f>
        <v>93.36</v>
      </c>
      <c r="D925" s="1">
        <f>IFERROR(__xludf.DUMMYFUNCTION("""COMPUTED_VALUE"""),92.04)</f>
        <v>92.04</v>
      </c>
      <c r="E925" s="1">
        <f>IFERROR(__xludf.DUMMYFUNCTION("""COMPUTED_VALUE"""),92.84)</f>
        <v>92.84</v>
      </c>
      <c r="F925" s="1">
        <f>IFERROR(__xludf.DUMMYFUNCTION("""COMPUTED_VALUE"""),2.7084704E7)</f>
        <v>27084704</v>
      </c>
    </row>
    <row r="926">
      <c r="A926" s="2">
        <f>IFERROR(__xludf.DUMMYFUNCTION("""COMPUTED_VALUE"""),42993.66666666667)</f>
        <v>42993.66667</v>
      </c>
      <c r="B926" s="1">
        <f>IFERROR(__xludf.DUMMYFUNCTION("""COMPUTED_VALUE"""),93.09)</f>
        <v>93.09</v>
      </c>
      <c r="C926" s="1">
        <f>IFERROR(__xludf.DUMMYFUNCTION("""COMPUTED_VALUE"""),94.19)</f>
        <v>94.19</v>
      </c>
      <c r="D926" s="1">
        <f>IFERROR(__xludf.DUMMYFUNCTION("""COMPUTED_VALUE"""),92.82)</f>
        <v>92.82</v>
      </c>
      <c r="E926" s="1">
        <f>IFERROR(__xludf.DUMMYFUNCTION("""COMPUTED_VALUE"""),93.27)</f>
        <v>93.27</v>
      </c>
      <c r="F926" s="1">
        <f>IFERROR(__xludf.DUMMYFUNCTION("""COMPUTED_VALUE"""),3.9271494E7)</f>
        <v>39271494</v>
      </c>
    </row>
    <row r="927">
      <c r="A927" s="2">
        <f>IFERROR(__xludf.DUMMYFUNCTION("""COMPUTED_VALUE"""),43000.66666666667)</f>
        <v>43000.66667</v>
      </c>
      <c r="B927" s="1">
        <f>IFERROR(__xludf.DUMMYFUNCTION("""COMPUTED_VALUE"""),93.17)</f>
        <v>93.17</v>
      </c>
      <c r="C927" s="1">
        <f>IFERROR(__xludf.DUMMYFUNCTION("""COMPUTED_VALUE"""),94.67)</f>
        <v>94.67</v>
      </c>
      <c r="D927" s="1">
        <f>IFERROR(__xludf.DUMMYFUNCTION("""COMPUTED_VALUE"""),92.08)</f>
        <v>92.08</v>
      </c>
      <c r="E927" s="1">
        <f>IFERROR(__xludf.DUMMYFUNCTION("""COMPUTED_VALUE"""),92.24)</f>
        <v>92.24</v>
      </c>
      <c r="F927" s="1">
        <f>IFERROR(__xludf.DUMMYFUNCTION("""COMPUTED_VALUE"""),3.491851E7)</f>
        <v>34918510</v>
      </c>
    </row>
    <row r="928">
      <c r="A928" s="2">
        <f>IFERROR(__xludf.DUMMYFUNCTION("""COMPUTED_VALUE"""),43007.66666666667)</f>
        <v>43007.66667</v>
      </c>
      <c r="B928" s="1">
        <f>IFERROR(__xludf.DUMMYFUNCTION("""COMPUTED_VALUE"""),92.43)</f>
        <v>92.43</v>
      </c>
      <c r="C928" s="1">
        <f>IFERROR(__xludf.DUMMYFUNCTION("""COMPUTED_VALUE"""),93.09)</f>
        <v>93.09</v>
      </c>
      <c r="D928" s="1">
        <f>IFERROR(__xludf.DUMMYFUNCTION("""COMPUTED_VALUE"""),90.34)</f>
        <v>90.34</v>
      </c>
      <c r="E928" s="1">
        <f>IFERROR(__xludf.DUMMYFUNCTION("""COMPUTED_VALUE"""),90.98)</f>
        <v>90.98</v>
      </c>
      <c r="F928" s="1">
        <f>IFERROR(__xludf.DUMMYFUNCTION("""COMPUTED_VALUE"""),3.258684E7)</f>
        <v>32586840</v>
      </c>
    </row>
    <row r="929">
      <c r="A929" s="2">
        <f>IFERROR(__xludf.DUMMYFUNCTION("""COMPUTED_VALUE"""),43014.66666666667)</f>
        <v>43014.66667</v>
      </c>
      <c r="B929" s="1">
        <f>IFERROR(__xludf.DUMMYFUNCTION("""COMPUTED_VALUE"""),91.26)</f>
        <v>91.26</v>
      </c>
      <c r="C929" s="1">
        <f>IFERROR(__xludf.DUMMYFUNCTION("""COMPUTED_VALUE"""),92.8)</f>
        <v>92.8</v>
      </c>
      <c r="D929" s="1">
        <f>IFERROR(__xludf.DUMMYFUNCTION("""COMPUTED_VALUE"""),91.24)</f>
        <v>91.24</v>
      </c>
      <c r="E929" s="1">
        <f>IFERROR(__xludf.DUMMYFUNCTION("""COMPUTED_VALUE"""),92.33)</f>
        <v>92.33</v>
      </c>
      <c r="F929" s="1">
        <f>IFERROR(__xludf.DUMMYFUNCTION("""COMPUTED_VALUE"""),3.150767E7)</f>
        <v>31507670</v>
      </c>
    </row>
    <row r="930">
      <c r="A930" s="2">
        <f>IFERROR(__xludf.DUMMYFUNCTION("""COMPUTED_VALUE"""),43021.66666666667)</f>
        <v>43021.66667</v>
      </c>
      <c r="B930" s="1">
        <f>IFERROR(__xludf.DUMMYFUNCTION("""COMPUTED_VALUE"""),92.18)</f>
        <v>92.18</v>
      </c>
      <c r="C930" s="1">
        <f>IFERROR(__xludf.DUMMYFUNCTION("""COMPUTED_VALUE"""),93.51)</f>
        <v>93.51</v>
      </c>
      <c r="D930" s="1">
        <f>IFERROR(__xludf.DUMMYFUNCTION("""COMPUTED_VALUE"""),89.86)</f>
        <v>89.86</v>
      </c>
      <c r="E930" s="1">
        <f>IFERROR(__xludf.DUMMYFUNCTION("""COMPUTED_VALUE"""),93.04)</f>
        <v>93.04</v>
      </c>
      <c r="F930" s="1">
        <f>IFERROR(__xludf.DUMMYFUNCTION("""COMPUTED_VALUE"""),4.233151E7)</f>
        <v>42331510</v>
      </c>
    </row>
    <row r="931">
      <c r="A931" s="2">
        <f>IFERROR(__xludf.DUMMYFUNCTION("""COMPUTED_VALUE"""),43028.66666666667)</f>
        <v>43028.66667</v>
      </c>
      <c r="B931" s="1">
        <f>IFERROR(__xludf.DUMMYFUNCTION("""COMPUTED_VALUE"""),92.97)</f>
        <v>92.97</v>
      </c>
      <c r="C931" s="1">
        <f>IFERROR(__xludf.DUMMYFUNCTION("""COMPUTED_VALUE"""),93.37)</f>
        <v>93.37</v>
      </c>
      <c r="D931" s="1">
        <f>IFERROR(__xludf.DUMMYFUNCTION("""COMPUTED_VALUE"""),87.59)</f>
        <v>87.59</v>
      </c>
      <c r="E931" s="1">
        <f>IFERROR(__xludf.DUMMYFUNCTION("""COMPUTED_VALUE"""),88.25)</f>
        <v>88.25</v>
      </c>
      <c r="F931" s="1">
        <f>IFERROR(__xludf.DUMMYFUNCTION("""COMPUTED_VALUE"""),4.5457597E7)</f>
        <v>45457597</v>
      </c>
    </row>
    <row r="932">
      <c r="A932" s="2">
        <f>IFERROR(__xludf.DUMMYFUNCTION("""COMPUTED_VALUE"""),43035.66666666667)</f>
        <v>43035.66667</v>
      </c>
      <c r="B932" s="1">
        <f>IFERROR(__xludf.DUMMYFUNCTION("""COMPUTED_VALUE"""),88.63)</f>
        <v>88.63</v>
      </c>
      <c r="C932" s="1">
        <f>IFERROR(__xludf.DUMMYFUNCTION("""COMPUTED_VALUE"""),88.86)</f>
        <v>88.86</v>
      </c>
      <c r="D932" s="1">
        <f>IFERROR(__xludf.DUMMYFUNCTION("""COMPUTED_VALUE"""),86.28)</f>
        <v>86.28</v>
      </c>
      <c r="E932" s="1">
        <f>IFERROR(__xludf.DUMMYFUNCTION("""COMPUTED_VALUE"""),87.04)</f>
        <v>87.04</v>
      </c>
      <c r="F932" s="1">
        <f>IFERROR(__xludf.DUMMYFUNCTION("""COMPUTED_VALUE"""),4.7569137E7)</f>
        <v>47569137</v>
      </c>
    </row>
    <row r="933">
      <c r="A933" s="2">
        <f>IFERROR(__xludf.DUMMYFUNCTION("""COMPUTED_VALUE"""),43042.66666666667)</f>
        <v>43042.66667</v>
      </c>
      <c r="B933" s="1">
        <f>IFERROR(__xludf.DUMMYFUNCTION("""COMPUTED_VALUE"""),86.91)</f>
        <v>86.91</v>
      </c>
      <c r="C933" s="1">
        <f>IFERROR(__xludf.DUMMYFUNCTION("""COMPUTED_VALUE"""),87.16)</f>
        <v>87.16</v>
      </c>
      <c r="D933" s="1">
        <f>IFERROR(__xludf.DUMMYFUNCTION("""COMPUTED_VALUE"""),85.72)</f>
        <v>85.72</v>
      </c>
      <c r="E933" s="1">
        <f>IFERROR(__xludf.DUMMYFUNCTION("""COMPUTED_VALUE"""),86.58)</f>
        <v>86.58</v>
      </c>
      <c r="F933" s="1">
        <f>IFERROR(__xludf.DUMMYFUNCTION("""COMPUTED_VALUE"""),2.7517739E7)</f>
        <v>27517739</v>
      </c>
    </row>
    <row r="934">
      <c r="A934" s="2">
        <f>IFERROR(__xludf.DUMMYFUNCTION("""COMPUTED_VALUE"""),43049.66666666667)</f>
        <v>43049.66667</v>
      </c>
      <c r="B934" s="1">
        <f>IFERROR(__xludf.DUMMYFUNCTION("""COMPUTED_VALUE"""),86.55)</f>
        <v>86.55</v>
      </c>
      <c r="C934" s="1">
        <f>IFERROR(__xludf.DUMMYFUNCTION("""COMPUTED_VALUE"""),88.39)</f>
        <v>88.39</v>
      </c>
      <c r="D934" s="1">
        <f>IFERROR(__xludf.DUMMYFUNCTION("""COMPUTED_VALUE"""),85.42)</f>
        <v>85.42</v>
      </c>
      <c r="E934" s="1">
        <f>IFERROR(__xludf.DUMMYFUNCTION("""COMPUTED_VALUE"""),88.16)</f>
        <v>88.16</v>
      </c>
      <c r="F934" s="1">
        <f>IFERROR(__xludf.DUMMYFUNCTION("""COMPUTED_VALUE"""),3.1479095E7)</f>
        <v>31479095</v>
      </c>
    </row>
    <row r="935">
      <c r="A935" s="2">
        <f>IFERROR(__xludf.DUMMYFUNCTION("""COMPUTED_VALUE"""),43056.66666666667)</f>
        <v>43056.66667</v>
      </c>
      <c r="B935" s="1">
        <f>IFERROR(__xludf.DUMMYFUNCTION("""COMPUTED_VALUE"""),88.67)</f>
        <v>88.67</v>
      </c>
      <c r="C935" s="1">
        <f>IFERROR(__xludf.DUMMYFUNCTION("""COMPUTED_VALUE"""),89.9)</f>
        <v>89.9</v>
      </c>
      <c r="D935" s="1">
        <f>IFERROR(__xludf.DUMMYFUNCTION("""COMPUTED_VALUE"""),88.0)</f>
        <v>88</v>
      </c>
      <c r="E935" s="1">
        <f>IFERROR(__xludf.DUMMYFUNCTION("""COMPUTED_VALUE"""),88.43)</f>
        <v>88.43</v>
      </c>
      <c r="F935" s="1">
        <f>IFERROR(__xludf.DUMMYFUNCTION("""COMPUTED_VALUE"""),3.1743982E7)</f>
        <v>31743982</v>
      </c>
    </row>
    <row r="936">
      <c r="A936" s="2">
        <f>IFERROR(__xludf.DUMMYFUNCTION("""COMPUTED_VALUE"""),43063.54166666667)</f>
        <v>43063.54167</v>
      </c>
      <c r="B936" s="1">
        <f>IFERROR(__xludf.DUMMYFUNCTION("""COMPUTED_VALUE"""),88.43)</f>
        <v>88.43</v>
      </c>
      <c r="C936" s="1">
        <f>IFERROR(__xludf.DUMMYFUNCTION("""COMPUTED_VALUE"""),89.21)</f>
        <v>89.21</v>
      </c>
      <c r="D936" s="1">
        <f>IFERROR(__xludf.DUMMYFUNCTION("""COMPUTED_VALUE"""),87.71)</f>
        <v>87.71</v>
      </c>
      <c r="E936" s="1">
        <f>IFERROR(__xludf.DUMMYFUNCTION("""COMPUTED_VALUE"""),88.45)</f>
        <v>88.45</v>
      </c>
      <c r="F936" s="1">
        <f>IFERROR(__xludf.DUMMYFUNCTION("""COMPUTED_VALUE"""),1.9326194E7)</f>
        <v>19326194</v>
      </c>
    </row>
    <row r="937">
      <c r="A937" s="2">
        <f>IFERROR(__xludf.DUMMYFUNCTION("""COMPUTED_VALUE"""),43070.66666666667)</f>
        <v>43070.66667</v>
      </c>
      <c r="B937" s="1">
        <f>IFERROR(__xludf.DUMMYFUNCTION("""COMPUTED_VALUE"""),88.33)</f>
        <v>88.33</v>
      </c>
      <c r="C937" s="1">
        <f>IFERROR(__xludf.DUMMYFUNCTION("""COMPUTED_VALUE"""),90.53)</f>
        <v>90.53</v>
      </c>
      <c r="D937" s="1">
        <f>IFERROR(__xludf.DUMMYFUNCTION("""COMPUTED_VALUE"""),88.15)</f>
        <v>88.15</v>
      </c>
      <c r="E937" s="1">
        <f>IFERROR(__xludf.DUMMYFUNCTION("""COMPUTED_VALUE"""),90.36)</f>
        <v>90.36</v>
      </c>
      <c r="F937" s="1">
        <f>IFERROR(__xludf.DUMMYFUNCTION("""COMPUTED_VALUE"""),3.3943017E7)</f>
        <v>33943017</v>
      </c>
    </row>
    <row r="938">
      <c r="A938" s="2">
        <f>IFERROR(__xludf.DUMMYFUNCTION("""COMPUTED_VALUE"""),43077.66666666667)</f>
        <v>43077.66667</v>
      </c>
      <c r="B938" s="1">
        <f>IFERROR(__xludf.DUMMYFUNCTION("""COMPUTED_VALUE"""),90.17)</f>
        <v>90.17</v>
      </c>
      <c r="C938" s="1">
        <f>IFERROR(__xludf.DUMMYFUNCTION("""COMPUTED_VALUE"""),91.91)</f>
        <v>91.91</v>
      </c>
      <c r="D938" s="1">
        <f>IFERROR(__xludf.DUMMYFUNCTION("""COMPUTED_VALUE"""),89.58)</f>
        <v>89.58</v>
      </c>
      <c r="E938" s="1">
        <f>IFERROR(__xludf.DUMMYFUNCTION("""COMPUTED_VALUE"""),90.37)</f>
        <v>90.37</v>
      </c>
      <c r="F938" s="1">
        <f>IFERROR(__xludf.DUMMYFUNCTION("""COMPUTED_VALUE"""),3.758157E7)</f>
        <v>37581570</v>
      </c>
    </row>
    <row r="939">
      <c r="A939" s="2">
        <f>IFERROR(__xludf.DUMMYFUNCTION("""COMPUTED_VALUE"""),43084.66666666667)</f>
        <v>43084.66667</v>
      </c>
      <c r="B939" s="1">
        <f>IFERROR(__xludf.DUMMYFUNCTION("""COMPUTED_VALUE"""),90.23)</f>
        <v>90.23</v>
      </c>
      <c r="C939" s="1">
        <f>IFERROR(__xludf.DUMMYFUNCTION("""COMPUTED_VALUE"""),92.27)</f>
        <v>92.27</v>
      </c>
      <c r="D939" s="1">
        <f>IFERROR(__xludf.DUMMYFUNCTION("""COMPUTED_VALUE"""),89.75)</f>
        <v>89.75</v>
      </c>
      <c r="E939" s="1">
        <f>IFERROR(__xludf.DUMMYFUNCTION("""COMPUTED_VALUE"""),91.89)</f>
        <v>91.89</v>
      </c>
      <c r="F939" s="1">
        <f>IFERROR(__xludf.DUMMYFUNCTION("""COMPUTED_VALUE"""),4.0333419E7)</f>
        <v>40333419</v>
      </c>
    </row>
    <row r="940">
      <c r="A940" s="2">
        <f>IFERROR(__xludf.DUMMYFUNCTION("""COMPUTED_VALUE"""),43091.66666666667)</f>
        <v>43091.66667</v>
      </c>
      <c r="B940" s="1">
        <f>IFERROR(__xludf.DUMMYFUNCTION("""COMPUTED_VALUE"""),91.98)</f>
        <v>91.98</v>
      </c>
      <c r="C940" s="1">
        <f>IFERROR(__xludf.DUMMYFUNCTION("""COMPUTED_VALUE"""),93.14)</f>
        <v>93.14</v>
      </c>
      <c r="D940" s="1">
        <f>IFERROR(__xludf.DUMMYFUNCTION("""COMPUTED_VALUE"""),91.35)</f>
        <v>91.35</v>
      </c>
      <c r="E940" s="1">
        <f>IFERROR(__xludf.DUMMYFUNCTION("""COMPUTED_VALUE"""),92.13)</f>
        <v>92.13</v>
      </c>
      <c r="F940" s="1">
        <f>IFERROR(__xludf.DUMMYFUNCTION("""COMPUTED_VALUE"""),2.9768455E7)</f>
        <v>29768455</v>
      </c>
    </row>
    <row r="941">
      <c r="A941" s="2">
        <f>IFERROR(__xludf.DUMMYFUNCTION("""COMPUTED_VALUE"""),43098.66666666667)</f>
        <v>43098.66667</v>
      </c>
      <c r="B941" s="1">
        <f>IFERROR(__xludf.DUMMYFUNCTION("""COMPUTED_VALUE"""),92.35)</f>
        <v>92.35</v>
      </c>
      <c r="C941" s="1">
        <f>IFERROR(__xludf.DUMMYFUNCTION("""COMPUTED_VALUE"""),92.77)</f>
        <v>92.77</v>
      </c>
      <c r="D941" s="1">
        <f>IFERROR(__xludf.DUMMYFUNCTION("""COMPUTED_VALUE"""),91.88)</f>
        <v>91.88</v>
      </c>
      <c r="E941" s="1">
        <f>IFERROR(__xludf.DUMMYFUNCTION("""COMPUTED_VALUE"""),91.88)</f>
        <v>91.88</v>
      </c>
      <c r="F941" s="1">
        <f>IFERROR(__xludf.DUMMYFUNCTION("""COMPUTED_VALUE"""),1.5060636E7)</f>
        <v>15060636</v>
      </c>
    </row>
    <row r="942">
      <c r="A942" s="2">
        <f>IFERROR(__xludf.DUMMYFUNCTION("""COMPUTED_VALUE"""),43105.66666666667)</f>
        <v>43105.66667</v>
      </c>
      <c r="B942" s="1">
        <f>IFERROR(__xludf.DUMMYFUNCTION("""COMPUTED_VALUE"""),91.92)</f>
        <v>91.92</v>
      </c>
      <c r="C942" s="1">
        <f>IFERROR(__xludf.DUMMYFUNCTION("""COMPUTED_VALUE"""),91.93)</f>
        <v>91.93</v>
      </c>
      <c r="D942" s="1">
        <f>IFERROR(__xludf.DUMMYFUNCTION("""COMPUTED_VALUE"""),90.52)</f>
        <v>90.52</v>
      </c>
      <c r="E942" s="1">
        <f>IFERROR(__xludf.DUMMYFUNCTION("""COMPUTED_VALUE"""),91.24)</f>
        <v>91.24</v>
      </c>
      <c r="F942" s="1">
        <f>IFERROR(__xludf.DUMMYFUNCTION("""COMPUTED_VALUE"""),2.569466E7)</f>
        <v>25694660</v>
      </c>
    </row>
    <row r="943">
      <c r="A943" s="2">
        <f>IFERROR(__xludf.DUMMYFUNCTION("""COMPUTED_VALUE"""),43112.66666666667)</f>
        <v>43112.66667</v>
      </c>
      <c r="B943" s="1">
        <f>IFERROR(__xludf.DUMMYFUNCTION("""COMPUTED_VALUE"""),90.93)</f>
        <v>90.93</v>
      </c>
      <c r="C943" s="1">
        <f>IFERROR(__xludf.DUMMYFUNCTION("""COMPUTED_VALUE"""),91.77)</f>
        <v>91.77</v>
      </c>
      <c r="D943" s="1">
        <f>IFERROR(__xludf.DUMMYFUNCTION("""COMPUTED_VALUE"""),89.35)</f>
        <v>89.35</v>
      </c>
      <c r="E943" s="1">
        <f>IFERROR(__xludf.DUMMYFUNCTION("""COMPUTED_VALUE"""),89.61)</f>
        <v>89.61</v>
      </c>
      <c r="F943" s="1">
        <f>IFERROR(__xludf.DUMMYFUNCTION("""COMPUTED_VALUE"""),3.1636194E7)</f>
        <v>31636194</v>
      </c>
    </row>
    <row r="944">
      <c r="A944" s="2">
        <f>IFERROR(__xludf.DUMMYFUNCTION("""COMPUTED_VALUE"""),43119.66666666667)</f>
        <v>43119.66667</v>
      </c>
      <c r="B944" s="1">
        <f>IFERROR(__xludf.DUMMYFUNCTION("""COMPUTED_VALUE"""),90.14)</f>
        <v>90.14</v>
      </c>
      <c r="C944" s="1">
        <f>IFERROR(__xludf.DUMMYFUNCTION("""COMPUTED_VALUE"""),91.73)</f>
        <v>91.73</v>
      </c>
      <c r="D944" s="1">
        <f>IFERROR(__xludf.DUMMYFUNCTION("""COMPUTED_VALUE"""),89.64)</f>
        <v>89.64</v>
      </c>
      <c r="E944" s="1">
        <f>IFERROR(__xludf.DUMMYFUNCTION("""COMPUTED_VALUE"""),91.07)</f>
        <v>91.07</v>
      </c>
      <c r="F944" s="1">
        <f>IFERROR(__xludf.DUMMYFUNCTION("""COMPUTED_VALUE"""),3.4874645E7)</f>
        <v>34874645</v>
      </c>
    </row>
    <row r="945">
      <c r="A945" s="2">
        <f>IFERROR(__xludf.DUMMYFUNCTION("""COMPUTED_VALUE"""),43126.66666666667)</f>
        <v>43126.66667</v>
      </c>
      <c r="B945" s="1">
        <f>IFERROR(__xludf.DUMMYFUNCTION("""COMPUTED_VALUE"""),90.88)</f>
        <v>90.88</v>
      </c>
      <c r="C945" s="1">
        <f>IFERROR(__xludf.DUMMYFUNCTION("""COMPUTED_VALUE"""),91.92)</f>
        <v>91.92</v>
      </c>
      <c r="D945" s="1">
        <f>IFERROR(__xludf.DUMMYFUNCTION("""COMPUTED_VALUE"""),87.23)</f>
        <v>87.23</v>
      </c>
      <c r="E945" s="1">
        <f>IFERROR(__xludf.DUMMYFUNCTION("""COMPUTED_VALUE"""),87.73)</f>
        <v>87.73</v>
      </c>
      <c r="F945" s="1">
        <f>IFERROR(__xludf.DUMMYFUNCTION("""COMPUTED_VALUE"""),6.5323664E7)</f>
        <v>65323664</v>
      </c>
    </row>
    <row r="946">
      <c r="A946" s="2">
        <f>IFERROR(__xludf.DUMMYFUNCTION("""COMPUTED_VALUE"""),43133.66666666667)</f>
        <v>43133.66667</v>
      </c>
      <c r="B946" s="1">
        <f>IFERROR(__xludf.DUMMYFUNCTION("""COMPUTED_VALUE"""),87.69)</f>
        <v>87.69</v>
      </c>
      <c r="C946" s="1">
        <f>IFERROR(__xludf.DUMMYFUNCTION("""COMPUTED_VALUE"""),87.74)</f>
        <v>87.74</v>
      </c>
      <c r="D946" s="1">
        <f>IFERROR(__xludf.DUMMYFUNCTION("""COMPUTED_VALUE"""),84.21)</f>
        <v>84.21</v>
      </c>
      <c r="E946" s="1">
        <f>IFERROR(__xludf.DUMMYFUNCTION("""COMPUTED_VALUE"""),84.25)</f>
        <v>84.25</v>
      </c>
      <c r="F946" s="1">
        <f>IFERROR(__xludf.DUMMYFUNCTION("""COMPUTED_VALUE"""),5.4599344E7)</f>
        <v>54599344</v>
      </c>
    </row>
    <row r="947">
      <c r="A947" s="2">
        <f>IFERROR(__xludf.DUMMYFUNCTION("""COMPUTED_VALUE"""),43140.66666666667)</f>
        <v>43140.66667</v>
      </c>
      <c r="B947" s="1">
        <f>IFERROR(__xludf.DUMMYFUNCTION("""COMPUTED_VALUE"""),83.99)</f>
        <v>83.99</v>
      </c>
      <c r="C947" s="1">
        <f>IFERROR(__xludf.DUMMYFUNCTION("""COMPUTED_VALUE"""),84.37)</f>
        <v>84.37</v>
      </c>
      <c r="D947" s="1">
        <f>IFERROR(__xludf.DUMMYFUNCTION("""COMPUTED_VALUE"""),78.59)</f>
        <v>78.59</v>
      </c>
      <c r="E947" s="1">
        <f>IFERROR(__xludf.DUMMYFUNCTION("""COMPUTED_VALUE"""),79.92)</f>
        <v>79.92</v>
      </c>
      <c r="F947" s="1">
        <f>IFERROR(__xludf.DUMMYFUNCTION("""COMPUTED_VALUE"""),8.2704447E7)</f>
        <v>82704447</v>
      </c>
    </row>
    <row r="948">
      <c r="A948" s="2">
        <f>IFERROR(__xludf.DUMMYFUNCTION("""COMPUTED_VALUE"""),43147.66666666667)</f>
        <v>43147.66667</v>
      </c>
      <c r="B948" s="1">
        <f>IFERROR(__xludf.DUMMYFUNCTION("""COMPUTED_VALUE"""),80.61)</f>
        <v>80.61</v>
      </c>
      <c r="C948" s="1">
        <f>IFERROR(__xludf.DUMMYFUNCTION("""COMPUTED_VALUE"""),83.25)</f>
        <v>83.25</v>
      </c>
      <c r="D948" s="1">
        <f>IFERROR(__xludf.DUMMYFUNCTION("""COMPUTED_VALUE"""),80.27)</f>
        <v>80.27</v>
      </c>
      <c r="E948" s="1">
        <f>IFERROR(__xludf.DUMMYFUNCTION("""COMPUTED_VALUE"""),82.6)</f>
        <v>82.6</v>
      </c>
      <c r="F948" s="1">
        <f>IFERROR(__xludf.DUMMYFUNCTION("""COMPUTED_VALUE"""),4.8742098E7)</f>
        <v>48742098</v>
      </c>
    </row>
    <row r="949">
      <c r="A949" s="2">
        <f>IFERROR(__xludf.DUMMYFUNCTION("""COMPUTED_VALUE"""),43154.66666666667)</f>
        <v>43154.66667</v>
      </c>
      <c r="B949" s="1">
        <f>IFERROR(__xludf.DUMMYFUNCTION("""COMPUTED_VALUE"""),82.19)</f>
        <v>82.19</v>
      </c>
      <c r="C949" s="1">
        <f>IFERROR(__xludf.DUMMYFUNCTION("""COMPUTED_VALUE"""),82.22)</f>
        <v>82.22</v>
      </c>
      <c r="D949" s="1">
        <f>IFERROR(__xludf.DUMMYFUNCTION("""COMPUTED_VALUE"""),80.17)</f>
        <v>80.17</v>
      </c>
      <c r="E949" s="1">
        <f>IFERROR(__xludf.DUMMYFUNCTION("""COMPUTED_VALUE"""),81.05)</f>
        <v>81.05</v>
      </c>
      <c r="F949" s="1">
        <f>IFERROR(__xludf.DUMMYFUNCTION("""COMPUTED_VALUE"""),3.6821801E7)</f>
        <v>36821801</v>
      </c>
    </row>
    <row r="950">
      <c r="A950" s="2">
        <f>IFERROR(__xludf.DUMMYFUNCTION("""COMPUTED_VALUE"""),43161.66666666667)</f>
        <v>43161.66667</v>
      </c>
      <c r="B950" s="1">
        <f>IFERROR(__xludf.DUMMYFUNCTION("""COMPUTED_VALUE"""),81.45)</f>
        <v>81.45</v>
      </c>
      <c r="C950" s="1">
        <f>IFERROR(__xludf.DUMMYFUNCTION("""COMPUTED_VALUE"""),82.0)</f>
        <v>82</v>
      </c>
      <c r="D950" s="1">
        <f>IFERROR(__xludf.DUMMYFUNCTION("""COMPUTED_VALUE"""),77.9)</f>
        <v>77.9</v>
      </c>
      <c r="E950" s="1">
        <f>IFERROR(__xludf.DUMMYFUNCTION("""COMPUTED_VALUE"""),79.5)</f>
        <v>79.5</v>
      </c>
      <c r="F950" s="1">
        <f>IFERROR(__xludf.DUMMYFUNCTION("""COMPUTED_VALUE"""),5.8025661E7)</f>
        <v>58025661</v>
      </c>
    </row>
    <row r="951">
      <c r="A951" s="2">
        <f>IFERROR(__xludf.DUMMYFUNCTION("""COMPUTED_VALUE"""),43168.66666666667)</f>
        <v>43168.66667</v>
      </c>
      <c r="B951" s="1">
        <f>IFERROR(__xludf.DUMMYFUNCTION("""COMPUTED_VALUE"""),79.28)</f>
        <v>79.28</v>
      </c>
      <c r="C951" s="1">
        <f>IFERROR(__xludf.DUMMYFUNCTION("""COMPUTED_VALUE"""),80.75)</f>
        <v>80.75</v>
      </c>
      <c r="D951" s="1">
        <f>IFERROR(__xludf.DUMMYFUNCTION("""COMPUTED_VALUE"""),78.9)</f>
        <v>78.9</v>
      </c>
      <c r="E951" s="1">
        <f>IFERROR(__xludf.DUMMYFUNCTION("""COMPUTED_VALUE"""),80.29)</f>
        <v>80.29</v>
      </c>
      <c r="F951" s="1">
        <f>IFERROR(__xludf.DUMMYFUNCTION("""COMPUTED_VALUE"""),4.196578E7)</f>
        <v>41965780</v>
      </c>
    </row>
    <row r="952">
      <c r="A952" s="2">
        <f>IFERROR(__xludf.DUMMYFUNCTION("""COMPUTED_VALUE"""),43175.66666666667)</f>
        <v>43175.66667</v>
      </c>
      <c r="B952" s="1">
        <f>IFERROR(__xludf.DUMMYFUNCTION("""COMPUTED_VALUE"""),80.23)</f>
        <v>80.23</v>
      </c>
      <c r="C952" s="1">
        <f>IFERROR(__xludf.DUMMYFUNCTION("""COMPUTED_VALUE"""),80.62)</f>
        <v>80.62</v>
      </c>
      <c r="D952" s="1">
        <f>IFERROR(__xludf.DUMMYFUNCTION("""COMPUTED_VALUE"""),78.54)</f>
        <v>78.54</v>
      </c>
      <c r="E952" s="1">
        <f>IFERROR(__xludf.DUMMYFUNCTION("""COMPUTED_VALUE"""),78.97)</f>
        <v>78.97</v>
      </c>
      <c r="F952" s="1">
        <f>IFERROR(__xludf.DUMMYFUNCTION("""COMPUTED_VALUE"""),5.0412704E7)</f>
        <v>50412704</v>
      </c>
    </row>
    <row r="953">
      <c r="A953" s="2">
        <f>IFERROR(__xludf.DUMMYFUNCTION("""COMPUTED_VALUE"""),43182.66666666667)</f>
        <v>43182.66667</v>
      </c>
      <c r="B953" s="1">
        <f>IFERROR(__xludf.DUMMYFUNCTION("""COMPUTED_VALUE"""),78.97)</f>
        <v>78.97</v>
      </c>
      <c r="C953" s="1">
        <f>IFERROR(__xludf.DUMMYFUNCTION("""COMPUTED_VALUE"""),79.57)</f>
        <v>79.57</v>
      </c>
      <c r="D953" s="1">
        <f>IFERROR(__xludf.DUMMYFUNCTION("""COMPUTED_VALUE"""),75.81)</f>
        <v>75.81</v>
      </c>
      <c r="E953" s="1">
        <f>IFERROR(__xludf.DUMMYFUNCTION("""COMPUTED_VALUE"""),75.91)</f>
        <v>75.91</v>
      </c>
      <c r="F953" s="1">
        <f>IFERROR(__xludf.DUMMYFUNCTION("""COMPUTED_VALUE"""),4.8866488E7)</f>
        <v>48866488</v>
      </c>
    </row>
    <row r="954">
      <c r="A954" s="2">
        <f>IFERROR(__xludf.DUMMYFUNCTION("""COMPUTED_VALUE"""),43188.66666666667)</f>
        <v>43188.66667</v>
      </c>
      <c r="B954" s="1">
        <f>IFERROR(__xludf.DUMMYFUNCTION("""COMPUTED_VALUE"""),76.57)</f>
        <v>76.57</v>
      </c>
      <c r="C954" s="1">
        <f>IFERROR(__xludf.DUMMYFUNCTION("""COMPUTED_VALUE"""),80.49)</f>
        <v>80.49</v>
      </c>
      <c r="D954" s="1">
        <f>IFERROR(__xludf.DUMMYFUNCTION("""COMPUTED_VALUE"""),76.02)</f>
        <v>76.02</v>
      </c>
      <c r="E954" s="1">
        <f>IFERROR(__xludf.DUMMYFUNCTION("""COMPUTED_VALUE"""),79.28)</f>
        <v>79.28</v>
      </c>
      <c r="F954" s="1">
        <f>IFERROR(__xludf.DUMMYFUNCTION("""COMPUTED_VALUE"""),4.7119414E7)</f>
        <v>47119414</v>
      </c>
    </row>
    <row r="955">
      <c r="A955" s="2">
        <f>IFERROR(__xludf.DUMMYFUNCTION("""COMPUTED_VALUE"""),43196.66666666667)</f>
        <v>43196.66667</v>
      </c>
      <c r="B955" s="1">
        <f>IFERROR(__xludf.DUMMYFUNCTION("""COMPUTED_VALUE"""),79.26)</f>
        <v>79.26</v>
      </c>
      <c r="C955" s="1">
        <f>IFERROR(__xludf.DUMMYFUNCTION("""COMPUTED_VALUE"""),79.52)</f>
        <v>79.52</v>
      </c>
      <c r="D955" s="1">
        <f>IFERROR(__xludf.DUMMYFUNCTION("""COMPUTED_VALUE"""),77.06)</f>
        <v>77.06</v>
      </c>
      <c r="E955" s="1">
        <f>IFERROR(__xludf.DUMMYFUNCTION("""COMPUTED_VALUE"""),78.43)</f>
        <v>78.43</v>
      </c>
      <c r="F955" s="1">
        <f>IFERROR(__xludf.DUMMYFUNCTION("""COMPUTED_VALUE"""),4.9146627E7)</f>
        <v>49146627</v>
      </c>
    </row>
    <row r="956">
      <c r="A956" s="2">
        <f>IFERROR(__xludf.DUMMYFUNCTION("""COMPUTED_VALUE"""),43203.66666666667)</f>
        <v>43203.66667</v>
      </c>
      <c r="B956" s="1">
        <f>IFERROR(__xludf.DUMMYFUNCTION("""COMPUTED_VALUE"""),78.8)</f>
        <v>78.8</v>
      </c>
      <c r="C956" s="1">
        <f>IFERROR(__xludf.DUMMYFUNCTION("""COMPUTED_VALUE"""),78.85)</f>
        <v>78.85</v>
      </c>
      <c r="D956" s="1">
        <f>IFERROR(__xludf.DUMMYFUNCTION("""COMPUTED_VALUE"""),77.57)</f>
        <v>77.57</v>
      </c>
      <c r="E956" s="1">
        <f>IFERROR(__xludf.DUMMYFUNCTION("""COMPUTED_VALUE"""),78.37)</f>
        <v>78.37</v>
      </c>
      <c r="F956" s="1">
        <f>IFERROR(__xludf.DUMMYFUNCTION("""COMPUTED_VALUE"""),3.8477325E7)</f>
        <v>38477325</v>
      </c>
    </row>
    <row r="957">
      <c r="A957" s="2">
        <f>IFERROR(__xludf.DUMMYFUNCTION("""COMPUTED_VALUE"""),43210.66666666667)</f>
        <v>43210.66667</v>
      </c>
      <c r="B957" s="1">
        <f>IFERROR(__xludf.DUMMYFUNCTION("""COMPUTED_VALUE"""),78.56)</f>
        <v>78.56</v>
      </c>
      <c r="C957" s="1">
        <f>IFERROR(__xludf.DUMMYFUNCTION("""COMPUTED_VALUE"""),78.94)</f>
        <v>78.94</v>
      </c>
      <c r="D957" s="1">
        <f>IFERROR(__xludf.DUMMYFUNCTION("""COMPUTED_VALUE"""),73.74)</f>
        <v>73.74</v>
      </c>
      <c r="E957" s="1">
        <f>IFERROR(__xludf.DUMMYFUNCTION("""COMPUTED_VALUE"""),73.8)</f>
        <v>73.8</v>
      </c>
      <c r="F957" s="1">
        <f>IFERROR(__xludf.DUMMYFUNCTION("""COMPUTED_VALUE"""),5.0844558E7)</f>
        <v>50844558</v>
      </c>
    </row>
    <row r="958">
      <c r="A958" s="2">
        <f>IFERROR(__xludf.DUMMYFUNCTION("""COMPUTED_VALUE"""),43217.66666666667)</f>
        <v>43217.66667</v>
      </c>
      <c r="B958" s="1">
        <f>IFERROR(__xludf.DUMMYFUNCTION("""COMPUTED_VALUE"""),73.59)</f>
        <v>73.59</v>
      </c>
      <c r="C958" s="1">
        <f>IFERROR(__xludf.DUMMYFUNCTION("""COMPUTED_VALUE"""),73.98)</f>
        <v>73.98</v>
      </c>
      <c r="D958" s="1">
        <f>IFERROR(__xludf.DUMMYFUNCTION("""COMPUTED_VALUE"""),71.95)</f>
        <v>71.95</v>
      </c>
      <c r="E958" s="1">
        <f>IFERROR(__xludf.DUMMYFUNCTION("""COMPUTED_VALUE"""),72.81)</f>
        <v>72.81</v>
      </c>
      <c r="F958" s="1">
        <f>IFERROR(__xludf.DUMMYFUNCTION("""COMPUTED_VALUE"""),6.3763034E7)</f>
        <v>63763034</v>
      </c>
    </row>
    <row r="959">
      <c r="A959" s="2">
        <f>IFERROR(__xludf.DUMMYFUNCTION("""COMPUTED_VALUE"""),43224.66666666667)</f>
        <v>43224.66667</v>
      </c>
      <c r="B959" s="1">
        <f>IFERROR(__xludf.DUMMYFUNCTION("""COMPUTED_VALUE"""),72.91)</f>
        <v>72.91</v>
      </c>
      <c r="C959" s="1">
        <f>IFERROR(__xludf.DUMMYFUNCTION("""COMPUTED_VALUE"""),72.92)</f>
        <v>72.92</v>
      </c>
      <c r="D959" s="1">
        <f>IFERROR(__xludf.DUMMYFUNCTION("""COMPUTED_VALUE"""),70.73)</f>
        <v>70.73</v>
      </c>
      <c r="E959" s="1">
        <f>IFERROR(__xludf.DUMMYFUNCTION("""COMPUTED_VALUE"""),72.43)</f>
        <v>72.43</v>
      </c>
      <c r="F959" s="1">
        <f>IFERROR(__xludf.DUMMYFUNCTION("""COMPUTED_VALUE"""),4.9505071E7)</f>
        <v>49505071</v>
      </c>
    </row>
    <row r="960">
      <c r="A960" s="2">
        <f>IFERROR(__xludf.DUMMYFUNCTION("""COMPUTED_VALUE"""),43231.66666666667)</f>
        <v>43231.66667</v>
      </c>
      <c r="B960" s="1">
        <f>IFERROR(__xludf.DUMMYFUNCTION("""COMPUTED_VALUE"""),72.67)</f>
        <v>72.67</v>
      </c>
      <c r="C960" s="1">
        <f>IFERROR(__xludf.DUMMYFUNCTION("""COMPUTED_VALUE"""),74.1)</f>
        <v>74.1</v>
      </c>
      <c r="D960" s="1">
        <f>IFERROR(__xludf.DUMMYFUNCTION("""COMPUTED_VALUE"""),71.11)</f>
        <v>71.11</v>
      </c>
      <c r="E960" s="1">
        <f>IFERROR(__xludf.DUMMYFUNCTION("""COMPUTED_VALUE"""),73.37)</f>
        <v>73.37</v>
      </c>
      <c r="F960" s="1">
        <f>IFERROR(__xludf.DUMMYFUNCTION("""COMPUTED_VALUE"""),3.7450735E7)</f>
        <v>37450735</v>
      </c>
    </row>
    <row r="961">
      <c r="A961" s="2">
        <f>IFERROR(__xludf.DUMMYFUNCTION("""COMPUTED_VALUE"""),43238.66666666667)</f>
        <v>43238.66667</v>
      </c>
      <c r="B961" s="1">
        <f>IFERROR(__xludf.DUMMYFUNCTION("""COMPUTED_VALUE"""),73.78)</f>
        <v>73.78</v>
      </c>
      <c r="C961" s="1">
        <f>IFERROR(__xludf.DUMMYFUNCTION("""COMPUTED_VALUE"""),74.07)</f>
        <v>74.07</v>
      </c>
      <c r="D961" s="1">
        <f>IFERROR(__xludf.DUMMYFUNCTION("""COMPUTED_VALUE"""),72.6)</f>
        <v>72.6</v>
      </c>
      <c r="E961" s="1">
        <f>IFERROR(__xludf.DUMMYFUNCTION("""COMPUTED_VALUE"""),73.45)</f>
        <v>73.45</v>
      </c>
      <c r="F961" s="1">
        <f>IFERROR(__xludf.DUMMYFUNCTION("""COMPUTED_VALUE"""),4.3570968E7)</f>
        <v>43570968</v>
      </c>
    </row>
    <row r="962">
      <c r="A962" s="2">
        <f>IFERROR(__xludf.DUMMYFUNCTION("""COMPUTED_VALUE"""),43245.66666666667)</f>
        <v>43245.66667</v>
      </c>
      <c r="B962" s="1">
        <f>IFERROR(__xludf.DUMMYFUNCTION("""COMPUTED_VALUE"""),73.75)</f>
        <v>73.75</v>
      </c>
      <c r="C962" s="1">
        <f>IFERROR(__xludf.DUMMYFUNCTION("""COMPUTED_VALUE"""),74.94)</f>
        <v>74.94</v>
      </c>
      <c r="D962" s="1">
        <f>IFERROR(__xludf.DUMMYFUNCTION("""COMPUTED_VALUE"""),73.42)</f>
        <v>73.42</v>
      </c>
      <c r="E962" s="1">
        <f>IFERROR(__xludf.DUMMYFUNCTION("""COMPUTED_VALUE"""),74.31)</f>
        <v>74.31</v>
      </c>
      <c r="F962" s="1">
        <f>IFERROR(__xludf.DUMMYFUNCTION("""COMPUTED_VALUE"""),3.482044E7)</f>
        <v>34820440</v>
      </c>
    </row>
    <row r="963">
      <c r="A963" s="2">
        <f>IFERROR(__xludf.DUMMYFUNCTION("""COMPUTED_VALUE"""),43252.66666666667)</f>
        <v>43252.66667</v>
      </c>
      <c r="B963" s="1">
        <f>IFERROR(__xludf.DUMMYFUNCTION("""COMPUTED_VALUE"""),74.06)</f>
        <v>74.06</v>
      </c>
      <c r="C963" s="1">
        <f>IFERROR(__xludf.DUMMYFUNCTION("""COMPUTED_VALUE"""),75.02)</f>
        <v>75.02</v>
      </c>
      <c r="D963" s="1">
        <f>IFERROR(__xludf.DUMMYFUNCTION("""COMPUTED_VALUE"""),72.8)</f>
        <v>72.8</v>
      </c>
      <c r="E963" s="1">
        <f>IFERROR(__xludf.DUMMYFUNCTION("""COMPUTED_VALUE"""),73.45)</f>
        <v>73.45</v>
      </c>
      <c r="F963" s="1">
        <f>IFERROR(__xludf.DUMMYFUNCTION("""COMPUTED_VALUE"""),3.9769488E7)</f>
        <v>39769488</v>
      </c>
    </row>
    <row r="964">
      <c r="A964" s="2">
        <f>IFERROR(__xludf.DUMMYFUNCTION("""COMPUTED_VALUE"""),43259.66666666667)</f>
        <v>43259.66667</v>
      </c>
      <c r="B964" s="1">
        <f>IFERROR(__xludf.DUMMYFUNCTION("""COMPUTED_VALUE"""),73.54)</f>
        <v>73.54</v>
      </c>
      <c r="C964" s="1">
        <f>IFERROR(__xludf.DUMMYFUNCTION("""COMPUTED_VALUE"""),77.21)</f>
        <v>77.21</v>
      </c>
      <c r="D964" s="1">
        <f>IFERROR(__xludf.DUMMYFUNCTION("""COMPUTED_VALUE"""),73.45)</f>
        <v>73.45</v>
      </c>
      <c r="E964" s="1">
        <f>IFERROR(__xludf.DUMMYFUNCTION("""COMPUTED_VALUE"""),77.18)</f>
        <v>77.18</v>
      </c>
      <c r="F964" s="1">
        <f>IFERROR(__xludf.DUMMYFUNCTION("""COMPUTED_VALUE"""),4.9758281E7)</f>
        <v>49758281</v>
      </c>
    </row>
    <row r="965">
      <c r="A965" s="2">
        <f>IFERROR(__xludf.DUMMYFUNCTION("""COMPUTED_VALUE"""),43266.66666666667)</f>
        <v>43266.66667</v>
      </c>
      <c r="B965" s="1">
        <f>IFERROR(__xludf.DUMMYFUNCTION("""COMPUTED_VALUE"""),76.97)</f>
        <v>76.97</v>
      </c>
      <c r="C965" s="1">
        <f>IFERROR(__xludf.DUMMYFUNCTION("""COMPUTED_VALUE"""),77.89)</f>
        <v>77.89</v>
      </c>
      <c r="D965" s="1">
        <f>IFERROR(__xludf.DUMMYFUNCTION("""COMPUTED_VALUE"""),75.7)</f>
        <v>75.7</v>
      </c>
      <c r="E965" s="1">
        <f>IFERROR(__xludf.DUMMYFUNCTION("""COMPUTED_VALUE"""),77.38)</f>
        <v>77.38</v>
      </c>
      <c r="F965" s="1">
        <f>IFERROR(__xludf.DUMMYFUNCTION("""COMPUTED_VALUE"""),4.9696551E7)</f>
        <v>49696551</v>
      </c>
    </row>
    <row r="966">
      <c r="A966" s="2">
        <f>IFERROR(__xludf.DUMMYFUNCTION("""COMPUTED_VALUE"""),43273.66666666667)</f>
        <v>43273.66667</v>
      </c>
      <c r="B966" s="1">
        <f>IFERROR(__xludf.DUMMYFUNCTION("""COMPUTED_VALUE"""),76.86)</f>
        <v>76.86</v>
      </c>
      <c r="C966" s="1">
        <f>IFERROR(__xludf.DUMMYFUNCTION("""COMPUTED_VALUE"""),77.63)</f>
        <v>77.63</v>
      </c>
      <c r="D966" s="1">
        <f>IFERROR(__xludf.DUMMYFUNCTION("""COMPUTED_VALUE"""),75.39)</f>
        <v>75.39</v>
      </c>
      <c r="E966" s="1">
        <f>IFERROR(__xludf.DUMMYFUNCTION("""COMPUTED_VALUE"""),77.43)</f>
        <v>77.43</v>
      </c>
      <c r="F966" s="1">
        <f>IFERROR(__xludf.DUMMYFUNCTION("""COMPUTED_VALUE"""),4.3009089E7)</f>
        <v>43009089</v>
      </c>
    </row>
    <row r="967">
      <c r="A967" s="2">
        <f>IFERROR(__xludf.DUMMYFUNCTION("""COMPUTED_VALUE"""),43280.66666666667)</f>
        <v>43280.66667</v>
      </c>
      <c r="B967" s="1">
        <f>IFERROR(__xludf.DUMMYFUNCTION("""COMPUTED_VALUE"""),77.28)</f>
        <v>77.28</v>
      </c>
      <c r="C967" s="1">
        <f>IFERROR(__xludf.DUMMYFUNCTION("""COMPUTED_VALUE"""),78.71)</f>
        <v>78.71</v>
      </c>
      <c r="D967" s="1">
        <f>IFERROR(__xludf.DUMMYFUNCTION("""COMPUTED_VALUE"""),77.18)</f>
        <v>77.18</v>
      </c>
      <c r="E967" s="1">
        <f>IFERROR(__xludf.DUMMYFUNCTION("""COMPUTED_VALUE"""),78.06)</f>
        <v>78.06</v>
      </c>
      <c r="F967" s="1">
        <f>IFERROR(__xludf.DUMMYFUNCTION("""COMPUTED_VALUE"""),4.2126528E7)</f>
        <v>42126528</v>
      </c>
    </row>
    <row r="968">
      <c r="A968" s="2">
        <f>IFERROR(__xludf.DUMMYFUNCTION("""COMPUTED_VALUE"""),43287.66666666667)</f>
        <v>43287.66667</v>
      </c>
      <c r="B968" s="1">
        <f>IFERROR(__xludf.DUMMYFUNCTION("""COMPUTED_VALUE"""),77.5)</f>
        <v>77.5</v>
      </c>
      <c r="C968" s="1">
        <f>IFERROR(__xludf.DUMMYFUNCTION("""COMPUTED_VALUE"""),79.62)</f>
        <v>79.62</v>
      </c>
      <c r="D968" s="1">
        <f>IFERROR(__xludf.DUMMYFUNCTION("""COMPUTED_VALUE"""),77.42)</f>
        <v>77.42</v>
      </c>
      <c r="E968" s="1">
        <f>IFERROR(__xludf.DUMMYFUNCTION("""COMPUTED_VALUE"""),79.31)</f>
        <v>79.31</v>
      </c>
      <c r="F968" s="1">
        <f>IFERROR(__xludf.DUMMYFUNCTION("""COMPUTED_VALUE"""),2.7190273E7)</f>
        <v>27190273</v>
      </c>
    </row>
    <row r="969">
      <c r="A969" s="2">
        <f>IFERROR(__xludf.DUMMYFUNCTION("""COMPUTED_VALUE"""),43294.66666666667)</f>
        <v>43294.66667</v>
      </c>
      <c r="B969" s="1">
        <f>IFERROR(__xludf.DUMMYFUNCTION("""COMPUTED_VALUE"""),78.46)</f>
        <v>78.46</v>
      </c>
      <c r="C969" s="1">
        <f>IFERROR(__xludf.DUMMYFUNCTION("""COMPUTED_VALUE"""),79.94)</f>
        <v>79.94</v>
      </c>
      <c r="D969" s="1">
        <f>IFERROR(__xludf.DUMMYFUNCTION("""COMPUTED_VALUE"""),77.78)</f>
        <v>77.78</v>
      </c>
      <c r="E969" s="1">
        <f>IFERROR(__xludf.DUMMYFUNCTION("""COMPUTED_VALUE"""),79.31)</f>
        <v>79.31</v>
      </c>
      <c r="F969" s="1">
        <f>IFERROR(__xludf.DUMMYFUNCTION("""COMPUTED_VALUE"""),4.4299529E7)</f>
        <v>44299529</v>
      </c>
    </row>
    <row r="970">
      <c r="A970" s="2">
        <f>IFERROR(__xludf.DUMMYFUNCTION("""COMPUTED_VALUE"""),43301.66666666667)</f>
        <v>43301.66667</v>
      </c>
      <c r="B970" s="1">
        <f>IFERROR(__xludf.DUMMYFUNCTION("""COMPUTED_VALUE"""),79.21)</f>
        <v>79.21</v>
      </c>
      <c r="C970" s="1">
        <f>IFERROR(__xludf.DUMMYFUNCTION("""COMPUTED_VALUE"""),80.5)</f>
        <v>80.5</v>
      </c>
      <c r="D970" s="1">
        <f>IFERROR(__xludf.DUMMYFUNCTION("""COMPUTED_VALUE"""),77.89)</f>
        <v>77.89</v>
      </c>
      <c r="E970" s="1">
        <f>IFERROR(__xludf.DUMMYFUNCTION("""COMPUTED_VALUE"""),78.68)</f>
        <v>78.68</v>
      </c>
      <c r="F970" s="1">
        <f>IFERROR(__xludf.DUMMYFUNCTION("""COMPUTED_VALUE"""),4.1267828E7)</f>
        <v>41267828</v>
      </c>
    </row>
    <row r="971">
      <c r="A971" s="2">
        <f>IFERROR(__xludf.DUMMYFUNCTION("""COMPUTED_VALUE"""),43308.66666666667)</f>
        <v>43308.66667</v>
      </c>
      <c r="B971" s="1">
        <f>IFERROR(__xludf.DUMMYFUNCTION("""COMPUTED_VALUE"""),78.49)</f>
        <v>78.49</v>
      </c>
      <c r="C971" s="1">
        <f>IFERROR(__xludf.DUMMYFUNCTION("""COMPUTED_VALUE"""),80.83)</f>
        <v>80.83</v>
      </c>
      <c r="D971" s="1">
        <f>IFERROR(__xludf.DUMMYFUNCTION("""COMPUTED_VALUE"""),77.54)</f>
        <v>77.54</v>
      </c>
      <c r="E971" s="1">
        <f>IFERROR(__xludf.DUMMYFUNCTION("""COMPUTED_VALUE"""),80.58)</f>
        <v>80.58</v>
      </c>
      <c r="F971" s="1">
        <f>IFERROR(__xludf.DUMMYFUNCTION("""COMPUTED_VALUE"""),3.7637629E7)</f>
        <v>37637629</v>
      </c>
    </row>
    <row r="972">
      <c r="A972" s="2">
        <f>IFERROR(__xludf.DUMMYFUNCTION("""COMPUTED_VALUE"""),43315.66666666667)</f>
        <v>43315.66667</v>
      </c>
      <c r="B972" s="1">
        <f>IFERROR(__xludf.DUMMYFUNCTION("""COMPUTED_VALUE"""),80.07)</f>
        <v>80.07</v>
      </c>
      <c r="C972" s="1">
        <f>IFERROR(__xludf.DUMMYFUNCTION("""COMPUTED_VALUE"""),83.1)</f>
        <v>83.1</v>
      </c>
      <c r="D972" s="1">
        <f>IFERROR(__xludf.DUMMYFUNCTION("""COMPUTED_VALUE"""),79.43)</f>
        <v>79.43</v>
      </c>
      <c r="E972" s="1">
        <f>IFERROR(__xludf.DUMMYFUNCTION("""COMPUTED_VALUE"""),82.33)</f>
        <v>82.33</v>
      </c>
      <c r="F972" s="1">
        <f>IFERROR(__xludf.DUMMYFUNCTION("""COMPUTED_VALUE"""),4.0890328E7)</f>
        <v>40890328</v>
      </c>
    </row>
    <row r="973">
      <c r="A973" s="2">
        <f>IFERROR(__xludf.DUMMYFUNCTION("""COMPUTED_VALUE"""),43322.66666666667)</f>
        <v>43322.66667</v>
      </c>
      <c r="B973" s="1">
        <f>IFERROR(__xludf.DUMMYFUNCTION("""COMPUTED_VALUE"""),82.2)</f>
        <v>82.2</v>
      </c>
      <c r="C973" s="1">
        <f>IFERROR(__xludf.DUMMYFUNCTION("""COMPUTED_VALUE"""),82.93)</f>
        <v>82.93</v>
      </c>
      <c r="D973" s="1">
        <f>IFERROR(__xludf.DUMMYFUNCTION("""COMPUTED_VALUE"""),81.0)</f>
        <v>81</v>
      </c>
      <c r="E973" s="1">
        <f>IFERROR(__xludf.DUMMYFUNCTION("""COMPUTED_VALUE"""),81.43)</f>
        <v>81.43</v>
      </c>
      <c r="F973" s="1">
        <f>IFERROR(__xludf.DUMMYFUNCTION("""COMPUTED_VALUE"""),2.7713153E7)</f>
        <v>27713153</v>
      </c>
    </row>
    <row r="974">
      <c r="A974" s="2">
        <f>IFERROR(__xludf.DUMMYFUNCTION("""COMPUTED_VALUE"""),43329.66666666667)</f>
        <v>43329.66667</v>
      </c>
      <c r="B974" s="1">
        <f>IFERROR(__xludf.DUMMYFUNCTION("""COMPUTED_VALUE"""),81.7)</f>
        <v>81.7</v>
      </c>
      <c r="C974" s="1">
        <f>IFERROR(__xludf.DUMMYFUNCTION("""COMPUTED_VALUE"""),84.2)</f>
        <v>84.2</v>
      </c>
      <c r="D974" s="1">
        <f>IFERROR(__xludf.DUMMYFUNCTION("""COMPUTED_VALUE"""),80.81)</f>
        <v>80.81</v>
      </c>
      <c r="E974" s="1">
        <f>IFERROR(__xludf.DUMMYFUNCTION("""COMPUTED_VALUE"""),83.69)</f>
        <v>83.69</v>
      </c>
      <c r="F974" s="1">
        <f>IFERROR(__xludf.DUMMYFUNCTION("""COMPUTED_VALUE"""),4.0826002E7)</f>
        <v>40826002</v>
      </c>
    </row>
    <row r="975">
      <c r="A975" s="2">
        <f>IFERROR(__xludf.DUMMYFUNCTION("""COMPUTED_VALUE"""),43336.66666666667)</f>
        <v>43336.66667</v>
      </c>
      <c r="B975" s="1">
        <f>IFERROR(__xludf.DUMMYFUNCTION("""COMPUTED_VALUE"""),83.89)</f>
        <v>83.89</v>
      </c>
      <c r="C975" s="1">
        <f>IFERROR(__xludf.DUMMYFUNCTION("""COMPUTED_VALUE"""),84.0)</f>
        <v>84</v>
      </c>
      <c r="D975" s="1">
        <f>IFERROR(__xludf.DUMMYFUNCTION("""COMPUTED_VALUE"""),82.84)</f>
        <v>82.84</v>
      </c>
      <c r="E975" s="1">
        <f>IFERROR(__xludf.DUMMYFUNCTION("""COMPUTED_VALUE"""),83.36)</f>
        <v>83.36</v>
      </c>
      <c r="F975" s="1">
        <f>IFERROR(__xludf.DUMMYFUNCTION("""COMPUTED_VALUE"""),3.0142575E7)</f>
        <v>30142575</v>
      </c>
    </row>
    <row r="976">
      <c r="A976" s="2">
        <f>IFERROR(__xludf.DUMMYFUNCTION("""COMPUTED_VALUE"""),43343.66666666667)</f>
        <v>43343.66667</v>
      </c>
      <c r="B976" s="1">
        <f>IFERROR(__xludf.DUMMYFUNCTION("""COMPUTED_VALUE"""),83.5)</f>
        <v>83.5</v>
      </c>
      <c r="C976" s="1">
        <f>IFERROR(__xludf.DUMMYFUNCTION("""COMPUTED_VALUE"""),83.86)</f>
        <v>83.86</v>
      </c>
      <c r="D976" s="1">
        <f>IFERROR(__xludf.DUMMYFUNCTION("""COMPUTED_VALUE"""),82.39)</f>
        <v>82.39</v>
      </c>
      <c r="E976" s="1">
        <f>IFERROR(__xludf.DUMMYFUNCTION("""COMPUTED_VALUE"""),82.95)</f>
        <v>82.95</v>
      </c>
      <c r="F976" s="1">
        <f>IFERROR(__xludf.DUMMYFUNCTION("""COMPUTED_VALUE"""),2.5091669E7)</f>
        <v>25091669</v>
      </c>
    </row>
    <row r="977">
      <c r="A977" s="2">
        <f>IFERROR(__xludf.DUMMYFUNCTION("""COMPUTED_VALUE"""),43350.66666666667)</f>
        <v>43350.66667</v>
      </c>
      <c r="B977" s="1">
        <f>IFERROR(__xludf.DUMMYFUNCTION("""COMPUTED_VALUE"""),82.48)</f>
        <v>82.48</v>
      </c>
      <c r="C977" s="1">
        <f>IFERROR(__xludf.DUMMYFUNCTION("""COMPUTED_VALUE"""),83.47)</f>
        <v>83.47</v>
      </c>
      <c r="D977" s="1">
        <f>IFERROR(__xludf.DUMMYFUNCTION("""COMPUTED_VALUE"""),81.25)</f>
        <v>81.25</v>
      </c>
      <c r="E977" s="1">
        <f>IFERROR(__xludf.DUMMYFUNCTION("""COMPUTED_VALUE"""),81.91)</f>
        <v>81.91</v>
      </c>
      <c r="F977" s="1">
        <f>IFERROR(__xludf.DUMMYFUNCTION("""COMPUTED_VALUE"""),3.2104645E7)</f>
        <v>32104645</v>
      </c>
    </row>
    <row r="978">
      <c r="A978" s="2">
        <f>IFERROR(__xludf.DUMMYFUNCTION("""COMPUTED_VALUE"""),43357.66666666667)</f>
        <v>43357.66667</v>
      </c>
      <c r="B978" s="1">
        <f>IFERROR(__xludf.DUMMYFUNCTION("""COMPUTED_VALUE"""),82.58)</f>
        <v>82.58</v>
      </c>
      <c r="C978" s="1">
        <f>IFERROR(__xludf.DUMMYFUNCTION("""COMPUTED_VALUE"""),83.67)</f>
        <v>83.67</v>
      </c>
      <c r="D978" s="1">
        <f>IFERROR(__xludf.DUMMYFUNCTION("""COMPUTED_VALUE"""),81.63)</f>
        <v>81.63</v>
      </c>
      <c r="E978" s="1">
        <f>IFERROR(__xludf.DUMMYFUNCTION("""COMPUTED_VALUE"""),83.61)</f>
        <v>83.61</v>
      </c>
      <c r="F978" s="1">
        <f>IFERROR(__xludf.DUMMYFUNCTION("""COMPUTED_VALUE"""),2.825089E7)</f>
        <v>28250890</v>
      </c>
    </row>
    <row r="979">
      <c r="A979" s="2">
        <f>IFERROR(__xludf.DUMMYFUNCTION("""COMPUTED_VALUE"""),43364.66666666667)</f>
        <v>43364.66667</v>
      </c>
      <c r="B979" s="1">
        <f>IFERROR(__xludf.DUMMYFUNCTION("""COMPUTED_VALUE"""),83.5)</f>
        <v>83.5</v>
      </c>
      <c r="C979" s="1">
        <f>IFERROR(__xludf.DUMMYFUNCTION("""COMPUTED_VALUE"""),86.28)</f>
        <v>86.28</v>
      </c>
      <c r="D979" s="1">
        <f>IFERROR(__xludf.DUMMYFUNCTION("""COMPUTED_VALUE"""),83.34)</f>
        <v>83.34</v>
      </c>
      <c r="E979" s="1">
        <f>IFERROR(__xludf.DUMMYFUNCTION("""COMPUTED_VALUE"""),85.82)</f>
        <v>85.82</v>
      </c>
      <c r="F979" s="1">
        <f>IFERROR(__xludf.DUMMYFUNCTION("""COMPUTED_VALUE"""),4.6735197E7)</f>
        <v>46735197</v>
      </c>
    </row>
    <row r="980">
      <c r="A980" s="2">
        <f>IFERROR(__xludf.DUMMYFUNCTION("""COMPUTED_VALUE"""),43371.66666666667)</f>
        <v>43371.66667</v>
      </c>
      <c r="B980" s="1">
        <f>IFERROR(__xludf.DUMMYFUNCTION("""COMPUTED_VALUE"""),85.63)</f>
        <v>85.63</v>
      </c>
      <c r="C980" s="1">
        <f>IFERROR(__xludf.DUMMYFUNCTION("""COMPUTED_VALUE"""),85.71)</f>
        <v>85.71</v>
      </c>
      <c r="D980" s="1">
        <f>IFERROR(__xludf.DUMMYFUNCTION("""COMPUTED_VALUE"""),82.79)</f>
        <v>82.79</v>
      </c>
      <c r="E980" s="1">
        <f>IFERROR(__xludf.DUMMYFUNCTION("""COMPUTED_VALUE"""),83.23)</f>
        <v>83.23</v>
      </c>
      <c r="F980" s="1">
        <f>IFERROR(__xludf.DUMMYFUNCTION("""COMPUTED_VALUE"""),3.0030947E7)</f>
        <v>30030947</v>
      </c>
    </row>
    <row r="981">
      <c r="A981" s="2">
        <f>IFERROR(__xludf.DUMMYFUNCTION("""COMPUTED_VALUE"""),43378.66666666667)</f>
        <v>43378.66667</v>
      </c>
      <c r="B981" s="1">
        <f>IFERROR(__xludf.DUMMYFUNCTION("""COMPUTED_VALUE"""),83.31)</f>
        <v>83.31</v>
      </c>
      <c r="C981" s="1">
        <f>IFERROR(__xludf.DUMMYFUNCTION("""COMPUTED_VALUE"""),84.52)</f>
        <v>84.52</v>
      </c>
      <c r="D981" s="1">
        <f>IFERROR(__xludf.DUMMYFUNCTION("""COMPUTED_VALUE"""),81.1)</f>
        <v>81.1</v>
      </c>
      <c r="E981" s="1">
        <f>IFERROR(__xludf.DUMMYFUNCTION("""COMPUTED_VALUE"""),82.15)</f>
        <v>82.15</v>
      </c>
      <c r="F981" s="1">
        <f>IFERROR(__xludf.DUMMYFUNCTION("""COMPUTED_VALUE"""),3.2733967E7)</f>
        <v>32733967</v>
      </c>
    </row>
    <row r="982">
      <c r="A982" s="2">
        <f>IFERROR(__xludf.DUMMYFUNCTION("""COMPUTED_VALUE"""),43385.66666666667)</f>
        <v>43385.66667</v>
      </c>
      <c r="B982" s="1">
        <f>IFERROR(__xludf.DUMMYFUNCTION("""COMPUTED_VALUE"""),81.98)</f>
        <v>81.98</v>
      </c>
      <c r="C982" s="1">
        <f>IFERROR(__xludf.DUMMYFUNCTION("""COMPUTED_VALUE"""),82.74)</f>
        <v>82.74</v>
      </c>
      <c r="D982" s="1">
        <f>IFERROR(__xludf.DUMMYFUNCTION("""COMPUTED_VALUE"""),78.49)</f>
        <v>78.49</v>
      </c>
      <c r="E982" s="1">
        <f>IFERROR(__xludf.DUMMYFUNCTION("""COMPUTED_VALUE"""),79.06)</f>
        <v>79.06</v>
      </c>
      <c r="F982" s="1">
        <f>IFERROR(__xludf.DUMMYFUNCTION("""COMPUTED_VALUE"""),4.5195599E7)</f>
        <v>45195599</v>
      </c>
    </row>
    <row r="983">
      <c r="A983" s="2">
        <f>IFERROR(__xludf.DUMMYFUNCTION("""COMPUTED_VALUE"""),43392.66666666667)</f>
        <v>43392.66667</v>
      </c>
      <c r="B983" s="1">
        <f>IFERROR(__xludf.DUMMYFUNCTION("""COMPUTED_VALUE"""),79.01)</f>
        <v>79.01</v>
      </c>
      <c r="C983" s="1">
        <f>IFERROR(__xludf.DUMMYFUNCTION("""COMPUTED_VALUE"""),87.76)</f>
        <v>87.76</v>
      </c>
      <c r="D983" s="1">
        <f>IFERROR(__xludf.DUMMYFUNCTION("""COMPUTED_VALUE"""),78.92)</f>
        <v>78.92</v>
      </c>
      <c r="E983" s="1">
        <f>IFERROR(__xludf.DUMMYFUNCTION("""COMPUTED_VALUE"""),87.3)</f>
        <v>87.3</v>
      </c>
      <c r="F983" s="1">
        <f>IFERROR(__xludf.DUMMYFUNCTION("""COMPUTED_VALUE"""),6.9675678E7)</f>
        <v>69675678</v>
      </c>
    </row>
    <row r="984">
      <c r="A984" s="2">
        <f>IFERROR(__xludf.DUMMYFUNCTION("""COMPUTED_VALUE"""),43399.66666666667)</f>
        <v>43399.66667</v>
      </c>
      <c r="B984" s="1">
        <f>IFERROR(__xludf.DUMMYFUNCTION("""COMPUTED_VALUE"""),86.73)</f>
        <v>86.73</v>
      </c>
      <c r="C984" s="1">
        <f>IFERROR(__xludf.DUMMYFUNCTION("""COMPUTED_VALUE"""),90.7)</f>
        <v>90.7</v>
      </c>
      <c r="D984" s="1">
        <f>IFERROR(__xludf.DUMMYFUNCTION("""COMPUTED_VALUE"""),85.23)</f>
        <v>85.23</v>
      </c>
      <c r="E984" s="1">
        <f>IFERROR(__xludf.DUMMYFUNCTION("""COMPUTED_VALUE"""),87.86)</f>
        <v>87.86</v>
      </c>
      <c r="F984" s="1">
        <f>IFERROR(__xludf.DUMMYFUNCTION("""COMPUTED_VALUE"""),8.6080115E7)</f>
        <v>86080115</v>
      </c>
    </row>
    <row r="985">
      <c r="A985" s="2">
        <f>IFERROR(__xludf.DUMMYFUNCTION("""COMPUTED_VALUE"""),43406.66666666667)</f>
        <v>43406.66667</v>
      </c>
      <c r="B985" s="1">
        <f>IFERROR(__xludf.DUMMYFUNCTION("""COMPUTED_VALUE"""),88.29)</f>
        <v>88.29</v>
      </c>
      <c r="C985" s="1">
        <f>IFERROR(__xludf.DUMMYFUNCTION("""COMPUTED_VALUE"""),89.95)</f>
        <v>89.95</v>
      </c>
      <c r="D985" s="1">
        <f>IFERROR(__xludf.DUMMYFUNCTION("""COMPUTED_VALUE"""),87.27)</f>
        <v>87.27</v>
      </c>
      <c r="E985" s="1">
        <f>IFERROR(__xludf.DUMMYFUNCTION("""COMPUTED_VALUE"""),89.81)</f>
        <v>89.81</v>
      </c>
      <c r="F985" s="1">
        <f>IFERROR(__xludf.DUMMYFUNCTION("""COMPUTED_VALUE"""),6.1153802E7)</f>
        <v>61153802</v>
      </c>
    </row>
    <row r="986">
      <c r="A986" s="2">
        <f>IFERROR(__xludf.DUMMYFUNCTION("""COMPUTED_VALUE"""),43413.66666666667)</f>
        <v>43413.66667</v>
      </c>
      <c r="B986" s="1">
        <f>IFERROR(__xludf.DUMMYFUNCTION("""COMPUTED_VALUE"""),89.89)</f>
        <v>89.89</v>
      </c>
      <c r="C986" s="1">
        <f>IFERROR(__xludf.DUMMYFUNCTION("""COMPUTED_VALUE"""),92.67)</f>
        <v>92.67</v>
      </c>
      <c r="D986" s="1">
        <f>IFERROR(__xludf.DUMMYFUNCTION("""COMPUTED_VALUE"""),89.82)</f>
        <v>89.82</v>
      </c>
      <c r="E986" s="1">
        <f>IFERROR(__xludf.DUMMYFUNCTION("""COMPUTED_VALUE"""),92.41)</f>
        <v>92.41</v>
      </c>
      <c r="F986" s="1">
        <f>IFERROR(__xludf.DUMMYFUNCTION("""COMPUTED_VALUE"""),4.7476312E7)</f>
        <v>47476312</v>
      </c>
    </row>
    <row r="987">
      <c r="A987" s="2">
        <f>IFERROR(__xludf.DUMMYFUNCTION("""COMPUTED_VALUE"""),43420.66666666667)</f>
        <v>43420.66667</v>
      </c>
      <c r="B987" s="1">
        <f>IFERROR(__xludf.DUMMYFUNCTION("""COMPUTED_VALUE"""),92.21)</f>
        <v>92.21</v>
      </c>
      <c r="C987" s="1">
        <f>IFERROR(__xludf.DUMMYFUNCTION("""COMPUTED_VALUE"""),94.81)</f>
        <v>94.81</v>
      </c>
      <c r="D987" s="1">
        <f>IFERROR(__xludf.DUMMYFUNCTION("""COMPUTED_VALUE"""),91.59)</f>
        <v>91.59</v>
      </c>
      <c r="E987" s="1">
        <f>IFERROR(__xludf.DUMMYFUNCTION("""COMPUTED_VALUE"""),93.82)</f>
        <v>93.82</v>
      </c>
      <c r="F987" s="1">
        <f>IFERROR(__xludf.DUMMYFUNCTION("""COMPUTED_VALUE"""),6.3103325E7)</f>
        <v>63103325</v>
      </c>
    </row>
    <row r="988">
      <c r="A988" s="2">
        <f>IFERROR(__xludf.DUMMYFUNCTION("""COMPUTED_VALUE"""),43427.54166666667)</f>
        <v>43427.54167</v>
      </c>
      <c r="B988" s="1">
        <f>IFERROR(__xludf.DUMMYFUNCTION("""COMPUTED_VALUE"""),93.72)</f>
        <v>93.72</v>
      </c>
      <c r="C988" s="1">
        <f>IFERROR(__xludf.DUMMYFUNCTION("""COMPUTED_VALUE"""),94.19)</f>
        <v>94.19</v>
      </c>
      <c r="D988" s="1">
        <f>IFERROR(__xludf.DUMMYFUNCTION("""COMPUTED_VALUE"""),90.63)</f>
        <v>90.63</v>
      </c>
      <c r="E988" s="1">
        <f>IFERROR(__xludf.DUMMYFUNCTION("""COMPUTED_VALUE"""),91.54)</f>
        <v>91.54</v>
      </c>
      <c r="F988" s="1">
        <f>IFERROR(__xludf.DUMMYFUNCTION("""COMPUTED_VALUE"""),3.4844571E7)</f>
        <v>34844571</v>
      </c>
    </row>
    <row r="989">
      <c r="A989" s="2">
        <f>IFERROR(__xludf.DUMMYFUNCTION("""COMPUTED_VALUE"""),43434.66666666667)</f>
        <v>43434.66667</v>
      </c>
      <c r="B989" s="1">
        <f>IFERROR(__xludf.DUMMYFUNCTION("""COMPUTED_VALUE"""),91.15)</f>
        <v>91.15</v>
      </c>
      <c r="C989" s="1">
        <f>IFERROR(__xludf.DUMMYFUNCTION("""COMPUTED_VALUE"""),94.65)</f>
        <v>94.65</v>
      </c>
      <c r="D989" s="1">
        <f>IFERROR(__xludf.DUMMYFUNCTION("""COMPUTED_VALUE"""),91.15)</f>
        <v>91.15</v>
      </c>
      <c r="E989" s="1">
        <f>IFERROR(__xludf.DUMMYFUNCTION("""COMPUTED_VALUE"""),94.51)</f>
        <v>94.51</v>
      </c>
      <c r="F989" s="1">
        <f>IFERROR(__xludf.DUMMYFUNCTION("""COMPUTED_VALUE"""),4.7707516E7)</f>
        <v>47707516</v>
      </c>
    </row>
    <row r="990">
      <c r="A990" s="2">
        <f>IFERROR(__xludf.DUMMYFUNCTION("""COMPUTED_VALUE"""),43441.66666666667)</f>
        <v>43441.66667</v>
      </c>
      <c r="B990" s="1">
        <f>IFERROR(__xludf.DUMMYFUNCTION("""COMPUTED_VALUE"""),94.67)</f>
        <v>94.67</v>
      </c>
      <c r="C990" s="1">
        <f>IFERROR(__xludf.DUMMYFUNCTION("""COMPUTED_VALUE"""),94.86)</f>
        <v>94.86</v>
      </c>
      <c r="D990" s="1">
        <f>IFERROR(__xludf.DUMMYFUNCTION("""COMPUTED_VALUE"""),91.08)</f>
        <v>91.08</v>
      </c>
      <c r="E990" s="1">
        <f>IFERROR(__xludf.DUMMYFUNCTION("""COMPUTED_VALUE"""),92.45)</f>
        <v>92.45</v>
      </c>
      <c r="F990" s="1">
        <f>IFERROR(__xludf.DUMMYFUNCTION("""COMPUTED_VALUE"""),4.7251333E7)</f>
        <v>47251333</v>
      </c>
    </row>
    <row r="991">
      <c r="A991" s="2">
        <f>IFERROR(__xludf.DUMMYFUNCTION("""COMPUTED_VALUE"""),43448.66666666667)</f>
        <v>43448.66667</v>
      </c>
      <c r="B991" s="1">
        <f>IFERROR(__xludf.DUMMYFUNCTION("""COMPUTED_VALUE"""),93.25)</f>
        <v>93.25</v>
      </c>
      <c r="C991" s="1">
        <f>IFERROR(__xludf.DUMMYFUNCTION("""COMPUTED_VALUE"""),96.9)</f>
        <v>96.9</v>
      </c>
      <c r="D991" s="1">
        <f>IFERROR(__xludf.DUMMYFUNCTION("""COMPUTED_VALUE"""),91.37)</f>
        <v>91.37</v>
      </c>
      <c r="E991" s="1">
        <f>IFERROR(__xludf.DUMMYFUNCTION("""COMPUTED_VALUE"""),96.64)</f>
        <v>96.64</v>
      </c>
      <c r="F991" s="1">
        <f>IFERROR(__xludf.DUMMYFUNCTION("""COMPUTED_VALUE"""),5.8894136E7)</f>
        <v>58894136</v>
      </c>
    </row>
    <row r="992">
      <c r="A992" s="2">
        <f>IFERROR(__xludf.DUMMYFUNCTION("""COMPUTED_VALUE"""),43455.66666666667)</f>
        <v>43455.66667</v>
      </c>
      <c r="B992" s="1">
        <f>IFERROR(__xludf.DUMMYFUNCTION("""COMPUTED_VALUE"""),96.0)</f>
        <v>96</v>
      </c>
      <c r="C992" s="1">
        <f>IFERROR(__xludf.DUMMYFUNCTION("""COMPUTED_VALUE"""),96.5)</f>
        <v>96.5</v>
      </c>
      <c r="D992" s="1">
        <f>IFERROR(__xludf.DUMMYFUNCTION("""COMPUTED_VALUE"""),90.13)</f>
        <v>90.13</v>
      </c>
      <c r="E992" s="1">
        <f>IFERROR(__xludf.DUMMYFUNCTION("""COMPUTED_VALUE"""),90.97)</f>
        <v>90.97</v>
      </c>
      <c r="F992" s="1">
        <f>IFERROR(__xludf.DUMMYFUNCTION("""COMPUTED_VALUE"""),7.3972938E7)</f>
        <v>73972938</v>
      </c>
    </row>
    <row r="993">
      <c r="A993" s="2">
        <f>IFERROR(__xludf.DUMMYFUNCTION("""COMPUTED_VALUE"""),43462.66666666667)</f>
        <v>43462.66667</v>
      </c>
      <c r="B993" s="1">
        <f>IFERROR(__xludf.DUMMYFUNCTION("""COMPUTED_VALUE"""),90.45)</f>
        <v>90.45</v>
      </c>
      <c r="C993" s="1">
        <f>IFERROR(__xludf.DUMMYFUNCTION("""COMPUTED_VALUE"""),93.28)</f>
        <v>93.28</v>
      </c>
      <c r="D993" s="1">
        <f>IFERROR(__xludf.DUMMYFUNCTION("""COMPUTED_VALUE"""),86.74)</f>
        <v>86.74</v>
      </c>
      <c r="E993" s="1">
        <f>IFERROR(__xludf.DUMMYFUNCTION("""COMPUTED_VALUE"""),91.18)</f>
        <v>91.18</v>
      </c>
      <c r="F993" s="1">
        <f>IFERROR(__xludf.DUMMYFUNCTION("""COMPUTED_VALUE"""),3.6999049E7)</f>
        <v>36999049</v>
      </c>
    </row>
    <row r="994">
      <c r="A994" s="2">
        <f>IFERROR(__xludf.DUMMYFUNCTION("""COMPUTED_VALUE"""),43469.66666666667)</f>
        <v>43469.66667</v>
      </c>
      <c r="B994" s="1">
        <f>IFERROR(__xludf.DUMMYFUNCTION("""COMPUTED_VALUE"""),91.63)</f>
        <v>91.63</v>
      </c>
      <c r="C994" s="1">
        <f>IFERROR(__xludf.DUMMYFUNCTION("""COMPUTED_VALUE"""),92.5)</f>
        <v>92.5</v>
      </c>
      <c r="D994" s="1">
        <f>IFERROR(__xludf.DUMMYFUNCTION("""COMPUTED_VALUE"""),89.93)</f>
        <v>89.93</v>
      </c>
      <c r="E994" s="1">
        <f>IFERROR(__xludf.DUMMYFUNCTION("""COMPUTED_VALUE"""),92.49)</f>
        <v>92.49</v>
      </c>
      <c r="F994" s="1">
        <f>IFERROR(__xludf.DUMMYFUNCTION("""COMPUTED_VALUE"""),3.7469732E7)</f>
        <v>37469732</v>
      </c>
    </row>
    <row r="995">
      <c r="A995" s="2">
        <f>IFERROR(__xludf.DUMMYFUNCTION("""COMPUTED_VALUE"""),43476.66666666667)</f>
        <v>43476.66667</v>
      </c>
      <c r="B995" s="1">
        <f>IFERROR(__xludf.DUMMYFUNCTION("""COMPUTED_VALUE"""),91.91)</f>
        <v>91.91</v>
      </c>
      <c r="C995" s="1">
        <f>IFERROR(__xludf.DUMMYFUNCTION("""COMPUTED_VALUE"""),93.09)</f>
        <v>93.09</v>
      </c>
      <c r="D995" s="1">
        <f>IFERROR(__xludf.DUMMYFUNCTION("""COMPUTED_VALUE"""),90.61)</f>
        <v>90.61</v>
      </c>
      <c r="E995" s="1">
        <f>IFERROR(__xludf.DUMMYFUNCTION("""COMPUTED_VALUE"""),91.77)</f>
        <v>91.77</v>
      </c>
      <c r="F995" s="1">
        <f>IFERROR(__xludf.DUMMYFUNCTION("""COMPUTED_VALUE"""),5.1848319E7)</f>
        <v>51848319</v>
      </c>
    </row>
    <row r="996">
      <c r="A996" s="2">
        <f>IFERROR(__xludf.DUMMYFUNCTION("""COMPUTED_VALUE"""),43483.66666666667)</f>
        <v>43483.66667</v>
      </c>
      <c r="B996" s="1">
        <f>IFERROR(__xludf.DUMMYFUNCTION("""COMPUTED_VALUE"""),91.5)</f>
        <v>91.5</v>
      </c>
      <c r="C996" s="1">
        <f>IFERROR(__xludf.DUMMYFUNCTION("""COMPUTED_VALUE"""),92.61)</f>
        <v>92.61</v>
      </c>
      <c r="D996" s="1">
        <f>IFERROR(__xludf.DUMMYFUNCTION("""COMPUTED_VALUE"""),90.35)</f>
        <v>90.35</v>
      </c>
      <c r="E996" s="1">
        <f>IFERROR(__xludf.DUMMYFUNCTION("""COMPUTED_VALUE"""),91.42)</f>
        <v>91.42</v>
      </c>
      <c r="F996" s="1">
        <f>IFERROR(__xludf.DUMMYFUNCTION("""COMPUTED_VALUE"""),4.0896863E7)</f>
        <v>40896863</v>
      </c>
    </row>
    <row r="997">
      <c r="A997" s="2">
        <f>IFERROR(__xludf.DUMMYFUNCTION("""COMPUTED_VALUE"""),43490.66666666667)</f>
        <v>43490.66667</v>
      </c>
      <c r="B997" s="1">
        <f>IFERROR(__xludf.DUMMYFUNCTION("""COMPUTED_VALUE"""),91.39)</f>
        <v>91.39</v>
      </c>
      <c r="C997" s="1">
        <f>IFERROR(__xludf.DUMMYFUNCTION("""COMPUTED_VALUE"""),96.41)</f>
        <v>96.41</v>
      </c>
      <c r="D997" s="1">
        <f>IFERROR(__xludf.DUMMYFUNCTION("""COMPUTED_VALUE"""),89.08)</f>
        <v>89.08</v>
      </c>
      <c r="E997" s="1">
        <f>IFERROR(__xludf.DUMMYFUNCTION("""COMPUTED_VALUE"""),93.6)</f>
        <v>93.6</v>
      </c>
      <c r="F997" s="1">
        <f>IFERROR(__xludf.DUMMYFUNCTION("""COMPUTED_VALUE"""),5.9152444E7)</f>
        <v>59152444</v>
      </c>
    </row>
    <row r="998">
      <c r="A998" s="2">
        <f>IFERROR(__xludf.DUMMYFUNCTION("""COMPUTED_VALUE"""),43497.66666666667)</f>
        <v>43497.66667</v>
      </c>
      <c r="B998" s="1">
        <f>IFERROR(__xludf.DUMMYFUNCTION("""COMPUTED_VALUE"""),93.32)</f>
        <v>93.32</v>
      </c>
      <c r="C998" s="1">
        <f>IFERROR(__xludf.DUMMYFUNCTION("""COMPUTED_VALUE"""),97.61)</f>
        <v>97.61</v>
      </c>
      <c r="D998" s="1">
        <f>IFERROR(__xludf.DUMMYFUNCTION("""COMPUTED_VALUE"""),92.97)</f>
        <v>92.97</v>
      </c>
      <c r="E998" s="1">
        <f>IFERROR(__xludf.DUMMYFUNCTION("""COMPUTED_VALUE"""),97.47)</f>
        <v>97.47</v>
      </c>
      <c r="F998" s="1">
        <f>IFERROR(__xludf.DUMMYFUNCTION("""COMPUTED_VALUE"""),5.6050977E7)</f>
        <v>56050977</v>
      </c>
    </row>
    <row r="999">
      <c r="A999" s="2">
        <f>IFERROR(__xludf.DUMMYFUNCTION("""COMPUTED_VALUE"""),43504.66666666667)</f>
        <v>43504.66667</v>
      </c>
      <c r="B999" s="1">
        <f>IFERROR(__xludf.DUMMYFUNCTION("""COMPUTED_VALUE"""),97.21)</f>
        <v>97.21</v>
      </c>
      <c r="C999" s="1">
        <f>IFERROR(__xludf.DUMMYFUNCTION("""COMPUTED_VALUE"""),98.32)</f>
        <v>98.32</v>
      </c>
      <c r="D999" s="1">
        <f>IFERROR(__xludf.DUMMYFUNCTION("""COMPUTED_VALUE"""),96.34)</f>
        <v>96.34</v>
      </c>
      <c r="E999" s="1">
        <f>IFERROR(__xludf.DUMMYFUNCTION("""COMPUTED_VALUE"""),97.71)</f>
        <v>97.71</v>
      </c>
      <c r="F999" s="1">
        <f>IFERROR(__xludf.DUMMYFUNCTION("""COMPUTED_VALUE"""),4.6569559E7)</f>
        <v>46569559</v>
      </c>
    </row>
    <row r="1000">
      <c r="A1000" s="2">
        <f>IFERROR(__xludf.DUMMYFUNCTION("""COMPUTED_VALUE"""),43511.66666666667)</f>
        <v>43511.66667</v>
      </c>
      <c r="B1000" s="1">
        <f>IFERROR(__xludf.DUMMYFUNCTION("""COMPUTED_VALUE"""),97.49)</f>
        <v>97.49</v>
      </c>
      <c r="C1000" s="1">
        <f>IFERROR(__xludf.DUMMYFUNCTION("""COMPUTED_VALUE"""),99.7)</f>
        <v>99.7</v>
      </c>
      <c r="D1000" s="1">
        <f>IFERROR(__xludf.DUMMYFUNCTION("""COMPUTED_VALUE"""),97.43)</f>
        <v>97.43</v>
      </c>
      <c r="E1000" s="1">
        <f>IFERROR(__xludf.DUMMYFUNCTION("""COMPUTED_VALUE"""),98.48)</f>
        <v>98.48</v>
      </c>
      <c r="F1000" s="1">
        <f>IFERROR(__xludf.DUMMYFUNCTION("""COMPUTED_VALUE"""),5.131942E7)</f>
        <v>51319420</v>
      </c>
    </row>
    <row r="1001">
      <c r="A1001" s="2">
        <f>IFERROR(__xludf.DUMMYFUNCTION("""COMPUTED_VALUE"""),43518.66666666667)</f>
        <v>43518.66667</v>
      </c>
      <c r="B1001" s="1">
        <f>IFERROR(__xludf.DUMMYFUNCTION("""COMPUTED_VALUE"""),98.56)</f>
        <v>98.56</v>
      </c>
      <c r="C1001" s="1">
        <f>IFERROR(__xludf.DUMMYFUNCTION("""COMPUTED_VALUE"""),100.4)</f>
        <v>100.4</v>
      </c>
      <c r="D1001" s="1">
        <f>IFERROR(__xludf.DUMMYFUNCTION("""COMPUTED_VALUE"""),98.47)</f>
        <v>98.47</v>
      </c>
      <c r="E1001" s="1">
        <f>IFERROR(__xludf.DUMMYFUNCTION("""COMPUTED_VALUE"""),100.25)</f>
        <v>100.25</v>
      </c>
      <c r="F1001" s="1">
        <f>IFERROR(__xludf.DUMMYFUNCTION("""COMPUTED_VALUE"""),3.4416314E7)</f>
        <v>34416314</v>
      </c>
    </row>
    <row r="1002">
      <c r="A1002" s="2">
        <f>IFERROR(__xludf.DUMMYFUNCTION("""COMPUTED_VALUE"""),43525.66666666667)</f>
        <v>43525.66667</v>
      </c>
      <c r="B1002" s="1">
        <f>IFERROR(__xludf.DUMMYFUNCTION("""COMPUTED_VALUE"""),100.36)</f>
        <v>100.36</v>
      </c>
      <c r="C1002" s="1">
        <f>IFERROR(__xludf.DUMMYFUNCTION("""COMPUTED_VALUE"""),100.45)</f>
        <v>100.45</v>
      </c>
      <c r="D1002" s="1">
        <f>IFERROR(__xludf.DUMMYFUNCTION("""COMPUTED_VALUE"""),97.83)</f>
        <v>97.83</v>
      </c>
      <c r="E1002" s="1">
        <f>IFERROR(__xludf.DUMMYFUNCTION("""COMPUTED_VALUE"""),98.44)</f>
        <v>98.44</v>
      </c>
      <c r="F1002" s="1">
        <f>IFERROR(__xludf.DUMMYFUNCTION("""COMPUTED_VALUE"""),3.8873629E7)</f>
        <v>38873629</v>
      </c>
    </row>
    <row r="1003">
      <c r="A1003" s="2">
        <f>IFERROR(__xludf.DUMMYFUNCTION("""COMPUTED_VALUE"""),43532.66666666667)</f>
        <v>43532.66667</v>
      </c>
      <c r="B1003" s="1">
        <f>IFERROR(__xludf.DUMMYFUNCTION("""COMPUTED_VALUE"""),98.57)</f>
        <v>98.57</v>
      </c>
      <c r="C1003" s="1">
        <f>IFERROR(__xludf.DUMMYFUNCTION("""COMPUTED_VALUE"""),99.68)</f>
        <v>99.68</v>
      </c>
      <c r="D1003" s="1">
        <f>IFERROR(__xludf.DUMMYFUNCTION("""COMPUTED_VALUE"""),97.75)</f>
        <v>97.75</v>
      </c>
      <c r="E1003" s="1">
        <f>IFERROR(__xludf.DUMMYFUNCTION("""COMPUTED_VALUE"""),98.41)</f>
        <v>98.41</v>
      </c>
      <c r="F1003" s="1">
        <f>IFERROR(__xludf.DUMMYFUNCTION("""COMPUTED_VALUE"""),3.1345333E7)</f>
        <v>31345333</v>
      </c>
    </row>
    <row r="1004">
      <c r="A1004" s="2">
        <f>IFERROR(__xludf.DUMMYFUNCTION("""COMPUTED_VALUE"""),43539.66666666667)</f>
        <v>43539.66667</v>
      </c>
      <c r="B1004" s="1">
        <f>IFERROR(__xludf.DUMMYFUNCTION("""COMPUTED_VALUE"""),98.79)</f>
        <v>98.79</v>
      </c>
      <c r="C1004" s="1">
        <f>IFERROR(__xludf.DUMMYFUNCTION("""COMPUTED_VALUE"""),102.89)</f>
        <v>102.89</v>
      </c>
      <c r="D1004" s="1">
        <f>IFERROR(__xludf.DUMMYFUNCTION("""COMPUTED_VALUE"""),98.51)</f>
        <v>98.51</v>
      </c>
      <c r="E1004" s="1">
        <f>IFERROR(__xludf.DUMMYFUNCTION("""COMPUTED_VALUE"""),102.44)</f>
        <v>102.44</v>
      </c>
      <c r="F1004" s="1">
        <f>IFERROR(__xludf.DUMMYFUNCTION("""COMPUTED_VALUE"""),6.4418447E7)</f>
        <v>64418447</v>
      </c>
    </row>
    <row r="1005">
      <c r="A1005" s="2">
        <f>IFERROR(__xludf.DUMMYFUNCTION("""COMPUTED_VALUE"""),43546.66666666667)</f>
        <v>43546.66667</v>
      </c>
      <c r="B1005" s="1">
        <f>IFERROR(__xludf.DUMMYFUNCTION("""COMPUTED_VALUE"""),102.06)</f>
        <v>102.06</v>
      </c>
      <c r="C1005" s="1">
        <f>IFERROR(__xludf.DUMMYFUNCTION("""COMPUTED_VALUE"""),103.15)</f>
        <v>103.15</v>
      </c>
      <c r="D1005" s="1">
        <f>IFERROR(__xludf.DUMMYFUNCTION("""COMPUTED_VALUE"""),99.09)</f>
        <v>99.09</v>
      </c>
      <c r="E1005" s="1">
        <f>IFERROR(__xludf.DUMMYFUNCTION("""COMPUTED_VALUE"""),101.66)</f>
        <v>101.66</v>
      </c>
      <c r="F1005" s="1">
        <f>IFERROR(__xludf.DUMMYFUNCTION("""COMPUTED_VALUE"""),4.254819E7)</f>
        <v>42548190</v>
      </c>
    </row>
    <row r="1006">
      <c r="A1006" s="2">
        <f>IFERROR(__xludf.DUMMYFUNCTION("""COMPUTED_VALUE"""),43553.66666666667)</f>
        <v>43553.66667</v>
      </c>
      <c r="B1006" s="1">
        <f>IFERROR(__xludf.DUMMYFUNCTION("""COMPUTED_VALUE"""),101.66)</f>
        <v>101.66</v>
      </c>
      <c r="C1006" s="1">
        <f>IFERROR(__xludf.DUMMYFUNCTION("""COMPUTED_VALUE"""),104.15)</f>
        <v>104.15</v>
      </c>
      <c r="D1006" s="1">
        <f>IFERROR(__xludf.DUMMYFUNCTION("""COMPUTED_VALUE"""),101.26)</f>
        <v>101.26</v>
      </c>
      <c r="E1006" s="1">
        <f>IFERROR(__xludf.DUMMYFUNCTION("""COMPUTED_VALUE"""),104.05)</f>
        <v>104.05</v>
      </c>
      <c r="F1006" s="1">
        <f>IFERROR(__xludf.DUMMYFUNCTION("""COMPUTED_VALUE"""),3.4231328E7)</f>
        <v>34231328</v>
      </c>
    </row>
    <row r="1007">
      <c r="A1007" s="2">
        <f>IFERROR(__xludf.DUMMYFUNCTION("""COMPUTED_VALUE"""),43560.66666666667)</f>
        <v>43560.66667</v>
      </c>
      <c r="B1007" s="1">
        <f>IFERROR(__xludf.DUMMYFUNCTION("""COMPUTED_VALUE"""),104.23)</f>
        <v>104.23</v>
      </c>
      <c r="C1007" s="1">
        <f>IFERROR(__xludf.DUMMYFUNCTION("""COMPUTED_VALUE"""),104.23)</f>
        <v>104.23</v>
      </c>
      <c r="D1007" s="1">
        <f>IFERROR(__xludf.DUMMYFUNCTION("""COMPUTED_VALUE"""),102.75)</f>
        <v>102.75</v>
      </c>
      <c r="E1007" s="1">
        <f>IFERROR(__xludf.DUMMYFUNCTION("""COMPUTED_VALUE"""),103.65)</f>
        <v>103.65</v>
      </c>
      <c r="F1007" s="1">
        <f>IFERROR(__xludf.DUMMYFUNCTION("""COMPUTED_VALUE"""),2.7009846E7)</f>
        <v>27009846</v>
      </c>
    </row>
    <row r="1008">
      <c r="A1008" s="2">
        <f>IFERROR(__xludf.DUMMYFUNCTION("""COMPUTED_VALUE"""),43567.66666666667)</f>
        <v>43567.66667</v>
      </c>
      <c r="B1008" s="1">
        <f>IFERROR(__xludf.DUMMYFUNCTION("""COMPUTED_VALUE"""),103.93)</f>
        <v>103.93</v>
      </c>
      <c r="C1008" s="1">
        <f>IFERROR(__xludf.DUMMYFUNCTION("""COMPUTED_VALUE"""),105.14)</f>
        <v>105.14</v>
      </c>
      <c r="D1008" s="1">
        <f>IFERROR(__xludf.DUMMYFUNCTION("""COMPUTED_VALUE"""),103.5)</f>
        <v>103.5</v>
      </c>
      <c r="E1008" s="1">
        <f>IFERROR(__xludf.DUMMYFUNCTION("""COMPUTED_VALUE"""),105.06)</f>
        <v>105.06</v>
      </c>
      <c r="F1008" s="1">
        <f>IFERROR(__xludf.DUMMYFUNCTION("""COMPUTED_VALUE"""),3.1469516E7)</f>
        <v>31469516</v>
      </c>
    </row>
    <row r="1009">
      <c r="A1009" s="2">
        <f>IFERROR(__xludf.DUMMYFUNCTION("""COMPUTED_VALUE"""),43573.66666666667)</f>
        <v>43573.66667</v>
      </c>
      <c r="B1009" s="1">
        <f>IFERROR(__xludf.DUMMYFUNCTION("""COMPUTED_VALUE"""),104.98)</f>
        <v>104.98</v>
      </c>
      <c r="C1009" s="1">
        <f>IFERROR(__xludf.DUMMYFUNCTION("""COMPUTED_VALUE"""),106.71)</f>
        <v>106.71</v>
      </c>
      <c r="D1009" s="1">
        <f>IFERROR(__xludf.DUMMYFUNCTION("""COMPUTED_VALUE"""),104.79)</f>
        <v>104.79</v>
      </c>
      <c r="E1009" s="1">
        <f>IFERROR(__xludf.DUMMYFUNCTION("""COMPUTED_VALUE"""),106.05)</f>
        <v>106.05</v>
      </c>
      <c r="F1009" s="1">
        <f>IFERROR(__xludf.DUMMYFUNCTION("""COMPUTED_VALUE"""),2.780279E7)</f>
        <v>27802790</v>
      </c>
    </row>
    <row r="1010">
      <c r="A1010" s="2">
        <f>IFERROR(__xludf.DUMMYFUNCTION("""COMPUTED_VALUE"""),43581.66666666667)</f>
        <v>43581.66667</v>
      </c>
      <c r="B1010" s="1">
        <f>IFERROR(__xludf.DUMMYFUNCTION("""COMPUTED_VALUE"""),106.13)</f>
        <v>106.13</v>
      </c>
      <c r="C1010" s="1">
        <f>IFERROR(__xludf.DUMMYFUNCTION("""COMPUTED_VALUE"""),107.2)</f>
        <v>107.2</v>
      </c>
      <c r="D1010" s="1">
        <f>IFERROR(__xludf.DUMMYFUNCTION("""COMPUTED_VALUE"""),102.13)</f>
        <v>102.13</v>
      </c>
      <c r="E1010" s="1">
        <f>IFERROR(__xludf.DUMMYFUNCTION("""COMPUTED_VALUE"""),105.86)</f>
        <v>105.86</v>
      </c>
      <c r="F1010" s="1">
        <f>IFERROR(__xludf.DUMMYFUNCTION("""COMPUTED_VALUE"""),4.8964863E7)</f>
        <v>48964863</v>
      </c>
    </row>
    <row r="1011">
      <c r="A1011" s="2">
        <f>IFERROR(__xludf.DUMMYFUNCTION("""COMPUTED_VALUE"""),43588.66666666667)</f>
        <v>43588.66667</v>
      </c>
      <c r="B1011" s="1">
        <f>IFERROR(__xludf.DUMMYFUNCTION("""COMPUTED_VALUE"""),105.57)</f>
        <v>105.57</v>
      </c>
      <c r="C1011" s="1">
        <f>IFERROR(__xludf.DUMMYFUNCTION("""COMPUTED_VALUE"""),106.62)</f>
        <v>106.62</v>
      </c>
      <c r="D1011" s="1">
        <f>IFERROR(__xludf.DUMMYFUNCTION("""COMPUTED_VALUE"""),104.66)</f>
        <v>104.66</v>
      </c>
      <c r="E1011" s="1">
        <f>IFERROR(__xludf.DUMMYFUNCTION("""COMPUTED_VALUE"""),106.08)</f>
        <v>106.08</v>
      </c>
      <c r="F1011" s="1">
        <f>IFERROR(__xludf.DUMMYFUNCTION("""COMPUTED_VALUE"""),3.0836734E7)</f>
        <v>30836734</v>
      </c>
    </row>
    <row r="1012">
      <c r="A1012" s="2">
        <f>IFERROR(__xludf.DUMMYFUNCTION("""COMPUTED_VALUE"""),43595.66666666667)</f>
        <v>43595.66667</v>
      </c>
      <c r="B1012" s="1">
        <f>IFERROR(__xludf.DUMMYFUNCTION("""COMPUTED_VALUE"""),105.12)</f>
        <v>105.12</v>
      </c>
      <c r="C1012" s="1">
        <f>IFERROR(__xludf.DUMMYFUNCTION("""COMPUTED_VALUE"""),106.15)</f>
        <v>106.15</v>
      </c>
      <c r="D1012" s="1">
        <f>IFERROR(__xludf.DUMMYFUNCTION("""COMPUTED_VALUE"""),103.78)</f>
        <v>103.78</v>
      </c>
      <c r="E1012" s="1">
        <f>IFERROR(__xludf.DUMMYFUNCTION("""COMPUTED_VALUE"""),106.01)</f>
        <v>106.01</v>
      </c>
      <c r="F1012" s="1">
        <f>IFERROR(__xludf.DUMMYFUNCTION("""COMPUTED_VALUE"""),2.9022539E7)</f>
        <v>29022539</v>
      </c>
    </row>
    <row r="1013">
      <c r="A1013" s="2">
        <f>IFERROR(__xludf.DUMMYFUNCTION("""COMPUTED_VALUE"""),43602.66666666667)</f>
        <v>43602.66667</v>
      </c>
      <c r="B1013" s="1">
        <f>IFERROR(__xludf.DUMMYFUNCTION("""COMPUTED_VALUE"""),105.14)</f>
        <v>105.14</v>
      </c>
      <c r="C1013" s="1">
        <f>IFERROR(__xludf.DUMMYFUNCTION("""COMPUTED_VALUE"""),108.68)</f>
        <v>108.68</v>
      </c>
      <c r="D1013" s="1">
        <f>IFERROR(__xludf.DUMMYFUNCTION("""COMPUTED_VALUE"""),104.85)</f>
        <v>104.85</v>
      </c>
      <c r="E1013" s="1">
        <f>IFERROR(__xludf.DUMMYFUNCTION("""COMPUTED_VALUE"""),107.45)</f>
        <v>107.45</v>
      </c>
      <c r="F1013" s="1">
        <f>IFERROR(__xludf.DUMMYFUNCTION("""COMPUTED_VALUE"""),3.5769484E7)</f>
        <v>35769484</v>
      </c>
    </row>
    <row r="1014">
      <c r="A1014" s="2">
        <f>IFERROR(__xludf.DUMMYFUNCTION("""COMPUTED_VALUE"""),43609.66666666667)</f>
        <v>43609.66667</v>
      </c>
      <c r="B1014" s="1">
        <f>IFERROR(__xludf.DUMMYFUNCTION("""COMPUTED_VALUE"""),107.44)</f>
        <v>107.44</v>
      </c>
      <c r="C1014" s="1">
        <f>IFERROR(__xludf.DUMMYFUNCTION("""COMPUTED_VALUE"""),108.13)</f>
        <v>108.13</v>
      </c>
      <c r="D1014" s="1">
        <f>IFERROR(__xludf.DUMMYFUNCTION("""COMPUTED_VALUE"""),105.89)</f>
        <v>105.89</v>
      </c>
      <c r="E1014" s="1">
        <f>IFERROR(__xludf.DUMMYFUNCTION("""COMPUTED_VALUE"""),106.69)</f>
        <v>106.69</v>
      </c>
      <c r="F1014" s="1">
        <f>IFERROR(__xludf.DUMMYFUNCTION("""COMPUTED_VALUE"""),2.7229068E7)</f>
        <v>27229068</v>
      </c>
    </row>
    <row r="1015">
      <c r="A1015" s="2">
        <f>IFERROR(__xludf.DUMMYFUNCTION("""COMPUTED_VALUE"""),43616.66666666667)</f>
        <v>43616.66667</v>
      </c>
      <c r="B1015" s="1">
        <f>IFERROR(__xludf.DUMMYFUNCTION("""COMPUTED_VALUE"""),106.7)</f>
        <v>106.7</v>
      </c>
      <c r="C1015" s="1">
        <f>IFERROR(__xludf.DUMMYFUNCTION("""COMPUTED_VALUE"""),107.25)</f>
        <v>107.25</v>
      </c>
      <c r="D1015" s="1">
        <f>IFERROR(__xludf.DUMMYFUNCTION("""COMPUTED_VALUE"""),102.41)</f>
        <v>102.41</v>
      </c>
      <c r="E1015" s="1">
        <f>IFERROR(__xludf.DUMMYFUNCTION("""COMPUTED_VALUE"""),102.91)</f>
        <v>102.91</v>
      </c>
      <c r="F1015" s="1">
        <f>IFERROR(__xludf.DUMMYFUNCTION("""COMPUTED_VALUE"""),2.9764363E7)</f>
        <v>29764363</v>
      </c>
    </row>
    <row r="1016">
      <c r="A1016" s="2">
        <f>IFERROR(__xludf.DUMMYFUNCTION("""COMPUTED_VALUE"""),43623.66666666667)</f>
        <v>43623.66667</v>
      </c>
      <c r="B1016" s="1">
        <f>IFERROR(__xludf.DUMMYFUNCTION("""COMPUTED_VALUE"""),103.15)</f>
        <v>103.15</v>
      </c>
      <c r="C1016" s="1">
        <f>IFERROR(__xludf.DUMMYFUNCTION("""COMPUTED_VALUE"""),109.38)</f>
        <v>109.38</v>
      </c>
      <c r="D1016" s="1">
        <f>IFERROR(__xludf.DUMMYFUNCTION("""COMPUTED_VALUE"""),102.4)</f>
        <v>102.4</v>
      </c>
      <c r="E1016" s="1">
        <f>IFERROR(__xludf.DUMMYFUNCTION("""COMPUTED_VALUE"""),108.77)</f>
        <v>108.77</v>
      </c>
      <c r="F1016" s="1">
        <f>IFERROR(__xludf.DUMMYFUNCTION("""COMPUTED_VALUE"""),3.6666405E7)</f>
        <v>36666405</v>
      </c>
    </row>
    <row r="1017">
      <c r="A1017" s="2">
        <f>IFERROR(__xludf.DUMMYFUNCTION("""COMPUTED_VALUE"""),43630.66666666667)</f>
        <v>43630.66667</v>
      </c>
      <c r="B1017" s="1">
        <f>IFERROR(__xludf.DUMMYFUNCTION("""COMPUTED_VALUE"""),108.32)</f>
        <v>108.32</v>
      </c>
      <c r="C1017" s="1">
        <f>IFERROR(__xludf.DUMMYFUNCTION("""COMPUTED_VALUE"""),111.75)</f>
        <v>111.75</v>
      </c>
      <c r="D1017" s="1">
        <f>IFERROR(__xludf.DUMMYFUNCTION("""COMPUTED_VALUE"""),107.46)</f>
        <v>107.46</v>
      </c>
      <c r="E1017" s="1">
        <f>IFERROR(__xludf.DUMMYFUNCTION("""COMPUTED_VALUE"""),111.2)</f>
        <v>111.2</v>
      </c>
      <c r="F1017" s="1">
        <f>IFERROR(__xludf.DUMMYFUNCTION("""COMPUTED_VALUE"""),3.5578911E7)</f>
        <v>35578911</v>
      </c>
    </row>
    <row r="1018">
      <c r="A1018" s="2">
        <f>IFERROR(__xludf.DUMMYFUNCTION("""COMPUTED_VALUE"""),43637.66666666667)</f>
        <v>43637.66667</v>
      </c>
      <c r="B1018" s="1">
        <f>IFERROR(__xludf.DUMMYFUNCTION("""COMPUTED_VALUE"""),111.16)</f>
        <v>111.16</v>
      </c>
      <c r="C1018" s="1">
        <f>IFERROR(__xludf.DUMMYFUNCTION("""COMPUTED_VALUE"""),112.47)</f>
        <v>112.47</v>
      </c>
      <c r="D1018" s="1">
        <f>IFERROR(__xludf.DUMMYFUNCTION("""COMPUTED_VALUE"""),109.26)</f>
        <v>109.26</v>
      </c>
      <c r="E1018" s="1">
        <f>IFERROR(__xludf.DUMMYFUNCTION("""COMPUTED_VALUE"""),111.2)</f>
        <v>111.2</v>
      </c>
      <c r="F1018" s="1">
        <f>IFERROR(__xludf.DUMMYFUNCTION("""COMPUTED_VALUE"""),4.162282E7)</f>
        <v>41622820</v>
      </c>
    </row>
    <row r="1019">
      <c r="A1019" s="2">
        <f>IFERROR(__xludf.DUMMYFUNCTION("""COMPUTED_VALUE"""),43644.66666666667)</f>
        <v>43644.66667</v>
      </c>
      <c r="B1019" s="1">
        <f>IFERROR(__xludf.DUMMYFUNCTION("""COMPUTED_VALUE"""),111.82)</f>
        <v>111.82</v>
      </c>
      <c r="C1019" s="1">
        <f>IFERROR(__xludf.DUMMYFUNCTION("""COMPUTED_VALUE"""),112.63)</f>
        <v>112.63</v>
      </c>
      <c r="D1019" s="1">
        <f>IFERROR(__xludf.DUMMYFUNCTION("""COMPUTED_VALUE"""),109.02)</f>
        <v>109.02</v>
      </c>
      <c r="E1019" s="1">
        <f>IFERROR(__xludf.DUMMYFUNCTION("""COMPUTED_VALUE"""),109.65)</f>
        <v>109.65</v>
      </c>
      <c r="F1019" s="1">
        <f>IFERROR(__xludf.DUMMYFUNCTION("""COMPUTED_VALUE"""),3.7259281E7)</f>
        <v>37259281</v>
      </c>
    </row>
    <row r="1020">
      <c r="A1020" s="2">
        <f>IFERROR(__xludf.DUMMYFUNCTION("""COMPUTED_VALUE"""),43651.66666666667)</f>
        <v>43651.66667</v>
      </c>
      <c r="B1020" s="1">
        <f>IFERROR(__xludf.DUMMYFUNCTION("""COMPUTED_VALUE"""),109.92)</f>
        <v>109.92</v>
      </c>
      <c r="C1020" s="1">
        <f>IFERROR(__xludf.DUMMYFUNCTION("""COMPUTED_VALUE"""),114.27)</f>
        <v>114.27</v>
      </c>
      <c r="D1020" s="1">
        <f>IFERROR(__xludf.DUMMYFUNCTION("""COMPUTED_VALUE"""),109.61)</f>
        <v>109.61</v>
      </c>
      <c r="E1020" s="1">
        <f>IFERROR(__xludf.DUMMYFUNCTION("""COMPUTED_VALUE"""),113.15)</f>
        <v>113.15</v>
      </c>
      <c r="F1020" s="1">
        <f>IFERROR(__xludf.DUMMYFUNCTION("""COMPUTED_VALUE"""),2.8276996E7)</f>
        <v>28276996</v>
      </c>
    </row>
    <row r="1021">
      <c r="A1021" s="2">
        <f>IFERROR(__xludf.DUMMYFUNCTION("""COMPUTED_VALUE"""),43658.66666666667)</f>
        <v>43658.66667</v>
      </c>
      <c r="B1021" s="1">
        <f>IFERROR(__xludf.DUMMYFUNCTION("""COMPUTED_VALUE"""),113.34)</f>
        <v>113.34</v>
      </c>
      <c r="C1021" s="1">
        <f>IFERROR(__xludf.DUMMYFUNCTION("""COMPUTED_VALUE"""),115.21)</f>
        <v>115.21</v>
      </c>
      <c r="D1021" s="1">
        <f>IFERROR(__xludf.DUMMYFUNCTION("""COMPUTED_VALUE"""),112.32)</f>
        <v>112.32</v>
      </c>
      <c r="E1021" s="1">
        <f>IFERROR(__xludf.DUMMYFUNCTION("""COMPUTED_VALUE"""),114.99)</f>
        <v>114.99</v>
      </c>
      <c r="F1021" s="1">
        <f>IFERROR(__xludf.DUMMYFUNCTION("""COMPUTED_VALUE"""),3.0140004E7)</f>
        <v>30140004</v>
      </c>
    </row>
    <row r="1022">
      <c r="A1022" s="2">
        <f>IFERROR(__xludf.DUMMYFUNCTION("""COMPUTED_VALUE"""),43665.66666666667)</f>
        <v>43665.66667</v>
      </c>
      <c r="B1022" s="1">
        <f>IFERROR(__xludf.DUMMYFUNCTION("""COMPUTED_VALUE"""),115.07)</f>
        <v>115.07</v>
      </c>
      <c r="C1022" s="1">
        <f>IFERROR(__xludf.DUMMYFUNCTION("""COMPUTED_VALUE"""),116.52)</f>
        <v>116.52</v>
      </c>
      <c r="D1022" s="1">
        <f>IFERROR(__xludf.DUMMYFUNCTION("""COMPUTED_VALUE"""),114.79)</f>
        <v>114.79</v>
      </c>
      <c r="E1022" s="1">
        <f>IFERROR(__xludf.DUMMYFUNCTION("""COMPUTED_VALUE"""),115.01)</f>
        <v>115.01</v>
      </c>
      <c r="F1022" s="1">
        <f>IFERROR(__xludf.DUMMYFUNCTION("""COMPUTED_VALUE"""),3.4123595E7)</f>
        <v>34123595</v>
      </c>
    </row>
    <row r="1023">
      <c r="A1023" s="2">
        <f>IFERROR(__xludf.DUMMYFUNCTION("""COMPUTED_VALUE"""),43672.66666666667)</f>
        <v>43672.66667</v>
      </c>
      <c r="B1023" s="1">
        <f>IFERROR(__xludf.DUMMYFUNCTION("""COMPUTED_VALUE"""),115.04)</f>
        <v>115.04</v>
      </c>
      <c r="C1023" s="1">
        <f>IFERROR(__xludf.DUMMYFUNCTION("""COMPUTED_VALUE"""),116.05)</f>
        <v>116.05</v>
      </c>
      <c r="D1023" s="1">
        <f>IFERROR(__xludf.DUMMYFUNCTION("""COMPUTED_VALUE"""),111.38)</f>
        <v>111.38</v>
      </c>
      <c r="E1023" s="1">
        <f>IFERROR(__xludf.DUMMYFUNCTION("""COMPUTED_VALUE"""),114.73)</f>
        <v>114.73</v>
      </c>
      <c r="F1023" s="1">
        <f>IFERROR(__xludf.DUMMYFUNCTION("""COMPUTED_VALUE"""),3.5218535E7)</f>
        <v>35218535</v>
      </c>
    </row>
    <row r="1024">
      <c r="A1024" s="2">
        <f>IFERROR(__xludf.DUMMYFUNCTION("""COMPUTED_VALUE"""),43679.66666666667)</f>
        <v>43679.66667</v>
      </c>
      <c r="B1024" s="1">
        <f>IFERROR(__xludf.DUMMYFUNCTION("""COMPUTED_VALUE"""),114.73)</f>
        <v>114.73</v>
      </c>
      <c r="C1024" s="1">
        <f>IFERROR(__xludf.DUMMYFUNCTION("""COMPUTED_VALUE"""),121.76)</f>
        <v>121.76</v>
      </c>
      <c r="D1024" s="1">
        <f>IFERROR(__xludf.DUMMYFUNCTION("""COMPUTED_VALUE"""),114.62)</f>
        <v>114.62</v>
      </c>
      <c r="E1024" s="1">
        <f>IFERROR(__xludf.DUMMYFUNCTION("""COMPUTED_VALUE"""),116.44)</f>
        <v>116.44</v>
      </c>
      <c r="F1024" s="1">
        <f>IFERROR(__xludf.DUMMYFUNCTION("""COMPUTED_VALUE"""),6.2774033E7)</f>
        <v>62774033</v>
      </c>
    </row>
    <row r="1025">
      <c r="A1025" s="2">
        <f>IFERROR(__xludf.DUMMYFUNCTION("""COMPUTED_VALUE"""),43686.66666666667)</f>
        <v>43686.66667</v>
      </c>
      <c r="B1025" s="1">
        <f>IFERROR(__xludf.DUMMYFUNCTION("""COMPUTED_VALUE"""),116.09)</f>
        <v>116.09</v>
      </c>
      <c r="C1025" s="1">
        <f>IFERROR(__xludf.DUMMYFUNCTION("""COMPUTED_VALUE"""),118.04)</f>
        <v>118.04</v>
      </c>
      <c r="D1025" s="1">
        <f>IFERROR(__xludf.DUMMYFUNCTION("""COMPUTED_VALUE"""),112.68)</f>
        <v>112.68</v>
      </c>
      <c r="E1025" s="1">
        <f>IFERROR(__xludf.DUMMYFUNCTION("""COMPUTED_VALUE"""),116.78)</f>
        <v>116.78</v>
      </c>
      <c r="F1025" s="1">
        <f>IFERROR(__xludf.DUMMYFUNCTION("""COMPUTED_VALUE"""),4.6329107E7)</f>
        <v>46329107</v>
      </c>
    </row>
    <row r="1026">
      <c r="A1026" s="2">
        <f>IFERROR(__xludf.DUMMYFUNCTION("""COMPUTED_VALUE"""),43693.66666666667)</f>
        <v>43693.66667</v>
      </c>
      <c r="B1026" s="1">
        <f>IFERROR(__xludf.DUMMYFUNCTION("""COMPUTED_VALUE"""),116.78)</f>
        <v>116.78</v>
      </c>
      <c r="C1026" s="1">
        <f>IFERROR(__xludf.DUMMYFUNCTION("""COMPUTED_VALUE"""),119.54)</f>
        <v>119.54</v>
      </c>
      <c r="D1026" s="1">
        <f>IFERROR(__xludf.DUMMYFUNCTION("""COMPUTED_VALUE"""),115.59)</f>
        <v>115.59</v>
      </c>
      <c r="E1026" s="1">
        <f>IFERROR(__xludf.DUMMYFUNCTION("""COMPUTED_VALUE"""),119.18)</f>
        <v>119.18</v>
      </c>
      <c r="F1026" s="1">
        <f>IFERROR(__xludf.DUMMYFUNCTION("""COMPUTED_VALUE"""),3.7842263E7)</f>
        <v>37842263</v>
      </c>
    </row>
    <row r="1027">
      <c r="A1027" s="2">
        <f>IFERROR(__xludf.DUMMYFUNCTION("""COMPUTED_VALUE"""),43700.66666666667)</f>
        <v>43700.66667</v>
      </c>
      <c r="B1027" s="1">
        <f>IFERROR(__xludf.DUMMYFUNCTION("""COMPUTED_VALUE"""),119.97)</f>
        <v>119.97</v>
      </c>
      <c r="C1027" s="1">
        <f>IFERROR(__xludf.DUMMYFUNCTION("""COMPUTED_VALUE"""),120.45)</f>
        <v>120.45</v>
      </c>
      <c r="D1027" s="1">
        <f>IFERROR(__xludf.DUMMYFUNCTION("""COMPUTED_VALUE"""),116.43)</f>
        <v>116.43</v>
      </c>
      <c r="E1027" s="1">
        <f>IFERROR(__xludf.DUMMYFUNCTION("""COMPUTED_VALUE"""),117.32)</f>
        <v>117.32</v>
      </c>
      <c r="F1027" s="1">
        <f>IFERROR(__xludf.DUMMYFUNCTION("""COMPUTED_VALUE"""),2.8544298E7)</f>
        <v>28544298</v>
      </c>
    </row>
    <row r="1028">
      <c r="A1028" s="2">
        <f>IFERROR(__xludf.DUMMYFUNCTION("""COMPUTED_VALUE"""),43707.66666666667)</f>
        <v>43707.66667</v>
      </c>
      <c r="B1028" s="1">
        <f>IFERROR(__xludf.DUMMYFUNCTION("""COMPUTED_VALUE"""),117.75)</f>
        <v>117.75</v>
      </c>
      <c r="C1028" s="1">
        <f>IFERROR(__xludf.DUMMYFUNCTION("""COMPUTED_VALUE"""),122.0)</f>
        <v>122</v>
      </c>
      <c r="D1028" s="1">
        <f>IFERROR(__xludf.DUMMYFUNCTION("""COMPUTED_VALUE"""),117.22)</f>
        <v>117.22</v>
      </c>
      <c r="E1028" s="1">
        <f>IFERROR(__xludf.DUMMYFUNCTION("""COMPUTED_VALUE"""),120.23)</f>
        <v>120.23</v>
      </c>
      <c r="F1028" s="1">
        <f>IFERROR(__xludf.DUMMYFUNCTION("""COMPUTED_VALUE"""),2.828339E7)</f>
        <v>28283390</v>
      </c>
    </row>
    <row r="1029">
      <c r="A1029" s="2">
        <f>IFERROR(__xludf.DUMMYFUNCTION("""COMPUTED_VALUE"""),43714.66666666667)</f>
        <v>43714.66667</v>
      </c>
      <c r="B1029" s="1">
        <f>IFERROR(__xludf.DUMMYFUNCTION("""COMPUTED_VALUE"""),119.79)</f>
        <v>119.79</v>
      </c>
      <c r="C1029" s="1">
        <f>IFERROR(__xludf.DUMMYFUNCTION("""COMPUTED_VALUE"""),123.43)</f>
        <v>123.43</v>
      </c>
      <c r="D1029" s="1">
        <f>IFERROR(__xludf.DUMMYFUNCTION("""COMPUTED_VALUE"""),119.63)</f>
        <v>119.63</v>
      </c>
      <c r="E1029" s="1">
        <f>IFERROR(__xludf.DUMMYFUNCTION("""COMPUTED_VALUE"""),122.87)</f>
        <v>122.87</v>
      </c>
      <c r="F1029" s="1">
        <f>IFERROR(__xludf.DUMMYFUNCTION("""COMPUTED_VALUE"""),2.3360783E7)</f>
        <v>23360783</v>
      </c>
    </row>
    <row r="1030">
      <c r="A1030" s="2">
        <f>IFERROR(__xludf.DUMMYFUNCTION("""COMPUTED_VALUE"""),43721.66666666667)</f>
        <v>43721.66667</v>
      </c>
      <c r="B1030" s="1">
        <f>IFERROR(__xludf.DUMMYFUNCTION("""COMPUTED_VALUE"""),122.71)</f>
        <v>122.71</v>
      </c>
      <c r="C1030" s="1">
        <f>IFERROR(__xludf.DUMMYFUNCTION("""COMPUTED_VALUE"""),123.21)</f>
        <v>123.21</v>
      </c>
      <c r="D1030" s="1">
        <f>IFERROR(__xludf.DUMMYFUNCTION("""COMPUTED_VALUE"""),119.36)</f>
        <v>119.36</v>
      </c>
      <c r="E1030" s="1">
        <f>IFERROR(__xludf.DUMMYFUNCTION("""COMPUTED_VALUE"""),122.12)</f>
        <v>122.12</v>
      </c>
      <c r="F1030" s="1">
        <f>IFERROR(__xludf.DUMMYFUNCTION("""COMPUTED_VALUE"""),3.7781848E7)</f>
        <v>37781848</v>
      </c>
    </row>
    <row r="1031">
      <c r="A1031" s="2">
        <f>IFERROR(__xludf.DUMMYFUNCTION("""COMPUTED_VALUE"""),43728.66666666667)</f>
        <v>43728.66667</v>
      </c>
      <c r="B1031" s="1">
        <f>IFERROR(__xludf.DUMMYFUNCTION("""COMPUTED_VALUE"""),121.81)</f>
        <v>121.81</v>
      </c>
      <c r="C1031" s="1">
        <f>IFERROR(__xludf.DUMMYFUNCTION("""COMPUTED_VALUE"""),122.6)</f>
        <v>122.6</v>
      </c>
      <c r="D1031" s="1">
        <f>IFERROR(__xludf.DUMMYFUNCTION("""COMPUTED_VALUE"""),119.02)</f>
        <v>119.02</v>
      </c>
      <c r="E1031" s="1">
        <f>IFERROR(__xludf.DUMMYFUNCTION("""COMPUTED_VALUE"""),122.24)</f>
        <v>122.24</v>
      </c>
      <c r="F1031" s="1">
        <f>IFERROR(__xludf.DUMMYFUNCTION("""COMPUTED_VALUE"""),4.2008037E7)</f>
        <v>42008037</v>
      </c>
    </row>
    <row r="1032">
      <c r="A1032" s="2">
        <f>IFERROR(__xludf.DUMMYFUNCTION("""COMPUTED_VALUE"""),43735.66666666667)</f>
        <v>43735.66667</v>
      </c>
      <c r="B1032" s="1">
        <f>IFERROR(__xludf.DUMMYFUNCTION("""COMPUTED_VALUE"""),122.2)</f>
        <v>122.2</v>
      </c>
      <c r="C1032" s="1">
        <f>IFERROR(__xludf.DUMMYFUNCTION("""COMPUTED_VALUE"""),125.0)</f>
        <v>125</v>
      </c>
      <c r="D1032" s="1">
        <f>IFERROR(__xludf.DUMMYFUNCTION("""COMPUTED_VALUE"""),121.97)</f>
        <v>121.97</v>
      </c>
      <c r="E1032" s="1">
        <f>IFERROR(__xludf.DUMMYFUNCTION("""COMPUTED_VALUE"""),124.57)</f>
        <v>124.57</v>
      </c>
      <c r="F1032" s="1">
        <f>IFERROR(__xludf.DUMMYFUNCTION("""COMPUTED_VALUE"""),3.255749E7)</f>
        <v>32557490</v>
      </c>
    </row>
    <row r="1033">
      <c r="A1033" s="2">
        <f>IFERROR(__xludf.DUMMYFUNCTION("""COMPUTED_VALUE"""),43742.66666666667)</f>
        <v>43742.66667</v>
      </c>
      <c r="B1033" s="1">
        <f>IFERROR(__xludf.DUMMYFUNCTION("""COMPUTED_VALUE"""),124.57)</f>
        <v>124.57</v>
      </c>
      <c r="C1033" s="1">
        <f>IFERROR(__xludf.DUMMYFUNCTION("""COMPUTED_VALUE"""),125.36)</f>
        <v>125.36</v>
      </c>
      <c r="D1033" s="1">
        <f>IFERROR(__xludf.DUMMYFUNCTION("""COMPUTED_VALUE"""),120.21)</f>
        <v>120.21</v>
      </c>
      <c r="E1033" s="1">
        <f>IFERROR(__xludf.DUMMYFUNCTION("""COMPUTED_VALUE"""),124.0)</f>
        <v>124</v>
      </c>
      <c r="F1033" s="1">
        <f>IFERROR(__xludf.DUMMYFUNCTION("""COMPUTED_VALUE"""),2.7125101E7)</f>
        <v>27125101</v>
      </c>
    </row>
    <row r="1034">
      <c r="A1034" s="2">
        <f>IFERROR(__xludf.DUMMYFUNCTION("""COMPUTED_VALUE"""),43749.66666666667)</f>
        <v>43749.66667</v>
      </c>
      <c r="B1034" s="1">
        <f>IFERROR(__xludf.DUMMYFUNCTION("""COMPUTED_VALUE"""),123.53)</f>
        <v>123.53</v>
      </c>
      <c r="C1034" s="1">
        <f>IFERROR(__xludf.DUMMYFUNCTION("""COMPUTED_VALUE"""),123.89)</f>
        <v>123.89</v>
      </c>
      <c r="D1034" s="1">
        <f>IFERROR(__xludf.DUMMYFUNCTION("""COMPUTED_VALUE"""),120.8)</f>
        <v>120.8</v>
      </c>
      <c r="E1034" s="1">
        <f>IFERROR(__xludf.DUMMYFUNCTION("""COMPUTED_VALUE"""),121.09)</f>
        <v>121.09</v>
      </c>
      <c r="F1034" s="1">
        <f>IFERROR(__xludf.DUMMYFUNCTION("""COMPUTED_VALUE"""),2.5191056E7)</f>
        <v>25191056</v>
      </c>
    </row>
    <row r="1035">
      <c r="A1035" s="2">
        <f>IFERROR(__xludf.DUMMYFUNCTION("""COMPUTED_VALUE"""),43756.66666666667)</f>
        <v>43756.66667</v>
      </c>
      <c r="B1035" s="1">
        <f>IFERROR(__xludf.DUMMYFUNCTION("""COMPUTED_VALUE"""),121.62)</f>
        <v>121.62</v>
      </c>
      <c r="C1035" s="1">
        <f>IFERROR(__xludf.DUMMYFUNCTION("""COMPUTED_VALUE"""),121.62)</f>
        <v>121.62</v>
      </c>
      <c r="D1035" s="1">
        <f>IFERROR(__xludf.DUMMYFUNCTION("""COMPUTED_VALUE"""),116.17)</f>
        <v>116.17</v>
      </c>
      <c r="E1035" s="1">
        <f>IFERROR(__xludf.DUMMYFUNCTION("""COMPUTED_VALUE"""),117.47)</f>
        <v>117.47</v>
      </c>
      <c r="F1035" s="1">
        <f>IFERROR(__xludf.DUMMYFUNCTION("""COMPUTED_VALUE"""),4.1571103E7)</f>
        <v>41571103</v>
      </c>
    </row>
    <row r="1036">
      <c r="A1036" s="2">
        <f>IFERROR(__xludf.DUMMYFUNCTION("""COMPUTED_VALUE"""),43763.66666666667)</f>
        <v>43763.66667</v>
      </c>
      <c r="B1036" s="1">
        <f>IFERROR(__xludf.DUMMYFUNCTION("""COMPUTED_VALUE"""),117.42)</f>
        <v>117.42</v>
      </c>
      <c r="C1036" s="1">
        <f>IFERROR(__xludf.DUMMYFUNCTION("""COMPUTED_VALUE"""),125.77)</f>
        <v>125.77</v>
      </c>
      <c r="D1036" s="1">
        <f>IFERROR(__xludf.DUMMYFUNCTION("""COMPUTED_VALUE"""),117.35)</f>
        <v>117.35</v>
      </c>
      <c r="E1036" s="1">
        <f>IFERROR(__xludf.DUMMYFUNCTION("""COMPUTED_VALUE"""),123.25)</f>
        <v>123.25</v>
      </c>
      <c r="F1036" s="1">
        <f>IFERROR(__xludf.DUMMYFUNCTION("""COMPUTED_VALUE"""),4.2882305E7)</f>
        <v>42882305</v>
      </c>
    </row>
    <row r="1037">
      <c r="A1037" s="2">
        <f>IFERROR(__xludf.DUMMYFUNCTION("""COMPUTED_VALUE"""),43770.66666666667)</f>
        <v>43770.66667</v>
      </c>
      <c r="B1037" s="1">
        <f>IFERROR(__xludf.DUMMYFUNCTION("""COMPUTED_VALUE"""),123.48)</f>
        <v>123.48</v>
      </c>
      <c r="C1037" s="1">
        <f>IFERROR(__xludf.DUMMYFUNCTION("""COMPUTED_VALUE"""),125.45)</f>
        <v>125.45</v>
      </c>
      <c r="D1037" s="1">
        <f>IFERROR(__xludf.DUMMYFUNCTION("""COMPUTED_VALUE"""),122.6)</f>
        <v>122.6</v>
      </c>
      <c r="E1037" s="1">
        <f>IFERROR(__xludf.DUMMYFUNCTION("""COMPUTED_VALUE"""),123.87)</f>
        <v>123.87</v>
      </c>
      <c r="F1037" s="1">
        <f>IFERROR(__xludf.DUMMYFUNCTION("""COMPUTED_VALUE"""),2.8263445E7)</f>
        <v>28263445</v>
      </c>
    </row>
    <row r="1038">
      <c r="A1038" s="2">
        <f>IFERROR(__xludf.DUMMYFUNCTION("""COMPUTED_VALUE"""),43777.66666666667)</f>
        <v>43777.66667</v>
      </c>
      <c r="B1038" s="1">
        <f>IFERROR(__xludf.DUMMYFUNCTION("""COMPUTED_VALUE"""),123.92)</f>
        <v>123.92</v>
      </c>
      <c r="C1038" s="1">
        <f>IFERROR(__xludf.DUMMYFUNCTION("""COMPUTED_VALUE"""),123.92)</f>
        <v>123.92</v>
      </c>
      <c r="D1038" s="1">
        <f>IFERROR(__xludf.DUMMYFUNCTION("""COMPUTED_VALUE"""),118.24)</f>
        <v>118.24</v>
      </c>
      <c r="E1038" s="1">
        <f>IFERROR(__xludf.DUMMYFUNCTION("""COMPUTED_VALUE"""),119.7)</f>
        <v>119.7</v>
      </c>
      <c r="F1038" s="1">
        <f>IFERROR(__xludf.DUMMYFUNCTION("""COMPUTED_VALUE"""),3.0608755E7)</f>
        <v>30608755</v>
      </c>
    </row>
    <row r="1039">
      <c r="A1039" s="2">
        <f>IFERROR(__xludf.DUMMYFUNCTION("""COMPUTED_VALUE"""),43784.66666666667)</f>
        <v>43784.66667</v>
      </c>
      <c r="B1039" s="1">
        <f>IFERROR(__xludf.DUMMYFUNCTION("""COMPUTED_VALUE"""),119.48)</f>
        <v>119.48</v>
      </c>
      <c r="C1039" s="1">
        <f>IFERROR(__xludf.DUMMYFUNCTION("""COMPUTED_VALUE"""),121.17)</f>
        <v>121.17</v>
      </c>
      <c r="D1039" s="1">
        <f>IFERROR(__xludf.DUMMYFUNCTION("""COMPUTED_VALUE"""),118.55)</f>
        <v>118.55</v>
      </c>
      <c r="E1039" s="1">
        <f>IFERROR(__xludf.DUMMYFUNCTION("""COMPUTED_VALUE"""),120.54)</f>
        <v>120.54</v>
      </c>
      <c r="F1039" s="1">
        <f>IFERROR(__xludf.DUMMYFUNCTION("""COMPUTED_VALUE"""),2.8186737E7)</f>
        <v>28186737</v>
      </c>
    </row>
    <row r="1040">
      <c r="A1040" s="2">
        <f>IFERROR(__xludf.DUMMYFUNCTION("""COMPUTED_VALUE"""),43791.66666666667)</f>
        <v>43791.66667</v>
      </c>
      <c r="B1040" s="1">
        <f>IFERROR(__xludf.DUMMYFUNCTION("""COMPUTED_VALUE"""),120.25)</f>
        <v>120.25</v>
      </c>
      <c r="C1040" s="1">
        <f>IFERROR(__xludf.DUMMYFUNCTION("""COMPUTED_VALUE"""),122.78)</f>
        <v>122.78</v>
      </c>
      <c r="D1040" s="1">
        <f>IFERROR(__xludf.DUMMYFUNCTION("""COMPUTED_VALUE"""),119.39)</f>
        <v>119.39</v>
      </c>
      <c r="E1040" s="1">
        <f>IFERROR(__xludf.DUMMYFUNCTION("""COMPUTED_VALUE"""),120.29)</f>
        <v>120.29</v>
      </c>
      <c r="F1040" s="1">
        <f>IFERROR(__xludf.DUMMYFUNCTION("""COMPUTED_VALUE"""),3.1472163E7)</f>
        <v>31472163</v>
      </c>
    </row>
    <row r="1041">
      <c r="A1041" s="2">
        <f>IFERROR(__xludf.DUMMYFUNCTION("""COMPUTED_VALUE"""),43798.54166666667)</f>
        <v>43798.54167</v>
      </c>
      <c r="B1041" s="1">
        <f>IFERROR(__xludf.DUMMYFUNCTION("""COMPUTED_VALUE"""),120.44)</f>
        <v>120.44</v>
      </c>
      <c r="C1041" s="1">
        <f>IFERROR(__xludf.DUMMYFUNCTION("""COMPUTED_VALUE"""),122.63)</f>
        <v>122.63</v>
      </c>
      <c r="D1041" s="1">
        <f>IFERROR(__xludf.DUMMYFUNCTION("""COMPUTED_VALUE"""),120.02)</f>
        <v>120.02</v>
      </c>
      <c r="E1041" s="1">
        <f>IFERROR(__xludf.DUMMYFUNCTION("""COMPUTED_VALUE"""),122.06)</f>
        <v>122.06</v>
      </c>
      <c r="F1041" s="1">
        <f>IFERROR(__xludf.DUMMYFUNCTION("""COMPUTED_VALUE"""),2.004881E7)</f>
        <v>20048810</v>
      </c>
    </row>
    <row r="1042">
      <c r="A1042" s="2">
        <f>IFERROR(__xludf.DUMMYFUNCTION("""COMPUTED_VALUE"""),43805.66666666667)</f>
        <v>43805.66667</v>
      </c>
      <c r="B1042" s="1">
        <f>IFERROR(__xludf.DUMMYFUNCTION("""COMPUTED_VALUE"""),121.94)</f>
        <v>121.94</v>
      </c>
      <c r="C1042" s="1">
        <f>IFERROR(__xludf.DUMMYFUNCTION("""COMPUTED_VALUE"""),125.45)</f>
        <v>125.45</v>
      </c>
      <c r="D1042" s="1">
        <f>IFERROR(__xludf.DUMMYFUNCTION("""COMPUTED_VALUE"""),120.96)</f>
        <v>120.96</v>
      </c>
      <c r="E1042" s="1">
        <f>IFERROR(__xludf.DUMMYFUNCTION("""COMPUTED_VALUE"""),124.19)</f>
        <v>124.19</v>
      </c>
      <c r="F1042" s="1">
        <f>IFERROR(__xludf.DUMMYFUNCTION("""COMPUTED_VALUE"""),3.3680285E7)</f>
        <v>33680285</v>
      </c>
    </row>
    <row r="1043">
      <c r="A1043" s="2">
        <f>IFERROR(__xludf.DUMMYFUNCTION("""COMPUTED_VALUE"""),43812.66666666667)</f>
        <v>43812.66667</v>
      </c>
      <c r="B1043" s="1">
        <f>IFERROR(__xludf.DUMMYFUNCTION("""COMPUTED_VALUE"""),124.31)</f>
        <v>124.31</v>
      </c>
      <c r="C1043" s="1">
        <f>IFERROR(__xludf.DUMMYFUNCTION("""COMPUTED_VALUE"""),125.76)</f>
        <v>125.76</v>
      </c>
      <c r="D1043" s="1">
        <f>IFERROR(__xludf.DUMMYFUNCTION("""COMPUTED_VALUE"""),123.79)</f>
        <v>123.79</v>
      </c>
      <c r="E1043" s="1">
        <f>IFERROR(__xludf.DUMMYFUNCTION("""COMPUTED_VALUE"""),125.47)</f>
        <v>125.47</v>
      </c>
      <c r="F1043" s="1">
        <f>IFERROR(__xludf.DUMMYFUNCTION("""COMPUTED_VALUE"""),2.8410953E7)</f>
        <v>28410953</v>
      </c>
    </row>
    <row r="1044">
      <c r="A1044" s="2">
        <f>IFERROR(__xludf.DUMMYFUNCTION("""COMPUTED_VALUE"""),43819.66666666667)</f>
        <v>43819.66667</v>
      </c>
      <c r="B1044" s="1">
        <f>IFERROR(__xludf.DUMMYFUNCTION("""COMPUTED_VALUE"""),125.47)</f>
        <v>125.47</v>
      </c>
      <c r="C1044" s="1">
        <f>IFERROR(__xludf.DUMMYFUNCTION("""COMPUTED_VALUE"""),126.6)</f>
        <v>126.6</v>
      </c>
      <c r="D1044" s="1">
        <f>IFERROR(__xludf.DUMMYFUNCTION("""COMPUTED_VALUE"""),123.69)</f>
        <v>123.69</v>
      </c>
      <c r="E1044" s="1">
        <f>IFERROR(__xludf.DUMMYFUNCTION("""COMPUTED_VALUE"""),125.36)</f>
        <v>125.36</v>
      </c>
      <c r="F1044" s="1">
        <f>IFERROR(__xludf.DUMMYFUNCTION("""COMPUTED_VALUE"""),4.8603288E7)</f>
        <v>48603288</v>
      </c>
    </row>
    <row r="1045">
      <c r="A1045" s="2">
        <f>IFERROR(__xludf.DUMMYFUNCTION("""COMPUTED_VALUE"""),43826.66666666667)</f>
        <v>43826.66667</v>
      </c>
      <c r="B1045" s="1">
        <f>IFERROR(__xludf.DUMMYFUNCTION("""COMPUTED_VALUE"""),125.52)</f>
        <v>125.52</v>
      </c>
      <c r="C1045" s="1">
        <f>IFERROR(__xludf.DUMMYFUNCTION("""COMPUTED_VALUE"""),126.3)</f>
        <v>126.3</v>
      </c>
      <c r="D1045" s="1">
        <f>IFERROR(__xludf.DUMMYFUNCTION("""COMPUTED_VALUE"""),124.58)</f>
        <v>124.58</v>
      </c>
      <c r="E1045" s="1">
        <f>IFERROR(__xludf.DUMMYFUNCTION("""COMPUTED_VALUE"""),126.09)</f>
        <v>126.09</v>
      </c>
      <c r="F1045" s="1">
        <f>IFERROR(__xludf.DUMMYFUNCTION("""COMPUTED_VALUE"""),1.8595166E7)</f>
        <v>18595166</v>
      </c>
    </row>
    <row r="1046">
      <c r="A1046" s="2">
        <f>IFERROR(__xludf.DUMMYFUNCTION("""COMPUTED_VALUE"""),43833.66666666667)</f>
        <v>43833.66667</v>
      </c>
      <c r="B1046" s="1">
        <f>IFERROR(__xludf.DUMMYFUNCTION("""COMPUTED_VALUE"""),125.76)</f>
        <v>125.76</v>
      </c>
      <c r="C1046" s="1">
        <f>IFERROR(__xludf.DUMMYFUNCTION("""COMPUTED_VALUE"""),125.98)</f>
        <v>125.98</v>
      </c>
      <c r="D1046" s="1">
        <f>IFERROR(__xludf.DUMMYFUNCTION("""COMPUTED_VALUE"""),121.86)</f>
        <v>121.86</v>
      </c>
      <c r="E1046" s="1">
        <f>IFERROR(__xludf.DUMMYFUNCTION("""COMPUTED_VALUE"""),122.58)</f>
        <v>122.58</v>
      </c>
      <c r="F1046" s="1">
        <f>IFERROR(__xludf.DUMMYFUNCTION("""COMPUTED_VALUE"""),2.4303048E7)</f>
        <v>24303048</v>
      </c>
    </row>
    <row r="1047">
      <c r="A1047" s="2">
        <f>IFERROR(__xludf.DUMMYFUNCTION("""COMPUTED_VALUE"""),43840.66666666667)</f>
        <v>43840.66667</v>
      </c>
      <c r="B1047" s="1">
        <f>IFERROR(__xludf.DUMMYFUNCTION("""COMPUTED_VALUE"""),122.57)</f>
        <v>122.57</v>
      </c>
      <c r="C1047" s="1">
        <f>IFERROR(__xludf.DUMMYFUNCTION("""COMPUTED_VALUE"""),124.32)</f>
        <v>124.32</v>
      </c>
      <c r="D1047" s="1">
        <f>IFERROR(__xludf.DUMMYFUNCTION("""COMPUTED_VALUE"""),121.87)</f>
        <v>121.87</v>
      </c>
      <c r="E1047" s="1">
        <f>IFERROR(__xludf.DUMMYFUNCTION("""COMPUTED_VALUE"""),123.97)</f>
        <v>123.97</v>
      </c>
      <c r="F1047" s="1">
        <f>IFERROR(__xludf.DUMMYFUNCTION("""COMPUTED_VALUE"""),2.9516989E7)</f>
        <v>29516989</v>
      </c>
    </row>
    <row r="1048">
      <c r="A1048" s="2">
        <f>IFERROR(__xludf.DUMMYFUNCTION("""COMPUTED_VALUE"""),43847.66666666667)</f>
        <v>43847.66667</v>
      </c>
      <c r="B1048" s="1">
        <f>IFERROR(__xludf.DUMMYFUNCTION("""COMPUTED_VALUE"""),124.0)</f>
        <v>124</v>
      </c>
      <c r="C1048" s="1">
        <f>IFERROR(__xludf.DUMMYFUNCTION("""COMPUTED_VALUE"""),127.0)</f>
        <v>127</v>
      </c>
      <c r="D1048" s="1">
        <f>IFERROR(__xludf.DUMMYFUNCTION("""COMPUTED_VALUE"""),123.81)</f>
        <v>123.81</v>
      </c>
      <c r="E1048" s="1">
        <f>IFERROR(__xludf.DUMMYFUNCTION("""COMPUTED_VALUE"""),126.41)</f>
        <v>126.41</v>
      </c>
      <c r="F1048" s="1">
        <f>IFERROR(__xludf.DUMMYFUNCTION("""COMPUTED_VALUE"""),3.8633351E7)</f>
        <v>38633351</v>
      </c>
    </row>
    <row r="1049">
      <c r="A1049" s="2">
        <f>IFERROR(__xludf.DUMMYFUNCTION("""COMPUTED_VALUE"""),43854.66666666667)</f>
        <v>43854.66667</v>
      </c>
      <c r="B1049" s="1">
        <f>IFERROR(__xludf.DUMMYFUNCTION("""COMPUTED_VALUE"""),126.41)</f>
        <v>126.41</v>
      </c>
      <c r="C1049" s="1">
        <f>IFERROR(__xludf.DUMMYFUNCTION("""COMPUTED_VALUE"""),126.79)</f>
        <v>126.79</v>
      </c>
      <c r="D1049" s="1">
        <f>IFERROR(__xludf.DUMMYFUNCTION("""COMPUTED_VALUE"""),123.65)</f>
        <v>123.65</v>
      </c>
      <c r="E1049" s="1">
        <f>IFERROR(__xludf.DUMMYFUNCTION("""COMPUTED_VALUE"""),125.14)</f>
        <v>125.14</v>
      </c>
      <c r="F1049" s="1">
        <f>IFERROR(__xludf.DUMMYFUNCTION("""COMPUTED_VALUE"""),3.6555275E7)</f>
        <v>36555275</v>
      </c>
    </row>
    <row r="1050">
      <c r="A1050" s="2">
        <f>IFERROR(__xludf.DUMMYFUNCTION("""COMPUTED_VALUE"""),43861.66666666667)</f>
        <v>43861.66667</v>
      </c>
      <c r="B1050" s="1">
        <f>IFERROR(__xludf.DUMMYFUNCTION("""COMPUTED_VALUE"""),124.75)</f>
        <v>124.75</v>
      </c>
      <c r="C1050" s="1">
        <f>IFERROR(__xludf.DUMMYFUNCTION("""COMPUTED_VALUE"""),126.98)</f>
        <v>126.98</v>
      </c>
      <c r="D1050" s="1">
        <f>IFERROR(__xludf.DUMMYFUNCTION("""COMPUTED_VALUE"""),124.42)</f>
        <v>124.42</v>
      </c>
      <c r="E1050" s="1">
        <f>IFERROR(__xludf.DUMMYFUNCTION("""COMPUTED_VALUE"""),124.62)</f>
        <v>124.62</v>
      </c>
      <c r="F1050" s="1">
        <f>IFERROR(__xludf.DUMMYFUNCTION("""COMPUTED_VALUE"""),3.3317579E7)</f>
        <v>33317579</v>
      </c>
    </row>
    <row r="1051">
      <c r="A1051" s="2">
        <f>IFERROR(__xludf.DUMMYFUNCTION("""COMPUTED_VALUE"""),43868.66666666667)</f>
        <v>43868.66667</v>
      </c>
      <c r="B1051" s="1">
        <f>IFERROR(__xludf.DUMMYFUNCTION("""COMPUTED_VALUE"""),124.66)</f>
        <v>124.66</v>
      </c>
      <c r="C1051" s="1">
        <f>IFERROR(__xludf.DUMMYFUNCTION("""COMPUTED_VALUE"""),128.09)</f>
        <v>128.09</v>
      </c>
      <c r="D1051" s="1">
        <f>IFERROR(__xludf.DUMMYFUNCTION("""COMPUTED_VALUE"""),124.49)</f>
        <v>124.49</v>
      </c>
      <c r="E1051" s="1">
        <f>IFERROR(__xludf.DUMMYFUNCTION("""COMPUTED_VALUE"""),126.08)</f>
        <v>126.08</v>
      </c>
      <c r="F1051" s="1">
        <f>IFERROR(__xludf.DUMMYFUNCTION("""COMPUTED_VALUE"""),3.3708013E7)</f>
        <v>33708013</v>
      </c>
    </row>
    <row r="1052">
      <c r="A1052" s="2">
        <f>IFERROR(__xludf.DUMMYFUNCTION("""COMPUTED_VALUE"""),43875.66666666667)</f>
        <v>43875.66667</v>
      </c>
      <c r="B1052" s="1">
        <f>IFERROR(__xludf.DUMMYFUNCTION("""COMPUTED_VALUE"""),126.46)</f>
        <v>126.46</v>
      </c>
      <c r="C1052" s="1">
        <f>IFERROR(__xludf.DUMMYFUNCTION("""COMPUTED_VALUE"""),126.83)</f>
        <v>126.83</v>
      </c>
      <c r="D1052" s="1">
        <f>IFERROR(__xludf.DUMMYFUNCTION("""COMPUTED_VALUE"""),122.85)</f>
        <v>122.85</v>
      </c>
      <c r="E1052" s="1">
        <f>IFERROR(__xludf.DUMMYFUNCTION("""COMPUTED_VALUE"""),126.14)</f>
        <v>126.14</v>
      </c>
      <c r="F1052" s="1">
        <f>IFERROR(__xludf.DUMMYFUNCTION("""COMPUTED_VALUE"""),3.0402108E7)</f>
        <v>30402108</v>
      </c>
    </row>
    <row r="1053">
      <c r="A1053" s="2">
        <f>IFERROR(__xludf.DUMMYFUNCTION("""COMPUTED_VALUE"""),43882.66666666667)</f>
        <v>43882.66667</v>
      </c>
      <c r="B1053" s="1">
        <f>IFERROR(__xludf.DUMMYFUNCTION("""COMPUTED_VALUE"""),125.83)</f>
        <v>125.83</v>
      </c>
      <c r="C1053" s="1">
        <f>IFERROR(__xludf.DUMMYFUNCTION("""COMPUTED_VALUE"""),128.07)</f>
        <v>128.07</v>
      </c>
      <c r="D1053" s="1">
        <f>IFERROR(__xludf.DUMMYFUNCTION("""COMPUTED_VALUE"""),124.65)</f>
        <v>124.65</v>
      </c>
      <c r="E1053" s="1">
        <f>IFERROR(__xludf.DUMMYFUNCTION("""COMPUTED_VALUE"""),126.7)</f>
        <v>126.7</v>
      </c>
      <c r="F1053" s="1">
        <f>IFERROR(__xludf.DUMMYFUNCTION("""COMPUTED_VALUE"""),2.6321139E7)</f>
        <v>26321139</v>
      </c>
    </row>
    <row r="1054">
      <c r="A1054" s="2">
        <f>IFERROR(__xludf.DUMMYFUNCTION("""COMPUTED_VALUE"""),43889.66666666667)</f>
        <v>43889.66667</v>
      </c>
      <c r="B1054" s="1">
        <f>IFERROR(__xludf.DUMMYFUNCTION("""COMPUTED_VALUE"""),125.26)</f>
        <v>125.26</v>
      </c>
      <c r="C1054" s="1">
        <f>IFERROR(__xludf.DUMMYFUNCTION("""COMPUTED_VALUE"""),126.59)</f>
        <v>126.59</v>
      </c>
      <c r="D1054" s="1">
        <f>IFERROR(__xludf.DUMMYFUNCTION("""COMPUTED_VALUE"""),106.67)</f>
        <v>106.67</v>
      </c>
      <c r="E1054" s="1">
        <f>IFERROR(__xludf.DUMMYFUNCTION("""COMPUTED_VALUE"""),113.23)</f>
        <v>113.23</v>
      </c>
      <c r="F1054" s="1">
        <f>IFERROR(__xludf.DUMMYFUNCTION("""COMPUTED_VALUE"""),5.9419389E7)</f>
        <v>59419389</v>
      </c>
    </row>
    <row r="1055">
      <c r="A1055" s="2">
        <f>IFERROR(__xludf.DUMMYFUNCTION("""COMPUTED_VALUE"""),43896.66666666667)</f>
        <v>43896.66667</v>
      </c>
      <c r="B1055" s="1">
        <f>IFERROR(__xludf.DUMMYFUNCTION("""COMPUTED_VALUE"""),113.19)</f>
        <v>113.19</v>
      </c>
      <c r="C1055" s="1">
        <f>IFERROR(__xludf.DUMMYFUNCTION("""COMPUTED_VALUE"""),124.69)</f>
        <v>124.69</v>
      </c>
      <c r="D1055" s="1">
        <f>IFERROR(__xludf.DUMMYFUNCTION("""COMPUTED_VALUE"""),112.55)</f>
        <v>112.55</v>
      </c>
      <c r="E1055" s="1">
        <f>IFERROR(__xludf.DUMMYFUNCTION("""COMPUTED_VALUE"""),121.66)</f>
        <v>121.66</v>
      </c>
      <c r="F1055" s="1">
        <f>IFERROR(__xludf.DUMMYFUNCTION("""COMPUTED_VALUE"""),5.3551151E7)</f>
        <v>53551151</v>
      </c>
    </row>
    <row r="1056">
      <c r="A1056" s="2">
        <f>IFERROR(__xludf.DUMMYFUNCTION("""COMPUTED_VALUE"""),43903.66666666667)</f>
        <v>43903.66667</v>
      </c>
      <c r="B1056" s="1">
        <f>IFERROR(__xludf.DUMMYFUNCTION("""COMPUTED_VALUE"""),115.27)</f>
        <v>115.27</v>
      </c>
      <c r="C1056" s="1">
        <f>IFERROR(__xludf.DUMMYFUNCTION("""COMPUTED_VALUE"""),120.82)</f>
        <v>120.82</v>
      </c>
      <c r="D1056" s="1">
        <f>IFERROR(__xludf.DUMMYFUNCTION("""COMPUTED_VALUE"""),101.0)</f>
        <v>101</v>
      </c>
      <c r="E1056" s="1">
        <f>IFERROR(__xludf.DUMMYFUNCTION("""COMPUTED_VALUE"""),114.07)</f>
        <v>114.07</v>
      </c>
      <c r="F1056" s="1">
        <f>IFERROR(__xludf.DUMMYFUNCTION("""COMPUTED_VALUE"""),7.936297E7)</f>
        <v>79362970</v>
      </c>
    </row>
    <row r="1057">
      <c r="A1057" s="2">
        <f>IFERROR(__xludf.DUMMYFUNCTION("""COMPUTED_VALUE"""),43910.66666666667)</f>
        <v>43910.66667</v>
      </c>
      <c r="B1057" s="1">
        <f>IFERROR(__xludf.DUMMYFUNCTION("""COMPUTED_VALUE"""),101.75)</f>
        <v>101.75</v>
      </c>
      <c r="C1057" s="1">
        <f>IFERROR(__xludf.DUMMYFUNCTION("""COMPUTED_VALUE"""),121.5)</f>
        <v>121.5</v>
      </c>
      <c r="D1057" s="1">
        <f>IFERROR(__xludf.DUMMYFUNCTION("""COMPUTED_VALUE"""),101.0)</f>
        <v>101</v>
      </c>
      <c r="E1057" s="1">
        <f>IFERROR(__xludf.DUMMYFUNCTION("""COMPUTED_VALUE"""),102.43)</f>
        <v>102.43</v>
      </c>
      <c r="F1057" s="1">
        <f>IFERROR(__xludf.DUMMYFUNCTION("""COMPUTED_VALUE"""),9.6309038E7)</f>
        <v>96309038</v>
      </c>
    </row>
    <row r="1058">
      <c r="A1058" s="2">
        <f>IFERROR(__xludf.DUMMYFUNCTION("""COMPUTED_VALUE"""),43917.66666666667)</f>
        <v>43917.66667</v>
      </c>
      <c r="B1058" s="1">
        <f>IFERROR(__xludf.DUMMYFUNCTION("""COMPUTED_VALUE"""),100.19)</f>
        <v>100.19</v>
      </c>
      <c r="C1058" s="1">
        <f>IFERROR(__xludf.DUMMYFUNCTION("""COMPUTED_VALUE"""),114.29)</f>
        <v>114.29</v>
      </c>
      <c r="D1058" s="1">
        <f>IFERROR(__xludf.DUMMYFUNCTION("""COMPUTED_VALUE"""),94.34)</f>
        <v>94.34</v>
      </c>
      <c r="E1058" s="1">
        <f>IFERROR(__xludf.DUMMYFUNCTION("""COMPUTED_VALUE"""),110.17)</f>
        <v>110.17</v>
      </c>
      <c r="F1058" s="1">
        <f>IFERROR(__xludf.DUMMYFUNCTION("""COMPUTED_VALUE"""),7.8063863E7)</f>
        <v>78063863</v>
      </c>
    </row>
    <row r="1059">
      <c r="A1059" s="2">
        <f>IFERROR(__xludf.DUMMYFUNCTION("""COMPUTED_VALUE"""),43924.66666666667)</f>
        <v>43924.66667</v>
      </c>
      <c r="B1059" s="1">
        <f>IFERROR(__xludf.DUMMYFUNCTION("""COMPUTED_VALUE"""),113.9)</f>
        <v>113.9</v>
      </c>
      <c r="C1059" s="1">
        <f>IFERROR(__xludf.DUMMYFUNCTION("""COMPUTED_VALUE"""),115.9)</f>
        <v>115.9</v>
      </c>
      <c r="D1059" s="1">
        <f>IFERROR(__xludf.DUMMYFUNCTION("""COMPUTED_VALUE"""),107.0)</f>
        <v>107</v>
      </c>
      <c r="E1059" s="1">
        <f>IFERROR(__xludf.DUMMYFUNCTION("""COMPUTED_VALUE"""),115.08)</f>
        <v>115.08</v>
      </c>
      <c r="F1059" s="1">
        <f>IFERROR(__xludf.DUMMYFUNCTION("""COMPUTED_VALUE"""),6.4296602E7)</f>
        <v>64296602</v>
      </c>
    </row>
    <row r="1060">
      <c r="A1060" s="2">
        <f>IFERROR(__xludf.DUMMYFUNCTION("""COMPUTED_VALUE"""),43930.66666666667)</f>
        <v>43930.66667</v>
      </c>
      <c r="B1060" s="1">
        <f>IFERROR(__xludf.DUMMYFUNCTION("""COMPUTED_VALUE"""),117.0)</f>
        <v>117</v>
      </c>
      <c r="C1060" s="1">
        <f>IFERROR(__xludf.DUMMYFUNCTION("""COMPUTED_VALUE"""),120.06)</f>
        <v>120.06</v>
      </c>
      <c r="D1060" s="1">
        <f>IFERROR(__xludf.DUMMYFUNCTION("""COMPUTED_VALUE"""),111.86)</f>
        <v>111.86</v>
      </c>
      <c r="E1060" s="1">
        <f>IFERROR(__xludf.DUMMYFUNCTION("""COMPUTED_VALUE"""),114.66)</f>
        <v>114.66</v>
      </c>
      <c r="F1060" s="1">
        <f>IFERROR(__xludf.DUMMYFUNCTION("""COMPUTED_VALUE"""),5.66004E7)</f>
        <v>56600400</v>
      </c>
    </row>
    <row r="1061">
      <c r="A1061" s="2">
        <f>IFERROR(__xludf.DUMMYFUNCTION("""COMPUTED_VALUE"""),43938.66666666667)</f>
        <v>43938.66667</v>
      </c>
      <c r="B1061" s="1">
        <f>IFERROR(__xludf.DUMMYFUNCTION("""COMPUTED_VALUE"""),113.61)</f>
        <v>113.61</v>
      </c>
      <c r="C1061" s="1">
        <f>IFERROR(__xludf.DUMMYFUNCTION("""COMPUTED_VALUE"""),124.99)</f>
        <v>124.99</v>
      </c>
      <c r="D1061" s="1">
        <f>IFERROR(__xludf.DUMMYFUNCTION("""COMPUTED_VALUE"""),113.16)</f>
        <v>113.16</v>
      </c>
      <c r="E1061" s="1">
        <f>IFERROR(__xludf.DUMMYFUNCTION("""COMPUTED_VALUE"""),124.69)</f>
        <v>124.69</v>
      </c>
      <c r="F1061" s="1">
        <f>IFERROR(__xludf.DUMMYFUNCTION("""COMPUTED_VALUE"""),6.0513719E7)</f>
        <v>60513719</v>
      </c>
    </row>
    <row r="1062">
      <c r="A1062" s="2">
        <f>IFERROR(__xludf.DUMMYFUNCTION("""COMPUTED_VALUE"""),43945.66666666667)</f>
        <v>43945.66667</v>
      </c>
      <c r="B1062" s="1">
        <f>IFERROR(__xludf.DUMMYFUNCTION("""COMPUTED_VALUE"""),121.47)</f>
        <v>121.47</v>
      </c>
      <c r="C1062" s="1">
        <f>IFERROR(__xludf.DUMMYFUNCTION("""COMPUTED_VALUE"""),123.23)</f>
        <v>123.23</v>
      </c>
      <c r="D1062" s="1">
        <f>IFERROR(__xludf.DUMMYFUNCTION("""COMPUTED_VALUE"""),118.05)</f>
        <v>118.05</v>
      </c>
      <c r="E1062" s="1">
        <f>IFERROR(__xludf.DUMMYFUNCTION("""COMPUTED_VALUE"""),118.78)</f>
        <v>118.78</v>
      </c>
      <c r="F1062" s="1">
        <f>IFERROR(__xludf.DUMMYFUNCTION("""COMPUTED_VALUE"""),6.0587341E7)</f>
        <v>60587341</v>
      </c>
    </row>
    <row r="1063">
      <c r="A1063" s="2">
        <f>IFERROR(__xludf.DUMMYFUNCTION("""COMPUTED_VALUE"""),43952.66666666667)</f>
        <v>43952.66667</v>
      </c>
      <c r="B1063" s="1">
        <f>IFERROR(__xludf.DUMMYFUNCTION("""COMPUTED_VALUE"""),119.19)</f>
        <v>119.19</v>
      </c>
      <c r="C1063" s="1">
        <f>IFERROR(__xludf.DUMMYFUNCTION("""COMPUTED_VALUE"""),119.19)</f>
        <v>119.19</v>
      </c>
      <c r="D1063" s="1">
        <f>IFERROR(__xludf.DUMMYFUNCTION("""COMPUTED_VALUE"""),115.08)</f>
        <v>115.08</v>
      </c>
      <c r="E1063" s="1">
        <f>IFERROR(__xludf.DUMMYFUNCTION("""COMPUTED_VALUE"""),116.82)</f>
        <v>116.82</v>
      </c>
      <c r="F1063" s="1">
        <f>IFERROR(__xludf.DUMMYFUNCTION("""COMPUTED_VALUE"""),4.6694439E7)</f>
        <v>46694439</v>
      </c>
    </row>
    <row r="1064">
      <c r="A1064" s="2">
        <f>IFERROR(__xludf.DUMMYFUNCTION("""COMPUTED_VALUE"""),43959.66666666667)</f>
        <v>43959.66667</v>
      </c>
      <c r="B1064" s="1">
        <f>IFERROR(__xludf.DUMMYFUNCTION("""COMPUTED_VALUE"""),117.09)</f>
        <v>117.09</v>
      </c>
      <c r="C1064" s="1">
        <f>IFERROR(__xludf.DUMMYFUNCTION("""COMPUTED_VALUE"""),117.26)</f>
        <v>117.26</v>
      </c>
      <c r="D1064" s="1">
        <f>IFERROR(__xludf.DUMMYFUNCTION("""COMPUTED_VALUE"""),111.82)</f>
        <v>111.82</v>
      </c>
      <c r="E1064" s="1">
        <f>IFERROR(__xludf.DUMMYFUNCTION("""COMPUTED_VALUE"""),115.95)</f>
        <v>115.95</v>
      </c>
      <c r="F1064" s="1">
        <f>IFERROR(__xludf.DUMMYFUNCTION("""COMPUTED_VALUE"""),3.700078E7)</f>
        <v>37000780</v>
      </c>
    </row>
    <row r="1065">
      <c r="A1065" s="2">
        <f>IFERROR(__xludf.DUMMYFUNCTION("""COMPUTED_VALUE"""),43966.66666666667)</f>
        <v>43966.66667</v>
      </c>
      <c r="B1065" s="1">
        <f>IFERROR(__xludf.DUMMYFUNCTION("""COMPUTED_VALUE"""),115.75)</f>
        <v>115.75</v>
      </c>
      <c r="C1065" s="1">
        <f>IFERROR(__xludf.DUMMYFUNCTION("""COMPUTED_VALUE"""),116.01)</f>
        <v>116.01</v>
      </c>
      <c r="D1065" s="1">
        <f>IFERROR(__xludf.DUMMYFUNCTION("""COMPUTED_VALUE"""),111.25)</f>
        <v>111.25</v>
      </c>
      <c r="E1065" s="1">
        <f>IFERROR(__xludf.DUMMYFUNCTION("""COMPUTED_VALUE"""),114.61)</f>
        <v>114.61</v>
      </c>
      <c r="F1065" s="1">
        <f>IFERROR(__xludf.DUMMYFUNCTION("""COMPUTED_VALUE"""),4.299967E7)</f>
        <v>42999670</v>
      </c>
    </row>
    <row r="1066">
      <c r="A1066" s="2">
        <f>IFERROR(__xludf.DUMMYFUNCTION("""COMPUTED_VALUE"""),43973.66666666667)</f>
        <v>43973.66667</v>
      </c>
      <c r="B1066" s="1">
        <f>IFERROR(__xludf.DUMMYFUNCTION("""COMPUTED_VALUE"""),116.03)</f>
        <v>116.03</v>
      </c>
      <c r="C1066" s="1">
        <f>IFERROR(__xludf.DUMMYFUNCTION("""COMPUTED_VALUE"""),116.99)</f>
        <v>116.99</v>
      </c>
      <c r="D1066" s="1">
        <f>IFERROR(__xludf.DUMMYFUNCTION("""COMPUTED_VALUE"""),111.43)</f>
        <v>111.43</v>
      </c>
      <c r="E1066" s="1">
        <f>IFERROR(__xludf.DUMMYFUNCTION("""COMPUTED_VALUE"""),112.6)</f>
        <v>112.6</v>
      </c>
      <c r="F1066" s="1">
        <f>IFERROR(__xludf.DUMMYFUNCTION("""COMPUTED_VALUE"""),3.6787043E7)</f>
        <v>36787043</v>
      </c>
    </row>
    <row r="1067">
      <c r="A1067" s="2">
        <f>IFERROR(__xludf.DUMMYFUNCTION("""COMPUTED_VALUE"""),43980.66666666667)</f>
        <v>43980.66667</v>
      </c>
      <c r="B1067" s="1">
        <f>IFERROR(__xludf.DUMMYFUNCTION("""COMPUTED_VALUE"""),114.15)</f>
        <v>114.15</v>
      </c>
      <c r="C1067" s="1">
        <f>IFERROR(__xludf.DUMMYFUNCTION("""COMPUTED_VALUE"""),116.99)</f>
        <v>116.99</v>
      </c>
      <c r="D1067" s="1">
        <f>IFERROR(__xludf.DUMMYFUNCTION("""COMPUTED_VALUE"""),111.68)</f>
        <v>111.68</v>
      </c>
      <c r="E1067" s="1">
        <f>IFERROR(__xludf.DUMMYFUNCTION("""COMPUTED_VALUE"""),115.92)</f>
        <v>115.92</v>
      </c>
      <c r="F1067" s="1">
        <f>IFERROR(__xludf.DUMMYFUNCTION("""COMPUTED_VALUE"""),3.3293635E7)</f>
        <v>33293635</v>
      </c>
    </row>
    <row r="1068">
      <c r="A1068" s="2">
        <f>IFERROR(__xludf.DUMMYFUNCTION("""COMPUTED_VALUE"""),43987.66666666667)</f>
        <v>43987.66667</v>
      </c>
      <c r="B1068" s="1">
        <f>IFERROR(__xludf.DUMMYFUNCTION("""COMPUTED_VALUE"""),116.0)</f>
        <v>116</v>
      </c>
      <c r="C1068" s="1">
        <f>IFERROR(__xludf.DUMMYFUNCTION("""COMPUTED_VALUE"""),119.19)</f>
        <v>119.19</v>
      </c>
      <c r="D1068" s="1">
        <f>IFERROR(__xludf.DUMMYFUNCTION("""COMPUTED_VALUE"""),115.26)</f>
        <v>115.26</v>
      </c>
      <c r="E1068" s="1">
        <f>IFERROR(__xludf.DUMMYFUNCTION("""COMPUTED_VALUE"""),118.33)</f>
        <v>118.33</v>
      </c>
      <c r="F1068" s="1">
        <f>IFERROR(__xludf.DUMMYFUNCTION("""COMPUTED_VALUE"""),3.1838741E7)</f>
        <v>31838741</v>
      </c>
    </row>
    <row r="1069">
      <c r="A1069" s="2">
        <f>IFERROR(__xludf.DUMMYFUNCTION("""COMPUTED_VALUE"""),43994.66666666667)</f>
        <v>43994.66667</v>
      </c>
      <c r="B1069" s="1">
        <f>IFERROR(__xludf.DUMMYFUNCTION("""COMPUTED_VALUE"""),117.44)</f>
        <v>117.44</v>
      </c>
      <c r="C1069" s="1">
        <f>IFERROR(__xludf.DUMMYFUNCTION("""COMPUTED_VALUE"""),119.89)</f>
        <v>119.89</v>
      </c>
      <c r="D1069" s="1">
        <f>IFERROR(__xludf.DUMMYFUNCTION("""COMPUTED_VALUE"""),115.26)</f>
        <v>115.26</v>
      </c>
      <c r="E1069" s="1">
        <f>IFERROR(__xludf.DUMMYFUNCTION("""COMPUTED_VALUE"""),115.62)</f>
        <v>115.62</v>
      </c>
      <c r="F1069" s="1">
        <f>IFERROR(__xludf.DUMMYFUNCTION("""COMPUTED_VALUE"""),3.6104227E7)</f>
        <v>36104227</v>
      </c>
    </row>
    <row r="1070">
      <c r="A1070" s="2">
        <f>IFERROR(__xludf.DUMMYFUNCTION("""COMPUTED_VALUE"""),44001.66666666667)</f>
        <v>44001.66667</v>
      </c>
      <c r="B1070" s="1">
        <f>IFERROR(__xludf.DUMMYFUNCTION("""COMPUTED_VALUE"""),114.55)</f>
        <v>114.55</v>
      </c>
      <c r="C1070" s="1">
        <f>IFERROR(__xludf.DUMMYFUNCTION("""COMPUTED_VALUE"""),121.82)</f>
        <v>121.82</v>
      </c>
      <c r="D1070" s="1">
        <f>IFERROR(__xludf.DUMMYFUNCTION("""COMPUTED_VALUE"""),113.76)</f>
        <v>113.76</v>
      </c>
      <c r="E1070" s="1">
        <f>IFERROR(__xludf.DUMMYFUNCTION("""COMPUTED_VALUE"""),118.92)</f>
        <v>118.92</v>
      </c>
      <c r="F1070" s="1">
        <f>IFERROR(__xludf.DUMMYFUNCTION("""COMPUTED_VALUE"""),4.7039627E7)</f>
        <v>47039627</v>
      </c>
    </row>
    <row r="1071">
      <c r="A1071" s="2">
        <f>IFERROR(__xludf.DUMMYFUNCTION("""COMPUTED_VALUE"""),44008.66666666667)</f>
        <v>44008.66667</v>
      </c>
      <c r="B1071" s="1">
        <f>IFERROR(__xludf.DUMMYFUNCTION("""COMPUTED_VALUE"""),118.78)</f>
        <v>118.78</v>
      </c>
      <c r="C1071" s="1">
        <f>IFERROR(__xludf.DUMMYFUNCTION("""COMPUTED_VALUE"""),119.19)</f>
        <v>119.19</v>
      </c>
      <c r="D1071" s="1">
        <f>IFERROR(__xludf.DUMMYFUNCTION("""COMPUTED_VALUE"""),115.04)</f>
        <v>115.04</v>
      </c>
      <c r="E1071" s="1">
        <f>IFERROR(__xludf.DUMMYFUNCTION("""COMPUTED_VALUE"""),115.23)</f>
        <v>115.23</v>
      </c>
      <c r="F1071" s="1">
        <f>IFERROR(__xludf.DUMMYFUNCTION("""COMPUTED_VALUE"""),4.6275069E7)</f>
        <v>46275069</v>
      </c>
    </row>
    <row r="1072">
      <c r="A1072" s="2">
        <f>IFERROR(__xludf.DUMMYFUNCTION("""COMPUTED_VALUE"""),44014.66666666667)</f>
        <v>44014.66667</v>
      </c>
      <c r="B1072" s="1">
        <f>IFERROR(__xludf.DUMMYFUNCTION("""COMPUTED_VALUE"""),116.51)</f>
        <v>116.51</v>
      </c>
      <c r="C1072" s="1">
        <f>IFERROR(__xludf.DUMMYFUNCTION("""COMPUTED_VALUE"""),122.57)</f>
        <v>122.57</v>
      </c>
      <c r="D1072" s="1">
        <f>IFERROR(__xludf.DUMMYFUNCTION("""COMPUTED_VALUE"""),116.35)</f>
        <v>116.35</v>
      </c>
      <c r="E1072" s="1">
        <f>IFERROR(__xludf.DUMMYFUNCTION("""COMPUTED_VALUE"""),120.88)</f>
        <v>120.88</v>
      </c>
      <c r="F1072" s="1">
        <f>IFERROR(__xludf.DUMMYFUNCTION("""COMPUTED_VALUE"""),2.7337172E7)</f>
        <v>27337172</v>
      </c>
    </row>
    <row r="1073">
      <c r="A1073" s="2">
        <f>IFERROR(__xludf.DUMMYFUNCTION("""COMPUTED_VALUE"""),44022.66666666667)</f>
        <v>44022.66667</v>
      </c>
      <c r="B1073" s="1">
        <f>IFERROR(__xludf.DUMMYFUNCTION("""COMPUTED_VALUE"""),121.77)</f>
        <v>121.77</v>
      </c>
      <c r="C1073" s="1">
        <f>IFERROR(__xludf.DUMMYFUNCTION("""COMPUTED_VALUE"""),124.5)</f>
        <v>124.5</v>
      </c>
      <c r="D1073" s="1">
        <f>IFERROR(__xludf.DUMMYFUNCTION("""COMPUTED_VALUE"""),120.88)</f>
        <v>120.88</v>
      </c>
      <c r="E1073" s="1">
        <f>IFERROR(__xludf.DUMMYFUNCTION("""COMPUTED_VALUE"""),123.89)</f>
        <v>123.89</v>
      </c>
      <c r="F1073" s="1">
        <f>IFERROR(__xludf.DUMMYFUNCTION("""COMPUTED_VALUE"""),3.1477571E7)</f>
        <v>31477571</v>
      </c>
    </row>
    <row r="1074">
      <c r="A1074" s="2">
        <f>IFERROR(__xludf.DUMMYFUNCTION("""COMPUTED_VALUE"""),44029.66666666667)</f>
        <v>44029.66667</v>
      </c>
      <c r="B1074" s="1">
        <f>IFERROR(__xludf.DUMMYFUNCTION("""COMPUTED_VALUE"""),124.0)</f>
        <v>124</v>
      </c>
      <c r="C1074" s="1">
        <f>IFERROR(__xludf.DUMMYFUNCTION("""COMPUTED_VALUE"""),126.9)</f>
        <v>126.9</v>
      </c>
      <c r="D1074" s="1">
        <f>IFERROR(__xludf.DUMMYFUNCTION("""COMPUTED_VALUE"""),123.34)</f>
        <v>123.34</v>
      </c>
      <c r="E1074" s="1">
        <f>IFERROR(__xludf.DUMMYFUNCTION("""COMPUTED_VALUE"""),125.63)</f>
        <v>125.63</v>
      </c>
      <c r="F1074" s="1">
        <f>IFERROR(__xludf.DUMMYFUNCTION("""COMPUTED_VALUE"""),3.0926819E7)</f>
        <v>30926819</v>
      </c>
    </row>
    <row r="1075">
      <c r="A1075" s="2">
        <f>IFERROR(__xludf.DUMMYFUNCTION("""COMPUTED_VALUE"""),44036.66666666667)</f>
        <v>44036.66667</v>
      </c>
      <c r="B1075" s="1">
        <f>IFERROR(__xludf.DUMMYFUNCTION("""COMPUTED_VALUE"""),125.47)</f>
        <v>125.47</v>
      </c>
      <c r="C1075" s="1">
        <f>IFERROR(__xludf.DUMMYFUNCTION("""COMPUTED_VALUE"""),127.77)</f>
        <v>127.77</v>
      </c>
      <c r="D1075" s="1">
        <f>IFERROR(__xludf.DUMMYFUNCTION("""COMPUTED_VALUE"""),124.21)</f>
        <v>124.21</v>
      </c>
      <c r="E1075" s="1">
        <f>IFERROR(__xludf.DUMMYFUNCTION("""COMPUTED_VALUE"""),125.96)</f>
        <v>125.96</v>
      </c>
      <c r="F1075" s="1">
        <f>IFERROR(__xludf.DUMMYFUNCTION("""COMPUTED_VALUE"""),2.801365E7)</f>
        <v>28013650</v>
      </c>
    </row>
    <row r="1076">
      <c r="A1076" s="2">
        <f>IFERROR(__xludf.DUMMYFUNCTION("""COMPUTED_VALUE"""),44043.66666666667)</f>
        <v>44043.66667</v>
      </c>
      <c r="B1076" s="1">
        <f>IFERROR(__xludf.DUMMYFUNCTION("""COMPUTED_VALUE"""),125.71)</f>
        <v>125.71</v>
      </c>
      <c r="C1076" s="1">
        <f>IFERROR(__xludf.DUMMYFUNCTION("""COMPUTED_VALUE"""),132.03)</f>
        <v>132.03</v>
      </c>
      <c r="D1076" s="1">
        <f>IFERROR(__xludf.DUMMYFUNCTION("""COMPUTED_VALUE"""),125.54)</f>
        <v>125.54</v>
      </c>
      <c r="E1076" s="1">
        <f>IFERROR(__xludf.DUMMYFUNCTION("""COMPUTED_VALUE"""),131.12)</f>
        <v>131.12</v>
      </c>
      <c r="F1076" s="1">
        <f>IFERROR(__xludf.DUMMYFUNCTION("""COMPUTED_VALUE"""),3.9700059E7)</f>
        <v>39700059</v>
      </c>
    </row>
    <row r="1077">
      <c r="A1077" s="2">
        <f>IFERROR(__xludf.DUMMYFUNCTION("""COMPUTED_VALUE"""),44050.66666666667)</f>
        <v>44050.66667</v>
      </c>
      <c r="B1077" s="1">
        <f>IFERROR(__xludf.DUMMYFUNCTION("""COMPUTED_VALUE"""),130.47)</f>
        <v>130.47</v>
      </c>
      <c r="C1077" s="1">
        <f>IFERROR(__xludf.DUMMYFUNCTION("""COMPUTED_VALUE"""),134.65)</f>
        <v>134.65</v>
      </c>
      <c r="D1077" s="1">
        <f>IFERROR(__xludf.DUMMYFUNCTION("""COMPUTED_VALUE"""),130.47)</f>
        <v>130.47</v>
      </c>
      <c r="E1077" s="1">
        <f>IFERROR(__xludf.DUMMYFUNCTION("""COMPUTED_VALUE"""),133.55)</f>
        <v>133.55</v>
      </c>
      <c r="F1077" s="1">
        <f>IFERROR(__xludf.DUMMYFUNCTION("""COMPUTED_VALUE"""),3.0097153E7)</f>
        <v>30097153</v>
      </c>
    </row>
    <row r="1078">
      <c r="A1078" s="2">
        <f>IFERROR(__xludf.DUMMYFUNCTION("""COMPUTED_VALUE"""),44057.66666666667)</f>
        <v>44057.66667</v>
      </c>
      <c r="B1078" s="1">
        <f>IFERROR(__xludf.DUMMYFUNCTION("""COMPUTED_VALUE"""),133.7)</f>
        <v>133.7</v>
      </c>
      <c r="C1078" s="1">
        <f>IFERROR(__xludf.DUMMYFUNCTION("""COMPUTED_VALUE"""),135.97)</f>
        <v>135.97</v>
      </c>
      <c r="D1078" s="1">
        <f>IFERROR(__xludf.DUMMYFUNCTION("""COMPUTED_VALUE"""),132.79)</f>
        <v>132.79</v>
      </c>
      <c r="E1078" s="1">
        <f>IFERROR(__xludf.DUMMYFUNCTION("""COMPUTED_VALUE"""),135.1)</f>
        <v>135.1</v>
      </c>
      <c r="F1078" s="1">
        <f>IFERROR(__xludf.DUMMYFUNCTION("""COMPUTED_VALUE"""),2.7897903E7)</f>
        <v>27897903</v>
      </c>
    </row>
    <row r="1079">
      <c r="A1079" s="2">
        <f>IFERROR(__xludf.DUMMYFUNCTION("""COMPUTED_VALUE"""),44064.66666666667)</f>
        <v>44064.66667</v>
      </c>
      <c r="B1079" s="1">
        <f>IFERROR(__xludf.DUMMYFUNCTION("""COMPUTED_VALUE"""),134.94)</f>
        <v>134.94</v>
      </c>
      <c r="C1079" s="1">
        <f>IFERROR(__xludf.DUMMYFUNCTION("""COMPUTED_VALUE"""),138.1)</f>
        <v>138.1</v>
      </c>
      <c r="D1079" s="1">
        <f>IFERROR(__xludf.DUMMYFUNCTION("""COMPUTED_VALUE"""),134.66)</f>
        <v>134.66</v>
      </c>
      <c r="E1079" s="1">
        <f>IFERROR(__xludf.DUMMYFUNCTION("""COMPUTED_VALUE"""),137.44)</f>
        <v>137.44</v>
      </c>
      <c r="F1079" s="1">
        <f>IFERROR(__xludf.DUMMYFUNCTION("""COMPUTED_VALUE"""),3.1161637E7)</f>
        <v>31161637</v>
      </c>
    </row>
    <row r="1080">
      <c r="A1080" s="2">
        <f>IFERROR(__xludf.DUMMYFUNCTION("""COMPUTED_VALUE"""),44071.66666666667)</f>
        <v>44071.66667</v>
      </c>
      <c r="B1080" s="1">
        <f>IFERROR(__xludf.DUMMYFUNCTION("""COMPUTED_VALUE"""),137.49)</f>
        <v>137.49</v>
      </c>
      <c r="C1080" s="1">
        <f>IFERROR(__xludf.DUMMYFUNCTION("""COMPUTED_VALUE"""),139.69)</f>
        <v>139.69</v>
      </c>
      <c r="D1080" s="1">
        <f>IFERROR(__xludf.DUMMYFUNCTION("""COMPUTED_VALUE"""),136.95)</f>
        <v>136.95</v>
      </c>
      <c r="E1080" s="1">
        <f>IFERROR(__xludf.DUMMYFUNCTION("""COMPUTED_VALUE"""),138.77)</f>
        <v>138.77</v>
      </c>
      <c r="F1080" s="1">
        <f>IFERROR(__xludf.DUMMYFUNCTION("""COMPUTED_VALUE"""),2.7207734E7)</f>
        <v>27207734</v>
      </c>
    </row>
    <row r="1081">
      <c r="A1081" s="2">
        <f>IFERROR(__xludf.DUMMYFUNCTION("""COMPUTED_VALUE"""),44078.66666666667)</f>
        <v>44078.66667</v>
      </c>
      <c r="B1081" s="1">
        <f>IFERROR(__xludf.DUMMYFUNCTION("""COMPUTED_VALUE"""),138.19)</f>
        <v>138.19</v>
      </c>
      <c r="C1081" s="1">
        <f>IFERROR(__xludf.DUMMYFUNCTION("""COMPUTED_VALUE"""),141.7)</f>
        <v>141.7</v>
      </c>
      <c r="D1081" s="1">
        <f>IFERROR(__xludf.DUMMYFUNCTION("""COMPUTED_VALUE"""),136.12)</f>
        <v>136.12</v>
      </c>
      <c r="E1081" s="1">
        <f>IFERROR(__xludf.DUMMYFUNCTION("""COMPUTED_VALUE"""),137.96)</f>
        <v>137.96</v>
      </c>
      <c r="F1081" s="1">
        <f>IFERROR(__xludf.DUMMYFUNCTION("""COMPUTED_VALUE"""),3.437E7)</f>
        <v>34370000</v>
      </c>
    </row>
    <row r="1082">
      <c r="A1082" s="2">
        <f>IFERROR(__xludf.DUMMYFUNCTION("""COMPUTED_VALUE"""),44085.66666666667)</f>
        <v>44085.66667</v>
      </c>
      <c r="B1082" s="1">
        <f>IFERROR(__xludf.DUMMYFUNCTION("""COMPUTED_VALUE"""),138.52)</f>
        <v>138.52</v>
      </c>
      <c r="C1082" s="1">
        <f>IFERROR(__xludf.DUMMYFUNCTION("""COMPUTED_VALUE"""),139.56)</f>
        <v>139.56</v>
      </c>
      <c r="D1082" s="1">
        <f>IFERROR(__xludf.DUMMYFUNCTION("""COMPUTED_VALUE"""),135.04)</f>
        <v>135.04</v>
      </c>
      <c r="E1082" s="1">
        <f>IFERROR(__xludf.DUMMYFUNCTION("""COMPUTED_VALUE"""),138.14)</f>
        <v>138.14</v>
      </c>
      <c r="F1082" s="1">
        <f>IFERROR(__xludf.DUMMYFUNCTION("""COMPUTED_VALUE"""),2.2491199E7)</f>
        <v>22491199</v>
      </c>
    </row>
    <row r="1083">
      <c r="A1083" s="2">
        <f>IFERROR(__xludf.DUMMYFUNCTION("""COMPUTED_VALUE"""),44092.66666666667)</f>
        <v>44092.66667</v>
      </c>
      <c r="B1083" s="1">
        <f>IFERROR(__xludf.DUMMYFUNCTION("""COMPUTED_VALUE"""),138.44)</f>
        <v>138.44</v>
      </c>
      <c r="C1083" s="1">
        <f>IFERROR(__xludf.DUMMYFUNCTION("""COMPUTED_VALUE"""),140.17)</f>
        <v>140.17</v>
      </c>
      <c r="D1083" s="1">
        <f>IFERROR(__xludf.DUMMYFUNCTION("""COMPUTED_VALUE"""),136.19)</f>
        <v>136.19</v>
      </c>
      <c r="E1083" s="1">
        <f>IFERROR(__xludf.DUMMYFUNCTION("""COMPUTED_VALUE"""),137.37)</f>
        <v>137.37</v>
      </c>
      <c r="F1083" s="1">
        <f>IFERROR(__xludf.DUMMYFUNCTION("""COMPUTED_VALUE"""),2.9705516E7)</f>
        <v>29705516</v>
      </c>
    </row>
    <row r="1084">
      <c r="A1084" s="2">
        <f>IFERROR(__xludf.DUMMYFUNCTION("""COMPUTED_VALUE"""),44099.66666666667)</f>
        <v>44099.66667</v>
      </c>
      <c r="B1084" s="1">
        <f>IFERROR(__xludf.DUMMYFUNCTION("""COMPUTED_VALUE"""),137.0)</f>
        <v>137</v>
      </c>
      <c r="C1084" s="1">
        <f>IFERROR(__xludf.DUMMYFUNCTION("""COMPUTED_VALUE"""),139.03)</f>
        <v>139.03</v>
      </c>
      <c r="D1084" s="1">
        <f>IFERROR(__xludf.DUMMYFUNCTION("""COMPUTED_VALUE"""),134.7)</f>
        <v>134.7</v>
      </c>
      <c r="E1084" s="1">
        <f>IFERROR(__xludf.DUMMYFUNCTION("""COMPUTED_VALUE"""),137.62)</f>
        <v>137.62</v>
      </c>
      <c r="F1084" s="1">
        <f>IFERROR(__xludf.DUMMYFUNCTION("""COMPUTED_VALUE"""),2.8868118E7)</f>
        <v>28868118</v>
      </c>
    </row>
    <row r="1085">
      <c r="A1085" s="2">
        <f>IFERROR(__xludf.DUMMYFUNCTION("""COMPUTED_VALUE"""),44106.66666666667)</f>
        <v>44106.66667</v>
      </c>
      <c r="B1085" s="1">
        <f>IFERROR(__xludf.DUMMYFUNCTION("""COMPUTED_VALUE"""),138.56)</f>
        <v>138.56</v>
      </c>
      <c r="C1085" s="1">
        <f>IFERROR(__xludf.DUMMYFUNCTION("""COMPUTED_VALUE"""),139.99)</f>
        <v>139.99</v>
      </c>
      <c r="D1085" s="1">
        <f>IFERROR(__xludf.DUMMYFUNCTION("""COMPUTED_VALUE"""),136.66)</f>
        <v>136.66</v>
      </c>
      <c r="E1085" s="1">
        <f>IFERROR(__xludf.DUMMYFUNCTION("""COMPUTED_VALUE"""),138.12)</f>
        <v>138.12</v>
      </c>
      <c r="F1085" s="1">
        <f>IFERROR(__xludf.DUMMYFUNCTION("""COMPUTED_VALUE"""),3.0823373E7)</f>
        <v>30823373</v>
      </c>
    </row>
    <row r="1086">
      <c r="A1086" s="2">
        <f>IFERROR(__xludf.DUMMYFUNCTION("""COMPUTED_VALUE"""),44113.66666666667)</f>
        <v>44113.66667</v>
      </c>
      <c r="B1086" s="1">
        <f>IFERROR(__xludf.DUMMYFUNCTION("""COMPUTED_VALUE"""),138.72)</f>
        <v>138.72</v>
      </c>
      <c r="C1086" s="1">
        <f>IFERROR(__xludf.DUMMYFUNCTION("""COMPUTED_VALUE"""),143.64)</f>
        <v>143.64</v>
      </c>
      <c r="D1086" s="1">
        <f>IFERROR(__xludf.DUMMYFUNCTION("""COMPUTED_VALUE"""),138.3)</f>
        <v>138.3</v>
      </c>
      <c r="E1086" s="1">
        <f>IFERROR(__xludf.DUMMYFUNCTION("""COMPUTED_VALUE"""),142.92)</f>
        <v>142.92</v>
      </c>
      <c r="F1086" s="1">
        <f>IFERROR(__xludf.DUMMYFUNCTION("""COMPUTED_VALUE"""),2.8139654E7)</f>
        <v>28139654</v>
      </c>
    </row>
    <row r="1087">
      <c r="A1087" s="2">
        <f>IFERROR(__xludf.DUMMYFUNCTION("""COMPUTED_VALUE"""),44120.66666666667)</f>
        <v>44120.66667</v>
      </c>
      <c r="B1087" s="1">
        <f>IFERROR(__xludf.DUMMYFUNCTION("""COMPUTED_VALUE"""),143.33)</f>
        <v>143.33</v>
      </c>
      <c r="C1087" s="1">
        <f>IFERROR(__xludf.DUMMYFUNCTION("""COMPUTED_VALUE"""),145.87)</f>
        <v>145.87</v>
      </c>
      <c r="D1087" s="1">
        <f>IFERROR(__xludf.DUMMYFUNCTION("""COMPUTED_VALUE"""),142.89)</f>
        <v>142.89</v>
      </c>
      <c r="E1087" s="1">
        <f>IFERROR(__xludf.DUMMYFUNCTION("""COMPUTED_VALUE"""),144.39)</f>
        <v>144.39</v>
      </c>
      <c r="F1087" s="1">
        <f>IFERROR(__xludf.DUMMYFUNCTION("""COMPUTED_VALUE"""),2.5966944E7)</f>
        <v>25966944</v>
      </c>
    </row>
    <row r="1088">
      <c r="A1088" s="2">
        <f>IFERROR(__xludf.DUMMYFUNCTION("""COMPUTED_VALUE"""),44127.66666666667)</f>
        <v>44127.66667</v>
      </c>
      <c r="B1088" s="1">
        <f>IFERROR(__xludf.DUMMYFUNCTION("""COMPUTED_VALUE"""),144.47)</f>
        <v>144.47</v>
      </c>
      <c r="C1088" s="1">
        <f>IFERROR(__xludf.DUMMYFUNCTION("""COMPUTED_VALUE"""),145.69)</f>
        <v>145.69</v>
      </c>
      <c r="D1088" s="1">
        <f>IFERROR(__xludf.DUMMYFUNCTION("""COMPUTED_VALUE"""),141.08)</f>
        <v>141.08</v>
      </c>
      <c r="E1088" s="1">
        <f>IFERROR(__xludf.DUMMYFUNCTION("""COMPUTED_VALUE"""),142.38)</f>
        <v>142.38</v>
      </c>
      <c r="F1088" s="1">
        <f>IFERROR(__xludf.DUMMYFUNCTION("""COMPUTED_VALUE"""),2.8444064E7)</f>
        <v>28444064</v>
      </c>
    </row>
    <row r="1089">
      <c r="A1089" s="2">
        <f>IFERROR(__xludf.DUMMYFUNCTION("""COMPUTED_VALUE"""),44134.66666666667)</f>
        <v>44134.66667</v>
      </c>
      <c r="B1089" s="1">
        <f>IFERROR(__xludf.DUMMYFUNCTION("""COMPUTED_VALUE"""),141.5)</f>
        <v>141.5</v>
      </c>
      <c r="C1089" s="1">
        <f>IFERROR(__xludf.DUMMYFUNCTION("""COMPUTED_VALUE"""),143.34)</f>
        <v>143.34</v>
      </c>
      <c r="D1089" s="1">
        <f>IFERROR(__xludf.DUMMYFUNCTION("""COMPUTED_VALUE"""),134.68)</f>
        <v>134.68</v>
      </c>
      <c r="E1089" s="1">
        <f>IFERROR(__xludf.DUMMYFUNCTION("""COMPUTED_VALUE"""),137.1)</f>
        <v>137.1</v>
      </c>
      <c r="F1089" s="1">
        <f>IFERROR(__xludf.DUMMYFUNCTION("""COMPUTED_VALUE"""),3.2213361E7)</f>
        <v>32213361</v>
      </c>
    </row>
    <row r="1090">
      <c r="A1090" s="2">
        <f>IFERROR(__xludf.DUMMYFUNCTION("""COMPUTED_VALUE"""),44141.66666666667)</f>
        <v>44141.66667</v>
      </c>
      <c r="B1090" s="1">
        <f>IFERROR(__xludf.DUMMYFUNCTION("""COMPUTED_VALUE"""),138.51)</f>
        <v>138.51</v>
      </c>
      <c r="C1090" s="1">
        <f>IFERROR(__xludf.DUMMYFUNCTION("""COMPUTED_VALUE"""),144.07)</f>
        <v>144.07</v>
      </c>
      <c r="D1090" s="1">
        <f>IFERROR(__xludf.DUMMYFUNCTION("""COMPUTED_VALUE"""),137.44)</f>
        <v>137.44</v>
      </c>
      <c r="E1090" s="1">
        <f>IFERROR(__xludf.DUMMYFUNCTION("""COMPUTED_VALUE"""),143.23)</f>
        <v>143.23</v>
      </c>
      <c r="F1090" s="1">
        <f>IFERROR(__xludf.DUMMYFUNCTION("""COMPUTED_VALUE"""),2.912339E7)</f>
        <v>29123390</v>
      </c>
    </row>
    <row r="1091">
      <c r="A1091" s="2">
        <f>IFERROR(__xludf.DUMMYFUNCTION("""COMPUTED_VALUE"""),44148.66666666667)</f>
        <v>44148.66667</v>
      </c>
      <c r="B1091" s="1">
        <f>IFERROR(__xludf.DUMMYFUNCTION("""COMPUTED_VALUE"""),146.15)</f>
        <v>146.15</v>
      </c>
      <c r="C1091" s="1">
        <f>IFERROR(__xludf.DUMMYFUNCTION("""COMPUTED_VALUE"""),146.92)</f>
        <v>146.92</v>
      </c>
      <c r="D1091" s="1">
        <f>IFERROR(__xludf.DUMMYFUNCTION("""COMPUTED_VALUE"""),137.15)</f>
        <v>137.15</v>
      </c>
      <c r="E1091" s="1">
        <f>IFERROR(__xludf.DUMMYFUNCTION("""COMPUTED_VALUE"""),144.28)</f>
        <v>144.28</v>
      </c>
      <c r="F1091" s="1">
        <f>IFERROR(__xludf.DUMMYFUNCTION("""COMPUTED_VALUE"""),3.8172647E7)</f>
        <v>38172647</v>
      </c>
    </row>
    <row r="1092">
      <c r="A1092" s="2">
        <f>IFERROR(__xludf.DUMMYFUNCTION("""COMPUTED_VALUE"""),44155.66666666667)</f>
        <v>44155.66667</v>
      </c>
      <c r="B1092" s="1">
        <f>IFERROR(__xludf.DUMMYFUNCTION("""COMPUTED_VALUE"""),144.78)</f>
        <v>144.78</v>
      </c>
      <c r="C1092" s="1">
        <f>IFERROR(__xludf.DUMMYFUNCTION("""COMPUTED_VALUE"""),144.78)</f>
        <v>144.78</v>
      </c>
      <c r="D1092" s="1">
        <f>IFERROR(__xludf.DUMMYFUNCTION("""COMPUTED_VALUE"""),138.45)</f>
        <v>138.45</v>
      </c>
      <c r="E1092" s="1">
        <f>IFERROR(__xludf.DUMMYFUNCTION("""COMPUTED_VALUE"""),139.3)</f>
        <v>139.3</v>
      </c>
      <c r="F1092" s="1">
        <f>IFERROR(__xludf.DUMMYFUNCTION("""COMPUTED_VALUE"""),3.0482454E7)</f>
        <v>30482454</v>
      </c>
    </row>
    <row r="1093">
      <c r="A1093" s="2">
        <f>IFERROR(__xludf.DUMMYFUNCTION("""COMPUTED_VALUE"""),44162.54166666667)</f>
        <v>44162.54167</v>
      </c>
      <c r="B1093" s="1">
        <f>IFERROR(__xludf.DUMMYFUNCTION("""COMPUTED_VALUE"""),139.32)</f>
        <v>139.32</v>
      </c>
      <c r="C1093" s="1">
        <f>IFERROR(__xludf.DUMMYFUNCTION("""COMPUTED_VALUE"""),139.95)</f>
        <v>139.95</v>
      </c>
      <c r="D1093" s="1">
        <f>IFERROR(__xludf.DUMMYFUNCTION("""COMPUTED_VALUE"""),137.53)</f>
        <v>137.53</v>
      </c>
      <c r="E1093" s="1">
        <f>IFERROR(__xludf.DUMMYFUNCTION("""COMPUTED_VALUE"""),138.61)</f>
        <v>138.61</v>
      </c>
      <c r="F1093" s="1">
        <f>IFERROR(__xludf.DUMMYFUNCTION("""COMPUTED_VALUE"""),2.453887E7)</f>
        <v>24538870</v>
      </c>
    </row>
    <row r="1094">
      <c r="A1094" s="2">
        <f>IFERROR(__xludf.DUMMYFUNCTION("""COMPUTED_VALUE"""),44169.66666666667)</f>
        <v>44169.66667</v>
      </c>
      <c r="B1094" s="1">
        <f>IFERROR(__xludf.DUMMYFUNCTION("""COMPUTED_VALUE"""),138.0)</f>
        <v>138</v>
      </c>
      <c r="C1094" s="1">
        <f>IFERROR(__xludf.DUMMYFUNCTION("""COMPUTED_VALUE"""),139.94)</f>
        <v>139.94</v>
      </c>
      <c r="D1094" s="1">
        <f>IFERROR(__xludf.DUMMYFUNCTION("""COMPUTED_VALUE"""),135.54)</f>
        <v>135.54</v>
      </c>
      <c r="E1094" s="1">
        <f>IFERROR(__xludf.DUMMYFUNCTION("""COMPUTED_VALUE"""),137.47)</f>
        <v>137.47</v>
      </c>
      <c r="F1094" s="1">
        <f>IFERROR(__xludf.DUMMYFUNCTION("""COMPUTED_VALUE"""),4.1133101E7)</f>
        <v>41133101</v>
      </c>
    </row>
    <row r="1095">
      <c r="A1095" s="2">
        <f>IFERROR(__xludf.DUMMYFUNCTION("""COMPUTED_VALUE"""),44176.66666666667)</f>
        <v>44176.66667</v>
      </c>
      <c r="B1095" s="1">
        <f>IFERROR(__xludf.DUMMYFUNCTION("""COMPUTED_VALUE"""),136.61)</f>
        <v>136.61</v>
      </c>
      <c r="C1095" s="1">
        <f>IFERROR(__xludf.DUMMYFUNCTION("""COMPUTED_VALUE"""),138.78)</f>
        <v>138.78</v>
      </c>
      <c r="D1095" s="1">
        <f>IFERROR(__xludf.DUMMYFUNCTION("""COMPUTED_VALUE"""),134.2)</f>
        <v>134.2</v>
      </c>
      <c r="E1095" s="1">
        <f>IFERROR(__xludf.DUMMYFUNCTION("""COMPUTED_VALUE"""),136.51)</f>
        <v>136.51</v>
      </c>
      <c r="F1095" s="1">
        <f>IFERROR(__xludf.DUMMYFUNCTION("""COMPUTED_VALUE"""),3.3534258E7)</f>
        <v>33534258</v>
      </c>
    </row>
    <row r="1096">
      <c r="A1096" s="2">
        <f>IFERROR(__xludf.DUMMYFUNCTION("""COMPUTED_VALUE"""),44183.66666666667)</f>
        <v>44183.66667</v>
      </c>
      <c r="B1096" s="1">
        <f>IFERROR(__xludf.DUMMYFUNCTION("""COMPUTED_VALUE"""),137.02)</f>
        <v>137.02</v>
      </c>
      <c r="C1096" s="1">
        <f>IFERROR(__xludf.DUMMYFUNCTION("""COMPUTED_VALUE"""),140.07)</f>
        <v>140.07</v>
      </c>
      <c r="D1096" s="1">
        <f>IFERROR(__xludf.DUMMYFUNCTION("""COMPUTED_VALUE"""),135.77)</f>
        <v>135.77</v>
      </c>
      <c r="E1096" s="1">
        <f>IFERROR(__xludf.DUMMYFUNCTION("""COMPUTED_VALUE"""),139.04)</f>
        <v>139.04</v>
      </c>
      <c r="F1096" s="1">
        <f>IFERROR(__xludf.DUMMYFUNCTION("""COMPUTED_VALUE"""),4.4659973E7)</f>
        <v>44659973</v>
      </c>
    </row>
    <row r="1097">
      <c r="A1097" s="2">
        <f>IFERROR(__xludf.DUMMYFUNCTION("""COMPUTED_VALUE"""),44189.54166666667)</f>
        <v>44189.54167</v>
      </c>
      <c r="B1097" s="1">
        <f>IFERROR(__xludf.DUMMYFUNCTION("""COMPUTED_VALUE"""),137.96)</f>
        <v>137.96</v>
      </c>
      <c r="C1097" s="1">
        <f>IFERROR(__xludf.DUMMYFUNCTION("""COMPUTED_VALUE"""),138.43)</f>
        <v>138.43</v>
      </c>
      <c r="D1097" s="1">
        <f>IFERROR(__xludf.DUMMYFUNCTION("""COMPUTED_VALUE"""),136.13)</f>
        <v>136.13</v>
      </c>
      <c r="E1097" s="1">
        <f>IFERROR(__xludf.DUMMYFUNCTION("""COMPUTED_VALUE"""),137.72)</f>
        <v>137.72</v>
      </c>
      <c r="F1097" s="1">
        <f>IFERROR(__xludf.DUMMYFUNCTION("""COMPUTED_VALUE"""),2.0348217E7)</f>
        <v>20348217</v>
      </c>
    </row>
    <row r="1098">
      <c r="A1098" s="2">
        <f>IFERROR(__xludf.DUMMYFUNCTION("""COMPUTED_VALUE"""),44196.66666666667)</f>
        <v>44196.66667</v>
      </c>
      <c r="B1098" s="1">
        <f>IFERROR(__xludf.DUMMYFUNCTION("""COMPUTED_VALUE"""),138.15)</f>
        <v>138.15</v>
      </c>
      <c r="C1098" s="1">
        <f>IFERROR(__xludf.DUMMYFUNCTION("""COMPUTED_VALUE"""),139.94)</f>
        <v>139.94</v>
      </c>
      <c r="D1098" s="1">
        <f>IFERROR(__xludf.DUMMYFUNCTION("""COMPUTED_VALUE"""),137.39)</f>
        <v>137.39</v>
      </c>
      <c r="E1098" s="1">
        <f>IFERROR(__xludf.DUMMYFUNCTION("""COMPUTED_VALUE"""),139.14)</f>
        <v>139.14</v>
      </c>
      <c r="F1098" s="1">
        <f>IFERROR(__xludf.DUMMYFUNCTION("""COMPUTED_VALUE"""),1.619193E7)</f>
        <v>16191930</v>
      </c>
    </row>
    <row r="1099">
      <c r="A1099" s="2">
        <f>IFERROR(__xludf.DUMMYFUNCTION("""COMPUTED_VALUE"""),44204.66666666667)</f>
        <v>44204.66667</v>
      </c>
      <c r="B1099" s="1">
        <f>IFERROR(__xludf.DUMMYFUNCTION("""COMPUTED_VALUE"""),139.66)</f>
        <v>139.66</v>
      </c>
      <c r="C1099" s="1">
        <f>IFERROR(__xludf.DUMMYFUNCTION("""COMPUTED_VALUE"""),141.04)</f>
        <v>141.04</v>
      </c>
      <c r="D1099" s="1">
        <f>IFERROR(__xludf.DUMMYFUNCTION("""COMPUTED_VALUE"""),136.27)</f>
        <v>136.27</v>
      </c>
      <c r="E1099" s="1">
        <f>IFERROR(__xludf.DUMMYFUNCTION("""COMPUTED_VALUE"""),138.79)</f>
        <v>138.79</v>
      </c>
      <c r="F1099" s="1">
        <f>IFERROR(__xludf.DUMMYFUNCTION("""COMPUTED_VALUE"""),4.0569446E7)</f>
        <v>40569446</v>
      </c>
    </row>
    <row r="1100">
      <c r="A1100" s="2">
        <f>IFERROR(__xludf.DUMMYFUNCTION("""COMPUTED_VALUE"""),44211.66666666667)</f>
        <v>44211.66667</v>
      </c>
      <c r="B1100" s="1">
        <f>IFERROR(__xludf.DUMMYFUNCTION("""COMPUTED_VALUE"""),138.75)</f>
        <v>138.75</v>
      </c>
      <c r="C1100" s="1">
        <f>IFERROR(__xludf.DUMMYFUNCTION("""COMPUTED_VALUE"""),139.44)</f>
        <v>139.44</v>
      </c>
      <c r="D1100" s="1">
        <f>IFERROR(__xludf.DUMMYFUNCTION("""COMPUTED_VALUE"""),134.66)</f>
        <v>134.66</v>
      </c>
      <c r="E1100" s="1">
        <f>IFERROR(__xludf.DUMMYFUNCTION("""COMPUTED_VALUE"""),134.78)</f>
        <v>134.78</v>
      </c>
      <c r="F1100" s="1">
        <f>IFERROR(__xludf.DUMMYFUNCTION("""COMPUTED_VALUE"""),3.3582862E7)</f>
        <v>33582862</v>
      </c>
    </row>
    <row r="1101">
      <c r="A1101" s="2">
        <f>IFERROR(__xludf.DUMMYFUNCTION("""COMPUTED_VALUE"""),44218.66666666667)</f>
        <v>44218.66667</v>
      </c>
      <c r="B1101" s="1">
        <f>IFERROR(__xludf.DUMMYFUNCTION("""COMPUTED_VALUE"""),135.7)</f>
        <v>135.7</v>
      </c>
      <c r="C1101" s="1">
        <f>IFERROR(__xludf.DUMMYFUNCTION("""COMPUTED_VALUE"""),136.36)</f>
        <v>136.36</v>
      </c>
      <c r="D1101" s="1">
        <f>IFERROR(__xludf.DUMMYFUNCTION("""COMPUTED_VALUE"""),129.99)</f>
        <v>129.99</v>
      </c>
      <c r="E1101" s="1">
        <f>IFERROR(__xludf.DUMMYFUNCTION("""COMPUTED_VALUE"""),130.0)</f>
        <v>130</v>
      </c>
      <c r="F1101" s="1">
        <f>IFERROR(__xludf.DUMMYFUNCTION("""COMPUTED_VALUE"""),3.7660082E7)</f>
        <v>37660082</v>
      </c>
    </row>
    <row r="1102">
      <c r="A1102" s="2">
        <f>IFERROR(__xludf.DUMMYFUNCTION("""COMPUTED_VALUE"""),44225.66666666667)</f>
        <v>44225.66667</v>
      </c>
      <c r="B1102" s="1">
        <f>IFERROR(__xludf.DUMMYFUNCTION("""COMPUTED_VALUE"""),129.95)</f>
        <v>129.95</v>
      </c>
      <c r="C1102" s="1">
        <f>IFERROR(__xludf.DUMMYFUNCTION("""COMPUTED_VALUE"""),133.47)</f>
        <v>133.47</v>
      </c>
      <c r="D1102" s="1">
        <f>IFERROR(__xludf.DUMMYFUNCTION("""COMPUTED_VALUE"""),127.44)</f>
        <v>127.44</v>
      </c>
      <c r="E1102" s="1">
        <f>IFERROR(__xludf.DUMMYFUNCTION("""COMPUTED_VALUE"""),128.21)</f>
        <v>128.21</v>
      </c>
      <c r="F1102" s="1">
        <f>IFERROR(__xludf.DUMMYFUNCTION("""COMPUTED_VALUE"""),4.3049678E7)</f>
        <v>43049678</v>
      </c>
    </row>
    <row r="1103">
      <c r="A1103" s="2">
        <f>IFERROR(__xludf.DUMMYFUNCTION("""COMPUTED_VALUE"""),44232.66666666667)</f>
        <v>44232.66667</v>
      </c>
      <c r="B1103" s="1">
        <f>IFERROR(__xludf.DUMMYFUNCTION("""COMPUTED_VALUE"""),129.0)</f>
        <v>129</v>
      </c>
      <c r="C1103" s="1">
        <f>IFERROR(__xludf.DUMMYFUNCTION("""COMPUTED_VALUE"""),130.72)</f>
        <v>130.72</v>
      </c>
      <c r="D1103" s="1">
        <f>IFERROR(__xludf.DUMMYFUNCTION("""COMPUTED_VALUE"""),127.75)</f>
        <v>127.75</v>
      </c>
      <c r="E1103" s="1">
        <f>IFERROR(__xludf.DUMMYFUNCTION("""COMPUTED_VALUE"""),129.57)</f>
        <v>129.57</v>
      </c>
      <c r="F1103" s="1">
        <f>IFERROR(__xludf.DUMMYFUNCTION("""COMPUTED_VALUE"""),3.2346811E7)</f>
        <v>32346811</v>
      </c>
    </row>
    <row r="1104">
      <c r="A1104" s="2">
        <f>IFERROR(__xludf.DUMMYFUNCTION("""COMPUTED_VALUE"""),44239.66666666667)</f>
        <v>44239.66667</v>
      </c>
      <c r="B1104" s="1">
        <f>IFERROR(__xludf.DUMMYFUNCTION("""COMPUTED_VALUE"""),129.93)</f>
        <v>129.93</v>
      </c>
      <c r="C1104" s="1">
        <f>IFERROR(__xludf.DUMMYFUNCTION("""COMPUTED_VALUE"""),130.1)</f>
        <v>130.1</v>
      </c>
      <c r="D1104" s="1">
        <f>IFERROR(__xludf.DUMMYFUNCTION("""COMPUTED_VALUE"""),126.58)</f>
        <v>126.58</v>
      </c>
      <c r="E1104" s="1">
        <f>IFERROR(__xludf.DUMMYFUNCTION("""COMPUTED_VALUE"""),127.62)</f>
        <v>127.62</v>
      </c>
      <c r="F1104" s="1">
        <f>IFERROR(__xludf.DUMMYFUNCTION("""COMPUTED_VALUE"""),3.6069886E7)</f>
        <v>36069886</v>
      </c>
    </row>
    <row r="1105">
      <c r="A1105" s="2">
        <f>IFERROR(__xludf.DUMMYFUNCTION("""COMPUTED_VALUE"""),44246.66666666667)</f>
        <v>44246.66667</v>
      </c>
      <c r="B1105" s="1">
        <f>IFERROR(__xludf.DUMMYFUNCTION("""COMPUTED_VALUE"""),127.97)</f>
        <v>127.97</v>
      </c>
      <c r="C1105" s="1">
        <f>IFERROR(__xludf.DUMMYFUNCTION("""COMPUTED_VALUE"""),129.85)</f>
        <v>129.85</v>
      </c>
      <c r="D1105" s="1">
        <f>IFERROR(__xludf.DUMMYFUNCTION("""COMPUTED_VALUE"""),126.99)</f>
        <v>126.99</v>
      </c>
      <c r="E1105" s="1">
        <f>IFERROR(__xludf.DUMMYFUNCTION("""COMPUTED_VALUE"""),127.12)</f>
        <v>127.12</v>
      </c>
      <c r="F1105" s="1">
        <f>IFERROR(__xludf.DUMMYFUNCTION("""COMPUTED_VALUE"""),3.2648857E7)</f>
        <v>32648857</v>
      </c>
    </row>
    <row r="1106">
      <c r="A1106" s="2">
        <f>IFERROR(__xludf.DUMMYFUNCTION("""COMPUTED_VALUE"""),44253.66666666667)</f>
        <v>44253.66667</v>
      </c>
      <c r="B1106" s="1">
        <f>IFERROR(__xludf.DUMMYFUNCTION("""COMPUTED_VALUE"""),126.79)</f>
        <v>126.79</v>
      </c>
      <c r="C1106" s="1">
        <f>IFERROR(__xludf.DUMMYFUNCTION("""COMPUTED_VALUE"""),129.93)</f>
        <v>129.93</v>
      </c>
      <c r="D1106" s="1">
        <f>IFERROR(__xludf.DUMMYFUNCTION("""COMPUTED_VALUE"""),121.82)</f>
        <v>121.82</v>
      </c>
      <c r="E1106" s="1">
        <f>IFERROR(__xludf.DUMMYFUNCTION("""COMPUTED_VALUE"""),123.53)</f>
        <v>123.53</v>
      </c>
      <c r="F1106" s="1">
        <f>IFERROR(__xludf.DUMMYFUNCTION("""COMPUTED_VALUE"""),4.9893432E7)</f>
        <v>49893432</v>
      </c>
    </row>
    <row r="1107">
      <c r="A1107" s="2">
        <f>IFERROR(__xludf.DUMMYFUNCTION("""COMPUTED_VALUE"""),44260.66666666667)</f>
        <v>44260.66667</v>
      </c>
      <c r="B1107" s="1">
        <f>IFERROR(__xludf.DUMMYFUNCTION("""COMPUTED_VALUE"""),124.16)</f>
        <v>124.16</v>
      </c>
      <c r="C1107" s="1">
        <f>IFERROR(__xludf.DUMMYFUNCTION("""COMPUTED_VALUE"""),126.33)</f>
        <v>126.33</v>
      </c>
      <c r="D1107" s="1">
        <f>IFERROR(__xludf.DUMMYFUNCTION("""COMPUTED_VALUE"""),121.54)</f>
        <v>121.54</v>
      </c>
      <c r="E1107" s="1">
        <f>IFERROR(__xludf.DUMMYFUNCTION("""COMPUTED_VALUE"""),125.98)</f>
        <v>125.98</v>
      </c>
      <c r="F1107" s="1">
        <f>IFERROR(__xludf.DUMMYFUNCTION("""COMPUTED_VALUE"""),4.62028E7)</f>
        <v>46202800</v>
      </c>
    </row>
    <row r="1108">
      <c r="A1108" s="2">
        <f>IFERROR(__xludf.DUMMYFUNCTION("""COMPUTED_VALUE"""),44267.66666666667)</f>
        <v>44267.66667</v>
      </c>
      <c r="B1108" s="1">
        <f>IFERROR(__xludf.DUMMYFUNCTION("""COMPUTED_VALUE"""),125.76)</f>
        <v>125.76</v>
      </c>
      <c r="C1108" s="1">
        <f>IFERROR(__xludf.DUMMYFUNCTION("""COMPUTED_VALUE"""),128.92)</f>
        <v>128.92</v>
      </c>
      <c r="D1108" s="1">
        <f>IFERROR(__xludf.DUMMYFUNCTION("""COMPUTED_VALUE"""),125.32)</f>
        <v>125.32</v>
      </c>
      <c r="E1108" s="1">
        <f>IFERROR(__xludf.DUMMYFUNCTION("""COMPUTED_VALUE"""),128.14)</f>
        <v>128.14</v>
      </c>
      <c r="F1108" s="1">
        <f>IFERROR(__xludf.DUMMYFUNCTION("""COMPUTED_VALUE"""),4.061908E7)</f>
        <v>40619080</v>
      </c>
    </row>
    <row r="1109">
      <c r="A1109" s="2">
        <f>IFERROR(__xludf.DUMMYFUNCTION("""COMPUTED_VALUE"""),44274.66666666667)</f>
        <v>44274.66667</v>
      </c>
      <c r="B1109" s="1">
        <f>IFERROR(__xludf.DUMMYFUNCTION("""COMPUTED_VALUE"""),128.39)</f>
        <v>128.39</v>
      </c>
      <c r="C1109" s="1">
        <f>IFERROR(__xludf.DUMMYFUNCTION("""COMPUTED_VALUE"""),129.98)</f>
        <v>129.98</v>
      </c>
      <c r="D1109" s="1">
        <f>IFERROR(__xludf.DUMMYFUNCTION("""COMPUTED_VALUE"""),127.04)</f>
        <v>127.04</v>
      </c>
      <c r="E1109" s="1">
        <f>IFERROR(__xludf.DUMMYFUNCTION("""COMPUTED_VALUE"""),128.01)</f>
        <v>128.01</v>
      </c>
      <c r="F1109" s="1">
        <f>IFERROR(__xludf.DUMMYFUNCTION("""COMPUTED_VALUE"""),4.6984272E7)</f>
        <v>46984272</v>
      </c>
    </row>
    <row r="1110">
      <c r="A1110" s="2">
        <f>IFERROR(__xludf.DUMMYFUNCTION("""COMPUTED_VALUE"""),44281.66666666667)</f>
        <v>44281.66667</v>
      </c>
      <c r="B1110" s="1">
        <f>IFERROR(__xludf.DUMMYFUNCTION("""COMPUTED_VALUE"""),128.01)</f>
        <v>128.01</v>
      </c>
      <c r="C1110" s="1">
        <f>IFERROR(__xludf.DUMMYFUNCTION("""COMPUTED_VALUE"""),135.61)</f>
        <v>135.61</v>
      </c>
      <c r="D1110" s="1">
        <f>IFERROR(__xludf.DUMMYFUNCTION("""COMPUTED_VALUE"""),128.01)</f>
        <v>128.01</v>
      </c>
      <c r="E1110" s="1">
        <f>IFERROR(__xludf.DUMMYFUNCTION("""COMPUTED_VALUE"""),135.45)</f>
        <v>135.45</v>
      </c>
      <c r="F1110" s="1">
        <f>IFERROR(__xludf.DUMMYFUNCTION("""COMPUTED_VALUE"""),4.4237989E7)</f>
        <v>44237989</v>
      </c>
    </row>
    <row r="1111">
      <c r="A1111" s="2">
        <f>IFERROR(__xludf.DUMMYFUNCTION("""COMPUTED_VALUE"""),44287.66666666667)</f>
        <v>44287.66667</v>
      </c>
      <c r="B1111" s="1">
        <f>IFERROR(__xludf.DUMMYFUNCTION("""COMPUTED_VALUE"""),135.0)</f>
        <v>135</v>
      </c>
      <c r="C1111" s="1">
        <f>IFERROR(__xludf.DUMMYFUNCTION("""COMPUTED_VALUE"""),137.6)</f>
        <v>137.6</v>
      </c>
      <c r="D1111" s="1">
        <f>IFERROR(__xludf.DUMMYFUNCTION("""COMPUTED_VALUE"""),133.33)</f>
        <v>133.33</v>
      </c>
      <c r="E1111" s="1">
        <f>IFERROR(__xludf.DUMMYFUNCTION("""COMPUTED_VALUE"""),134.28)</f>
        <v>134.28</v>
      </c>
      <c r="F1111" s="1">
        <f>IFERROR(__xludf.DUMMYFUNCTION("""COMPUTED_VALUE"""),3.7587301E7)</f>
        <v>37587301</v>
      </c>
    </row>
    <row r="1112">
      <c r="A1112" s="2">
        <f>IFERROR(__xludf.DUMMYFUNCTION("""COMPUTED_VALUE"""),44295.66666666667)</f>
        <v>44295.66667</v>
      </c>
      <c r="B1112" s="1">
        <f>IFERROR(__xludf.DUMMYFUNCTION("""COMPUTED_VALUE"""),134.96)</f>
        <v>134.96</v>
      </c>
      <c r="C1112" s="1">
        <f>IFERROR(__xludf.DUMMYFUNCTION("""COMPUTED_VALUE"""),137.63)</f>
        <v>137.63</v>
      </c>
      <c r="D1112" s="1">
        <f>IFERROR(__xludf.DUMMYFUNCTION("""COMPUTED_VALUE"""),134.73)</f>
        <v>134.73</v>
      </c>
      <c r="E1112" s="1">
        <f>IFERROR(__xludf.DUMMYFUNCTION("""COMPUTED_VALUE"""),136.37)</f>
        <v>136.37</v>
      </c>
      <c r="F1112" s="1">
        <f>IFERROR(__xludf.DUMMYFUNCTION("""COMPUTED_VALUE"""),3.6750585E7)</f>
        <v>36750585</v>
      </c>
    </row>
    <row r="1113">
      <c r="A1113" s="2">
        <f>IFERROR(__xludf.DUMMYFUNCTION("""COMPUTED_VALUE"""),44302.66666666667)</f>
        <v>44302.66667</v>
      </c>
      <c r="B1113" s="1">
        <f>IFERROR(__xludf.DUMMYFUNCTION("""COMPUTED_VALUE"""),136.5)</f>
        <v>136.5</v>
      </c>
      <c r="C1113" s="1">
        <f>IFERROR(__xludf.DUMMYFUNCTION("""COMPUTED_VALUE"""),137.9)</f>
        <v>137.9</v>
      </c>
      <c r="D1113" s="1">
        <f>IFERROR(__xludf.DUMMYFUNCTION("""COMPUTED_VALUE"""),134.58)</f>
        <v>134.58</v>
      </c>
      <c r="E1113" s="1">
        <f>IFERROR(__xludf.DUMMYFUNCTION("""COMPUTED_VALUE"""),137.25)</f>
        <v>137.25</v>
      </c>
      <c r="F1113" s="1">
        <f>IFERROR(__xludf.DUMMYFUNCTION("""COMPUTED_VALUE"""),3.8840093E7)</f>
        <v>38840093</v>
      </c>
    </row>
    <row r="1114">
      <c r="A1114" s="2">
        <f>IFERROR(__xludf.DUMMYFUNCTION("""COMPUTED_VALUE"""),44309.66666666667)</f>
        <v>44309.66667</v>
      </c>
      <c r="B1114" s="1">
        <f>IFERROR(__xludf.DUMMYFUNCTION("""COMPUTED_VALUE"""),136.94)</f>
        <v>136.94</v>
      </c>
      <c r="C1114" s="1">
        <f>IFERROR(__xludf.DUMMYFUNCTION("""COMPUTED_VALUE"""),138.59)</f>
        <v>138.59</v>
      </c>
      <c r="D1114" s="1">
        <f>IFERROR(__xludf.DUMMYFUNCTION("""COMPUTED_VALUE"""),133.25)</f>
        <v>133.25</v>
      </c>
      <c r="E1114" s="1">
        <f>IFERROR(__xludf.DUMMYFUNCTION("""COMPUTED_VALUE"""),133.94)</f>
        <v>133.94</v>
      </c>
      <c r="F1114" s="1">
        <f>IFERROR(__xludf.DUMMYFUNCTION("""COMPUTED_VALUE"""),4.1702946E7)</f>
        <v>41702946</v>
      </c>
    </row>
    <row r="1115">
      <c r="A1115" s="2">
        <f>IFERROR(__xludf.DUMMYFUNCTION("""COMPUTED_VALUE"""),44316.66666666667)</f>
        <v>44316.66667</v>
      </c>
      <c r="B1115" s="1">
        <f>IFERROR(__xludf.DUMMYFUNCTION("""COMPUTED_VALUE"""),133.49)</f>
        <v>133.49</v>
      </c>
      <c r="C1115" s="1">
        <f>IFERROR(__xludf.DUMMYFUNCTION("""COMPUTED_VALUE"""),133.76)</f>
        <v>133.76</v>
      </c>
      <c r="D1115" s="1">
        <f>IFERROR(__xludf.DUMMYFUNCTION("""COMPUTED_VALUE"""),130.29)</f>
        <v>130.29</v>
      </c>
      <c r="E1115" s="1">
        <f>IFERROR(__xludf.DUMMYFUNCTION("""COMPUTED_VALUE"""),133.42)</f>
        <v>133.42</v>
      </c>
      <c r="F1115" s="1">
        <f>IFERROR(__xludf.DUMMYFUNCTION("""COMPUTED_VALUE"""),4.0446177E7)</f>
        <v>40446177</v>
      </c>
    </row>
    <row r="1116">
      <c r="A1116" s="2">
        <f>IFERROR(__xludf.DUMMYFUNCTION("""COMPUTED_VALUE"""),44323.66666666667)</f>
        <v>44323.66667</v>
      </c>
      <c r="B1116" s="1">
        <f>IFERROR(__xludf.DUMMYFUNCTION("""COMPUTED_VALUE"""),134.03)</f>
        <v>134.03</v>
      </c>
      <c r="C1116" s="1">
        <f>IFERROR(__xludf.DUMMYFUNCTION("""COMPUTED_VALUE"""),136.03)</f>
        <v>136.03</v>
      </c>
      <c r="D1116" s="1">
        <f>IFERROR(__xludf.DUMMYFUNCTION("""COMPUTED_VALUE"""),133.37)</f>
        <v>133.37</v>
      </c>
      <c r="E1116" s="1">
        <f>IFERROR(__xludf.DUMMYFUNCTION("""COMPUTED_VALUE"""),135.15)</f>
        <v>135.15</v>
      </c>
      <c r="F1116" s="1">
        <f>IFERROR(__xludf.DUMMYFUNCTION("""COMPUTED_VALUE"""),3.9448439E7)</f>
        <v>39448439</v>
      </c>
    </row>
    <row r="1117">
      <c r="A1117" s="2">
        <f>IFERROR(__xludf.DUMMYFUNCTION("""COMPUTED_VALUE"""),44330.66666666667)</f>
        <v>44330.66667</v>
      </c>
      <c r="B1117" s="1">
        <f>IFERROR(__xludf.DUMMYFUNCTION("""COMPUTED_VALUE"""),135.89)</f>
        <v>135.89</v>
      </c>
      <c r="C1117" s="1">
        <f>IFERROR(__xludf.DUMMYFUNCTION("""COMPUTED_VALUE"""),139.1)</f>
        <v>139.1</v>
      </c>
      <c r="D1117" s="1">
        <f>IFERROR(__xludf.DUMMYFUNCTION("""COMPUTED_VALUE"""),135.39)</f>
        <v>135.39</v>
      </c>
      <c r="E1117" s="1">
        <f>IFERROR(__xludf.DUMMYFUNCTION("""COMPUTED_VALUE"""),138.01)</f>
        <v>138.01</v>
      </c>
      <c r="F1117" s="1">
        <f>IFERROR(__xludf.DUMMYFUNCTION("""COMPUTED_VALUE"""),4.3423734E7)</f>
        <v>43423734</v>
      </c>
    </row>
    <row r="1118">
      <c r="A1118" s="2">
        <f>IFERROR(__xludf.DUMMYFUNCTION("""COMPUTED_VALUE"""),44337.66666666667)</f>
        <v>44337.66667</v>
      </c>
      <c r="B1118" s="1">
        <f>IFERROR(__xludf.DUMMYFUNCTION("""COMPUTED_VALUE"""),137.97)</f>
        <v>137.97</v>
      </c>
      <c r="C1118" s="1">
        <f>IFERROR(__xludf.DUMMYFUNCTION("""COMPUTED_VALUE"""),139.07)</f>
        <v>139.07</v>
      </c>
      <c r="D1118" s="1">
        <f>IFERROR(__xludf.DUMMYFUNCTION("""COMPUTED_VALUE"""),135.59)</f>
        <v>135.59</v>
      </c>
      <c r="E1118" s="1">
        <f>IFERROR(__xludf.DUMMYFUNCTION("""COMPUTED_VALUE"""),138.0)</f>
        <v>138</v>
      </c>
      <c r="F1118" s="1">
        <f>IFERROR(__xludf.DUMMYFUNCTION("""COMPUTED_VALUE"""),4.5666199E7)</f>
        <v>45666199</v>
      </c>
    </row>
    <row r="1119">
      <c r="A1119" s="2">
        <f>IFERROR(__xludf.DUMMYFUNCTION("""COMPUTED_VALUE"""),44344.66666666667)</f>
        <v>44344.66667</v>
      </c>
      <c r="B1119" s="1">
        <f>IFERROR(__xludf.DUMMYFUNCTION("""COMPUTED_VALUE"""),138.0)</f>
        <v>138</v>
      </c>
      <c r="C1119" s="1">
        <f>IFERROR(__xludf.DUMMYFUNCTION("""COMPUTED_VALUE"""),138.86)</f>
        <v>138.86</v>
      </c>
      <c r="D1119" s="1">
        <f>IFERROR(__xludf.DUMMYFUNCTION("""COMPUTED_VALUE"""),134.64)</f>
        <v>134.64</v>
      </c>
      <c r="E1119" s="1">
        <f>IFERROR(__xludf.DUMMYFUNCTION("""COMPUTED_VALUE"""),134.85)</f>
        <v>134.85</v>
      </c>
      <c r="F1119" s="1">
        <f>IFERROR(__xludf.DUMMYFUNCTION("""COMPUTED_VALUE"""),6.6820225E7)</f>
        <v>66820225</v>
      </c>
    </row>
    <row r="1120">
      <c r="A1120" s="2">
        <f>IFERROR(__xludf.DUMMYFUNCTION("""COMPUTED_VALUE"""),44351.66666666667)</f>
        <v>44351.66667</v>
      </c>
      <c r="B1120" s="1">
        <f>IFERROR(__xludf.DUMMYFUNCTION("""COMPUTED_VALUE"""),135.79)</f>
        <v>135.79</v>
      </c>
      <c r="C1120" s="1">
        <f>IFERROR(__xludf.DUMMYFUNCTION("""COMPUTED_VALUE"""),136.62)</f>
        <v>136.62</v>
      </c>
      <c r="D1120" s="1">
        <f>IFERROR(__xludf.DUMMYFUNCTION("""COMPUTED_VALUE"""),132.48)</f>
        <v>132.48</v>
      </c>
      <c r="E1120" s="1">
        <f>IFERROR(__xludf.DUMMYFUNCTION("""COMPUTED_VALUE"""),135.95)</f>
        <v>135.95</v>
      </c>
      <c r="F1120" s="1">
        <f>IFERROR(__xludf.DUMMYFUNCTION("""COMPUTED_VALUE"""),3.639241E7)</f>
        <v>36392410</v>
      </c>
    </row>
    <row r="1121">
      <c r="A1121" s="2">
        <f>IFERROR(__xludf.DUMMYFUNCTION("""COMPUTED_VALUE"""),44358.66666666667)</f>
        <v>44358.66667</v>
      </c>
      <c r="B1121" s="1">
        <f>IFERROR(__xludf.DUMMYFUNCTION("""COMPUTED_VALUE"""),136.36)</f>
        <v>136.36</v>
      </c>
      <c r="C1121" s="1">
        <f>IFERROR(__xludf.DUMMYFUNCTION("""COMPUTED_VALUE"""),136.84)</f>
        <v>136.84</v>
      </c>
      <c r="D1121" s="1">
        <f>IFERROR(__xludf.DUMMYFUNCTION("""COMPUTED_VALUE"""),133.9)</f>
        <v>133.9</v>
      </c>
      <c r="E1121" s="1">
        <f>IFERROR(__xludf.DUMMYFUNCTION("""COMPUTED_VALUE"""),134.86)</f>
        <v>134.86</v>
      </c>
      <c r="F1121" s="1">
        <f>IFERROR(__xludf.DUMMYFUNCTION("""COMPUTED_VALUE"""),3.8687449E7)</f>
        <v>38687449</v>
      </c>
    </row>
    <row r="1122">
      <c r="A1122" s="2">
        <f>IFERROR(__xludf.DUMMYFUNCTION("""COMPUTED_VALUE"""),44365.66666666667)</f>
        <v>44365.66667</v>
      </c>
      <c r="B1122" s="1">
        <f>IFERROR(__xludf.DUMMYFUNCTION("""COMPUTED_VALUE"""),134.98)</f>
        <v>134.98</v>
      </c>
      <c r="C1122" s="1">
        <f>IFERROR(__xludf.DUMMYFUNCTION("""COMPUTED_VALUE"""),135.64)</f>
        <v>135.64</v>
      </c>
      <c r="D1122" s="1">
        <f>IFERROR(__xludf.DUMMYFUNCTION("""COMPUTED_VALUE"""),131.94)</f>
        <v>131.94</v>
      </c>
      <c r="E1122" s="1">
        <f>IFERROR(__xludf.DUMMYFUNCTION("""COMPUTED_VALUE"""),132.03)</f>
        <v>132.03</v>
      </c>
      <c r="F1122" s="1">
        <f>IFERROR(__xludf.DUMMYFUNCTION("""COMPUTED_VALUE"""),4.2655425E7)</f>
        <v>42655425</v>
      </c>
    </row>
    <row r="1123">
      <c r="A1123" s="2">
        <f>IFERROR(__xludf.DUMMYFUNCTION("""COMPUTED_VALUE"""),44372.66666666667)</f>
        <v>44372.66667</v>
      </c>
      <c r="B1123" s="1">
        <f>IFERROR(__xludf.DUMMYFUNCTION("""COMPUTED_VALUE"""),132.69)</f>
        <v>132.69</v>
      </c>
      <c r="C1123" s="1">
        <f>IFERROR(__xludf.DUMMYFUNCTION("""COMPUTED_VALUE"""),135.54)</f>
        <v>135.54</v>
      </c>
      <c r="D1123" s="1">
        <f>IFERROR(__xludf.DUMMYFUNCTION("""COMPUTED_VALUE"""),132.32)</f>
        <v>132.32</v>
      </c>
      <c r="E1123" s="1">
        <f>IFERROR(__xludf.DUMMYFUNCTION("""COMPUTED_VALUE"""),134.92)</f>
        <v>134.92</v>
      </c>
      <c r="F1123" s="1">
        <f>IFERROR(__xludf.DUMMYFUNCTION("""COMPUTED_VALUE"""),5.0923656E7)</f>
        <v>50923656</v>
      </c>
    </row>
    <row r="1124">
      <c r="A1124" s="2">
        <f>IFERROR(__xludf.DUMMYFUNCTION("""COMPUTED_VALUE"""),44379.66666666667)</f>
        <v>44379.66667</v>
      </c>
      <c r="B1124" s="1">
        <f>IFERROR(__xludf.DUMMYFUNCTION("""COMPUTED_VALUE"""),134.9)</f>
        <v>134.9</v>
      </c>
      <c r="C1124" s="1">
        <f>IFERROR(__xludf.DUMMYFUNCTION("""COMPUTED_VALUE"""),136.64)</f>
        <v>136.64</v>
      </c>
      <c r="D1124" s="1">
        <f>IFERROR(__xludf.DUMMYFUNCTION("""COMPUTED_VALUE"""),133.82)</f>
        <v>133.82</v>
      </c>
      <c r="E1124" s="1">
        <f>IFERROR(__xludf.DUMMYFUNCTION("""COMPUTED_VALUE"""),135.9)</f>
        <v>135.9</v>
      </c>
      <c r="F1124" s="1">
        <f>IFERROR(__xludf.DUMMYFUNCTION("""COMPUTED_VALUE"""),2.9129439E7)</f>
        <v>29129439</v>
      </c>
    </row>
    <row r="1125">
      <c r="A1125" s="2">
        <f>IFERROR(__xludf.DUMMYFUNCTION("""COMPUTED_VALUE"""),44386.66666666667)</f>
        <v>44386.66667</v>
      </c>
      <c r="B1125" s="1">
        <f>IFERROR(__xludf.DUMMYFUNCTION("""COMPUTED_VALUE"""),135.52)</f>
        <v>135.52</v>
      </c>
      <c r="C1125" s="1">
        <f>IFERROR(__xludf.DUMMYFUNCTION("""COMPUTED_VALUE"""),137.65)</f>
        <v>137.65</v>
      </c>
      <c r="D1125" s="1">
        <f>IFERROR(__xludf.DUMMYFUNCTION("""COMPUTED_VALUE"""),135.36)</f>
        <v>135.36</v>
      </c>
      <c r="E1125" s="1">
        <f>IFERROR(__xludf.DUMMYFUNCTION("""COMPUTED_VALUE"""),137.03)</f>
        <v>137.03</v>
      </c>
      <c r="F1125" s="1">
        <f>IFERROR(__xludf.DUMMYFUNCTION("""COMPUTED_VALUE"""),2.5601467E7)</f>
        <v>25601467</v>
      </c>
    </row>
    <row r="1126">
      <c r="A1126" s="2">
        <f>IFERROR(__xludf.DUMMYFUNCTION("""COMPUTED_VALUE"""),44393.66666666667)</f>
        <v>44393.66667</v>
      </c>
      <c r="B1126" s="1">
        <f>IFERROR(__xludf.DUMMYFUNCTION("""COMPUTED_VALUE"""),136.9)</f>
        <v>136.9</v>
      </c>
      <c r="C1126" s="1">
        <f>IFERROR(__xludf.DUMMYFUNCTION("""COMPUTED_VALUE"""),140.78)</f>
        <v>140.78</v>
      </c>
      <c r="D1126" s="1">
        <f>IFERROR(__xludf.DUMMYFUNCTION("""COMPUTED_VALUE"""),136.37)</f>
        <v>136.37</v>
      </c>
      <c r="E1126" s="1">
        <f>IFERROR(__xludf.DUMMYFUNCTION("""COMPUTED_VALUE"""),140.51)</f>
        <v>140.51</v>
      </c>
      <c r="F1126" s="1">
        <f>IFERROR(__xludf.DUMMYFUNCTION("""COMPUTED_VALUE"""),3.5018257E7)</f>
        <v>35018257</v>
      </c>
    </row>
    <row r="1127">
      <c r="A1127" s="2">
        <f>IFERROR(__xludf.DUMMYFUNCTION("""COMPUTED_VALUE"""),44400.66666666667)</f>
        <v>44400.66667</v>
      </c>
      <c r="B1127" s="1">
        <f>IFERROR(__xludf.DUMMYFUNCTION("""COMPUTED_VALUE"""),140.32)</f>
        <v>140.32</v>
      </c>
      <c r="C1127" s="1">
        <f>IFERROR(__xludf.DUMMYFUNCTION("""COMPUTED_VALUE"""),141.98)</f>
        <v>141.98</v>
      </c>
      <c r="D1127" s="1">
        <f>IFERROR(__xludf.DUMMYFUNCTION("""COMPUTED_VALUE"""),136.71)</f>
        <v>136.71</v>
      </c>
      <c r="E1127" s="1">
        <f>IFERROR(__xludf.DUMMYFUNCTION("""COMPUTED_VALUE"""),139.79)</f>
        <v>139.79</v>
      </c>
      <c r="F1127" s="1">
        <f>IFERROR(__xludf.DUMMYFUNCTION("""COMPUTED_VALUE"""),3.8555196E7)</f>
        <v>38555196</v>
      </c>
    </row>
    <row r="1128">
      <c r="A1128" s="2">
        <f>IFERROR(__xludf.DUMMYFUNCTION("""COMPUTED_VALUE"""),44407.66666666667)</f>
        <v>44407.66667</v>
      </c>
      <c r="B1128" s="1">
        <f>IFERROR(__xludf.DUMMYFUNCTION("""COMPUTED_VALUE"""),139.62)</f>
        <v>139.62</v>
      </c>
      <c r="C1128" s="1">
        <f>IFERROR(__xludf.DUMMYFUNCTION("""COMPUTED_VALUE"""),144.54)</f>
        <v>144.54</v>
      </c>
      <c r="D1128" s="1">
        <f>IFERROR(__xludf.DUMMYFUNCTION("""COMPUTED_VALUE"""),138.71)</f>
        <v>138.71</v>
      </c>
      <c r="E1128" s="1">
        <f>IFERROR(__xludf.DUMMYFUNCTION("""COMPUTED_VALUE"""),142.23)</f>
        <v>142.23</v>
      </c>
      <c r="F1128" s="1">
        <f>IFERROR(__xludf.DUMMYFUNCTION("""COMPUTED_VALUE"""),4.1346479E7)</f>
        <v>41346479</v>
      </c>
    </row>
    <row r="1129">
      <c r="A1129" s="2">
        <f>IFERROR(__xludf.DUMMYFUNCTION("""COMPUTED_VALUE"""),44414.66666666667)</f>
        <v>44414.66667</v>
      </c>
      <c r="B1129" s="1">
        <f>IFERROR(__xludf.DUMMYFUNCTION("""COMPUTED_VALUE"""),141.77)</f>
        <v>141.77</v>
      </c>
      <c r="C1129" s="1">
        <f>IFERROR(__xludf.DUMMYFUNCTION("""COMPUTED_VALUE"""),144.21)</f>
        <v>144.21</v>
      </c>
      <c r="D1129" s="1">
        <f>IFERROR(__xludf.DUMMYFUNCTION("""COMPUTED_VALUE"""),140.8)</f>
        <v>140.8</v>
      </c>
      <c r="E1129" s="1">
        <f>IFERROR(__xludf.DUMMYFUNCTION("""COMPUTED_VALUE"""),141.41)</f>
        <v>141.41</v>
      </c>
      <c r="F1129" s="1">
        <f>IFERROR(__xludf.DUMMYFUNCTION("""COMPUTED_VALUE"""),3.3487445E7)</f>
        <v>33487445</v>
      </c>
    </row>
    <row r="1130">
      <c r="A1130" s="2">
        <f>IFERROR(__xludf.DUMMYFUNCTION("""COMPUTED_VALUE"""),44421.66666666667)</f>
        <v>44421.66667</v>
      </c>
      <c r="B1130" s="1">
        <f>IFERROR(__xludf.DUMMYFUNCTION("""COMPUTED_VALUE"""),141.95)</f>
        <v>141.95</v>
      </c>
      <c r="C1130" s="1">
        <f>IFERROR(__xludf.DUMMYFUNCTION("""COMPUTED_VALUE"""),143.99)</f>
        <v>143.99</v>
      </c>
      <c r="D1130" s="1">
        <f>IFERROR(__xludf.DUMMYFUNCTION("""COMPUTED_VALUE"""),141.66)</f>
        <v>141.66</v>
      </c>
      <c r="E1130" s="1">
        <f>IFERROR(__xludf.DUMMYFUNCTION("""COMPUTED_VALUE"""),143.64)</f>
        <v>143.64</v>
      </c>
      <c r="F1130" s="1">
        <f>IFERROR(__xludf.DUMMYFUNCTION("""COMPUTED_VALUE"""),2.4047943E7)</f>
        <v>24047943</v>
      </c>
    </row>
    <row r="1131">
      <c r="A1131" s="2">
        <f>IFERROR(__xludf.DUMMYFUNCTION("""COMPUTED_VALUE"""),44428.66666666667)</f>
        <v>44428.66667</v>
      </c>
      <c r="B1131" s="1">
        <f>IFERROR(__xludf.DUMMYFUNCTION("""COMPUTED_VALUE"""),143.67)</f>
        <v>143.67</v>
      </c>
      <c r="C1131" s="1">
        <f>IFERROR(__xludf.DUMMYFUNCTION("""COMPUTED_VALUE"""),145.98)</f>
        <v>145.98</v>
      </c>
      <c r="D1131" s="1">
        <f>IFERROR(__xludf.DUMMYFUNCTION("""COMPUTED_VALUE"""),143.16)</f>
        <v>143.16</v>
      </c>
      <c r="E1131" s="1">
        <f>IFERROR(__xludf.DUMMYFUNCTION("""COMPUTED_VALUE"""),145.09)</f>
        <v>145.09</v>
      </c>
      <c r="F1131" s="1">
        <f>IFERROR(__xludf.DUMMYFUNCTION("""COMPUTED_VALUE"""),3.184114E7)</f>
        <v>31841140</v>
      </c>
    </row>
    <row r="1132">
      <c r="A1132" s="2">
        <f>IFERROR(__xludf.DUMMYFUNCTION("""COMPUTED_VALUE"""),44435.66666666667)</f>
        <v>44435.66667</v>
      </c>
      <c r="B1132" s="1">
        <f>IFERROR(__xludf.DUMMYFUNCTION("""COMPUTED_VALUE"""),144.29)</f>
        <v>144.29</v>
      </c>
      <c r="C1132" s="1">
        <f>IFERROR(__xludf.DUMMYFUNCTION("""COMPUTED_VALUE"""),145.34)</f>
        <v>145.34</v>
      </c>
      <c r="D1132" s="1">
        <f>IFERROR(__xludf.DUMMYFUNCTION("""COMPUTED_VALUE"""),141.47)</f>
        <v>141.47</v>
      </c>
      <c r="E1132" s="1">
        <f>IFERROR(__xludf.DUMMYFUNCTION("""COMPUTED_VALUE"""),142.31)</f>
        <v>142.31</v>
      </c>
      <c r="F1132" s="1">
        <f>IFERROR(__xludf.DUMMYFUNCTION("""COMPUTED_VALUE"""),2.2435049E7)</f>
        <v>22435049</v>
      </c>
    </row>
    <row r="1133">
      <c r="A1133" s="2">
        <f>IFERROR(__xludf.DUMMYFUNCTION("""COMPUTED_VALUE"""),44442.66666666667)</f>
        <v>44442.66667</v>
      </c>
      <c r="B1133" s="1">
        <f>IFERROR(__xludf.DUMMYFUNCTION("""COMPUTED_VALUE"""),142.6)</f>
        <v>142.6</v>
      </c>
      <c r="C1133" s="1">
        <f>IFERROR(__xludf.DUMMYFUNCTION("""COMPUTED_VALUE"""),144.73)</f>
        <v>144.73</v>
      </c>
      <c r="D1133" s="1">
        <f>IFERROR(__xludf.DUMMYFUNCTION("""COMPUTED_VALUE"""),142.05)</f>
        <v>142.05</v>
      </c>
      <c r="E1133" s="1">
        <f>IFERROR(__xludf.DUMMYFUNCTION("""COMPUTED_VALUE"""),144.05)</f>
        <v>144.05</v>
      </c>
      <c r="F1133" s="1">
        <f>IFERROR(__xludf.DUMMYFUNCTION("""COMPUTED_VALUE"""),3.0562593E7)</f>
        <v>30562593</v>
      </c>
    </row>
    <row r="1134">
      <c r="A1134" s="2">
        <f>IFERROR(__xludf.DUMMYFUNCTION("""COMPUTED_VALUE"""),44449.66666666667)</f>
        <v>44449.66667</v>
      </c>
      <c r="B1134" s="1">
        <f>IFERROR(__xludf.DUMMYFUNCTION("""COMPUTED_VALUE"""),144.32)</f>
        <v>144.32</v>
      </c>
      <c r="C1134" s="1">
        <f>IFERROR(__xludf.DUMMYFUNCTION("""COMPUTED_VALUE"""),144.94)</f>
        <v>144.94</v>
      </c>
      <c r="D1134" s="1">
        <f>IFERROR(__xludf.DUMMYFUNCTION("""COMPUTED_VALUE"""),143.01)</f>
        <v>143.01</v>
      </c>
      <c r="E1134" s="1">
        <f>IFERROR(__xludf.DUMMYFUNCTION("""COMPUTED_VALUE"""),144.13)</f>
        <v>144.13</v>
      </c>
      <c r="F1134" s="1">
        <f>IFERROR(__xludf.DUMMYFUNCTION("""COMPUTED_VALUE"""),2.5523302E7)</f>
        <v>25523302</v>
      </c>
    </row>
    <row r="1135">
      <c r="A1135" s="2">
        <f>IFERROR(__xludf.DUMMYFUNCTION("""COMPUTED_VALUE"""),44456.66666666667)</f>
        <v>44456.66667</v>
      </c>
      <c r="B1135" s="1">
        <f>IFERROR(__xludf.DUMMYFUNCTION("""COMPUTED_VALUE"""),144.85)</f>
        <v>144.85</v>
      </c>
      <c r="C1135" s="1">
        <f>IFERROR(__xludf.DUMMYFUNCTION("""COMPUTED_VALUE"""),147.23)</f>
        <v>147.23</v>
      </c>
      <c r="D1135" s="1">
        <f>IFERROR(__xludf.DUMMYFUNCTION("""COMPUTED_VALUE"""),142.82)</f>
        <v>142.82</v>
      </c>
      <c r="E1135" s="1">
        <f>IFERROR(__xludf.DUMMYFUNCTION("""COMPUTED_VALUE"""),144.34)</f>
        <v>144.34</v>
      </c>
      <c r="F1135" s="1">
        <f>IFERROR(__xludf.DUMMYFUNCTION("""COMPUTED_VALUE"""),4.6902661E7)</f>
        <v>46902661</v>
      </c>
    </row>
    <row r="1136">
      <c r="A1136" s="2">
        <f>IFERROR(__xludf.DUMMYFUNCTION("""COMPUTED_VALUE"""),44463.66666666667)</f>
        <v>44463.66667</v>
      </c>
      <c r="B1136" s="1">
        <f>IFERROR(__xludf.DUMMYFUNCTION("""COMPUTED_VALUE"""),144.22)</f>
        <v>144.22</v>
      </c>
      <c r="C1136" s="1">
        <f>IFERROR(__xludf.DUMMYFUNCTION("""COMPUTED_VALUE"""),144.85)</f>
        <v>144.85</v>
      </c>
      <c r="D1136" s="1">
        <f>IFERROR(__xludf.DUMMYFUNCTION("""COMPUTED_VALUE"""),141.97)</f>
        <v>141.97</v>
      </c>
      <c r="E1136" s="1">
        <f>IFERROR(__xludf.DUMMYFUNCTION("""COMPUTED_VALUE"""),143.55)</f>
        <v>143.55</v>
      </c>
      <c r="F1136" s="1">
        <f>IFERROR(__xludf.DUMMYFUNCTION("""COMPUTED_VALUE"""),3.3403204E7)</f>
        <v>33403204</v>
      </c>
    </row>
    <row r="1137">
      <c r="A1137" s="2">
        <f>IFERROR(__xludf.DUMMYFUNCTION("""COMPUTED_VALUE"""),44470.66666666667)</f>
        <v>44470.66667</v>
      </c>
      <c r="B1137" s="1">
        <f>IFERROR(__xludf.DUMMYFUNCTION("""COMPUTED_VALUE"""),143.15)</f>
        <v>143.15</v>
      </c>
      <c r="C1137" s="1">
        <f>IFERROR(__xludf.DUMMYFUNCTION("""COMPUTED_VALUE"""),143.17)</f>
        <v>143.17</v>
      </c>
      <c r="D1137" s="1">
        <f>IFERROR(__xludf.DUMMYFUNCTION("""COMPUTED_VALUE"""),138.32)</f>
        <v>138.32</v>
      </c>
      <c r="E1137" s="1">
        <f>IFERROR(__xludf.DUMMYFUNCTION("""COMPUTED_VALUE"""),139.58)</f>
        <v>139.58</v>
      </c>
      <c r="F1137" s="1">
        <f>IFERROR(__xludf.DUMMYFUNCTION("""COMPUTED_VALUE"""),3.0748967E7)</f>
        <v>30748967</v>
      </c>
    </row>
    <row r="1138">
      <c r="A1138" s="2">
        <f>IFERROR(__xludf.DUMMYFUNCTION("""COMPUTED_VALUE"""),44477.66666666667)</f>
        <v>44477.66667</v>
      </c>
      <c r="B1138" s="1">
        <f>IFERROR(__xludf.DUMMYFUNCTION("""COMPUTED_VALUE"""),139.39)</f>
        <v>139.39</v>
      </c>
      <c r="C1138" s="1">
        <f>IFERROR(__xludf.DUMMYFUNCTION("""COMPUTED_VALUE"""),143.03)</f>
        <v>143.03</v>
      </c>
      <c r="D1138" s="1">
        <f>IFERROR(__xludf.DUMMYFUNCTION("""COMPUTED_VALUE"""),137.6)</f>
        <v>137.6</v>
      </c>
      <c r="E1138" s="1">
        <f>IFERROR(__xludf.DUMMYFUNCTION("""COMPUTED_VALUE"""),141.73)</f>
        <v>141.73</v>
      </c>
      <c r="F1138" s="1">
        <f>IFERROR(__xludf.DUMMYFUNCTION("""COMPUTED_VALUE"""),2.9518216E7)</f>
        <v>29518216</v>
      </c>
    </row>
    <row r="1139">
      <c r="A1139" s="2">
        <f>IFERROR(__xludf.DUMMYFUNCTION("""COMPUTED_VALUE"""),44484.66666666667)</f>
        <v>44484.66667</v>
      </c>
      <c r="B1139" s="1">
        <f>IFERROR(__xludf.DUMMYFUNCTION("""COMPUTED_VALUE"""),142.37)</f>
        <v>142.37</v>
      </c>
      <c r="C1139" s="1">
        <f>IFERROR(__xludf.DUMMYFUNCTION("""COMPUTED_VALUE"""),144.87)</f>
        <v>144.87</v>
      </c>
      <c r="D1139" s="1">
        <f>IFERROR(__xludf.DUMMYFUNCTION("""COMPUTED_VALUE"""),141.03)</f>
        <v>141.03</v>
      </c>
      <c r="E1139" s="1">
        <f>IFERROR(__xludf.DUMMYFUNCTION("""COMPUTED_VALUE"""),144.42)</f>
        <v>144.42</v>
      </c>
      <c r="F1139" s="1">
        <f>IFERROR(__xludf.DUMMYFUNCTION("""COMPUTED_VALUE"""),3.2122994E7)</f>
        <v>32122994</v>
      </c>
    </row>
    <row r="1140">
      <c r="A1140" s="2">
        <f>IFERROR(__xludf.DUMMYFUNCTION("""COMPUTED_VALUE"""),44491.66666666667)</f>
        <v>44491.66667</v>
      </c>
      <c r="B1140" s="1">
        <f>IFERROR(__xludf.DUMMYFUNCTION("""COMPUTED_VALUE"""),143.55)</f>
        <v>143.55</v>
      </c>
      <c r="C1140" s="1">
        <f>IFERROR(__xludf.DUMMYFUNCTION("""COMPUTED_VALUE"""),143.7)</f>
        <v>143.7</v>
      </c>
      <c r="D1140" s="1">
        <f>IFERROR(__xludf.DUMMYFUNCTION("""COMPUTED_VALUE"""),138.8)</f>
        <v>138.8</v>
      </c>
      <c r="E1140" s="1">
        <f>IFERROR(__xludf.DUMMYFUNCTION("""COMPUTED_VALUE"""),140.83)</f>
        <v>140.83</v>
      </c>
      <c r="F1140" s="1">
        <f>IFERROR(__xludf.DUMMYFUNCTION("""COMPUTED_VALUE"""),3.7837858E7)</f>
        <v>37837858</v>
      </c>
    </row>
    <row r="1141">
      <c r="A1141" s="2">
        <f>IFERROR(__xludf.DUMMYFUNCTION("""COMPUTED_VALUE"""),44498.66666666667)</f>
        <v>44498.66667</v>
      </c>
      <c r="B1141" s="1">
        <f>IFERROR(__xludf.DUMMYFUNCTION("""COMPUTED_VALUE"""),140.41)</f>
        <v>140.41</v>
      </c>
      <c r="C1141" s="1">
        <f>IFERROR(__xludf.DUMMYFUNCTION("""COMPUTED_VALUE"""),143.68)</f>
        <v>143.68</v>
      </c>
      <c r="D1141" s="1">
        <f>IFERROR(__xludf.DUMMYFUNCTION("""COMPUTED_VALUE"""),139.05)</f>
        <v>139.05</v>
      </c>
      <c r="E1141" s="1">
        <f>IFERROR(__xludf.DUMMYFUNCTION("""COMPUTED_VALUE"""),142.99)</f>
        <v>142.99</v>
      </c>
      <c r="F1141" s="1">
        <f>IFERROR(__xludf.DUMMYFUNCTION("""COMPUTED_VALUE"""),3.2038817E7)</f>
        <v>32038817</v>
      </c>
    </row>
    <row r="1142">
      <c r="A1142" s="2">
        <f>IFERROR(__xludf.DUMMYFUNCTION("""COMPUTED_VALUE"""),44505.66666666667)</f>
        <v>44505.66667</v>
      </c>
      <c r="B1142" s="1">
        <f>IFERROR(__xludf.DUMMYFUNCTION("""COMPUTED_VALUE"""),143.36)</f>
        <v>143.36</v>
      </c>
      <c r="C1142" s="1">
        <f>IFERROR(__xludf.DUMMYFUNCTION("""COMPUTED_VALUE"""),146.37)</f>
        <v>146.37</v>
      </c>
      <c r="D1142" s="1">
        <f>IFERROR(__xludf.DUMMYFUNCTION("""COMPUTED_VALUE"""),142.28)</f>
        <v>142.28</v>
      </c>
      <c r="E1142" s="1">
        <f>IFERROR(__xludf.DUMMYFUNCTION("""COMPUTED_VALUE"""),146.04)</f>
        <v>146.04</v>
      </c>
      <c r="F1142" s="1">
        <f>IFERROR(__xludf.DUMMYFUNCTION("""COMPUTED_VALUE"""),3.507848E7)</f>
        <v>35078480</v>
      </c>
    </row>
    <row r="1143">
      <c r="A1143" s="2">
        <f>IFERROR(__xludf.DUMMYFUNCTION("""COMPUTED_VALUE"""),44512.66666666667)</f>
        <v>44512.66667</v>
      </c>
      <c r="B1143" s="1">
        <f>IFERROR(__xludf.DUMMYFUNCTION("""COMPUTED_VALUE"""),145.5)</f>
        <v>145.5</v>
      </c>
      <c r="C1143" s="1">
        <f>IFERROR(__xludf.DUMMYFUNCTION("""COMPUTED_VALUE"""),147.31)</f>
        <v>147.31</v>
      </c>
      <c r="D1143" s="1">
        <f>IFERROR(__xludf.DUMMYFUNCTION("""COMPUTED_VALUE"""),144.02)</f>
        <v>144.02</v>
      </c>
      <c r="E1143" s="1">
        <f>IFERROR(__xludf.DUMMYFUNCTION("""COMPUTED_VALUE"""),146.56)</f>
        <v>146.56</v>
      </c>
      <c r="F1143" s="1">
        <f>IFERROR(__xludf.DUMMYFUNCTION("""COMPUTED_VALUE"""),2.7846613E7)</f>
        <v>27846613</v>
      </c>
    </row>
    <row r="1144">
      <c r="A1144" s="2">
        <f>IFERROR(__xludf.DUMMYFUNCTION("""COMPUTED_VALUE"""),44519.66666666667)</f>
        <v>44519.66667</v>
      </c>
      <c r="B1144" s="1">
        <f>IFERROR(__xludf.DUMMYFUNCTION("""COMPUTED_VALUE"""),147.03)</f>
        <v>147.03</v>
      </c>
      <c r="C1144" s="1">
        <f>IFERROR(__xludf.DUMMYFUNCTION("""COMPUTED_VALUE"""),148.59)</f>
        <v>148.59</v>
      </c>
      <c r="D1144" s="1">
        <f>IFERROR(__xludf.DUMMYFUNCTION("""COMPUTED_VALUE"""),146.42)</f>
        <v>146.42</v>
      </c>
      <c r="E1144" s="1">
        <f>IFERROR(__xludf.DUMMYFUNCTION("""COMPUTED_VALUE"""),146.82)</f>
        <v>146.82</v>
      </c>
      <c r="F1144" s="1">
        <f>IFERROR(__xludf.DUMMYFUNCTION("""COMPUTED_VALUE"""),2.9798107E7)</f>
        <v>29798107</v>
      </c>
    </row>
    <row r="1145">
      <c r="A1145" s="2">
        <f>IFERROR(__xludf.DUMMYFUNCTION("""COMPUTED_VALUE"""),44526.54166666667)</f>
        <v>44526.54167</v>
      </c>
      <c r="B1145" s="1">
        <f>IFERROR(__xludf.DUMMYFUNCTION("""COMPUTED_VALUE"""),146.97)</f>
        <v>146.97</v>
      </c>
      <c r="C1145" s="1">
        <f>IFERROR(__xludf.DUMMYFUNCTION("""COMPUTED_VALUE"""),149.72)</f>
        <v>149.72</v>
      </c>
      <c r="D1145" s="1">
        <f>IFERROR(__xludf.DUMMYFUNCTION("""COMPUTED_VALUE"""),146.83)</f>
        <v>146.83</v>
      </c>
      <c r="E1145" s="1">
        <f>IFERROR(__xludf.DUMMYFUNCTION("""COMPUTED_VALUE"""),147.47)</f>
        <v>147.47</v>
      </c>
      <c r="F1145" s="1">
        <f>IFERROR(__xludf.DUMMYFUNCTION("""COMPUTED_VALUE"""),2.6503412E7)</f>
        <v>26503412</v>
      </c>
    </row>
    <row r="1146">
      <c r="A1146" s="2">
        <f>IFERROR(__xludf.DUMMYFUNCTION("""COMPUTED_VALUE"""),44533.66666666667)</f>
        <v>44533.66667</v>
      </c>
      <c r="B1146" s="1">
        <f>IFERROR(__xludf.DUMMYFUNCTION("""COMPUTED_VALUE"""),147.79)</f>
        <v>147.79</v>
      </c>
      <c r="C1146" s="1">
        <f>IFERROR(__xludf.DUMMYFUNCTION("""COMPUTED_VALUE"""),150.0)</f>
        <v>150</v>
      </c>
      <c r="D1146" s="1">
        <f>IFERROR(__xludf.DUMMYFUNCTION("""COMPUTED_VALUE"""),144.12)</f>
        <v>144.12</v>
      </c>
      <c r="E1146" s="1">
        <f>IFERROR(__xludf.DUMMYFUNCTION("""COMPUTED_VALUE"""),149.88)</f>
        <v>149.88</v>
      </c>
      <c r="F1146" s="1">
        <f>IFERROR(__xludf.DUMMYFUNCTION("""COMPUTED_VALUE"""),4.7793222E7)</f>
        <v>47793222</v>
      </c>
    </row>
    <row r="1147">
      <c r="A1147" s="2">
        <f>IFERROR(__xludf.DUMMYFUNCTION("""COMPUTED_VALUE"""),44540.66666666667)</f>
        <v>44540.66667</v>
      </c>
      <c r="B1147" s="1">
        <f>IFERROR(__xludf.DUMMYFUNCTION("""COMPUTED_VALUE"""),150.19)</f>
        <v>150.19</v>
      </c>
      <c r="C1147" s="1">
        <f>IFERROR(__xludf.DUMMYFUNCTION("""COMPUTED_VALUE"""),155.8)</f>
        <v>155.8</v>
      </c>
      <c r="D1147" s="1">
        <f>IFERROR(__xludf.DUMMYFUNCTION("""COMPUTED_VALUE"""),150.19)</f>
        <v>150.19</v>
      </c>
      <c r="E1147" s="1">
        <f>IFERROR(__xludf.DUMMYFUNCTION("""COMPUTED_VALUE"""),155.46)</f>
        <v>155.46</v>
      </c>
      <c r="F1147" s="1">
        <f>IFERROR(__xludf.DUMMYFUNCTION("""COMPUTED_VALUE"""),4.3684452E7)</f>
        <v>43684452</v>
      </c>
    </row>
    <row r="1148">
      <c r="A1148" s="2">
        <f>IFERROR(__xludf.DUMMYFUNCTION("""COMPUTED_VALUE"""),44547.66666666667)</f>
        <v>44547.66667</v>
      </c>
      <c r="B1148" s="1">
        <f>IFERROR(__xludf.DUMMYFUNCTION("""COMPUTED_VALUE"""),155.3)</f>
        <v>155.3</v>
      </c>
      <c r="C1148" s="1">
        <f>IFERROR(__xludf.DUMMYFUNCTION("""COMPUTED_VALUE"""),161.72)</f>
        <v>161.72</v>
      </c>
      <c r="D1148" s="1">
        <f>IFERROR(__xludf.DUMMYFUNCTION("""COMPUTED_VALUE"""),154.91)</f>
        <v>154.91</v>
      </c>
      <c r="E1148" s="1">
        <f>IFERROR(__xludf.DUMMYFUNCTION("""COMPUTED_VALUE"""),157.46)</f>
        <v>157.46</v>
      </c>
      <c r="F1148" s="1">
        <f>IFERROR(__xludf.DUMMYFUNCTION("""COMPUTED_VALUE"""),6.1979943E7)</f>
        <v>61979943</v>
      </c>
    </row>
    <row r="1149">
      <c r="A1149" s="2">
        <f>IFERROR(__xludf.DUMMYFUNCTION("""COMPUTED_VALUE"""),44553.66666666667)</f>
        <v>44553.66667</v>
      </c>
      <c r="B1149" s="1">
        <f>IFERROR(__xludf.DUMMYFUNCTION("""COMPUTED_VALUE"""),156.6)</f>
        <v>156.6</v>
      </c>
      <c r="C1149" s="1">
        <f>IFERROR(__xludf.DUMMYFUNCTION("""COMPUTED_VALUE"""),160.92)</f>
        <v>160.92</v>
      </c>
      <c r="D1149" s="1">
        <f>IFERROR(__xludf.DUMMYFUNCTION("""COMPUTED_VALUE"""),156.57)</f>
        <v>156.57</v>
      </c>
      <c r="E1149" s="1">
        <f>IFERROR(__xludf.DUMMYFUNCTION("""COMPUTED_VALUE"""),160.1)</f>
        <v>160.1</v>
      </c>
      <c r="F1149" s="1">
        <f>IFERROR(__xludf.DUMMYFUNCTION("""COMPUTED_VALUE"""),2.8416003E7)</f>
        <v>28416003</v>
      </c>
    </row>
    <row r="1150">
      <c r="A1150" s="2">
        <f>IFERROR(__xludf.DUMMYFUNCTION("""COMPUTED_VALUE"""),44561.66666666667)</f>
        <v>44561.66667</v>
      </c>
      <c r="B1150" s="1">
        <f>IFERROR(__xludf.DUMMYFUNCTION("""COMPUTED_VALUE"""),160.67)</f>
        <v>160.67</v>
      </c>
      <c r="C1150" s="1">
        <f>IFERROR(__xludf.DUMMYFUNCTION("""COMPUTED_VALUE"""),164.98)</f>
        <v>164.98</v>
      </c>
      <c r="D1150" s="1">
        <f>IFERROR(__xludf.DUMMYFUNCTION("""COMPUTED_VALUE"""),160.61)</f>
        <v>160.61</v>
      </c>
      <c r="E1150" s="1">
        <f>IFERROR(__xludf.DUMMYFUNCTION("""COMPUTED_VALUE"""),163.58)</f>
        <v>163.58</v>
      </c>
      <c r="F1150" s="1">
        <f>IFERROR(__xludf.DUMMYFUNCTION("""COMPUTED_VALUE"""),2.7063617E7)</f>
        <v>27063617</v>
      </c>
    </row>
    <row r="1151">
      <c r="A1151" s="2">
        <f>IFERROR(__xludf.DUMMYFUNCTION("""COMPUTED_VALUE"""),44568.66666666667)</f>
        <v>44568.66667</v>
      </c>
      <c r="B1151" s="1">
        <f>IFERROR(__xludf.DUMMYFUNCTION("""COMPUTED_VALUE"""),161.69)</f>
        <v>161.69</v>
      </c>
      <c r="C1151" s="1">
        <f>IFERROR(__xludf.DUMMYFUNCTION("""COMPUTED_VALUE"""),165.32)</f>
        <v>165.32</v>
      </c>
      <c r="D1151" s="1">
        <f>IFERROR(__xludf.DUMMYFUNCTION("""COMPUTED_VALUE"""),159.88)</f>
        <v>159.88</v>
      </c>
      <c r="E1151" s="1">
        <f>IFERROR(__xludf.DUMMYFUNCTION("""COMPUTED_VALUE"""),162.74)</f>
        <v>162.74</v>
      </c>
      <c r="F1151" s="1">
        <f>IFERROR(__xludf.DUMMYFUNCTION("""COMPUTED_VALUE"""),4.1556345E7)</f>
        <v>41556345</v>
      </c>
    </row>
    <row r="1152">
      <c r="A1152" s="2">
        <f>IFERROR(__xludf.DUMMYFUNCTION("""COMPUTED_VALUE"""),44575.66666666667)</f>
        <v>44575.66667</v>
      </c>
      <c r="B1152" s="1">
        <f>IFERROR(__xludf.DUMMYFUNCTION("""COMPUTED_VALUE"""),162.51)</f>
        <v>162.51</v>
      </c>
      <c r="C1152" s="1">
        <f>IFERROR(__xludf.DUMMYFUNCTION("""COMPUTED_VALUE"""),163.12)</f>
        <v>163.12</v>
      </c>
      <c r="D1152" s="1">
        <f>IFERROR(__xludf.DUMMYFUNCTION("""COMPUTED_VALUE"""),156.91)</f>
        <v>156.91</v>
      </c>
      <c r="E1152" s="1">
        <f>IFERROR(__xludf.DUMMYFUNCTION("""COMPUTED_VALUE"""),159.81)</f>
        <v>159.81</v>
      </c>
      <c r="F1152" s="1">
        <f>IFERROR(__xludf.DUMMYFUNCTION("""COMPUTED_VALUE"""),4.4398799E7)</f>
        <v>44398799</v>
      </c>
    </row>
    <row r="1153">
      <c r="A1153" s="2">
        <f>IFERROR(__xludf.DUMMYFUNCTION("""COMPUTED_VALUE"""),44582.66666666667)</f>
        <v>44582.66667</v>
      </c>
      <c r="B1153" s="1">
        <f>IFERROR(__xludf.DUMMYFUNCTION("""COMPUTED_VALUE"""),158.53)</f>
        <v>158.53</v>
      </c>
      <c r="C1153" s="1">
        <f>IFERROR(__xludf.DUMMYFUNCTION("""COMPUTED_VALUE"""),165.35)</f>
        <v>165.35</v>
      </c>
      <c r="D1153" s="1">
        <f>IFERROR(__xludf.DUMMYFUNCTION("""COMPUTED_VALUE"""),156.04)</f>
        <v>156.04</v>
      </c>
      <c r="E1153" s="1">
        <f>IFERROR(__xludf.DUMMYFUNCTION("""COMPUTED_VALUE"""),162.62)</f>
        <v>162.62</v>
      </c>
      <c r="F1153" s="1">
        <f>IFERROR(__xludf.DUMMYFUNCTION("""COMPUTED_VALUE"""),4.6779155E7)</f>
        <v>46779155</v>
      </c>
    </row>
    <row r="1154">
      <c r="A1154" s="2">
        <f>IFERROR(__xludf.DUMMYFUNCTION("""COMPUTED_VALUE"""),44589.66666666667)</f>
        <v>44589.66667</v>
      </c>
      <c r="B1154" s="1">
        <f>IFERROR(__xludf.DUMMYFUNCTION("""COMPUTED_VALUE"""),163.43)</f>
        <v>163.43</v>
      </c>
      <c r="C1154" s="1">
        <f>IFERROR(__xludf.DUMMYFUNCTION("""COMPUTED_VALUE"""),164.12)</f>
        <v>164.12</v>
      </c>
      <c r="D1154" s="1">
        <f>IFERROR(__xludf.DUMMYFUNCTION("""COMPUTED_VALUE"""),156.38)</f>
        <v>156.38</v>
      </c>
      <c r="E1154" s="1">
        <f>IFERROR(__xludf.DUMMYFUNCTION("""COMPUTED_VALUE"""),160.5)</f>
        <v>160.5</v>
      </c>
      <c r="F1154" s="1">
        <f>IFERROR(__xludf.DUMMYFUNCTION("""COMPUTED_VALUE"""),5.350213E7)</f>
        <v>53502130</v>
      </c>
    </row>
    <row r="1155">
      <c r="A1155" s="2">
        <f>IFERROR(__xludf.DUMMYFUNCTION("""COMPUTED_VALUE"""),44596.66666666667)</f>
        <v>44596.66667</v>
      </c>
      <c r="B1155" s="1">
        <f>IFERROR(__xludf.DUMMYFUNCTION("""COMPUTED_VALUE"""),159.35)</f>
        <v>159.35</v>
      </c>
      <c r="C1155" s="1">
        <f>IFERROR(__xludf.DUMMYFUNCTION("""COMPUTED_VALUE"""),164.98)</f>
        <v>164.98</v>
      </c>
      <c r="D1155" s="1">
        <f>IFERROR(__xludf.DUMMYFUNCTION("""COMPUTED_VALUE"""),157.73)</f>
        <v>157.73</v>
      </c>
      <c r="E1155" s="1">
        <f>IFERROR(__xludf.DUMMYFUNCTION("""COMPUTED_VALUE"""),161.53)</f>
        <v>161.53</v>
      </c>
      <c r="F1155" s="1">
        <f>IFERROR(__xludf.DUMMYFUNCTION("""COMPUTED_VALUE"""),4.222759E7)</f>
        <v>42227590</v>
      </c>
    </row>
    <row r="1156">
      <c r="A1156" s="2">
        <f>IFERROR(__xludf.DUMMYFUNCTION("""COMPUTED_VALUE"""),44603.66666666667)</f>
        <v>44603.66667</v>
      </c>
      <c r="B1156" s="1">
        <f>IFERROR(__xludf.DUMMYFUNCTION("""COMPUTED_VALUE"""),161.87)</f>
        <v>161.87</v>
      </c>
      <c r="C1156" s="1">
        <f>IFERROR(__xludf.DUMMYFUNCTION("""COMPUTED_VALUE"""),162.26)</f>
        <v>162.26</v>
      </c>
      <c r="D1156" s="1">
        <f>IFERROR(__xludf.DUMMYFUNCTION("""COMPUTED_VALUE"""),155.58)</f>
        <v>155.58</v>
      </c>
      <c r="E1156" s="1">
        <f>IFERROR(__xludf.DUMMYFUNCTION("""COMPUTED_VALUE"""),156.29)</f>
        <v>156.29</v>
      </c>
      <c r="F1156" s="1">
        <f>IFERROR(__xludf.DUMMYFUNCTION("""COMPUTED_VALUE"""),3.5931247E7)</f>
        <v>35931247</v>
      </c>
    </row>
    <row r="1157">
      <c r="A1157" s="2">
        <f>IFERROR(__xludf.DUMMYFUNCTION("""COMPUTED_VALUE"""),44610.66666666667)</f>
        <v>44610.66667</v>
      </c>
      <c r="B1157" s="1">
        <f>IFERROR(__xludf.DUMMYFUNCTION("""COMPUTED_VALUE"""),156.14)</f>
        <v>156.14</v>
      </c>
      <c r="C1157" s="1">
        <f>IFERROR(__xludf.DUMMYFUNCTION("""COMPUTED_VALUE"""),161.06)</f>
        <v>161.06</v>
      </c>
      <c r="D1157" s="1">
        <f>IFERROR(__xludf.DUMMYFUNCTION("""COMPUTED_VALUE"""),153.36)</f>
        <v>153.36</v>
      </c>
      <c r="E1157" s="1">
        <f>IFERROR(__xludf.DUMMYFUNCTION("""COMPUTED_VALUE"""),159.9)</f>
        <v>159.9</v>
      </c>
      <c r="F1157" s="1">
        <f>IFERROR(__xludf.DUMMYFUNCTION("""COMPUTED_VALUE"""),4.1435819E7)</f>
        <v>41435819</v>
      </c>
    </row>
    <row r="1158">
      <c r="A1158" s="2">
        <f>IFERROR(__xludf.DUMMYFUNCTION("""COMPUTED_VALUE"""),44617.66666666667)</f>
        <v>44617.66667</v>
      </c>
      <c r="B1158" s="1">
        <f>IFERROR(__xludf.DUMMYFUNCTION("""COMPUTED_VALUE"""),160.11)</f>
        <v>160.11</v>
      </c>
      <c r="C1158" s="1">
        <f>IFERROR(__xludf.DUMMYFUNCTION("""COMPUTED_VALUE"""),160.88)</f>
        <v>160.88</v>
      </c>
      <c r="D1158" s="1">
        <f>IFERROR(__xludf.DUMMYFUNCTION("""COMPUTED_VALUE"""),150.56)</f>
        <v>150.56</v>
      </c>
      <c r="E1158" s="1">
        <f>IFERROR(__xludf.DUMMYFUNCTION("""COMPUTED_VALUE"""),158.24)</f>
        <v>158.24</v>
      </c>
      <c r="F1158" s="1">
        <f>IFERROR(__xludf.DUMMYFUNCTION("""COMPUTED_VALUE"""),3.646462E7)</f>
        <v>36464620</v>
      </c>
    </row>
    <row r="1159">
      <c r="A1159" s="2">
        <f>IFERROR(__xludf.DUMMYFUNCTION("""COMPUTED_VALUE"""),44624.66666666667)</f>
        <v>44624.66667</v>
      </c>
      <c r="B1159" s="1">
        <f>IFERROR(__xludf.DUMMYFUNCTION("""COMPUTED_VALUE"""),156.29)</f>
        <v>156.29</v>
      </c>
      <c r="C1159" s="1">
        <f>IFERROR(__xludf.DUMMYFUNCTION("""COMPUTED_VALUE"""),157.19)</f>
        <v>157.19</v>
      </c>
      <c r="D1159" s="1">
        <f>IFERROR(__xludf.DUMMYFUNCTION("""COMPUTED_VALUE"""),152.34)</f>
        <v>152.34</v>
      </c>
      <c r="E1159" s="1">
        <f>IFERROR(__xludf.DUMMYFUNCTION("""COMPUTED_VALUE"""),155.14)</f>
        <v>155.14</v>
      </c>
      <c r="F1159" s="1">
        <f>IFERROR(__xludf.DUMMYFUNCTION("""COMPUTED_VALUE"""),3.9183402E7)</f>
        <v>39183402</v>
      </c>
    </row>
    <row r="1160">
      <c r="A1160" s="2">
        <f>IFERROR(__xludf.DUMMYFUNCTION("""COMPUTED_VALUE"""),44631.66666666667)</f>
        <v>44631.66667</v>
      </c>
      <c r="B1160" s="1">
        <f>IFERROR(__xludf.DUMMYFUNCTION("""COMPUTED_VALUE"""),154.49)</f>
        <v>154.49</v>
      </c>
      <c r="C1160" s="1">
        <f>IFERROR(__xludf.DUMMYFUNCTION("""COMPUTED_VALUE"""),154.52)</f>
        <v>154.52</v>
      </c>
      <c r="D1160" s="1">
        <f>IFERROR(__xludf.DUMMYFUNCTION("""COMPUTED_VALUE"""),143.03)</f>
        <v>143.03</v>
      </c>
      <c r="E1160" s="1">
        <f>IFERROR(__xludf.DUMMYFUNCTION("""COMPUTED_VALUE"""),143.22)</f>
        <v>143.22</v>
      </c>
      <c r="F1160" s="1">
        <f>IFERROR(__xludf.DUMMYFUNCTION("""COMPUTED_VALUE"""),4.1243073E7)</f>
        <v>41243073</v>
      </c>
    </row>
    <row r="1161">
      <c r="A1161" s="2">
        <f>IFERROR(__xludf.DUMMYFUNCTION("""COMPUTED_VALUE"""),44638.66666666667)</f>
        <v>44638.66667</v>
      </c>
      <c r="B1161" s="1">
        <f>IFERROR(__xludf.DUMMYFUNCTION("""COMPUTED_VALUE"""),144.45)</f>
        <v>144.45</v>
      </c>
      <c r="C1161" s="1">
        <f>IFERROR(__xludf.DUMMYFUNCTION("""COMPUTED_VALUE"""),151.79)</f>
        <v>151.79</v>
      </c>
      <c r="D1161" s="1">
        <f>IFERROR(__xludf.DUMMYFUNCTION("""COMPUTED_VALUE"""),143.35)</f>
        <v>143.35</v>
      </c>
      <c r="E1161" s="1">
        <f>IFERROR(__xludf.DUMMYFUNCTION("""COMPUTED_VALUE"""),150.15)</f>
        <v>150.15</v>
      </c>
      <c r="F1161" s="1">
        <f>IFERROR(__xludf.DUMMYFUNCTION("""COMPUTED_VALUE"""),4.6316268E7)</f>
        <v>46316268</v>
      </c>
    </row>
    <row r="1162">
      <c r="A1162" s="2">
        <f>IFERROR(__xludf.DUMMYFUNCTION("""COMPUTED_VALUE"""),44645.66666666667)</f>
        <v>44645.66667</v>
      </c>
      <c r="B1162" s="1">
        <f>IFERROR(__xludf.DUMMYFUNCTION("""COMPUTED_VALUE"""),150.44)</f>
        <v>150.44</v>
      </c>
      <c r="C1162" s="1">
        <f>IFERROR(__xludf.DUMMYFUNCTION("""COMPUTED_VALUE"""),153.92)</f>
        <v>153.92</v>
      </c>
      <c r="D1162" s="1">
        <f>IFERROR(__xludf.DUMMYFUNCTION("""COMPUTED_VALUE"""),149.24)</f>
        <v>149.24</v>
      </c>
      <c r="E1162" s="1">
        <f>IFERROR(__xludf.DUMMYFUNCTION("""COMPUTED_VALUE"""),152.83)</f>
        <v>152.83</v>
      </c>
      <c r="F1162" s="1">
        <f>IFERROR(__xludf.DUMMYFUNCTION("""COMPUTED_VALUE"""),2.90124E7)</f>
        <v>29012400</v>
      </c>
    </row>
    <row r="1163">
      <c r="A1163" s="2">
        <f>IFERROR(__xludf.DUMMYFUNCTION("""COMPUTED_VALUE"""),44652.66666666667)</f>
        <v>44652.66667</v>
      </c>
      <c r="B1163" s="1">
        <f>IFERROR(__xludf.DUMMYFUNCTION("""COMPUTED_VALUE"""),153.64)</f>
        <v>153.64</v>
      </c>
      <c r="C1163" s="1">
        <f>IFERROR(__xludf.DUMMYFUNCTION("""COMPUTED_VALUE"""),156.47)</f>
        <v>156.47</v>
      </c>
      <c r="D1163" s="1">
        <f>IFERROR(__xludf.DUMMYFUNCTION("""COMPUTED_VALUE"""),151.94)</f>
        <v>151.94</v>
      </c>
      <c r="E1163" s="1">
        <f>IFERROR(__xludf.DUMMYFUNCTION("""COMPUTED_VALUE"""),155.09)</f>
        <v>155.09</v>
      </c>
      <c r="F1163" s="1">
        <f>IFERROR(__xludf.DUMMYFUNCTION("""COMPUTED_VALUE"""),2.8938201E7)</f>
        <v>28938201</v>
      </c>
    </row>
    <row r="1164">
      <c r="A1164" s="2">
        <f>IFERROR(__xludf.DUMMYFUNCTION("""COMPUTED_VALUE"""),44659.66666666667)</f>
        <v>44659.66667</v>
      </c>
      <c r="B1164" s="1">
        <f>IFERROR(__xludf.DUMMYFUNCTION("""COMPUTED_VALUE"""),153.81)</f>
        <v>153.81</v>
      </c>
      <c r="C1164" s="1">
        <f>IFERROR(__xludf.DUMMYFUNCTION("""COMPUTED_VALUE"""),160.53)</f>
        <v>160.53</v>
      </c>
      <c r="D1164" s="1">
        <f>IFERROR(__xludf.DUMMYFUNCTION("""COMPUTED_VALUE"""),151.26)</f>
        <v>151.26</v>
      </c>
      <c r="E1164" s="1">
        <f>IFERROR(__xludf.DUMMYFUNCTION("""COMPUTED_VALUE"""),160.1)</f>
        <v>160.1</v>
      </c>
      <c r="F1164" s="1">
        <f>IFERROR(__xludf.DUMMYFUNCTION("""COMPUTED_VALUE"""),3.5464928E7)</f>
        <v>35464928</v>
      </c>
    </row>
    <row r="1165">
      <c r="A1165" s="2">
        <f>IFERROR(__xludf.DUMMYFUNCTION("""COMPUTED_VALUE"""),44665.66666666667)</f>
        <v>44665.66667</v>
      </c>
      <c r="B1165" s="1">
        <f>IFERROR(__xludf.DUMMYFUNCTION("""COMPUTED_VALUE"""),159.95)</f>
        <v>159.95</v>
      </c>
      <c r="C1165" s="1">
        <f>IFERROR(__xludf.DUMMYFUNCTION("""COMPUTED_VALUE"""),161.21)</f>
        <v>161.21</v>
      </c>
      <c r="D1165" s="1">
        <f>IFERROR(__xludf.DUMMYFUNCTION("""COMPUTED_VALUE"""),158.45)</f>
        <v>158.45</v>
      </c>
      <c r="E1165" s="1">
        <f>IFERROR(__xludf.DUMMYFUNCTION("""COMPUTED_VALUE"""),158.57)</f>
        <v>158.57</v>
      </c>
      <c r="F1165" s="1">
        <f>IFERROR(__xludf.DUMMYFUNCTION("""COMPUTED_VALUE"""),2.6434013E7)</f>
        <v>26434013</v>
      </c>
    </row>
    <row r="1166">
      <c r="A1166" s="2">
        <f>IFERROR(__xludf.DUMMYFUNCTION("""COMPUTED_VALUE"""),44673.66666666667)</f>
        <v>44673.66667</v>
      </c>
      <c r="B1166" s="1">
        <f>IFERROR(__xludf.DUMMYFUNCTION("""COMPUTED_VALUE"""),158.48)</f>
        <v>158.48</v>
      </c>
      <c r="C1166" s="1">
        <f>IFERROR(__xludf.DUMMYFUNCTION("""COMPUTED_VALUE"""),164.9)</f>
        <v>164.9</v>
      </c>
      <c r="D1166" s="1">
        <f>IFERROR(__xludf.DUMMYFUNCTION("""COMPUTED_VALUE"""),156.3)</f>
        <v>156.3</v>
      </c>
      <c r="E1166" s="1">
        <f>IFERROR(__xludf.DUMMYFUNCTION("""COMPUTED_VALUE"""),161.25)</f>
        <v>161.25</v>
      </c>
      <c r="F1166" s="1">
        <f>IFERROR(__xludf.DUMMYFUNCTION("""COMPUTED_VALUE"""),4.2888026E7)</f>
        <v>42888026</v>
      </c>
    </row>
    <row r="1167">
      <c r="A1167" s="2">
        <f>IFERROR(__xludf.DUMMYFUNCTION("""COMPUTED_VALUE"""),44680.66666666667)</f>
        <v>44680.66667</v>
      </c>
      <c r="B1167" s="1">
        <f>IFERROR(__xludf.DUMMYFUNCTION("""COMPUTED_VALUE"""),161.7)</f>
        <v>161.7</v>
      </c>
      <c r="C1167" s="1">
        <f>IFERROR(__xludf.DUMMYFUNCTION("""COMPUTED_VALUE"""),163.71)</f>
        <v>163.71</v>
      </c>
      <c r="D1167" s="1">
        <f>IFERROR(__xludf.DUMMYFUNCTION("""COMPUTED_VALUE"""),159.11)</f>
        <v>159.11</v>
      </c>
      <c r="E1167" s="1">
        <f>IFERROR(__xludf.DUMMYFUNCTION("""COMPUTED_VALUE"""),160.55)</f>
        <v>160.55</v>
      </c>
      <c r="F1167" s="1">
        <f>IFERROR(__xludf.DUMMYFUNCTION("""COMPUTED_VALUE"""),4.1456606E7)</f>
        <v>41456606</v>
      </c>
    </row>
    <row r="1168">
      <c r="A1168" s="2">
        <f>IFERROR(__xludf.DUMMYFUNCTION("""COMPUTED_VALUE"""),44687.66666666667)</f>
        <v>44687.66667</v>
      </c>
      <c r="B1168" s="1">
        <f>IFERROR(__xludf.DUMMYFUNCTION("""COMPUTED_VALUE"""),161.6)</f>
        <v>161.6</v>
      </c>
      <c r="C1168" s="1">
        <f>IFERROR(__xludf.DUMMYFUNCTION("""COMPUTED_VALUE"""),162.0)</f>
        <v>162</v>
      </c>
      <c r="D1168" s="1">
        <f>IFERROR(__xludf.DUMMYFUNCTION("""COMPUTED_VALUE"""),153.14)</f>
        <v>153.14</v>
      </c>
      <c r="E1168" s="1">
        <f>IFERROR(__xludf.DUMMYFUNCTION("""COMPUTED_VALUE"""),156.0)</f>
        <v>156</v>
      </c>
      <c r="F1168" s="1">
        <f>IFERROR(__xludf.DUMMYFUNCTION("""COMPUTED_VALUE"""),4.3988538E7)</f>
        <v>43988538</v>
      </c>
    </row>
    <row r="1169">
      <c r="A1169" s="2">
        <f>IFERROR(__xludf.DUMMYFUNCTION("""COMPUTED_VALUE"""),44694.66666666667)</f>
        <v>44694.66667</v>
      </c>
      <c r="B1169" s="1">
        <f>IFERROR(__xludf.DUMMYFUNCTION("""COMPUTED_VALUE"""),153.96)</f>
        <v>153.96</v>
      </c>
      <c r="C1169" s="1">
        <f>IFERROR(__xludf.DUMMYFUNCTION("""COMPUTED_VALUE"""),156.76)</f>
        <v>156.76</v>
      </c>
      <c r="D1169" s="1">
        <f>IFERROR(__xludf.DUMMYFUNCTION("""COMPUTED_VALUE"""),149.88)</f>
        <v>149.88</v>
      </c>
      <c r="E1169" s="1">
        <f>IFERROR(__xludf.DUMMYFUNCTION("""COMPUTED_VALUE"""),153.62)</f>
        <v>153.62</v>
      </c>
      <c r="F1169" s="1">
        <f>IFERROR(__xludf.DUMMYFUNCTION("""COMPUTED_VALUE"""),3.8956661E7)</f>
        <v>38956661</v>
      </c>
    </row>
    <row r="1170">
      <c r="A1170" s="2">
        <f>IFERROR(__xludf.DUMMYFUNCTION("""COMPUTED_VALUE"""),44701.66666666667)</f>
        <v>44701.66667</v>
      </c>
      <c r="B1170" s="1">
        <f>IFERROR(__xludf.DUMMYFUNCTION("""COMPUTED_VALUE"""),153.47)</f>
        <v>153.47</v>
      </c>
      <c r="C1170" s="1">
        <f>IFERROR(__xludf.DUMMYFUNCTION("""COMPUTED_VALUE"""),156.75)</f>
        <v>156.75</v>
      </c>
      <c r="D1170" s="1">
        <f>IFERROR(__xludf.DUMMYFUNCTION("""COMPUTED_VALUE"""),139.18)</f>
        <v>139.18</v>
      </c>
      <c r="E1170" s="1">
        <f>IFERROR(__xludf.DUMMYFUNCTION("""COMPUTED_VALUE"""),141.79)</f>
        <v>141.79</v>
      </c>
      <c r="F1170" s="1">
        <f>IFERROR(__xludf.DUMMYFUNCTION("""COMPUTED_VALUE"""),3.9631798E7)</f>
        <v>39631798</v>
      </c>
    </row>
    <row r="1171">
      <c r="A1171" s="2">
        <f>IFERROR(__xludf.DUMMYFUNCTION("""COMPUTED_VALUE"""),44708.66666666667)</f>
        <v>44708.66667</v>
      </c>
      <c r="B1171" s="1">
        <f>IFERROR(__xludf.DUMMYFUNCTION("""COMPUTED_VALUE"""),142.84)</f>
        <v>142.84</v>
      </c>
      <c r="C1171" s="1">
        <f>IFERROR(__xludf.DUMMYFUNCTION("""COMPUTED_VALUE"""),148.72)</f>
        <v>148.72</v>
      </c>
      <c r="D1171" s="1">
        <f>IFERROR(__xludf.DUMMYFUNCTION("""COMPUTED_VALUE"""),142.08)</f>
        <v>142.08</v>
      </c>
      <c r="E1171" s="1">
        <f>IFERROR(__xludf.DUMMYFUNCTION("""COMPUTED_VALUE"""),148.72)</f>
        <v>148.72</v>
      </c>
      <c r="F1171" s="1">
        <f>IFERROR(__xludf.DUMMYFUNCTION("""COMPUTED_VALUE"""),3.4291034E7)</f>
        <v>34291034</v>
      </c>
    </row>
    <row r="1172">
      <c r="A1172" s="2">
        <f>IFERROR(__xludf.DUMMYFUNCTION("""COMPUTED_VALUE"""),44715.66666666667)</f>
        <v>44715.66667</v>
      </c>
      <c r="B1172" s="1">
        <f>IFERROR(__xludf.DUMMYFUNCTION("""COMPUTED_VALUE"""),147.29)</f>
        <v>147.29</v>
      </c>
      <c r="C1172" s="1">
        <f>IFERROR(__xludf.DUMMYFUNCTION("""COMPUTED_VALUE"""),148.99)</f>
        <v>148.99</v>
      </c>
      <c r="D1172" s="1">
        <f>IFERROR(__xludf.DUMMYFUNCTION("""COMPUTED_VALUE"""),142.63)</f>
        <v>142.63</v>
      </c>
      <c r="E1172" s="1">
        <f>IFERROR(__xludf.DUMMYFUNCTION("""COMPUTED_VALUE"""),145.89)</f>
        <v>145.89</v>
      </c>
      <c r="F1172" s="1">
        <f>IFERROR(__xludf.DUMMYFUNCTION("""COMPUTED_VALUE"""),3.0653673E7)</f>
        <v>30653673</v>
      </c>
    </row>
    <row r="1173">
      <c r="A1173" s="2">
        <f>IFERROR(__xludf.DUMMYFUNCTION("""COMPUTED_VALUE"""),44722.66666666667)</f>
        <v>44722.66667</v>
      </c>
      <c r="B1173" s="1">
        <f>IFERROR(__xludf.DUMMYFUNCTION("""COMPUTED_VALUE"""),147.37)</f>
        <v>147.37</v>
      </c>
      <c r="C1173" s="1">
        <f>IFERROR(__xludf.DUMMYFUNCTION("""COMPUTED_VALUE"""),147.64)</f>
        <v>147.64</v>
      </c>
      <c r="D1173" s="1">
        <f>IFERROR(__xludf.DUMMYFUNCTION("""COMPUTED_VALUE"""),139.45)</f>
        <v>139.45</v>
      </c>
      <c r="E1173" s="1">
        <f>IFERROR(__xludf.DUMMYFUNCTION("""COMPUTED_VALUE"""),141.95)</f>
        <v>141.95</v>
      </c>
      <c r="F1173" s="1">
        <f>IFERROR(__xludf.DUMMYFUNCTION("""COMPUTED_VALUE"""),2.5298197E7)</f>
        <v>25298197</v>
      </c>
    </row>
    <row r="1174">
      <c r="A1174" s="2">
        <f>IFERROR(__xludf.DUMMYFUNCTION("""COMPUTED_VALUE"""),44729.66666666667)</f>
        <v>44729.66667</v>
      </c>
      <c r="B1174" s="1">
        <f>IFERROR(__xludf.DUMMYFUNCTION("""COMPUTED_VALUE"""),139.5)</f>
        <v>139.5</v>
      </c>
      <c r="C1174" s="1">
        <f>IFERROR(__xludf.DUMMYFUNCTION("""COMPUTED_VALUE"""),140.49)</f>
        <v>140.49</v>
      </c>
      <c r="D1174" s="1">
        <f>IFERROR(__xludf.DUMMYFUNCTION("""COMPUTED_VALUE"""),129.5)</f>
        <v>129.5</v>
      </c>
      <c r="E1174" s="1">
        <f>IFERROR(__xludf.DUMMYFUNCTION("""COMPUTED_VALUE"""),132.36)</f>
        <v>132.36</v>
      </c>
      <c r="F1174" s="1">
        <f>IFERROR(__xludf.DUMMYFUNCTION("""COMPUTED_VALUE"""),5.75043E7)</f>
        <v>57504300</v>
      </c>
    </row>
    <row r="1175">
      <c r="A1175" s="2">
        <f>IFERROR(__xludf.DUMMYFUNCTION("""COMPUTED_VALUE"""),44736.66666666667)</f>
        <v>44736.66667</v>
      </c>
      <c r="B1175" s="1">
        <f>IFERROR(__xludf.DUMMYFUNCTION("""COMPUTED_VALUE"""),134.62)</f>
        <v>134.62</v>
      </c>
      <c r="C1175" s="1">
        <f>IFERROR(__xludf.DUMMYFUNCTION("""COMPUTED_VALUE"""),145.24)</f>
        <v>145.24</v>
      </c>
      <c r="D1175" s="1">
        <f>IFERROR(__xludf.DUMMYFUNCTION("""COMPUTED_VALUE"""),133.43)</f>
        <v>133.43</v>
      </c>
      <c r="E1175" s="1">
        <f>IFERROR(__xludf.DUMMYFUNCTION("""COMPUTED_VALUE"""),144.35)</f>
        <v>144.35</v>
      </c>
      <c r="F1175" s="1">
        <f>IFERROR(__xludf.DUMMYFUNCTION("""COMPUTED_VALUE"""),4.3250799E7)</f>
        <v>43250799</v>
      </c>
    </row>
    <row r="1176">
      <c r="A1176" s="2">
        <f>IFERROR(__xludf.DUMMYFUNCTION("""COMPUTED_VALUE"""),44743.66666666667)</f>
        <v>44743.66667</v>
      </c>
      <c r="B1176" s="1">
        <f>IFERROR(__xludf.DUMMYFUNCTION("""COMPUTED_VALUE"""),144.12)</f>
        <v>144.12</v>
      </c>
      <c r="C1176" s="1">
        <f>IFERROR(__xludf.DUMMYFUNCTION("""COMPUTED_VALUE"""),146.25)</f>
        <v>146.25</v>
      </c>
      <c r="D1176" s="1">
        <f>IFERROR(__xludf.DUMMYFUNCTION("""COMPUTED_VALUE"""),140.58)</f>
        <v>140.58</v>
      </c>
      <c r="E1176" s="1">
        <f>IFERROR(__xludf.DUMMYFUNCTION("""COMPUTED_VALUE"""),146.11)</f>
        <v>146.11</v>
      </c>
      <c r="F1176" s="1">
        <f>IFERROR(__xludf.DUMMYFUNCTION("""COMPUTED_VALUE"""),3.0240895E7)</f>
        <v>30240895</v>
      </c>
    </row>
    <row r="1177">
      <c r="A1177" s="2">
        <f>IFERROR(__xludf.DUMMYFUNCTION("""COMPUTED_VALUE"""),44750.66666666667)</f>
        <v>44750.66667</v>
      </c>
      <c r="B1177" s="1">
        <f>IFERROR(__xludf.DUMMYFUNCTION("""COMPUTED_VALUE"""),144.58)</f>
        <v>144.58</v>
      </c>
      <c r="C1177" s="1">
        <f>IFERROR(__xludf.DUMMYFUNCTION("""COMPUTED_VALUE"""),147.49)</f>
        <v>147.49</v>
      </c>
      <c r="D1177" s="1">
        <f>IFERROR(__xludf.DUMMYFUNCTION("""COMPUTED_VALUE"""),142.54)</f>
        <v>142.54</v>
      </c>
      <c r="E1177" s="1">
        <f>IFERROR(__xludf.DUMMYFUNCTION("""COMPUTED_VALUE"""),145.02)</f>
        <v>145.02</v>
      </c>
      <c r="F1177" s="1">
        <f>IFERROR(__xludf.DUMMYFUNCTION("""COMPUTED_VALUE"""),2.2163926E7)</f>
        <v>22163926</v>
      </c>
    </row>
    <row r="1178">
      <c r="A1178" s="2">
        <f>IFERROR(__xludf.DUMMYFUNCTION("""COMPUTED_VALUE"""),44757.66666666667)</f>
        <v>44757.66667</v>
      </c>
      <c r="B1178" s="1">
        <f>IFERROR(__xludf.DUMMYFUNCTION("""COMPUTED_VALUE"""),145.15)</f>
        <v>145.15</v>
      </c>
      <c r="C1178" s="1">
        <f>IFERROR(__xludf.DUMMYFUNCTION("""COMPUTED_VALUE"""),146.96)</f>
        <v>146.96</v>
      </c>
      <c r="D1178" s="1">
        <f>IFERROR(__xludf.DUMMYFUNCTION("""COMPUTED_VALUE"""),143.47)</f>
        <v>143.47</v>
      </c>
      <c r="E1178" s="1">
        <f>IFERROR(__xludf.DUMMYFUNCTION("""COMPUTED_VALUE"""),145.07)</f>
        <v>145.07</v>
      </c>
      <c r="F1178" s="1">
        <f>IFERROR(__xludf.DUMMYFUNCTION("""COMPUTED_VALUE"""),2.6894965E7)</f>
        <v>26894965</v>
      </c>
    </row>
    <row r="1179">
      <c r="A1179" s="2">
        <f>IFERROR(__xludf.DUMMYFUNCTION("""COMPUTED_VALUE"""),44764.66666666667)</f>
        <v>44764.66667</v>
      </c>
      <c r="B1179" s="1">
        <f>IFERROR(__xludf.DUMMYFUNCTION("""COMPUTED_VALUE"""),144.94)</f>
        <v>144.94</v>
      </c>
      <c r="C1179" s="1">
        <f>IFERROR(__xludf.DUMMYFUNCTION("""COMPUTED_VALUE"""),145.09)</f>
        <v>145.09</v>
      </c>
      <c r="D1179" s="1">
        <f>IFERROR(__xludf.DUMMYFUNCTION("""COMPUTED_VALUE"""),138.95)</f>
        <v>138.95</v>
      </c>
      <c r="E1179" s="1">
        <f>IFERROR(__xludf.DUMMYFUNCTION("""COMPUTED_VALUE"""),143.02)</f>
        <v>143.02</v>
      </c>
      <c r="F1179" s="1">
        <f>IFERROR(__xludf.DUMMYFUNCTION("""COMPUTED_VALUE"""),3.4229487E7)</f>
        <v>34229487</v>
      </c>
    </row>
    <row r="1180">
      <c r="A1180" s="2">
        <f>IFERROR(__xludf.DUMMYFUNCTION("""COMPUTED_VALUE"""),44771.66666666667)</f>
        <v>44771.66667</v>
      </c>
      <c r="B1180" s="1">
        <f>IFERROR(__xludf.DUMMYFUNCTION("""COMPUTED_VALUE"""),142.8)</f>
        <v>142.8</v>
      </c>
      <c r="C1180" s="1">
        <f>IFERROR(__xludf.DUMMYFUNCTION("""COMPUTED_VALUE"""),148.61)</f>
        <v>148.61</v>
      </c>
      <c r="D1180" s="1">
        <f>IFERROR(__xludf.DUMMYFUNCTION("""COMPUTED_VALUE"""),138.23)</f>
        <v>138.23</v>
      </c>
      <c r="E1180" s="1">
        <f>IFERROR(__xludf.DUMMYFUNCTION("""COMPUTED_VALUE"""),138.91)</f>
        <v>138.91</v>
      </c>
      <c r="F1180" s="1">
        <f>IFERROR(__xludf.DUMMYFUNCTION("""COMPUTED_VALUE"""),4.1948269E7)</f>
        <v>41948269</v>
      </c>
    </row>
    <row r="1181">
      <c r="A1181" s="2">
        <f>IFERROR(__xludf.DUMMYFUNCTION("""COMPUTED_VALUE"""),44778.66666666667)</f>
        <v>44778.66667</v>
      </c>
      <c r="B1181" s="1">
        <f>IFERROR(__xludf.DUMMYFUNCTION("""COMPUTED_VALUE"""),138.34)</f>
        <v>138.34</v>
      </c>
      <c r="C1181" s="1">
        <f>IFERROR(__xludf.DUMMYFUNCTION("""COMPUTED_VALUE"""),146.46)</f>
        <v>146.46</v>
      </c>
      <c r="D1181" s="1">
        <f>IFERROR(__xludf.DUMMYFUNCTION("""COMPUTED_VALUE"""),138.27)</f>
        <v>138.27</v>
      </c>
      <c r="E1181" s="1">
        <f>IFERROR(__xludf.DUMMYFUNCTION("""COMPUTED_VALUE"""),144.72)</f>
        <v>144.72</v>
      </c>
      <c r="F1181" s="1">
        <f>IFERROR(__xludf.DUMMYFUNCTION("""COMPUTED_VALUE"""),3.7601651E7)</f>
        <v>37601651</v>
      </c>
    </row>
    <row r="1182">
      <c r="A1182" s="2">
        <f>IFERROR(__xludf.DUMMYFUNCTION("""COMPUTED_VALUE"""),44785.66666666667)</f>
        <v>44785.66667</v>
      </c>
      <c r="B1182" s="1">
        <f>IFERROR(__xludf.DUMMYFUNCTION("""COMPUTED_VALUE"""),145.03)</f>
        <v>145.03</v>
      </c>
      <c r="C1182" s="1">
        <f>IFERROR(__xludf.DUMMYFUNCTION("""COMPUTED_VALUE"""),147.29)</f>
        <v>147.29</v>
      </c>
      <c r="D1182" s="1">
        <f>IFERROR(__xludf.DUMMYFUNCTION("""COMPUTED_VALUE"""),144.49)</f>
        <v>144.49</v>
      </c>
      <c r="E1182" s="1">
        <f>IFERROR(__xludf.DUMMYFUNCTION("""COMPUTED_VALUE"""),146.67)</f>
        <v>146.67</v>
      </c>
      <c r="F1182" s="1">
        <f>IFERROR(__xludf.DUMMYFUNCTION("""COMPUTED_VALUE"""),2.4099109E7)</f>
        <v>24099109</v>
      </c>
    </row>
    <row r="1183">
      <c r="A1183" s="2">
        <f>IFERROR(__xludf.DUMMYFUNCTION("""COMPUTED_VALUE"""),44792.66666666667)</f>
        <v>44792.66667</v>
      </c>
      <c r="B1183" s="1">
        <f>IFERROR(__xludf.DUMMYFUNCTION("""COMPUTED_VALUE"""),146.87)</f>
        <v>146.87</v>
      </c>
      <c r="C1183" s="1">
        <f>IFERROR(__xludf.DUMMYFUNCTION("""COMPUTED_VALUE"""),150.63)</f>
        <v>150.63</v>
      </c>
      <c r="D1183" s="1">
        <f>IFERROR(__xludf.DUMMYFUNCTION("""COMPUTED_VALUE"""),146.75)</f>
        <v>146.75</v>
      </c>
      <c r="E1183" s="1">
        <f>IFERROR(__xludf.DUMMYFUNCTION("""COMPUTED_VALUE"""),149.73)</f>
        <v>149.73</v>
      </c>
      <c r="F1183" s="1">
        <f>IFERROR(__xludf.DUMMYFUNCTION("""COMPUTED_VALUE"""),2.8267378E7)</f>
        <v>28267378</v>
      </c>
    </row>
    <row r="1184">
      <c r="A1184" s="2">
        <f>IFERROR(__xludf.DUMMYFUNCTION("""COMPUTED_VALUE"""),44799.66666666667)</f>
        <v>44799.66667</v>
      </c>
      <c r="B1184" s="1">
        <f>IFERROR(__xludf.DUMMYFUNCTION("""COMPUTED_VALUE"""),148.98)</f>
        <v>148.98</v>
      </c>
      <c r="C1184" s="1">
        <f>IFERROR(__xludf.DUMMYFUNCTION("""COMPUTED_VALUE"""),150.13)</f>
        <v>150.13</v>
      </c>
      <c r="D1184" s="1">
        <f>IFERROR(__xludf.DUMMYFUNCTION("""COMPUTED_VALUE"""),142.02)</f>
        <v>142.02</v>
      </c>
      <c r="E1184" s="1">
        <f>IFERROR(__xludf.DUMMYFUNCTION("""COMPUTED_VALUE"""),142.29)</f>
        <v>142.29</v>
      </c>
      <c r="F1184" s="1">
        <f>IFERROR(__xludf.DUMMYFUNCTION("""COMPUTED_VALUE"""),2.873619E7)</f>
        <v>28736190</v>
      </c>
    </row>
    <row r="1185">
      <c r="A1185" s="2">
        <f>IFERROR(__xludf.DUMMYFUNCTION("""COMPUTED_VALUE"""),44806.66666666667)</f>
        <v>44806.66667</v>
      </c>
      <c r="B1185" s="1">
        <f>IFERROR(__xludf.DUMMYFUNCTION("""COMPUTED_VALUE"""),141.3)</f>
        <v>141.3</v>
      </c>
      <c r="C1185" s="1">
        <f>IFERROR(__xludf.DUMMYFUNCTION("""COMPUTED_VALUE"""),142.69)</f>
        <v>142.69</v>
      </c>
      <c r="D1185" s="1">
        <f>IFERROR(__xludf.DUMMYFUNCTION("""COMPUTED_VALUE"""),136.55)</f>
        <v>136.55</v>
      </c>
      <c r="E1185" s="1">
        <f>IFERROR(__xludf.DUMMYFUNCTION("""COMPUTED_VALUE"""),137.16)</f>
        <v>137.16</v>
      </c>
      <c r="F1185" s="1">
        <f>IFERROR(__xludf.DUMMYFUNCTION("""COMPUTED_VALUE"""),3.3407035E7)</f>
        <v>33407035</v>
      </c>
    </row>
    <row r="1186">
      <c r="A1186" s="2">
        <f>IFERROR(__xludf.DUMMYFUNCTION("""COMPUTED_VALUE"""),44813.66666666667)</f>
        <v>44813.66667</v>
      </c>
      <c r="B1186" s="1">
        <f>IFERROR(__xludf.DUMMYFUNCTION("""COMPUTED_VALUE"""),135.88)</f>
        <v>135.88</v>
      </c>
      <c r="C1186" s="1">
        <f>IFERROR(__xludf.DUMMYFUNCTION("""COMPUTED_VALUE"""),141.09)</f>
        <v>141.09</v>
      </c>
      <c r="D1186" s="1">
        <f>IFERROR(__xludf.DUMMYFUNCTION("""COMPUTED_VALUE"""),135.29)</f>
        <v>135.29</v>
      </c>
      <c r="E1186" s="1">
        <f>IFERROR(__xludf.DUMMYFUNCTION("""COMPUTED_VALUE"""),139.96)</f>
        <v>139.96</v>
      </c>
      <c r="F1186" s="1">
        <f>IFERROR(__xludf.DUMMYFUNCTION("""COMPUTED_VALUE"""),2.8641882E7)</f>
        <v>28641882</v>
      </c>
    </row>
    <row r="1187">
      <c r="A1187" s="2">
        <f>IFERROR(__xludf.DUMMYFUNCTION("""COMPUTED_VALUE"""),44820.66666666667)</f>
        <v>44820.66667</v>
      </c>
      <c r="B1187" s="1">
        <f>IFERROR(__xludf.DUMMYFUNCTION("""COMPUTED_VALUE"""),139.41)</f>
        <v>139.41</v>
      </c>
      <c r="C1187" s="1">
        <f>IFERROR(__xludf.DUMMYFUNCTION("""COMPUTED_VALUE"""),141.8)</f>
        <v>141.8</v>
      </c>
      <c r="D1187" s="1">
        <f>IFERROR(__xludf.DUMMYFUNCTION("""COMPUTED_VALUE"""),136.64)</f>
        <v>136.64</v>
      </c>
      <c r="E1187" s="1">
        <f>IFERROR(__xludf.DUMMYFUNCTION("""COMPUTED_VALUE"""),138.28)</f>
        <v>138.28</v>
      </c>
      <c r="F1187" s="1">
        <f>IFERROR(__xludf.DUMMYFUNCTION("""COMPUTED_VALUE"""),3.2949291E7)</f>
        <v>32949291</v>
      </c>
    </row>
    <row r="1188">
      <c r="A1188" s="2">
        <f>IFERROR(__xludf.DUMMYFUNCTION("""COMPUTED_VALUE"""),44827.66666666667)</f>
        <v>44827.66667</v>
      </c>
      <c r="B1188" s="1">
        <f>IFERROR(__xludf.DUMMYFUNCTION("""COMPUTED_VALUE"""),138.2)</f>
        <v>138.2</v>
      </c>
      <c r="C1188" s="1">
        <f>IFERROR(__xludf.DUMMYFUNCTION("""COMPUTED_VALUE"""),138.46)</f>
        <v>138.46</v>
      </c>
      <c r="D1188" s="1">
        <f>IFERROR(__xludf.DUMMYFUNCTION("""COMPUTED_VALUE"""),133.95)</f>
        <v>133.95</v>
      </c>
      <c r="E1188" s="1">
        <f>IFERROR(__xludf.DUMMYFUNCTION("""COMPUTED_VALUE"""),135.58)</f>
        <v>135.58</v>
      </c>
      <c r="F1188" s="1">
        <f>IFERROR(__xludf.DUMMYFUNCTION("""COMPUTED_VALUE"""),2.9645089E7)</f>
        <v>29645089</v>
      </c>
    </row>
    <row r="1189">
      <c r="A1189" s="2">
        <f>IFERROR(__xludf.DUMMYFUNCTION("""COMPUTED_VALUE"""),44834.66666666667)</f>
        <v>44834.66667</v>
      </c>
      <c r="B1189" s="1">
        <f>IFERROR(__xludf.DUMMYFUNCTION("""COMPUTED_VALUE"""),135.58)</f>
        <v>135.58</v>
      </c>
      <c r="C1189" s="1">
        <f>IFERROR(__xludf.DUMMYFUNCTION("""COMPUTED_VALUE"""),136.94)</f>
        <v>136.94</v>
      </c>
      <c r="D1189" s="1">
        <f>IFERROR(__xludf.DUMMYFUNCTION("""COMPUTED_VALUE"""),126.21)</f>
        <v>126.21</v>
      </c>
      <c r="E1189" s="1">
        <f>IFERROR(__xludf.DUMMYFUNCTION("""COMPUTED_VALUE"""),126.25)</f>
        <v>126.25</v>
      </c>
      <c r="F1189" s="1">
        <f>IFERROR(__xludf.DUMMYFUNCTION("""COMPUTED_VALUE"""),4.2134115E7)</f>
        <v>42134115</v>
      </c>
    </row>
    <row r="1190">
      <c r="A1190" s="2">
        <f>IFERROR(__xludf.DUMMYFUNCTION("""COMPUTED_VALUE"""),44841.66666666667)</f>
        <v>44841.66667</v>
      </c>
      <c r="B1190" s="1">
        <f>IFERROR(__xludf.DUMMYFUNCTION("""COMPUTED_VALUE"""),127.25)</f>
        <v>127.25</v>
      </c>
      <c r="C1190" s="1">
        <f>IFERROR(__xludf.DUMMYFUNCTION("""COMPUTED_VALUE"""),130.87)</f>
        <v>130.87</v>
      </c>
      <c r="D1190" s="1">
        <f>IFERROR(__xludf.DUMMYFUNCTION("""COMPUTED_VALUE"""),123.76)</f>
        <v>123.76</v>
      </c>
      <c r="E1190" s="1">
        <f>IFERROR(__xludf.DUMMYFUNCTION("""COMPUTED_VALUE"""),124.27)</f>
        <v>124.27</v>
      </c>
      <c r="F1190" s="1">
        <f>IFERROR(__xludf.DUMMYFUNCTION("""COMPUTED_VALUE"""),3.2386512E7)</f>
        <v>32386512</v>
      </c>
    </row>
    <row r="1191">
      <c r="A1191" s="2">
        <f>IFERROR(__xludf.DUMMYFUNCTION("""COMPUTED_VALUE"""),44848.66666666667)</f>
        <v>44848.66667</v>
      </c>
      <c r="B1191" s="1">
        <f>IFERROR(__xludf.DUMMYFUNCTION("""COMPUTED_VALUE"""),123.37)</f>
        <v>123.37</v>
      </c>
      <c r="C1191" s="1">
        <f>IFERROR(__xludf.DUMMYFUNCTION("""COMPUTED_VALUE"""),127.02)</f>
        <v>127.02</v>
      </c>
      <c r="D1191" s="1">
        <f>IFERROR(__xludf.DUMMYFUNCTION("""COMPUTED_VALUE"""),122.18)</f>
        <v>122.18</v>
      </c>
      <c r="E1191" s="1">
        <f>IFERROR(__xludf.DUMMYFUNCTION("""COMPUTED_VALUE"""),125.08)</f>
        <v>125.08</v>
      </c>
      <c r="F1191" s="1">
        <f>IFERROR(__xludf.DUMMYFUNCTION("""COMPUTED_VALUE"""),3.1694326E7)</f>
        <v>31694326</v>
      </c>
    </row>
    <row r="1192">
      <c r="A1192" s="2">
        <f>IFERROR(__xludf.DUMMYFUNCTION("""COMPUTED_VALUE"""),44855.66666666667)</f>
        <v>44855.66667</v>
      </c>
      <c r="B1192" s="1">
        <f>IFERROR(__xludf.DUMMYFUNCTION("""COMPUTED_VALUE"""),126.01)</f>
        <v>126.01</v>
      </c>
      <c r="C1192" s="1">
        <f>IFERROR(__xludf.DUMMYFUNCTION("""COMPUTED_VALUE"""),133.0)</f>
        <v>133</v>
      </c>
      <c r="D1192" s="1">
        <f>IFERROR(__xludf.DUMMYFUNCTION("""COMPUTED_VALUE"""),125.86)</f>
        <v>125.86</v>
      </c>
      <c r="E1192" s="1">
        <f>IFERROR(__xludf.DUMMYFUNCTION("""COMPUTED_VALUE"""),128.58)</f>
        <v>128.58</v>
      </c>
      <c r="F1192" s="1">
        <f>IFERROR(__xludf.DUMMYFUNCTION("""COMPUTED_VALUE"""),3.8335009E7)</f>
        <v>38335009</v>
      </c>
    </row>
    <row r="1193">
      <c r="A1193" s="2">
        <f>IFERROR(__xludf.DUMMYFUNCTION("""COMPUTED_VALUE"""),44862.66666666667)</f>
        <v>44862.66667</v>
      </c>
      <c r="B1193" s="1">
        <f>IFERROR(__xludf.DUMMYFUNCTION("""COMPUTED_VALUE"""),129.49)</f>
        <v>129.49</v>
      </c>
      <c r="C1193" s="1">
        <f>IFERROR(__xludf.DUMMYFUNCTION("""COMPUTED_VALUE"""),135.51)</f>
        <v>135.51</v>
      </c>
      <c r="D1193" s="1">
        <f>IFERROR(__xludf.DUMMYFUNCTION("""COMPUTED_VALUE"""),128.35)</f>
        <v>128.35</v>
      </c>
      <c r="E1193" s="1">
        <f>IFERROR(__xludf.DUMMYFUNCTION("""COMPUTED_VALUE"""),135.22)</f>
        <v>135.22</v>
      </c>
      <c r="F1193" s="1">
        <f>IFERROR(__xludf.DUMMYFUNCTION("""COMPUTED_VALUE"""),3.4008818E7)</f>
        <v>34008818</v>
      </c>
    </row>
    <row r="1194">
      <c r="A1194" s="2">
        <f>IFERROR(__xludf.DUMMYFUNCTION("""COMPUTED_VALUE"""),44869.66666666667)</f>
        <v>44869.66667</v>
      </c>
      <c r="B1194" s="1">
        <f>IFERROR(__xludf.DUMMYFUNCTION("""COMPUTED_VALUE"""),135.2)</f>
        <v>135.2</v>
      </c>
      <c r="C1194" s="1">
        <f>IFERROR(__xludf.DUMMYFUNCTION("""COMPUTED_VALUE"""),136.54)</f>
        <v>136.54</v>
      </c>
      <c r="D1194" s="1">
        <f>IFERROR(__xludf.DUMMYFUNCTION("""COMPUTED_VALUE"""),130.96)</f>
        <v>130.96</v>
      </c>
      <c r="E1194" s="1">
        <f>IFERROR(__xludf.DUMMYFUNCTION("""COMPUTED_VALUE"""),134.44)</f>
        <v>134.44</v>
      </c>
      <c r="F1194" s="1">
        <f>IFERROR(__xludf.DUMMYFUNCTION("""COMPUTED_VALUE"""),3.2861143E7)</f>
        <v>32861143</v>
      </c>
    </row>
    <row r="1195">
      <c r="A1195" s="2">
        <f>IFERROR(__xludf.DUMMYFUNCTION("""COMPUTED_VALUE"""),44876.66666666667)</f>
        <v>44876.66667</v>
      </c>
      <c r="B1195" s="1">
        <f>IFERROR(__xludf.DUMMYFUNCTION("""COMPUTED_VALUE"""),135.35)</f>
        <v>135.35</v>
      </c>
      <c r="C1195" s="1">
        <f>IFERROR(__xludf.DUMMYFUNCTION("""COMPUTED_VALUE"""),141.63)</f>
        <v>141.63</v>
      </c>
      <c r="D1195" s="1">
        <f>IFERROR(__xludf.DUMMYFUNCTION("""COMPUTED_VALUE"""),135.06)</f>
        <v>135.06</v>
      </c>
      <c r="E1195" s="1">
        <f>IFERROR(__xludf.DUMMYFUNCTION("""COMPUTED_VALUE"""),140.97)</f>
        <v>140.97</v>
      </c>
      <c r="F1195" s="1">
        <f>IFERROR(__xludf.DUMMYFUNCTION("""COMPUTED_VALUE"""),3.2947993E7)</f>
        <v>32947993</v>
      </c>
    </row>
    <row r="1196">
      <c r="A1196" s="2">
        <f>IFERROR(__xludf.DUMMYFUNCTION("""COMPUTED_VALUE"""),44883.66666666667)</f>
        <v>44883.66667</v>
      </c>
      <c r="B1196" s="1">
        <f>IFERROR(__xludf.DUMMYFUNCTION("""COMPUTED_VALUE"""),140.51)</f>
        <v>140.51</v>
      </c>
      <c r="C1196" s="1">
        <f>IFERROR(__xludf.DUMMYFUNCTION("""COMPUTED_VALUE"""),143.56)</f>
        <v>143.56</v>
      </c>
      <c r="D1196" s="1">
        <f>IFERROR(__xludf.DUMMYFUNCTION("""COMPUTED_VALUE"""),139.7)</f>
        <v>139.7</v>
      </c>
      <c r="E1196" s="1">
        <f>IFERROR(__xludf.DUMMYFUNCTION("""COMPUTED_VALUE"""),142.57)</f>
        <v>142.57</v>
      </c>
      <c r="F1196" s="1">
        <f>IFERROR(__xludf.DUMMYFUNCTION("""COMPUTED_VALUE"""),3.3303438E7)</f>
        <v>33303438</v>
      </c>
    </row>
    <row r="1197">
      <c r="A1197" s="2">
        <f>IFERROR(__xludf.DUMMYFUNCTION("""COMPUTED_VALUE"""),44890.54166666667)</f>
        <v>44890.54167</v>
      </c>
      <c r="B1197" s="1">
        <f>IFERROR(__xludf.DUMMYFUNCTION("""COMPUTED_VALUE"""),143.06)</f>
        <v>143.06</v>
      </c>
      <c r="C1197" s="1">
        <f>IFERROR(__xludf.DUMMYFUNCTION("""COMPUTED_VALUE"""),147.2)</f>
        <v>147.2</v>
      </c>
      <c r="D1197" s="1">
        <f>IFERROR(__xludf.DUMMYFUNCTION("""COMPUTED_VALUE"""),142.83)</f>
        <v>142.83</v>
      </c>
      <c r="E1197" s="1">
        <f>IFERROR(__xludf.DUMMYFUNCTION("""COMPUTED_VALUE"""),146.72)</f>
        <v>146.72</v>
      </c>
      <c r="F1197" s="1">
        <f>IFERROR(__xludf.DUMMYFUNCTION("""COMPUTED_VALUE"""),1.8457199E7)</f>
        <v>18457199</v>
      </c>
    </row>
    <row r="1198">
      <c r="A1198" s="2">
        <f>IFERROR(__xludf.DUMMYFUNCTION("""COMPUTED_VALUE"""),44897.66666666667)</f>
        <v>44897.66667</v>
      </c>
      <c r="B1198" s="1">
        <f>IFERROR(__xludf.DUMMYFUNCTION("""COMPUTED_VALUE"""),146.39)</f>
        <v>146.39</v>
      </c>
      <c r="C1198" s="1">
        <f>IFERROR(__xludf.DUMMYFUNCTION("""COMPUTED_VALUE"""),150.77)</f>
        <v>150.77</v>
      </c>
      <c r="D1198" s="1">
        <f>IFERROR(__xludf.DUMMYFUNCTION("""COMPUTED_VALUE"""),144.53)</f>
        <v>144.53</v>
      </c>
      <c r="E1198" s="1">
        <f>IFERROR(__xludf.DUMMYFUNCTION("""COMPUTED_VALUE"""),150.61)</f>
        <v>150.61</v>
      </c>
      <c r="F1198" s="1">
        <f>IFERROR(__xludf.DUMMYFUNCTION("""COMPUTED_VALUE"""),3.6524969E7)</f>
        <v>36524969</v>
      </c>
    </row>
    <row r="1199">
      <c r="A1199" s="2">
        <f>IFERROR(__xludf.DUMMYFUNCTION("""COMPUTED_VALUE"""),44904.66666666667)</f>
        <v>44904.66667</v>
      </c>
      <c r="B1199" s="1">
        <f>IFERROR(__xludf.DUMMYFUNCTION("""COMPUTED_VALUE"""),148.71)</f>
        <v>148.71</v>
      </c>
      <c r="C1199" s="1">
        <f>IFERROR(__xludf.DUMMYFUNCTION("""COMPUTED_VALUE"""),151.95)</f>
        <v>151.95</v>
      </c>
      <c r="D1199" s="1">
        <f>IFERROR(__xludf.DUMMYFUNCTION("""COMPUTED_VALUE"""),148.27)</f>
        <v>148.27</v>
      </c>
      <c r="E1199" s="1">
        <f>IFERROR(__xludf.DUMMYFUNCTION("""COMPUTED_VALUE"""),150.92)</f>
        <v>150.92</v>
      </c>
      <c r="F1199" s="1">
        <f>IFERROR(__xludf.DUMMYFUNCTION("""COMPUTED_VALUE"""),2.9500019E7)</f>
        <v>29500019</v>
      </c>
    </row>
    <row r="1200">
      <c r="A1200" s="2">
        <f>IFERROR(__xludf.DUMMYFUNCTION("""COMPUTED_VALUE"""),44911.66666666667)</f>
        <v>44911.66667</v>
      </c>
      <c r="B1200" s="1">
        <f>IFERROR(__xludf.DUMMYFUNCTION("""COMPUTED_VALUE"""),151.22)</f>
        <v>151.22</v>
      </c>
      <c r="C1200" s="1">
        <f>IFERROR(__xludf.DUMMYFUNCTION("""COMPUTED_VALUE"""),154.44)</f>
        <v>154.44</v>
      </c>
      <c r="D1200" s="1">
        <f>IFERROR(__xludf.DUMMYFUNCTION("""COMPUTED_VALUE"""),149.02)</f>
        <v>149.02</v>
      </c>
      <c r="E1200" s="1">
        <f>IFERROR(__xludf.DUMMYFUNCTION("""COMPUTED_VALUE"""),150.44)</f>
        <v>150.44</v>
      </c>
      <c r="F1200" s="1">
        <f>IFERROR(__xludf.DUMMYFUNCTION("""COMPUTED_VALUE"""),4.8292881E7)</f>
        <v>48292881</v>
      </c>
    </row>
    <row r="1201">
      <c r="A1201" s="2">
        <f>IFERROR(__xludf.DUMMYFUNCTION("""COMPUTED_VALUE"""),44918.66666666667)</f>
        <v>44918.66667</v>
      </c>
      <c r="B1201" s="1">
        <f>IFERROR(__xludf.DUMMYFUNCTION("""COMPUTED_VALUE"""),150.22)</f>
        <v>150.22</v>
      </c>
      <c r="C1201" s="1">
        <f>IFERROR(__xludf.DUMMYFUNCTION("""COMPUTED_VALUE"""),152.92)</f>
        <v>152.92</v>
      </c>
      <c r="D1201" s="1">
        <f>IFERROR(__xludf.DUMMYFUNCTION("""COMPUTED_VALUE"""),149.24)</f>
        <v>149.24</v>
      </c>
      <c r="E1201" s="1">
        <f>IFERROR(__xludf.DUMMYFUNCTION("""COMPUTED_VALUE"""),152.62)</f>
        <v>152.62</v>
      </c>
      <c r="F1201" s="1">
        <f>IFERROR(__xludf.DUMMYFUNCTION("""COMPUTED_VALUE"""),2.5860576E7)</f>
        <v>25860576</v>
      </c>
    </row>
    <row r="1202">
      <c r="A1202" s="2">
        <f>IFERROR(__xludf.DUMMYFUNCTION("""COMPUTED_VALUE"""),44925.66666666667)</f>
        <v>44925.66667</v>
      </c>
      <c r="B1202" s="1">
        <f>IFERROR(__xludf.DUMMYFUNCTION("""COMPUTED_VALUE"""),152.7)</f>
        <v>152.7</v>
      </c>
      <c r="C1202" s="1">
        <f>IFERROR(__xludf.DUMMYFUNCTION("""COMPUTED_VALUE"""),154.65)</f>
        <v>154.65</v>
      </c>
      <c r="D1202" s="1">
        <f>IFERROR(__xludf.DUMMYFUNCTION("""COMPUTED_VALUE"""),150.44)</f>
        <v>150.44</v>
      </c>
      <c r="E1202" s="1">
        <f>IFERROR(__xludf.DUMMYFUNCTION("""COMPUTED_VALUE"""),151.56)</f>
        <v>151.56</v>
      </c>
      <c r="F1202" s="1">
        <f>IFERROR(__xludf.DUMMYFUNCTION("""COMPUTED_VALUE"""),1.6753905E7)</f>
        <v>16753905</v>
      </c>
    </row>
    <row r="1203">
      <c r="A1203" s="2">
        <f>IFERROR(__xludf.DUMMYFUNCTION("""COMPUTED_VALUE"""),44932.66666666667)</f>
        <v>44932.66667</v>
      </c>
      <c r="B1203" s="1">
        <f>IFERROR(__xludf.DUMMYFUNCTION("""COMPUTED_VALUE"""),150.95)</f>
        <v>150.95</v>
      </c>
      <c r="C1203" s="1">
        <f>IFERROR(__xludf.DUMMYFUNCTION("""COMPUTED_VALUE"""),154.46)</f>
        <v>154.46</v>
      </c>
      <c r="D1203" s="1">
        <f>IFERROR(__xludf.DUMMYFUNCTION("""COMPUTED_VALUE"""),149.12)</f>
        <v>149.12</v>
      </c>
      <c r="E1203" s="1">
        <f>IFERROR(__xludf.DUMMYFUNCTION("""COMPUTED_VALUE"""),153.92)</f>
        <v>153.92</v>
      </c>
      <c r="F1203" s="1">
        <f>IFERROR(__xludf.DUMMYFUNCTION("""COMPUTED_VALUE"""),2.701692E7)</f>
        <v>27016920</v>
      </c>
    </row>
    <row r="1204">
      <c r="A1204" s="2">
        <f>IFERROR(__xludf.DUMMYFUNCTION("""COMPUTED_VALUE"""),44939.66666666667)</f>
        <v>44939.66667</v>
      </c>
      <c r="B1204" s="1">
        <f>IFERROR(__xludf.DUMMYFUNCTION("""COMPUTED_VALUE"""),153.44)</f>
        <v>153.44</v>
      </c>
      <c r="C1204" s="1">
        <f>IFERROR(__xludf.DUMMYFUNCTION("""COMPUTED_VALUE"""),154.8)</f>
        <v>154.8</v>
      </c>
      <c r="D1204" s="1">
        <f>IFERROR(__xludf.DUMMYFUNCTION("""COMPUTED_VALUE"""),149.35)</f>
        <v>149.35</v>
      </c>
      <c r="E1204" s="1">
        <f>IFERROR(__xludf.DUMMYFUNCTION("""COMPUTED_VALUE"""),150.88)</f>
        <v>150.88</v>
      </c>
      <c r="F1204" s="1">
        <f>IFERROR(__xludf.DUMMYFUNCTION("""COMPUTED_VALUE"""),3.2472327E7)</f>
        <v>32472327</v>
      </c>
    </row>
    <row r="1205">
      <c r="A1205" s="2">
        <f>IFERROR(__xludf.DUMMYFUNCTION("""COMPUTED_VALUE"""),44946.66666666667)</f>
        <v>44946.66667</v>
      </c>
      <c r="B1205" s="1">
        <f>IFERROR(__xludf.DUMMYFUNCTION("""COMPUTED_VALUE"""),150.79)</f>
        <v>150.79</v>
      </c>
      <c r="C1205" s="1">
        <f>IFERROR(__xludf.DUMMYFUNCTION("""COMPUTED_VALUE"""),152.13)</f>
        <v>152.13</v>
      </c>
      <c r="D1205" s="1">
        <f>IFERROR(__xludf.DUMMYFUNCTION("""COMPUTED_VALUE"""),140.15)</f>
        <v>140.15</v>
      </c>
      <c r="E1205" s="1">
        <f>IFERROR(__xludf.DUMMYFUNCTION("""COMPUTED_VALUE"""),142.97)</f>
        <v>142.97</v>
      </c>
      <c r="F1205" s="1">
        <f>IFERROR(__xludf.DUMMYFUNCTION("""COMPUTED_VALUE"""),4.1360089E7)</f>
        <v>41360089</v>
      </c>
    </row>
    <row r="1206">
      <c r="A1206" s="2">
        <f>IFERROR(__xludf.DUMMYFUNCTION("""COMPUTED_VALUE"""),44953.66666666667)</f>
        <v>44953.66667</v>
      </c>
      <c r="B1206" s="1">
        <f>IFERROR(__xludf.DUMMYFUNCTION("""COMPUTED_VALUE"""),143.36)</f>
        <v>143.36</v>
      </c>
      <c r="C1206" s="1">
        <f>IFERROR(__xludf.DUMMYFUNCTION("""COMPUTED_VALUE"""),143.7)</f>
        <v>143.7</v>
      </c>
      <c r="D1206" s="1">
        <f>IFERROR(__xludf.DUMMYFUNCTION("""COMPUTED_VALUE"""),138.73)</f>
        <v>138.73</v>
      </c>
      <c r="E1206" s="1">
        <f>IFERROR(__xludf.DUMMYFUNCTION("""COMPUTED_VALUE"""),140.57)</f>
        <v>140.57</v>
      </c>
      <c r="F1206" s="1">
        <f>IFERROR(__xludf.DUMMYFUNCTION("""COMPUTED_VALUE"""),3.3467685E7)</f>
        <v>33467685</v>
      </c>
    </row>
    <row r="1207">
      <c r="A1207" s="2">
        <f>IFERROR(__xludf.DUMMYFUNCTION("""COMPUTED_VALUE"""),44960.66666666667)</f>
        <v>44960.66667</v>
      </c>
      <c r="B1207" s="1">
        <f>IFERROR(__xludf.DUMMYFUNCTION("""COMPUTED_VALUE"""),140.96)</f>
        <v>140.96</v>
      </c>
      <c r="C1207" s="1">
        <f>IFERROR(__xludf.DUMMYFUNCTION("""COMPUTED_VALUE"""),144.1)</f>
        <v>144.1</v>
      </c>
      <c r="D1207" s="1">
        <f>IFERROR(__xludf.DUMMYFUNCTION("""COMPUTED_VALUE"""),140.28)</f>
        <v>140.28</v>
      </c>
      <c r="E1207" s="1">
        <f>IFERROR(__xludf.DUMMYFUNCTION("""COMPUTED_VALUE"""),142.61)</f>
        <v>142.61</v>
      </c>
      <c r="F1207" s="1">
        <f>IFERROR(__xludf.DUMMYFUNCTION("""COMPUTED_VALUE"""),3.5388176E7)</f>
        <v>35388176</v>
      </c>
    </row>
    <row r="1208">
      <c r="A1208" s="2">
        <f>IFERROR(__xludf.DUMMYFUNCTION("""COMPUTED_VALUE"""),44967.66666666667)</f>
        <v>44967.66667</v>
      </c>
      <c r="B1208" s="1">
        <f>IFERROR(__xludf.DUMMYFUNCTION("""COMPUTED_VALUE"""),142.01)</f>
        <v>142.01</v>
      </c>
      <c r="C1208" s="1">
        <f>IFERROR(__xludf.DUMMYFUNCTION("""COMPUTED_VALUE"""),142.64)</f>
        <v>142.64</v>
      </c>
      <c r="D1208" s="1">
        <f>IFERROR(__xludf.DUMMYFUNCTION("""COMPUTED_VALUE"""),135.83)</f>
        <v>135.83</v>
      </c>
      <c r="E1208" s="1">
        <f>IFERROR(__xludf.DUMMYFUNCTION("""COMPUTED_VALUE"""),138.26)</f>
        <v>138.26</v>
      </c>
      <c r="F1208" s="1">
        <f>IFERROR(__xludf.DUMMYFUNCTION("""COMPUTED_VALUE"""),3.4166931E7)</f>
        <v>34166931</v>
      </c>
    </row>
    <row r="1209">
      <c r="A1209" s="2">
        <f>IFERROR(__xludf.DUMMYFUNCTION("""COMPUTED_VALUE"""),44974.66666666667)</f>
        <v>44974.66667</v>
      </c>
      <c r="B1209" s="1">
        <f>IFERROR(__xludf.DUMMYFUNCTION("""COMPUTED_VALUE"""),138.94)</f>
        <v>138.94</v>
      </c>
      <c r="C1209" s="1">
        <f>IFERROR(__xludf.DUMMYFUNCTION("""COMPUTED_VALUE"""),140.45)</f>
        <v>140.45</v>
      </c>
      <c r="D1209" s="1">
        <f>IFERROR(__xludf.DUMMYFUNCTION("""COMPUTED_VALUE"""),136.55)</f>
        <v>136.55</v>
      </c>
      <c r="E1209" s="1">
        <f>IFERROR(__xludf.DUMMYFUNCTION("""COMPUTED_VALUE"""),140.01)</f>
        <v>140.01</v>
      </c>
      <c r="F1209" s="1">
        <f>IFERROR(__xludf.DUMMYFUNCTION("""COMPUTED_VALUE"""),3.1496171E7)</f>
        <v>31496171</v>
      </c>
    </row>
    <row r="1210">
      <c r="A1210" s="2">
        <f>IFERROR(__xludf.DUMMYFUNCTION("""COMPUTED_VALUE"""),44981.66666666667)</f>
        <v>44981.66667</v>
      </c>
      <c r="B1210" s="1">
        <f>IFERROR(__xludf.DUMMYFUNCTION("""COMPUTED_VALUE"""),138.87)</f>
        <v>138.87</v>
      </c>
      <c r="C1210" s="1">
        <f>IFERROR(__xludf.DUMMYFUNCTION("""COMPUTED_VALUE"""),141.58)</f>
        <v>141.58</v>
      </c>
      <c r="D1210" s="1">
        <f>IFERROR(__xludf.DUMMYFUNCTION("""COMPUTED_VALUE"""),138.08)</f>
        <v>138.08</v>
      </c>
      <c r="E1210" s="1">
        <f>IFERROR(__xludf.DUMMYFUNCTION("""COMPUTED_VALUE"""),139.26)</f>
        <v>139.26</v>
      </c>
      <c r="F1210" s="1">
        <f>IFERROR(__xludf.DUMMYFUNCTION("""COMPUTED_VALUE"""),2.4122008E7)</f>
        <v>24122008</v>
      </c>
    </row>
    <row r="1211">
      <c r="A1211" s="2">
        <f>IFERROR(__xludf.DUMMYFUNCTION("""COMPUTED_VALUE"""),44988.66666666667)</f>
        <v>44988.66667</v>
      </c>
      <c r="B1211" s="1">
        <f>IFERROR(__xludf.DUMMYFUNCTION("""COMPUTED_VALUE"""),139.61)</f>
        <v>139.61</v>
      </c>
      <c r="C1211" s="1">
        <f>IFERROR(__xludf.DUMMYFUNCTION("""COMPUTED_VALUE"""),141.24)</f>
        <v>141.24</v>
      </c>
      <c r="D1211" s="1">
        <f>IFERROR(__xludf.DUMMYFUNCTION("""COMPUTED_VALUE"""),136.51)</f>
        <v>136.51</v>
      </c>
      <c r="E1211" s="1">
        <f>IFERROR(__xludf.DUMMYFUNCTION("""COMPUTED_VALUE"""),140.95)</f>
        <v>140.95</v>
      </c>
      <c r="F1211" s="1">
        <f>IFERROR(__xludf.DUMMYFUNCTION("""COMPUTED_VALUE"""),3.0817207E7)</f>
        <v>30817207</v>
      </c>
    </row>
    <row r="1212">
      <c r="A1212" s="2">
        <f>IFERROR(__xludf.DUMMYFUNCTION("""COMPUTED_VALUE"""),44995.66666666667)</f>
        <v>44995.66667</v>
      </c>
      <c r="B1212" s="1">
        <f>IFERROR(__xludf.DUMMYFUNCTION("""COMPUTED_VALUE"""),140.73)</f>
        <v>140.73</v>
      </c>
      <c r="C1212" s="1">
        <f>IFERROR(__xludf.DUMMYFUNCTION("""COMPUTED_VALUE"""),141.14)</f>
        <v>141.14</v>
      </c>
      <c r="D1212" s="1">
        <f>IFERROR(__xludf.DUMMYFUNCTION("""COMPUTED_VALUE"""),136.1)</f>
        <v>136.1</v>
      </c>
      <c r="E1212" s="1">
        <f>IFERROR(__xludf.DUMMYFUNCTION("""COMPUTED_VALUE"""),137.19)</f>
        <v>137.19</v>
      </c>
      <c r="F1212" s="1">
        <f>IFERROR(__xludf.DUMMYFUNCTION("""COMPUTED_VALUE"""),2.6464086E7)</f>
        <v>26464086</v>
      </c>
    </row>
    <row r="1213">
      <c r="A1213" s="2">
        <f>IFERROR(__xludf.DUMMYFUNCTION("""COMPUTED_VALUE"""),45002.66666666667)</f>
        <v>45002.66667</v>
      </c>
      <c r="B1213" s="1">
        <f>IFERROR(__xludf.DUMMYFUNCTION("""COMPUTED_VALUE"""),137.04)</f>
        <v>137.04</v>
      </c>
      <c r="C1213" s="1">
        <f>IFERROR(__xludf.DUMMYFUNCTION("""COMPUTED_VALUE"""),143.39)</f>
        <v>143.39</v>
      </c>
      <c r="D1213" s="1">
        <f>IFERROR(__xludf.DUMMYFUNCTION("""COMPUTED_VALUE"""),137.04)</f>
        <v>137.04</v>
      </c>
      <c r="E1213" s="1">
        <f>IFERROR(__xludf.DUMMYFUNCTION("""COMPUTED_VALUE"""),142.93)</f>
        <v>142.93</v>
      </c>
      <c r="F1213" s="1">
        <f>IFERROR(__xludf.DUMMYFUNCTION("""COMPUTED_VALUE"""),4.9462648E7)</f>
        <v>49462648</v>
      </c>
    </row>
    <row r="1214">
      <c r="A1214" s="2">
        <f>IFERROR(__xludf.DUMMYFUNCTION("""COMPUTED_VALUE"""),45009.66666666667)</f>
        <v>45009.66667</v>
      </c>
      <c r="B1214" s="1">
        <f>IFERROR(__xludf.DUMMYFUNCTION("""COMPUTED_VALUE"""),143.5)</f>
        <v>143.5</v>
      </c>
      <c r="C1214" s="1">
        <f>IFERROR(__xludf.DUMMYFUNCTION("""COMPUTED_VALUE"""),146.76)</f>
        <v>146.76</v>
      </c>
      <c r="D1214" s="1">
        <f>IFERROR(__xludf.DUMMYFUNCTION("""COMPUTED_VALUE"""),142.84)</f>
        <v>142.84</v>
      </c>
      <c r="E1214" s="1">
        <f>IFERROR(__xludf.DUMMYFUNCTION("""COMPUTED_VALUE"""),146.72)</f>
        <v>146.72</v>
      </c>
      <c r="F1214" s="1">
        <f>IFERROR(__xludf.DUMMYFUNCTION("""COMPUTED_VALUE"""),3.3795627E7)</f>
        <v>33795627</v>
      </c>
    </row>
    <row r="1215">
      <c r="A1215" s="2">
        <f>IFERROR(__xludf.DUMMYFUNCTION("""COMPUTED_VALUE"""),45016.66666666667)</f>
        <v>45016.66667</v>
      </c>
      <c r="B1215" s="1">
        <f>IFERROR(__xludf.DUMMYFUNCTION("""COMPUTED_VALUE"""),146.89)</f>
        <v>146.89</v>
      </c>
      <c r="C1215" s="1">
        <f>IFERROR(__xludf.DUMMYFUNCTION("""COMPUTED_VALUE"""),148.69)</f>
        <v>148.69</v>
      </c>
      <c r="D1215" s="1">
        <f>IFERROR(__xludf.DUMMYFUNCTION("""COMPUTED_VALUE"""),145.8)</f>
        <v>145.8</v>
      </c>
      <c r="E1215" s="1">
        <f>IFERROR(__xludf.DUMMYFUNCTION("""COMPUTED_VALUE"""),148.69)</f>
        <v>148.69</v>
      </c>
      <c r="F1215" s="1">
        <f>IFERROR(__xludf.DUMMYFUNCTION("""COMPUTED_VALUE"""),2.6922576E7)</f>
        <v>26922576</v>
      </c>
    </row>
    <row r="1216">
      <c r="A1216" s="2">
        <f>IFERROR(__xludf.DUMMYFUNCTION("""COMPUTED_VALUE"""),45022.66666666667)</f>
        <v>45022.66667</v>
      </c>
      <c r="B1216" s="1">
        <f>IFERROR(__xludf.DUMMYFUNCTION("""COMPUTED_VALUE"""),148.43)</f>
        <v>148.43</v>
      </c>
      <c r="C1216" s="1">
        <f>IFERROR(__xludf.DUMMYFUNCTION("""COMPUTED_VALUE"""),152.96)</f>
        <v>152.96</v>
      </c>
      <c r="D1216" s="1">
        <f>IFERROR(__xludf.DUMMYFUNCTION("""COMPUTED_VALUE"""),147.09)</f>
        <v>147.09</v>
      </c>
      <c r="E1216" s="1">
        <f>IFERROR(__xludf.DUMMYFUNCTION("""COMPUTED_VALUE"""),152.22)</f>
        <v>152.22</v>
      </c>
      <c r="F1216" s="1">
        <f>IFERROR(__xludf.DUMMYFUNCTION("""COMPUTED_VALUE"""),2.3930728E7)</f>
        <v>23930728</v>
      </c>
    </row>
    <row r="1217">
      <c r="A1217" s="2">
        <f>IFERROR(__xludf.DUMMYFUNCTION("""COMPUTED_VALUE"""),45030.66666666667)</f>
        <v>45030.66667</v>
      </c>
      <c r="B1217" s="1">
        <f>IFERROR(__xludf.DUMMYFUNCTION("""COMPUTED_VALUE"""),151.65)</f>
        <v>151.65</v>
      </c>
      <c r="C1217" s="1">
        <f>IFERROR(__xludf.DUMMYFUNCTION("""COMPUTED_VALUE"""),152.41)</f>
        <v>152.41</v>
      </c>
      <c r="D1217" s="1">
        <f>IFERROR(__xludf.DUMMYFUNCTION("""COMPUTED_VALUE"""),149.51)</f>
        <v>149.51</v>
      </c>
      <c r="E1217" s="1">
        <f>IFERROR(__xludf.DUMMYFUNCTION("""COMPUTED_VALUE"""),151.0)</f>
        <v>151</v>
      </c>
      <c r="F1217" s="1">
        <f>IFERROR(__xludf.DUMMYFUNCTION("""COMPUTED_VALUE"""),2.7310444E7)</f>
        <v>27310444</v>
      </c>
    </row>
    <row r="1218">
      <c r="A1218" s="2">
        <f>IFERROR(__xludf.DUMMYFUNCTION("""COMPUTED_VALUE"""),45037.66666666667)</f>
        <v>45037.66667</v>
      </c>
      <c r="B1218" s="1">
        <f>IFERROR(__xludf.DUMMYFUNCTION("""COMPUTED_VALUE"""),151.17)</f>
        <v>151.17</v>
      </c>
      <c r="C1218" s="1">
        <f>IFERROR(__xludf.DUMMYFUNCTION("""COMPUTED_VALUE"""),158.11)</f>
        <v>158.11</v>
      </c>
      <c r="D1218" s="1">
        <f>IFERROR(__xludf.DUMMYFUNCTION("""COMPUTED_VALUE"""),150.1)</f>
        <v>150.1</v>
      </c>
      <c r="E1218" s="1">
        <f>IFERROR(__xludf.DUMMYFUNCTION("""COMPUTED_VALUE"""),156.07)</f>
        <v>156.07</v>
      </c>
      <c r="F1218" s="1">
        <f>IFERROR(__xludf.DUMMYFUNCTION("""COMPUTED_VALUE"""),3.2540245E7)</f>
        <v>32540245</v>
      </c>
    </row>
    <row r="1219">
      <c r="A1219" s="2">
        <f>IFERROR(__xludf.DUMMYFUNCTION("""COMPUTED_VALUE"""),45044.66666666667)</f>
        <v>45044.66667</v>
      </c>
      <c r="B1219" s="1">
        <f>IFERROR(__xludf.DUMMYFUNCTION("""COMPUTED_VALUE"""),155.22)</f>
        <v>155.22</v>
      </c>
      <c r="C1219" s="1">
        <f>IFERROR(__xludf.DUMMYFUNCTION("""COMPUTED_VALUE"""),157.94)</f>
        <v>157.94</v>
      </c>
      <c r="D1219" s="1">
        <f>IFERROR(__xludf.DUMMYFUNCTION("""COMPUTED_VALUE"""),154.34)</f>
        <v>154.34</v>
      </c>
      <c r="E1219" s="1">
        <f>IFERROR(__xludf.DUMMYFUNCTION("""COMPUTED_VALUE"""),156.38)</f>
        <v>156.38</v>
      </c>
      <c r="F1219" s="1">
        <f>IFERROR(__xludf.DUMMYFUNCTION("""COMPUTED_VALUE"""),3.1855716E7)</f>
        <v>31855716</v>
      </c>
    </row>
    <row r="1220">
      <c r="A1220" s="2">
        <f>IFERROR(__xludf.DUMMYFUNCTION("""COMPUTED_VALUE"""),45051.66666666667)</f>
        <v>45051.66667</v>
      </c>
      <c r="B1220" s="1">
        <f>IFERROR(__xludf.DUMMYFUNCTION("""COMPUTED_VALUE"""),156.03)</f>
        <v>156.03</v>
      </c>
      <c r="C1220" s="1">
        <f>IFERROR(__xludf.DUMMYFUNCTION("""COMPUTED_VALUE"""),157.57)</f>
        <v>157.57</v>
      </c>
      <c r="D1220" s="1">
        <f>IFERROR(__xludf.DUMMYFUNCTION("""COMPUTED_VALUE"""),154.69)</f>
        <v>154.69</v>
      </c>
      <c r="E1220" s="1">
        <f>IFERROR(__xludf.DUMMYFUNCTION("""COMPUTED_VALUE"""),156.03)</f>
        <v>156.03</v>
      </c>
      <c r="F1220" s="1">
        <f>IFERROR(__xludf.DUMMYFUNCTION("""COMPUTED_VALUE"""),2.3764474E7)</f>
        <v>23764474</v>
      </c>
    </row>
    <row r="1221">
      <c r="A1221" s="2">
        <f>IFERROR(__xludf.DUMMYFUNCTION("""COMPUTED_VALUE"""),45058.66666666667)</f>
        <v>45058.66667</v>
      </c>
      <c r="B1221" s="1">
        <f>IFERROR(__xludf.DUMMYFUNCTION("""COMPUTED_VALUE"""),155.35)</f>
        <v>155.35</v>
      </c>
      <c r="C1221" s="1">
        <f>IFERROR(__xludf.DUMMYFUNCTION("""COMPUTED_VALUE"""),156.05)</f>
        <v>156.05</v>
      </c>
      <c r="D1221" s="1">
        <f>IFERROR(__xludf.DUMMYFUNCTION("""COMPUTED_VALUE"""),152.44)</f>
        <v>152.44</v>
      </c>
      <c r="E1221" s="1">
        <f>IFERROR(__xludf.DUMMYFUNCTION("""COMPUTED_VALUE"""),155.96)</f>
        <v>155.96</v>
      </c>
      <c r="F1221" s="1">
        <f>IFERROR(__xludf.DUMMYFUNCTION("""COMPUTED_VALUE"""),2.2925843E7)</f>
        <v>22925843</v>
      </c>
    </row>
    <row r="1222">
      <c r="A1222" s="2">
        <f>IFERROR(__xludf.DUMMYFUNCTION("""COMPUTED_VALUE"""),45065.66666666667)</f>
        <v>45065.66667</v>
      </c>
      <c r="B1222" s="1">
        <f>IFERROR(__xludf.DUMMYFUNCTION("""COMPUTED_VALUE"""),156.61)</f>
        <v>156.61</v>
      </c>
      <c r="C1222" s="1">
        <f>IFERROR(__xludf.DUMMYFUNCTION("""COMPUTED_VALUE"""),156.92)</f>
        <v>156.92</v>
      </c>
      <c r="D1222" s="1">
        <f>IFERROR(__xludf.DUMMYFUNCTION("""COMPUTED_VALUE"""),151.6)</f>
        <v>151.6</v>
      </c>
      <c r="E1222" s="1">
        <f>IFERROR(__xludf.DUMMYFUNCTION("""COMPUTED_VALUE"""),153.17)</f>
        <v>153.17</v>
      </c>
      <c r="F1222" s="1">
        <f>IFERROR(__xludf.DUMMYFUNCTION("""COMPUTED_VALUE"""),2.7045249E7)</f>
        <v>27045249</v>
      </c>
    </row>
    <row r="1223">
      <c r="A1223" s="2">
        <f>IFERROR(__xludf.DUMMYFUNCTION("""COMPUTED_VALUE"""),45072.66666666667)</f>
        <v>45072.66667</v>
      </c>
      <c r="B1223" s="1">
        <f>IFERROR(__xludf.DUMMYFUNCTION("""COMPUTED_VALUE"""),152.5)</f>
        <v>152.5</v>
      </c>
      <c r="C1223" s="1">
        <f>IFERROR(__xludf.DUMMYFUNCTION("""COMPUTED_VALUE"""),152.6)</f>
        <v>152.6</v>
      </c>
      <c r="D1223" s="1">
        <f>IFERROR(__xludf.DUMMYFUNCTION("""COMPUTED_VALUE"""),144.35)</f>
        <v>144.35</v>
      </c>
      <c r="E1223" s="1">
        <f>IFERROR(__xludf.DUMMYFUNCTION("""COMPUTED_VALUE"""),145.4)</f>
        <v>145.4</v>
      </c>
      <c r="F1223" s="1">
        <f>IFERROR(__xludf.DUMMYFUNCTION("""COMPUTED_VALUE"""),3.0974684E7)</f>
        <v>30974684</v>
      </c>
    </row>
    <row r="1224">
      <c r="A1224" s="2">
        <f>IFERROR(__xludf.DUMMYFUNCTION("""COMPUTED_VALUE"""),45079.66666666667)</f>
        <v>45079.66667</v>
      </c>
      <c r="B1224" s="1">
        <f>IFERROR(__xludf.DUMMYFUNCTION("""COMPUTED_VALUE"""),143.86)</f>
        <v>143.86</v>
      </c>
      <c r="C1224" s="1">
        <f>IFERROR(__xludf.DUMMYFUNCTION("""COMPUTED_VALUE"""),146.68)</f>
        <v>146.68</v>
      </c>
      <c r="D1224" s="1">
        <f>IFERROR(__xludf.DUMMYFUNCTION("""COMPUTED_VALUE"""),141.9)</f>
        <v>141.9</v>
      </c>
      <c r="E1224" s="1">
        <f>IFERROR(__xludf.DUMMYFUNCTION("""COMPUTED_VALUE"""),146.52)</f>
        <v>146.52</v>
      </c>
      <c r="F1224" s="1">
        <f>IFERROR(__xludf.DUMMYFUNCTION("""COMPUTED_VALUE"""),3.7631293E7)</f>
        <v>37631293</v>
      </c>
    </row>
    <row r="1225">
      <c r="A1225" s="2">
        <f>IFERROR(__xludf.DUMMYFUNCTION("""COMPUTED_VALUE"""),45086.66666666667)</f>
        <v>45086.66667</v>
      </c>
      <c r="B1225" s="1">
        <f>IFERROR(__xludf.DUMMYFUNCTION("""COMPUTED_VALUE"""),146.05)</f>
        <v>146.05</v>
      </c>
      <c r="C1225" s="1">
        <f>IFERROR(__xludf.DUMMYFUNCTION("""COMPUTED_VALUE"""),147.85)</f>
        <v>147.85</v>
      </c>
      <c r="D1225" s="1">
        <f>IFERROR(__xludf.DUMMYFUNCTION("""COMPUTED_VALUE"""),143.47)</f>
        <v>143.47</v>
      </c>
      <c r="E1225" s="1">
        <f>IFERROR(__xludf.DUMMYFUNCTION("""COMPUTED_VALUE"""),146.56)</f>
        <v>146.56</v>
      </c>
      <c r="F1225" s="1">
        <f>IFERROR(__xludf.DUMMYFUNCTION("""COMPUTED_VALUE"""),2.601831E7)</f>
        <v>26018310</v>
      </c>
    </row>
    <row r="1226">
      <c r="A1226" s="2">
        <f>IFERROR(__xludf.DUMMYFUNCTION("""COMPUTED_VALUE"""),45093.66666666667)</f>
        <v>45093.66667</v>
      </c>
      <c r="B1226" s="1">
        <f>IFERROR(__xludf.DUMMYFUNCTION("""COMPUTED_VALUE"""),147.0)</f>
        <v>147</v>
      </c>
      <c r="C1226" s="1">
        <f>IFERROR(__xludf.DUMMYFUNCTION("""COMPUTED_VALUE"""),150.09)</f>
        <v>150.09</v>
      </c>
      <c r="D1226" s="1">
        <f>IFERROR(__xludf.DUMMYFUNCTION("""COMPUTED_VALUE"""),144.28)</f>
        <v>144.28</v>
      </c>
      <c r="E1226" s="1">
        <f>IFERROR(__xludf.DUMMYFUNCTION("""COMPUTED_VALUE"""),149.54)</f>
        <v>149.54</v>
      </c>
      <c r="F1226" s="1">
        <f>IFERROR(__xludf.DUMMYFUNCTION("""COMPUTED_VALUE"""),3.347731E7)</f>
        <v>33477310</v>
      </c>
    </row>
    <row r="1227">
      <c r="A1227" s="2">
        <f>IFERROR(__xludf.DUMMYFUNCTION("""COMPUTED_VALUE"""),45100.66666666667)</f>
        <v>45100.66667</v>
      </c>
      <c r="B1227" s="1">
        <f>IFERROR(__xludf.DUMMYFUNCTION("""COMPUTED_VALUE"""),149.75)</f>
        <v>149.75</v>
      </c>
      <c r="C1227" s="1">
        <f>IFERROR(__xludf.DUMMYFUNCTION("""COMPUTED_VALUE"""),151.1)</f>
        <v>151.1</v>
      </c>
      <c r="D1227" s="1">
        <f>IFERROR(__xludf.DUMMYFUNCTION("""COMPUTED_VALUE"""),147.87)</f>
        <v>147.87</v>
      </c>
      <c r="E1227" s="1">
        <f>IFERROR(__xludf.DUMMYFUNCTION("""COMPUTED_VALUE"""),148.46)</f>
        <v>148.46</v>
      </c>
      <c r="F1227" s="1">
        <f>IFERROR(__xludf.DUMMYFUNCTION("""COMPUTED_VALUE"""),3.0501215E7)</f>
        <v>30501215</v>
      </c>
    </row>
    <row r="1228">
      <c r="A1228" s="2">
        <f>IFERROR(__xludf.DUMMYFUNCTION("""COMPUTED_VALUE"""),45107.66666666667)</f>
        <v>45107.66667</v>
      </c>
      <c r="B1228" s="1">
        <f>IFERROR(__xludf.DUMMYFUNCTION("""COMPUTED_VALUE"""),148.1)</f>
        <v>148.1</v>
      </c>
      <c r="C1228" s="1">
        <f>IFERROR(__xludf.DUMMYFUNCTION("""COMPUTED_VALUE"""),152.07)</f>
        <v>152.07</v>
      </c>
      <c r="D1228" s="1">
        <f>IFERROR(__xludf.DUMMYFUNCTION("""COMPUTED_VALUE"""),146.72)</f>
        <v>146.72</v>
      </c>
      <c r="E1228" s="1">
        <f>IFERROR(__xludf.DUMMYFUNCTION("""COMPUTED_VALUE"""),151.74)</f>
        <v>151.74</v>
      </c>
      <c r="F1228" s="1">
        <f>IFERROR(__xludf.DUMMYFUNCTION("""COMPUTED_VALUE"""),3.0933244E7)</f>
        <v>30933244</v>
      </c>
    </row>
    <row r="1229">
      <c r="A1229" s="2">
        <f>IFERROR(__xludf.DUMMYFUNCTION("""COMPUTED_VALUE"""),45114.66666666667)</f>
        <v>45114.66667</v>
      </c>
      <c r="B1229" s="1">
        <f>IFERROR(__xludf.DUMMYFUNCTION("""COMPUTED_VALUE"""),151.48)</f>
        <v>151.48</v>
      </c>
      <c r="C1229" s="1">
        <f>IFERROR(__xludf.DUMMYFUNCTION("""COMPUTED_VALUE"""),152.53)</f>
        <v>152.53</v>
      </c>
      <c r="D1229" s="1">
        <f>IFERROR(__xludf.DUMMYFUNCTION("""COMPUTED_VALUE"""),148.75)</f>
        <v>148.75</v>
      </c>
      <c r="E1229" s="1">
        <f>IFERROR(__xludf.DUMMYFUNCTION("""COMPUTED_VALUE"""),148.8)</f>
        <v>148.8</v>
      </c>
      <c r="F1229" s="1">
        <f>IFERROR(__xludf.DUMMYFUNCTION("""COMPUTED_VALUE"""),2.9404252E7)</f>
        <v>29404252</v>
      </c>
    </row>
    <row r="1230">
      <c r="A1230" s="2">
        <f>IFERROR(__xludf.DUMMYFUNCTION("""COMPUTED_VALUE"""),45121.66666666667)</f>
        <v>45121.66667</v>
      </c>
      <c r="B1230" s="1">
        <f>IFERROR(__xludf.DUMMYFUNCTION("""COMPUTED_VALUE"""),148.94)</f>
        <v>148.94</v>
      </c>
      <c r="C1230" s="1">
        <f>IFERROR(__xludf.DUMMYFUNCTION("""COMPUTED_VALUE"""),150.63)</f>
        <v>150.63</v>
      </c>
      <c r="D1230" s="1">
        <f>IFERROR(__xludf.DUMMYFUNCTION("""COMPUTED_VALUE"""),146.96)</f>
        <v>146.96</v>
      </c>
      <c r="E1230" s="1">
        <f>IFERROR(__xludf.DUMMYFUNCTION("""COMPUTED_VALUE"""),150.05)</f>
        <v>150.05</v>
      </c>
      <c r="F1230" s="1">
        <f>IFERROR(__xludf.DUMMYFUNCTION("""COMPUTED_VALUE"""),2.9134514E7)</f>
        <v>29134514</v>
      </c>
    </row>
    <row r="1231">
      <c r="A1231" s="2">
        <f>IFERROR(__xludf.DUMMYFUNCTION("""COMPUTED_VALUE"""),45128.66666666667)</f>
        <v>45128.66667</v>
      </c>
      <c r="B1231" s="1">
        <f>IFERROR(__xludf.DUMMYFUNCTION("""COMPUTED_VALUE"""),149.65)</f>
        <v>149.65</v>
      </c>
      <c r="C1231" s="1">
        <f>IFERROR(__xludf.DUMMYFUNCTION("""COMPUTED_VALUE"""),153.67)</f>
        <v>153.67</v>
      </c>
      <c r="D1231" s="1">
        <f>IFERROR(__xludf.DUMMYFUNCTION("""COMPUTED_VALUE"""),148.14)</f>
        <v>148.14</v>
      </c>
      <c r="E1231" s="1">
        <f>IFERROR(__xludf.DUMMYFUNCTION("""COMPUTED_VALUE"""),152.93)</f>
        <v>152.93</v>
      </c>
      <c r="F1231" s="1">
        <f>IFERROR(__xludf.DUMMYFUNCTION("""COMPUTED_VALUE"""),3.2568791E7)</f>
        <v>32568791</v>
      </c>
    </row>
    <row r="1232">
      <c r="A1232" s="2">
        <f>IFERROR(__xludf.DUMMYFUNCTION("""COMPUTED_VALUE"""),45135.66666666667)</f>
        <v>45135.66667</v>
      </c>
      <c r="B1232" s="1">
        <f>IFERROR(__xludf.DUMMYFUNCTION("""COMPUTED_VALUE"""),152.84)</f>
        <v>152.84</v>
      </c>
      <c r="C1232" s="1">
        <f>IFERROR(__xludf.DUMMYFUNCTION("""COMPUTED_VALUE"""),157.48)</f>
        <v>157.48</v>
      </c>
      <c r="D1232" s="1">
        <f>IFERROR(__xludf.DUMMYFUNCTION("""COMPUTED_VALUE"""),151.92)</f>
        <v>151.92</v>
      </c>
      <c r="E1232" s="1">
        <f>IFERROR(__xludf.DUMMYFUNCTION("""COMPUTED_VALUE"""),156.41)</f>
        <v>156.41</v>
      </c>
      <c r="F1232" s="1">
        <f>IFERROR(__xludf.DUMMYFUNCTION("""COMPUTED_VALUE"""),3.5036614E7)</f>
        <v>35036614</v>
      </c>
    </row>
    <row r="1233">
      <c r="A1233" s="2">
        <f>IFERROR(__xludf.DUMMYFUNCTION("""COMPUTED_VALUE"""),45142.66666666667)</f>
        <v>45142.66667</v>
      </c>
      <c r="B1233" s="1">
        <f>IFERROR(__xludf.DUMMYFUNCTION("""COMPUTED_VALUE"""),156.4)</f>
        <v>156.4</v>
      </c>
      <c r="C1233" s="1">
        <f>IFERROR(__xludf.DUMMYFUNCTION("""COMPUTED_VALUE"""),157.73)</f>
        <v>157.73</v>
      </c>
      <c r="D1233" s="1">
        <f>IFERROR(__xludf.DUMMYFUNCTION("""COMPUTED_VALUE"""),155.06)</f>
        <v>155.06</v>
      </c>
      <c r="E1233" s="1">
        <f>IFERROR(__xludf.DUMMYFUNCTION("""COMPUTED_VALUE"""),155.28)</f>
        <v>155.28</v>
      </c>
      <c r="F1233" s="1">
        <f>IFERROR(__xludf.DUMMYFUNCTION("""COMPUTED_VALUE"""),2.9890517E7)</f>
        <v>29890517</v>
      </c>
    </row>
    <row r="1234">
      <c r="A1234" s="2">
        <f>IFERROR(__xludf.DUMMYFUNCTION("""COMPUTED_VALUE"""),45149.66666666667)</f>
        <v>45149.66667</v>
      </c>
      <c r="B1234" s="1">
        <f>IFERROR(__xludf.DUMMYFUNCTION("""COMPUTED_VALUE"""),155.67)</f>
        <v>155.67</v>
      </c>
      <c r="C1234" s="1">
        <f>IFERROR(__xludf.DUMMYFUNCTION("""COMPUTED_VALUE"""),158.38)</f>
        <v>158.38</v>
      </c>
      <c r="D1234" s="1">
        <f>IFERROR(__xludf.DUMMYFUNCTION("""COMPUTED_VALUE"""),155.49)</f>
        <v>155.49</v>
      </c>
      <c r="E1234" s="1">
        <f>IFERROR(__xludf.DUMMYFUNCTION("""COMPUTED_VALUE"""),157.02)</f>
        <v>157.02</v>
      </c>
      <c r="F1234" s="1">
        <f>IFERROR(__xludf.DUMMYFUNCTION("""COMPUTED_VALUE"""),2.1196345E7)</f>
        <v>21196345</v>
      </c>
    </row>
    <row r="1235">
      <c r="A1235" s="2">
        <f>IFERROR(__xludf.DUMMYFUNCTION("""COMPUTED_VALUE"""),45156.66666666667)</f>
        <v>45156.66667</v>
      </c>
      <c r="B1235" s="1">
        <f>IFERROR(__xludf.DUMMYFUNCTION("""COMPUTED_VALUE"""),157.13)</f>
        <v>157.13</v>
      </c>
      <c r="C1235" s="1">
        <f>IFERROR(__xludf.DUMMYFUNCTION("""COMPUTED_VALUE"""),157.53)</f>
        <v>157.53</v>
      </c>
      <c r="D1235" s="1">
        <f>IFERROR(__xludf.DUMMYFUNCTION("""COMPUTED_VALUE"""),151.17)</f>
        <v>151.17</v>
      </c>
      <c r="E1235" s="1">
        <f>IFERROR(__xludf.DUMMYFUNCTION("""COMPUTED_VALUE"""),152.54)</f>
        <v>152.54</v>
      </c>
      <c r="F1235" s="1">
        <f>IFERROR(__xludf.DUMMYFUNCTION("""COMPUTED_VALUE"""),2.9443429E7)</f>
        <v>29443429</v>
      </c>
    </row>
    <row r="1236">
      <c r="A1236" s="2">
        <f>IFERROR(__xludf.DUMMYFUNCTION("""COMPUTED_VALUE"""),45163.66666666667)</f>
        <v>45163.66667</v>
      </c>
      <c r="B1236" s="1">
        <f>IFERROR(__xludf.DUMMYFUNCTION("""COMPUTED_VALUE"""),152.09)</f>
        <v>152.09</v>
      </c>
      <c r="C1236" s="1">
        <f>IFERROR(__xludf.DUMMYFUNCTION("""COMPUTED_VALUE"""),154.68)</f>
        <v>154.68</v>
      </c>
      <c r="D1236" s="1">
        <f>IFERROR(__xludf.DUMMYFUNCTION("""COMPUTED_VALUE"""),150.93)</f>
        <v>150.93</v>
      </c>
      <c r="E1236" s="1">
        <f>IFERROR(__xludf.DUMMYFUNCTION("""COMPUTED_VALUE"""),153.54)</f>
        <v>153.54</v>
      </c>
      <c r="F1236" s="1">
        <f>IFERROR(__xludf.DUMMYFUNCTION("""COMPUTED_VALUE"""),2.0853924E7)</f>
        <v>20853924</v>
      </c>
    </row>
    <row r="1237">
      <c r="A1237" s="2">
        <f>IFERROR(__xludf.DUMMYFUNCTION("""COMPUTED_VALUE"""),45170.66666666667)</f>
        <v>45170.66667</v>
      </c>
      <c r="B1237" s="1">
        <f>IFERROR(__xludf.DUMMYFUNCTION("""COMPUTED_VALUE"""),153.71)</f>
        <v>153.71</v>
      </c>
      <c r="C1237" s="1">
        <f>IFERROR(__xludf.DUMMYFUNCTION("""COMPUTED_VALUE"""),155.28)</f>
        <v>155.28</v>
      </c>
      <c r="D1237" s="1">
        <f>IFERROR(__xludf.DUMMYFUNCTION("""COMPUTED_VALUE"""),152.03)</f>
        <v>152.03</v>
      </c>
      <c r="E1237" s="1">
        <f>IFERROR(__xludf.DUMMYFUNCTION("""COMPUTED_VALUE"""),154.51)</f>
        <v>154.51</v>
      </c>
      <c r="F1237" s="1">
        <f>IFERROR(__xludf.DUMMYFUNCTION("""COMPUTED_VALUE"""),2.0939471E7)</f>
        <v>20939471</v>
      </c>
    </row>
    <row r="1238">
      <c r="A1238" s="2">
        <f>IFERROR(__xludf.DUMMYFUNCTION("""COMPUTED_VALUE"""),45177.66666666667)</f>
        <v>45177.66667</v>
      </c>
      <c r="B1238" s="1">
        <f>IFERROR(__xludf.DUMMYFUNCTION("""COMPUTED_VALUE"""),153.8)</f>
        <v>153.8</v>
      </c>
      <c r="C1238" s="1">
        <f>IFERROR(__xludf.DUMMYFUNCTION("""COMPUTED_VALUE"""),154.85)</f>
        <v>154.85</v>
      </c>
      <c r="D1238" s="1">
        <f>IFERROR(__xludf.DUMMYFUNCTION("""COMPUTED_VALUE"""),151.54)</f>
        <v>151.54</v>
      </c>
      <c r="E1238" s="1">
        <f>IFERROR(__xludf.DUMMYFUNCTION("""COMPUTED_VALUE"""),152.93)</f>
        <v>152.93</v>
      </c>
      <c r="F1238" s="1">
        <f>IFERROR(__xludf.DUMMYFUNCTION("""COMPUTED_VALUE"""),1.7184299E7)</f>
        <v>17184299</v>
      </c>
    </row>
    <row r="1239">
      <c r="A1239" s="2">
        <f>IFERROR(__xludf.DUMMYFUNCTION("""COMPUTED_VALUE"""),45184.66666666667)</f>
        <v>45184.66667</v>
      </c>
      <c r="B1239" s="1">
        <f>IFERROR(__xludf.DUMMYFUNCTION("""COMPUTED_VALUE"""),153.33)</f>
        <v>153.33</v>
      </c>
      <c r="C1239" s="1">
        <f>IFERROR(__xludf.DUMMYFUNCTION("""COMPUTED_VALUE"""),155.32)</f>
        <v>155.32</v>
      </c>
      <c r="D1239" s="1">
        <f>IFERROR(__xludf.DUMMYFUNCTION("""COMPUTED_VALUE"""),151.57)</f>
        <v>151.57</v>
      </c>
      <c r="E1239" s="1">
        <f>IFERROR(__xludf.DUMMYFUNCTION("""COMPUTED_VALUE"""),153.47)</f>
        <v>153.47</v>
      </c>
      <c r="F1239" s="1">
        <f>IFERROR(__xludf.DUMMYFUNCTION("""COMPUTED_VALUE"""),2.7736495E7)</f>
        <v>27736495</v>
      </c>
    </row>
    <row r="1240">
      <c r="A1240" s="2">
        <f>IFERROR(__xludf.DUMMYFUNCTION("""COMPUTED_VALUE"""),45191.66666666667)</f>
        <v>45191.66667</v>
      </c>
      <c r="B1240" s="1">
        <f>IFERROR(__xludf.DUMMYFUNCTION("""COMPUTED_VALUE"""),154.45)</f>
        <v>154.45</v>
      </c>
      <c r="C1240" s="1">
        <f>IFERROR(__xludf.DUMMYFUNCTION("""COMPUTED_VALUE"""),154.78)</f>
        <v>154.78</v>
      </c>
      <c r="D1240" s="1">
        <f>IFERROR(__xludf.DUMMYFUNCTION("""COMPUTED_VALUE"""),151.38)</f>
        <v>151.38</v>
      </c>
      <c r="E1240" s="1">
        <f>IFERROR(__xludf.DUMMYFUNCTION("""COMPUTED_VALUE"""),151.58)</f>
        <v>151.58</v>
      </c>
      <c r="F1240" s="1">
        <f>IFERROR(__xludf.DUMMYFUNCTION("""COMPUTED_VALUE"""),2.5113579E7)</f>
        <v>25113579</v>
      </c>
    </row>
    <row r="1241">
      <c r="A1241" s="2">
        <f>IFERROR(__xludf.DUMMYFUNCTION("""COMPUTED_VALUE"""),45198.66666666667)</f>
        <v>45198.66667</v>
      </c>
      <c r="B1241" s="1">
        <f>IFERROR(__xludf.DUMMYFUNCTION("""COMPUTED_VALUE"""),151.18)</f>
        <v>151.18</v>
      </c>
      <c r="C1241" s="1">
        <f>IFERROR(__xludf.DUMMYFUNCTION("""COMPUTED_VALUE"""),151.28)</f>
        <v>151.28</v>
      </c>
      <c r="D1241" s="1">
        <f>IFERROR(__xludf.DUMMYFUNCTION("""COMPUTED_VALUE"""),144.82)</f>
        <v>144.82</v>
      </c>
      <c r="E1241" s="1">
        <f>IFERROR(__xludf.DUMMYFUNCTION("""COMPUTED_VALUE"""),145.86)</f>
        <v>145.86</v>
      </c>
      <c r="F1241" s="1">
        <f>IFERROR(__xludf.DUMMYFUNCTION("""COMPUTED_VALUE"""),3.02177E7)</f>
        <v>30217700</v>
      </c>
    </row>
    <row r="1242">
      <c r="A1242" s="2">
        <f>IFERROR(__xludf.DUMMYFUNCTION("""COMPUTED_VALUE"""),45205.66666666667)</f>
        <v>45205.66667</v>
      </c>
      <c r="B1242" s="1">
        <f>IFERROR(__xludf.DUMMYFUNCTION("""COMPUTED_VALUE"""),144.78)</f>
        <v>144.78</v>
      </c>
      <c r="C1242" s="1">
        <f>IFERROR(__xludf.DUMMYFUNCTION("""COMPUTED_VALUE"""),146.49)</f>
        <v>146.49</v>
      </c>
      <c r="D1242" s="1">
        <f>IFERROR(__xludf.DUMMYFUNCTION("""COMPUTED_VALUE"""),141.45)</f>
        <v>141.45</v>
      </c>
      <c r="E1242" s="1">
        <f>IFERROR(__xludf.DUMMYFUNCTION("""COMPUTED_VALUE"""),144.09)</f>
        <v>144.09</v>
      </c>
      <c r="F1242" s="1">
        <f>IFERROR(__xludf.DUMMYFUNCTION("""COMPUTED_VALUE"""),2.7164621E7)</f>
        <v>27164621</v>
      </c>
    </row>
    <row r="1243">
      <c r="A1243" s="2">
        <f>IFERROR(__xludf.DUMMYFUNCTION("""COMPUTED_VALUE"""),45212.66666666667)</f>
        <v>45212.66667</v>
      </c>
      <c r="B1243" s="1">
        <f>IFERROR(__xludf.DUMMYFUNCTION("""COMPUTED_VALUE"""),143.36)</f>
        <v>143.36</v>
      </c>
      <c r="C1243" s="1">
        <f>IFERROR(__xludf.DUMMYFUNCTION("""COMPUTED_VALUE"""),145.56)</f>
        <v>145.56</v>
      </c>
      <c r="D1243" s="1">
        <f>IFERROR(__xludf.DUMMYFUNCTION("""COMPUTED_VALUE"""),141.6)</f>
        <v>141.6</v>
      </c>
      <c r="E1243" s="1">
        <f>IFERROR(__xludf.DUMMYFUNCTION("""COMPUTED_VALUE"""),144.69)</f>
        <v>144.69</v>
      </c>
      <c r="F1243" s="1">
        <f>IFERROR(__xludf.DUMMYFUNCTION("""COMPUTED_VALUE"""),2.9565162E7)</f>
        <v>29565162</v>
      </c>
    </row>
    <row r="1244">
      <c r="A1244" s="2">
        <f>IFERROR(__xludf.DUMMYFUNCTION("""COMPUTED_VALUE"""),45219.66666666667)</f>
        <v>45219.66667</v>
      </c>
      <c r="B1244" s="1">
        <f>IFERROR(__xludf.DUMMYFUNCTION("""COMPUTED_VALUE"""),145.86)</f>
        <v>145.86</v>
      </c>
      <c r="C1244" s="1">
        <f>IFERROR(__xludf.DUMMYFUNCTION("""COMPUTED_VALUE"""),151.3)</f>
        <v>151.3</v>
      </c>
      <c r="D1244" s="1">
        <f>IFERROR(__xludf.DUMMYFUNCTION("""COMPUTED_VALUE"""),145.24)</f>
        <v>145.24</v>
      </c>
      <c r="E1244" s="1">
        <f>IFERROR(__xludf.DUMMYFUNCTION("""COMPUTED_VALUE"""),148.05)</f>
        <v>148.05</v>
      </c>
      <c r="F1244" s="1">
        <f>IFERROR(__xludf.DUMMYFUNCTION("""COMPUTED_VALUE"""),3.8608526E7)</f>
        <v>38608526</v>
      </c>
    </row>
    <row r="1245">
      <c r="A1245" s="2">
        <f>IFERROR(__xludf.DUMMYFUNCTION("""COMPUTED_VALUE"""),45226.66666666667)</f>
        <v>45226.66667</v>
      </c>
      <c r="B1245" s="1">
        <f>IFERROR(__xludf.DUMMYFUNCTION("""COMPUTED_VALUE"""),147.86)</f>
        <v>147.86</v>
      </c>
      <c r="C1245" s="1">
        <f>IFERROR(__xludf.DUMMYFUNCTION("""COMPUTED_VALUE"""),151.38)</f>
        <v>151.38</v>
      </c>
      <c r="D1245" s="1">
        <f>IFERROR(__xludf.DUMMYFUNCTION("""COMPUTED_VALUE"""),146.28)</f>
        <v>146.28</v>
      </c>
      <c r="E1245" s="1">
        <f>IFERROR(__xludf.DUMMYFUNCTION("""COMPUTED_VALUE"""),147.16)</f>
        <v>147.16</v>
      </c>
      <c r="F1245" s="1">
        <f>IFERROR(__xludf.DUMMYFUNCTION("""COMPUTED_VALUE"""),3.4190866E7)</f>
        <v>34190866</v>
      </c>
    </row>
    <row r="1246">
      <c r="A1246" s="2">
        <f>IFERROR(__xludf.DUMMYFUNCTION("""COMPUTED_VALUE"""),45233.66666666667)</f>
        <v>45233.66667</v>
      </c>
      <c r="B1246" s="1">
        <f>IFERROR(__xludf.DUMMYFUNCTION("""COMPUTED_VALUE"""),147.9)</f>
        <v>147.9</v>
      </c>
      <c r="C1246" s="1">
        <f>IFERROR(__xludf.DUMMYFUNCTION("""COMPUTED_VALUE"""),152.29)</f>
        <v>152.29</v>
      </c>
      <c r="D1246" s="1">
        <f>IFERROR(__xludf.DUMMYFUNCTION("""COMPUTED_VALUE"""),147.54)</f>
        <v>147.54</v>
      </c>
      <c r="E1246" s="1">
        <f>IFERROR(__xludf.DUMMYFUNCTION("""COMPUTED_VALUE"""),150.07)</f>
        <v>150.07</v>
      </c>
      <c r="F1246" s="1">
        <f>IFERROR(__xludf.DUMMYFUNCTION("""COMPUTED_VALUE"""),3.0519131E7)</f>
        <v>30519131</v>
      </c>
    </row>
    <row r="1247">
      <c r="A1247" s="2">
        <f>IFERROR(__xludf.DUMMYFUNCTION("""COMPUTED_VALUE"""),45240.66666666667)</f>
        <v>45240.66667</v>
      </c>
      <c r="B1247" s="1">
        <f>IFERROR(__xludf.DUMMYFUNCTION("""COMPUTED_VALUE"""),150.36)</f>
        <v>150.36</v>
      </c>
      <c r="C1247" s="1">
        <f>IFERROR(__xludf.DUMMYFUNCTION("""COMPUTED_VALUE"""),151.44)</f>
        <v>151.44</v>
      </c>
      <c r="D1247" s="1">
        <f>IFERROR(__xludf.DUMMYFUNCTION("""COMPUTED_VALUE"""),149.12)</f>
        <v>149.12</v>
      </c>
      <c r="E1247" s="1">
        <f>IFERROR(__xludf.DUMMYFUNCTION("""COMPUTED_VALUE"""),151.41)</f>
        <v>151.41</v>
      </c>
      <c r="F1247" s="1">
        <f>IFERROR(__xludf.DUMMYFUNCTION("""COMPUTED_VALUE"""),2.9286245E7)</f>
        <v>29286245</v>
      </c>
    </row>
    <row r="1248">
      <c r="A1248" s="2">
        <f>IFERROR(__xludf.DUMMYFUNCTION("""COMPUTED_VALUE"""),45247.66666666667)</f>
        <v>45247.66667</v>
      </c>
      <c r="B1248" s="1">
        <f>IFERROR(__xludf.DUMMYFUNCTION("""COMPUTED_VALUE"""),151.45)</f>
        <v>151.45</v>
      </c>
      <c r="C1248" s="1">
        <f>IFERROR(__xludf.DUMMYFUNCTION("""COMPUTED_VALUE"""),153.5)</f>
        <v>153.5</v>
      </c>
      <c r="D1248" s="1">
        <f>IFERROR(__xludf.DUMMYFUNCTION("""COMPUTED_VALUE"""),150.38)</f>
        <v>150.38</v>
      </c>
      <c r="E1248" s="1">
        <f>IFERROR(__xludf.DUMMYFUNCTION("""COMPUTED_VALUE"""),151.07)</f>
        <v>151.07</v>
      </c>
      <c r="F1248" s="1">
        <f>IFERROR(__xludf.DUMMYFUNCTION("""COMPUTED_VALUE"""),3.8039232E7)</f>
        <v>38039232</v>
      </c>
    </row>
    <row r="1249">
      <c r="A1249" s="2">
        <f>IFERROR(__xludf.DUMMYFUNCTION("""COMPUTED_VALUE"""),45254.54166666667)</f>
        <v>45254.54167</v>
      </c>
      <c r="B1249" s="1">
        <f>IFERROR(__xludf.DUMMYFUNCTION("""COMPUTED_VALUE"""),150.21)</f>
        <v>150.21</v>
      </c>
      <c r="C1249" s="1">
        <f>IFERROR(__xludf.DUMMYFUNCTION("""COMPUTED_VALUE"""),151.74)</f>
        <v>151.74</v>
      </c>
      <c r="D1249" s="1">
        <f>IFERROR(__xludf.DUMMYFUNCTION("""COMPUTED_VALUE"""),148.83)</f>
        <v>148.83</v>
      </c>
      <c r="E1249" s="1">
        <f>IFERROR(__xludf.DUMMYFUNCTION("""COMPUTED_VALUE"""),151.38)</f>
        <v>151.38</v>
      </c>
      <c r="F1249" s="1">
        <f>IFERROR(__xludf.DUMMYFUNCTION("""COMPUTED_VALUE"""),2.0673777E7)</f>
        <v>20673777</v>
      </c>
    </row>
    <row r="1250">
      <c r="A1250" s="2">
        <f>IFERROR(__xludf.DUMMYFUNCTION("""COMPUTED_VALUE"""),45261.66666666667)</f>
        <v>45261.66667</v>
      </c>
      <c r="B1250" s="1">
        <f>IFERROR(__xludf.DUMMYFUNCTION("""COMPUTED_VALUE"""),151.52)</f>
        <v>151.52</v>
      </c>
      <c r="C1250" s="1">
        <f>IFERROR(__xludf.DUMMYFUNCTION("""COMPUTED_VALUE"""),153.63)</f>
        <v>153.63</v>
      </c>
      <c r="D1250" s="1">
        <f>IFERROR(__xludf.DUMMYFUNCTION("""COMPUTED_VALUE"""),150.08)</f>
        <v>150.08</v>
      </c>
      <c r="E1250" s="1">
        <f>IFERROR(__xludf.DUMMYFUNCTION("""COMPUTED_VALUE"""),152.66)</f>
        <v>152.66</v>
      </c>
      <c r="F1250" s="1">
        <f>IFERROR(__xludf.DUMMYFUNCTION("""COMPUTED_VALUE"""),3.2931433E7)</f>
        <v>32931433</v>
      </c>
    </row>
    <row r="1251">
      <c r="A1251" s="2">
        <f>IFERROR(__xludf.DUMMYFUNCTION("""COMPUTED_VALUE"""),45268.66666666667)</f>
        <v>45268.66667</v>
      </c>
      <c r="B1251" s="1">
        <f>IFERROR(__xludf.DUMMYFUNCTION("""COMPUTED_VALUE"""),151.77)</f>
        <v>151.77</v>
      </c>
      <c r="C1251" s="1">
        <f>IFERROR(__xludf.DUMMYFUNCTION("""COMPUTED_VALUE"""),152.61)</f>
        <v>152.61</v>
      </c>
      <c r="D1251" s="1">
        <f>IFERROR(__xludf.DUMMYFUNCTION("""COMPUTED_VALUE"""),144.52)</f>
        <v>144.52</v>
      </c>
      <c r="E1251" s="1">
        <f>IFERROR(__xludf.DUMMYFUNCTION("""COMPUTED_VALUE"""),145.15)</f>
        <v>145.15</v>
      </c>
      <c r="F1251" s="1">
        <f>IFERROR(__xludf.DUMMYFUNCTION("""COMPUTED_VALUE"""),3.8589114E7)</f>
        <v>38589114</v>
      </c>
    </row>
    <row r="1252">
      <c r="A1252" s="2">
        <f>IFERROR(__xludf.DUMMYFUNCTION("""COMPUTED_VALUE"""),45275.66666666667)</f>
        <v>45275.66667</v>
      </c>
      <c r="B1252" s="1">
        <f>IFERROR(__xludf.DUMMYFUNCTION("""COMPUTED_VALUE"""),144.8)</f>
        <v>144.8</v>
      </c>
      <c r="C1252" s="1">
        <f>IFERROR(__xludf.DUMMYFUNCTION("""COMPUTED_VALUE"""),148.65)</f>
        <v>148.65</v>
      </c>
      <c r="D1252" s="1">
        <f>IFERROR(__xludf.DUMMYFUNCTION("""COMPUTED_VALUE"""),142.5)</f>
        <v>142.5</v>
      </c>
      <c r="E1252" s="1">
        <f>IFERROR(__xludf.DUMMYFUNCTION("""COMPUTED_VALUE"""),143.96)</f>
        <v>143.96</v>
      </c>
      <c r="F1252" s="1">
        <f>IFERROR(__xludf.DUMMYFUNCTION("""COMPUTED_VALUE"""),4.8711075E7)</f>
        <v>48711075</v>
      </c>
    </row>
    <row r="1253">
      <c r="A1253" s="2">
        <f>IFERROR(__xludf.DUMMYFUNCTION("""COMPUTED_VALUE"""),45282.66666666667)</f>
        <v>45282.66667</v>
      </c>
      <c r="B1253" s="1">
        <f>IFERROR(__xludf.DUMMYFUNCTION("""COMPUTED_VALUE"""),144.17)</f>
        <v>144.17</v>
      </c>
      <c r="C1253" s="1">
        <f>IFERROR(__xludf.DUMMYFUNCTION("""COMPUTED_VALUE"""),147.49)</f>
        <v>147.49</v>
      </c>
      <c r="D1253" s="1">
        <f>IFERROR(__xludf.DUMMYFUNCTION("""COMPUTED_VALUE"""),143.13)</f>
        <v>143.13</v>
      </c>
      <c r="E1253" s="1">
        <f>IFERROR(__xludf.DUMMYFUNCTION("""COMPUTED_VALUE"""),145.28)</f>
        <v>145.28</v>
      </c>
      <c r="F1253" s="1">
        <f>IFERROR(__xludf.DUMMYFUNCTION("""COMPUTED_VALUE"""),3.183791E7)</f>
        <v>31837910</v>
      </c>
    </row>
    <row r="1254">
      <c r="A1254" s="2">
        <f>IFERROR(__xludf.DUMMYFUNCTION("""COMPUTED_VALUE"""),45289.66666666667)</f>
        <v>45289.66667</v>
      </c>
      <c r="B1254" s="1">
        <f>IFERROR(__xludf.DUMMYFUNCTION("""COMPUTED_VALUE"""),145.09)</f>
        <v>145.09</v>
      </c>
      <c r="C1254" s="1">
        <f>IFERROR(__xludf.DUMMYFUNCTION("""COMPUTED_VALUE"""),146.96)</f>
        <v>146.96</v>
      </c>
      <c r="D1254" s="1">
        <f>IFERROR(__xludf.DUMMYFUNCTION("""COMPUTED_VALUE"""),144.97)</f>
        <v>144.97</v>
      </c>
      <c r="E1254" s="1">
        <f>IFERROR(__xludf.DUMMYFUNCTION("""COMPUTED_VALUE"""),146.54)</f>
        <v>146.54</v>
      </c>
      <c r="F1254" s="1">
        <f>IFERROR(__xludf.DUMMYFUNCTION("""COMPUTED_VALUE"""),1.8528351E7)</f>
        <v>18528351</v>
      </c>
    </row>
    <row r="1255">
      <c r="A1255" s="2">
        <f>IFERROR(__xludf.DUMMYFUNCTION("""COMPUTED_VALUE"""),45296.66666666667)</f>
        <v>45296.66667</v>
      </c>
      <c r="B1255" s="1">
        <f>IFERROR(__xludf.DUMMYFUNCTION("""COMPUTED_VALUE"""),146.36)</f>
        <v>146.36</v>
      </c>
      <c r="C1255" s="1">
        <f>IFERROR(__xludf.DUMMYFUNCTION("""COMPUTED_VALUE"""),149.41)</f>
        <v>149.41</v>
      </c>
      <c r="D1255" s="1">
        <f>IFERROR(__xludf.DUMMYFUNCTION("""COMPUTED_VALUE"""),146.31)</f>
        <v>146.31</v>
      </c>
      <c r="E1255" s="1">
        <f>IFERROR(__xludf.DUMMYFUNCTION("""COMPUTED_VALUE"""),147.42)</f>
        <v>147.42</v>
      </c>
      <c r="F1255" s="1">
        <f>IFERROR(__xludf.DUMMYFUNCTION("""COMPUTED_VALUE"""),2.7297898E7)</f>
        <v>27297898</v>
      </c>
    </row>
    <row r="1256">
      <c r="A1256" s="2">
        <f>IFERROR(__xludf.DUMMYFUNCTION("""COMPUTED_VALUE"""),45303.66666666667)</f>
        <v>45303.66667</v>
      </c>
      <c r="B1256" s="1">
        <f>IFERROR(__xludf.DUMMYFUNCTION("""COMPUTED_VALUE"""),147.91)</f>
        <v>147.91</v>
      </c>
      <c r="C1256" s="1">
        <f>IFERROR(__xludf.DUMMYFUNCTION("""COMPUTED_VALUE"""),151.3)</f>
        <v>151.3</v>
      </c>
      <c r="D1256" s="1">
        <f>IFERROR(__xludf.DUMMYFUNCTION("""COMPUTED_VALUE"""),147.65)</f>
        <v>147.65</v>
      </c>
      <c r="E1256" s="1">
        <f>IFERROR(__xludf.DUMMYFUNCTION("""COMPUTED_VALUE"""),150.6)</f>
        <v>150.6</v>
      </c>
      <c r="F1256" s="1">
        <f>IFERROR(__xludf.DUMMYFUNCTION("""COMPUTED_VALUE"""),3.8977638E7)</f>
        <v>38977638</v>
      </c>
    </row>
    <row r="1257">
      <c r="A1257" s="2">
        <f>IFERROR(__xludf.DUMMYFUNCTION("""COMPUTED_VALUE"""),45310.66666666667)</f>
        <v>45310.66667</v>
      </c>
      <c r="B1257" s="1">
        <f>IFERROR(__xludf.DUMMYFUNCTION("""COMPUTED_VALUE"""),150.15)</f>
        <v>150.15</v>
      </c>
      <c r="C1257" s="1">
        <f>IFERROR(__xludf.DUMMYFUNCTION("""COMPUTED_VALUE"""),151.5)</f>
        <v>151.5</v>
      </c>
      <c r="D1257" s="1">
        <f>IFERROR(__xludf.DUMMYFUNCTION("""COMPUTED_VALUE"""),146.92)</f>
        <v>146.92</v>
      </c>
      <c r="E1257" s="1">
        <f>IFERROR(__xludf.DUMMYFUNCTION("""COMPUTED_VALUE"""),147.57)</f>
        <v>147.57</v>
      </c>
      <c r="F1257" s="1">
        <f>IFERROR(__xludf.DUMMYFUNCTION("""COMPUTED_VALUE"""),2.9035899E7)</f>
        <v>29035899</v>
      </c>
    </row>
    <row r="1258">
      <c r="A1258" s="2">
        <f>IFERROR(__xludf.DUMMYFUNCTION("""COMPUTED_VALUE"""),45317.66666666667)</f>
        <v>45317.66667</v>
      </c>
      <c r="B1258" s="1">
        <f>IFERROR(__xludf.DUMMYFUNCTION("""COMPUTED_VALUE"""),146.97)</f>
        <v>146.97</v>
      </c>
      <c r="C1258" s="1">
        <f>IFERROR(__xludf.DUMMYFUNCTION("""COMPUTED_VALUE"""),156.4)</f>
        <v>156.4</v>
      </c>
      <c r="D1258" s="1">
        <f>IFERROR(__xludf.DUMMYFUNCTION("""COMPUTED_VALUE"""),146.28)</f>
        <v>146.28</v>
      </c>
      <c r="E1258" s="1">
        <f>IFERROR(__xludf.DUMMYFUNCTION("""COMPUTED_VALUE"""),156.14)</f>
        <v>156.14</v>
      </c>
      <c r="F1258" s="1">
        <f>IFERROR(__xludf.DUMMYFUNCTION("""COMPUTED_VALUE"""),6.0487635E7)</f>
        <v>60487635</v>
      </c>
    </row>
    <row r="1259">
      <c r="A1259" s="2">
        <f>IFERROR(__xludf.DUMMYFUNCTION("""COMPUTED_VALUE"""),45324.66666666667)</f>
        <v>45324.66667</v>
      </c>
      <c r="B1259" s="1">
        <f>IFERROR(__xludf.DUMMYFUNCTION("""COMPUTED_VALUE"""),156.68)</f>
        <v>156.68</v>
      </c>
      <c r="C1259" s="1">
        <f>IFERROR(__xludf.DUMMYFUNCTION("""COMPUTED_VALUE"""),159.6)</f>
        <v>159.6</v>
      </c>
      <c r="D1259" s="1">
        <f>IFERROR(__xludf.DUMMYFUNCTION("""COMPUTED_VALUE"""),155.4)</f>
        <v>155.4</v>
      </c>
      <c r="E1259" s="1">
        <f>IFERROR(__xludf.DUMMYFUNCTION("""COMPUTED_VALUE"""),158.09)</f>
        <v>158.09</v>
      </c>
      <c r="F1259" s="1">
        <f>IFERROR(__xludf.DUMMYFUNCTION("""COMPUTED_VALUE"""),4.1191414E7)</f>
        <v>41191414</v>
      </c>
    </row>
    <row r="1260">
      <c r="A1260" s="2">
        <f>IFERROR(__xludf.DUMMYFUNCTION("""COMPUTED_VALUE"""),45331.66666666667)</f>
        <v>45331.66667</v>
      </c>
      <c r="B1260" s="1">
        <f>IFERROR(__xludf.DUMMYFUNCTION("""COMPUTED_VALUE"""),158.17)</f>
        <v>158.17</v>
      </c>
      <c r="C1260" s="1">
        <f>IFERROR(__xludf.DUMMYFUNCTION("""COMPUTED_VALUE"""),159.83)</f>
        <v>159.83</v>
      </c>
      <c r="D1260" s="1">
        <f>IFERROR(__xludf.DUMMYFUNCTION("""COMPUTED_VALUE"""),156.96)</f>
        <v>156.96</v>
      </c>
      <c r="E1260" s="1">
        <f>IFERROR(__xludf.DUMMYFUNCTION("""COMPUTED_VALUE"""),157.42)</f>
        <v>157.42</v>
      </c>
      <c r="F1260" s="1">
        <f>IFERROR(__xludf.DUMMYFUNCTION("""COMPUTED_VALUE"""),3.242715E7)</f>
        <v>32427150</v>
      </c>
    </row>
    <row r="1261">
      <c r="A1261" s="2">
        <f>IFERROR(__xludf.DUMMYFUNCTION("""COMPUTED_VALUE"""),45338.66666666667)</f>
        <v>45338.66667</v>
      </c>
      <c r="B1261" s="1">
        <f>IFERROR(__xludf.DUMMYFUNCTION("""COMPUTED_VALUE"""),157.36)</f>
        <v>157.36</v>
      </c>
      <c r="C1261" s="1">
        <f>IFERROR(__xludf.DUMMYFUNCTION("""COMPUTED_VALUE"""),158.97)</f>
        <v>158.97</v>
      </c>
      <c r="D1261" s="1">
        <f>IFERROR(__xludf.DUMMYFUNCTION("""COMPUTED_VALUE"""),154.91)</f>
        <v>154.91</v>
      </c>
      <c r="E1261" s="1">
        <f>IFERROR(__xludf.DUMMYFUNCTION("""COMPUTED_VALUE"""),157.51)</f>
        <v>157.51</v>
      </c>
      <c r="F1261" s="1">
        <f>IFERROR(__xludf.DUMMYFUNCTION("""COMPUTED_VALUE"""),3.0123395E7)</f>
        <v>30123395</v>
      </c>
    </row>
    <row r="1262">
      <c r="A1262" s="2">
        <f>IFERROR(__xludf.DUMMYFUNCTION("""COMPUTED_VALUE"""),45345.66666666667)</f>
        <v>45345.66667</v>
      </c>
      <c r="B1262" s="1">
        <f>IFERROR(__xludf.DUMMYFUNCTION("""COMPUTED_VALUE"""),158.7)</f>
        <v>158.7</v>
      </c>
      <c r="C1262" s="1">
        <f>IFERROR(__xludf.DUMMYFUNCTION("""COMPUTED_VALUE"""),161.74)</f>
        <v>161.74</v>
      </c>
      <c r="D1262" s="1">
        <f>IFERROR(__xludf.DUMMYFUNCTION("""COMPUTED_VALUE"""),158.13)</f>
        <v>158.13</v>
      </c>
      <c r="E1262" s="1">
        <f>IFERROR(__xludf.DUMMYFUNCTION("""COMPUTED_VALUE"""),161.03)</f>
        <v>161.03</v>
      </c>
      <c r="F1262" s="1">
        <f>IFERROR(__xludf.DUMMYFUNCTION("""COMPUTED_VALUE"""),2.5849346E7)</f>
        <v>25849346</v>
      </c>
    </row>
    <row r="1263">
      <c r="A1263" s="2">
        <f>IFERROR(__xludf.DUMMYFUNCTION("""COMPUTED_VALUE"""),45352.66666666667)</f>
        <v>45352.66667</v>
      </c>
      <c r="B1263" s="1">
        <f>IFERROR(__xludf.DUMMYFUNCTION("""COMPUTED_VALUE"""),161.03)</f>
        <v>161.03</v>
      </c>
      <c r="C1263" s="1">
        <f>IFERROR(__xludf.DUMMYFUNCTION("""COMPUTED_VALUE"""),161.17)</f>
        <v>161.17</v>
      </c>
      <c r="D1263" s="1">
        <f>IFERROR(__xludf.DUMMYFUNCTION("""COMPUTED_VALUE"""),157.61)</f>
        <v>157.61</v>
      </c>
      <c r="E1263" s="1">
        <f>IFERROR(__xludf.DUMMYFUNCTION("""COMPUTED_VALUE"""),158.85)</f>
        <v>158.85</v>
      </c>
      <c r="F1263" s="1">
        <f>IFERROR(__xludf.DUMMYFUNCTION("""COMPUTED_VALUE"""),2.5371386E7)</f>
        <v>25371386</v>
      </c>
    </row>
    <row r="1264">
      <c r="A1264" s="2">
        <f>IFERROR(__xludf.DUMMYFUNCTION("""COMPUTED_VALUE"""),45359.66666666667)</f>
        <v>45359.66667</v>
      </c>
      <c r="B1264" s="1">
        <f>IFERROR(__xludf.DUMMYFUNCTION("""COMPUTED_VALUE"""),157.74)</f>
        <v>157.74</v>
      </c>
      <c r="C1264" s="1">
        <f>IFERROR(__xludf.DUMMYFUNCTION("""COMPUTED_VALUE"""),161.25)</f>
        <v>161.25</v>
      </c>
      <c r="D1264" s="1">
        <f>IFERROR(__xludf.DUMMYFUNCTION("""COMPUTED_VALUE"""),157.67)</f>
        <v>157.67</v>
      </c>
      <c r="E1264" s="1">
        <f>IFERROR(__xludf.DUMMYFUNCTION("""COMPUTED_VALUE"""),160.35)</f>
        <v>160.35</v>
      </c>
      <c r="F1264" s="1">
        <f>IFERROR(__xludf.DUMMYFUNCTION("""COMPUTED_VALUE"""),2.3593225E7)</f>
        <v>23593225</v>
      </c>
    </row>
    <row r="1265">
      <c r="A1265" s="2">
        <f>IFERROR(__xludf.DUMMYFUNCTION("""COMPUTED_VALUE"""),45366.66666666667)</f>
        <v>45366.66667</v>
      </c>
      <c r="B1265" s="1">
        <f>IFERROR(__xludf.DUMMYFUNCTION("""COMPUTED_VALUE"""),161.34)</f>
        <v>161.34</v>
      </c>
      <c r="C1265" s="1">
        <f>IFERROR(__xludf.DUMMYFUNCTION("""COMPUTED_VALUE"""),162.73)</f>
        <v>162.73</v>
      </c>
      <c r="D1265" s="1">
        <f>IFERROR(__xludf.DUMMYFUNCTION("""COMPUTED_VALUE"""),160.3)</f>
        <v>160.3</v>
      </c>
      <c r="E1265" s="1">
        <f>IFERROR(__xludf.DUMMYFUNCTION("""COMPUTED_VALUE"""),161.38)</f>
        <v>161.38</v>
      </c>
      <c r="F1265" s="1">
        <f>IFERROR(__xludf.DUMMYFUNCTION("""COMPUTED_VALUE"""),3.1615744E7)</f>
        <v>31615744</v>
      </c>
    </row>
    <row r="1266">
      <c r="A1266" s="2">
        <f>IFERROR(__xludf.DUMMYFUNCTION("""COMPUTED_VALUE"""),45373.66666666667)</f>
        <v>45373.66667</v>
      </c>
      <c r="B1266" s="1">
        <f>IFERROR(__xludf.DUMMYFUNCTION("""COMPUTED_VALUE"""),161.48)</f>
        <v>161.48</v>
      </c>
      <c r="C1266" s="1">
        <f>IFERROR(__xludf.DUMMYFUNCTION("""COMPUTED_VALUE"""),162.72)</f>
        <v>162.72</v>
      </c>
      <c r="D1266" s="1">
        <f>IFERROR(__xludf.DUMMYFUNCTION("""COMPUTED_VALUE"""),161.0)</f>
        <v>161</v>
      </c>
      <c r="E1266" s="1">
        <f>IFERROR(__xludf.DUMMYFUNCTION("""COMPUTED_VALUE"""),161.66)</f>
        <v>161.66</v>
      </c>
      <c r="F1266" s="1">
        <f>IFERROR(__xludf.DUMMYFUNCTION("""COMPUTED_VALUE"""),2.8709905E7)</f>
        <v>28709905</v>
      </c>
    </row>
    <row r="1267">
      <c r="A1267" s="2">
        <f>IFERROR(__xludf.DUMMYFUNCTION("""COMPUTED_VALUE"""),45379.66666666667)</f>
        <v>45379.66667</v>
      </c>
      <c r="B1267" s="1">
        <f>IFERROR(__xludf.DUMMYFUNCTION("""COMPUTED_VALUE"""),161.17)</f>
        <v>161.17</v>
      </c>
      <c r="C1267" s="1">
        <f>IFERROR(__xludf.DUMMYFUNCTION("""COMPUTED_VALUE"""),163.14)</f>
        <v>163.14</v>
      </c>
      <c r="D1267" s="1">
        <f>IFERROR(__xludf.DUMMYFUNCTION("""COMPUTED_VALUE"""),159.73)</f>
        <v>159.73</v>
      </c>
      <c r="E1267" s="1">
        <f>IFERROR(__xludf.DUMMYFUNCTION("""COMPUTED_VALUE"""),162.25)</f>
        <v>162.25</v>
      </c>
      <c r="F1267" s="1">
        <f>IFERROR(__xludf.DUMMYFUNCTION("""COMPUTED_VALUE"""),2.6779824E7)</f>
        <v>26779824</v>
      </c>
    </row>
    <row r="1268">
      <c r="A1268" s="2">
        <f>IFERROR(__xludf.DUMMYFUNCTION("""COMPUTED_VALUE"""),45387.66666666667)</f>
        <v>45387.66667</v>
      </c>
      <c r="B1268" s="1">
        <f>IFERROR(__xludf.DUMMYFUNCTION("""COMPUTED_VALUE"""),161.78)</f>
        <v>161.78</v>
      </c>
      <c r="C1268" s="1">
        <f>IFERROR(__xludf.DUMMYFUNCTION("""COMPUTED_VALUE"""),162.07)</f>
        <v>162.07</v>
      </c>
      <c r="D1268" s="1">
        <f>IFERROR(__xludf.DUMMYFUNCTION("""COMPUTED_VALUE"""),154.69)</f>
        <v>154.69</v>
      </c>
      <c r="E1268" s="1">
        <f>IFERROR(__xludf.DUMMYFUNCTION("""COMPUTED_VALUE"""),156.1)</f>
        <v>156.1</v>
      </c>
      <c r="F1268" s="1">
        <f>IFERROR(__xludf.DUMMYFUNCTION("""COMPUTED_VALUE"""),3.4267923E7)</f>
        <v>34267923</v>
      </c>
    </row>
    <row r="1269">
      <c r="A1269" s="2">
        <f>IFERROR(__xludf.DUMMYFUNCTION("""COMPUTED_VALUE"""),45394.66666666667)</f>
        <v>45394.66667</v>
      </c>
      <c r="B1269" s="1">
        <f>IFERROR(__xludf.DUMMYFUNCTION("""COMPUTED_VALUE"""),155.97)</f>
        <v>155.97</v>
      </c>
      <c r="C1269" s="1">
        <f>IFERROR(__xludf.DUMMYFUNCTION("""COMPUTED_VALUE"""),157.6)</f>
        <v>157.6</v>
      </c>
      <c r="D1269" s="1">
        <f>IFERROR(__xludf.DUMMYFUNCTION("""COMPUTED_VALUE"""),154.74)</f>
        <v>154.74</v>
      </c>
      <c r="E1269" s="1">
        <f>IFERROR(__xludf.DUMMYFUNCTION("""COMPUTED_VALUE"""),155.33)</f>
        <v>155.33</v>
      </c>
      <c r="F1269" s="1">
        <f>IFERROR(__xludf.DUMMYFUNCTION("""COMPUTED_VALUE"""),3.2856011E7)</f>
        <v>32856011</v>
      </c>
    </row>
    <row r="1270">
      <c r="A1270" s="2">
        <f>IFERROR(__xludf.DUMMYFUNCTION("""COMPUTED_VALUE"""),45401.66666666667)</f>
        <v>45401.66667</v>
      </c>
      <c r="B1270" s="1">
        <f>IFERROR(__xludf.DUMMYFUNCTION("""COMPUTED_VALUE"""),156.42)</f>
        <v>156.42</v>
      </c>
      <c r="C1270" s="1">
        <f>IFERROR(__xludf.DUMMYFUNCTION("""COMPUTED_VALUE"""),158.18)</f>
        <v>158.18</v>
      </c>
      <c r="D1270" s="1">
        <f>IFERROR(__xludf.DUMMYFUNCTION("""COMPUTED_VALUE"""),153.52)</f>
        <v>153.52</v>
      </c>
      <c r="E1270" s="1">
        <f>IFERROR(__xludf.DUMMYFUNCTION("""COMPUTED_VALUE"""),158.14)</f>
        <v>158.14</v>
      </c>
      <c r="F1270" s="1">
        <f>IFERROR(__xludf.DUMMYFUNCTION("""COMPUTED_VALUE"""),3.8332636E7)</f>
        <v>38332636</v>
      </c>
    </row>
    <row r="1271">
      <c r="A1271" s="2">
        <f>IFERROR(__xludf.DUMMYFUNCTION("""COMPUTED_VALUE"""),45408.66666666667)</f>
        <v>45408.66667</v>
      </c>
      <c r="B1271" s="1">
        <f>IFERROR(__xludf.DUMMYFUNCTION("""COMPUTED_VALUE"""),158.43)</f>
        <v>158.43</v>
      </c>
      <c r="C1271" s="1">
        <f>IFERROR(__xludf.DUMMYFUNCTION("""COMPUTED_VALUE"""),164.32)</f>
        <v>164.32</v>
      </c>
      <c r="D1271" s="1">
        <f>IFERROR(__xludf.DUMMYFUNCTION("""COMPUTED_VALUE"""),157.25)</f>
        <v>157.25</v>
      </c>
      <c r="E1271" s="1">
        <f>IFERROR(__xludf.DUMMYFUNCTION("""COMPUTED_VALUE"""),161.29)</f>
        <v>161.29</v>
      </c>
      <c r="F1271" s="1">
        <f>IFERROR(__xludf.DUMMYFUNCTION("""COMPUTED_VALUE"""),3.6605544E7)</f>
        <v>36605544</v>
      </c>
    </row>
    <row r="1272">
      <c r="A1272" s="2">
        <f>IFERROR(__xludf.DUMMYFUNCTION("""COMPUTED_VALUE"""),45415.66666666667)</f>
        <v>45415.66667</v>
      </c>
      <c r="B1272" s="1">
        <f>IFERROR(__xludf.DUMMYFUNCTION("""COMPUTED_VALUE"""),161.17)</f>
        <v>161.17</v>
      </c>
      <c r="C1272" s="1">
        <f>IFERROR(__xludf.DUMMYFUNCTION("""COMPUTED_VALUE"""),164.71)</f>
        <v>164.71</v>
      </c>
      <c r="D1272" s="1">
        <f>IFERROR(__xludf.DUMMYFUNCTION("""COMPUTED_VALUE"""),160.41)</f>
        <v>160.41</v>
      </c>
      <c r="E1272" s="1">
        <f>IFERROR(__xludf.DUMMYFUNCTION("""COMPUTED_VALUE"""),164.46)</f>
        <v>164.46</v>
      </c>
      <c r="F1272" s="1">
        <f>IFERROR(__xludf.DUMMYFUNCTION("""COMPUTED_VALUE"""),3.1500598E7)</f>
        <v>31500598</v>
      </c>
    </row>
    <row r="1273">
      <c r="A1273" s="2">
        <f>IFERROR(__xludf.DUMMYFUNCTION("""COMPUTED_VALUE"""),45422.66666666667)</f>
        <v>45422.66667</v>
      </c>
      <c r="B1273" s="1">
        <f>IFERROR(__xludf.DUMMYFUNCTION("""COMPUTED_VALUE"""),164.78)</f>
        <v>164.78</v>
      </c>
      <c r="C1273" s="1">
        <f>IFERROR(__xludf.DUMMYFUNCTION("""COMPUTED_VALUE"""),167.36)</f>
        <v>167.36</v>
      </c>
      <c r="D1273" s="1">
        <f>IFERROR(__xludf.DUMMYFUNCTION("""COMPUTED_VALUE"""),163.26)</f>
        <v>163.26</v>
      </c>
      <c r="E1273" s="1">
        <f>IFERROR(__xludf.DUMMYFUNCTION("""COMPUTED_VALUE"""),166.85)</f>
        <v>166.85</v>
      </c>
      <c r="F1273" s="1">
        <f>IFERROR(__xludf.DUMMYFUNCTION("""COMPUTED_VALUE"""),2.6035663E7)</f>
        <v>26035663</v>
      </c>
    </row>
    <row r="1274">
      <c r="A1274" s="2">
        <f>IFERROR(__xludf.DUMMYFUNCTION("""COMPUTED_VALUE"""),45429.66666666667)</f>
        <v>45429.66667</v>
      </c>
      <c r="B1274" s="1">
        <f>IFERROR(__xludf.DUMMYFUNCTION("""COMPUTED_VALUE"""),166.85)</f>
        <v>166.85</v>
      </c>
      <c r="C1274" s="1">
        <f>IFERROR(__xludf.DUMMYFUNCTION("""COMPUTED_VALUE"""),168.34)</f>
        <v>168.34</v>
      </c>
      <c r="D1274" s="1">
        <f>IFERROR(__xludf.DUMMYFUNCTION("""COMPUTED_VALUE"""),163.95)</f>
        <v>163.95</v>
      </c>
      <c r="E1274" s="1">
        <f>IFERROR(__xludf.DUMMYFUNCTION("""COMPUTED_VALUE"""),167.64)</f>
        <v>167.64</v>
      </c>
      <c r="F1274" s="1">
        <f>IFERROR(__xludf.DUMMYFUNCTION("""COMPUTED_VALUE"""),2.8332748E7)</f>
        <v>28332748</v>
      </c>
    </row>
    <row r="1275">
      <c r="A1275" s="2">
        <f>IFERROR(__xludf.DUMMYFUNCTION("""COMPUTED_VALUE"""),45436.66666666667)</f>
        <v>45436.66667</v>
      </c>
      <c r="B1275" s="1">
        <f>IFERROR(__xludf.DUMMYFUNCTION("""COMPUTED_VALUE"""),167.55)</f>
        <v>167.55</v>
      </c>
      <c r="C1275" s="1">
        <f>IFERROR(__xludf.DUMMYFUNCTION("""COMPUTED_VALUE"""),168.54)</f>
        <v>168.54</v>
      </c>
      <c r="D1275" s="1">
        <f>IFERROR(__xludf.DUMMYFUNCTION("""COMPUTED_VALUE"""),165.15)</f>
        <v>165.15</v>
      </c>
      <c r="E1275" s="1">
        <f>IFERROR(__xludf.DUMMYFUNCTION("""COMPUTED_VALUE"""),165.33)</f>
        <v>165.33</v>
      </c>
      <c r="F1275" s="1">
        <f>IFERROR(__xludf.DUMMYFUNCTION("""COMPUTED_VALUE"""),2.2038503E7)</f>
        <v>22038503</v>
      </c>
    </row>
    <row r="1276">
      <c r="A1276" s="2">
        <f>IFERROR(__xludf.DUMMYFUNCTION("""COMPUTED_VALUE"""),45443.66666666667)</f>
        <v>45443.66667</v>
      </c>
      <c r="B1276" s="1">
        <f>IFERROR(__xludf.DUMMYFUNCTION("""COMPUTED_VALUE"""),164.49)</f>
        <v>164.49</v>
      </c>
      <c r="C1276" s="1">
        <f>IFERROR(__xludf.DUMMYFUNCTION("""COMPUTED_VALUE"""),164.77)</f>
        <v>164.77</v>
      </c>
      <c r="D1276" s="1">
        <f>IFERROR(__xludf.DUMMYFUNCTION("""COMPUTED_VALUE"""),161.42)</f>
        <v>161.42</v>
      </c>
      <c r="E1276" s="1">
        <f>IFERROR(__xludf.DUMMYFUNCTION("""COMPUTED_VALUE"""),164.54)</f>
        <v>164.54</v>
      </c>
      <c r="F1276" s="1">
        <f>IFERROR(__xludf.DUMMYFUNCTION("""COMPUTED_VALUE"""),2.5924674E7)</f>
        <v>25924674</v>
      </c>
    </row>
    <row r="1277">
      <c r="A1277" s="2">
        <f>IFERROR(__xludf.DUMMYFUNCTION("""COMPUTED_VALUE"""),45450.66666666667)</f>
        <v>45450.66667</v>
      </c>
      <c r="B1277" s="1">
        <f>IFERROR(__xludf.DUMMYFUNCTION("""COMPUTED_VALUE"""),163.93)</f>
        <v>163.93</v>
      </c>
      <c r="C1277" s="1">
        <f>IFERROR(__xludf.DUMMYFUNCTION("""COMPUTED_VALUE"""),168.97)</f>
        <v>168.97</v>
      </c>
      <c r="D1277" s="1">
        <f>IFERROR(__xludf.DUMMYFUNCTION("""COMPUTED_VALUE"""),163.63)</f>
        <v>163.63</v>
      </c>
      <c r="E1277" s="1">
        <f>IFERROR(__xludf.DUMMYFUNCTION("""COMPUTED_VALUE"""),167.06)</f>
        <v>167.06</v>
      </c>
      <c r="F1277" s="1">
        <f>IFERROR(__xludf.DUMMYFUNCTION("""COMPUTED_VALUE"""),2.8209221E7)</f>
        <v>28209221</v>
      </c>
    </row>
    <row r="1278">
      <c r="A1278" s="2">
        <f>IFERROR(__xludf.DUMMYFUNCTION("""COMPUTED_VALUE"""),45457.66666666667)</f>
        <v>45457.66667</v>
      </c>
      <c r="B1278" s="1">
        <f>IFERROR(__xludf.DUMMYFUNCTION("""COMPUTED_VALUE"""),166.78)</f>
        <v>166.78</v>
      </c>
      <c r="C1278" s="1">
        <f>IFERROR(__xludf.DUMMYFUNCTION("""COMPUTED_VALUE"""),167.72)</f>
        <v>167.72</v>
      </c>
      <c r="D1278" s="1">
        <f>IFERROR(__xludf.DUMMYFUNCTION("""COMPUTED_VALUE"""),164.22)</f>
        <v>164.22</v>
      </c>
      <c r="E1278" s="1">
        <f>IFERROR(__xludf.DUMMYFUNCTION("""COMPUTED_VALUE"""),166.79)</f>
        <v>166.79</v>
      </c>
      <c r="F1278" s="1">
        <f>IFERROR(__xludf.DUMMYFUNCTION("""COMPUTED_VALUE"""),2.2129991E7)</f>
        <v>22129991</v>
      </c>
    </row>
    <row r="1279">
      <c r="A1279" s="2">
        <f>IFERROR(__xludf.DUMMYFUNCTION("""COMPUTED_VALUE"""),45464.66666666667)</f>
        <v>45464.66667</v>
      </c>
      <c r="B1279" s="1">
        <f>IFERROR(__xludf.DUMMYFUNCTION("""COMPUTED_VALUE"""),165.85)</f>
        <v>165.85</v>
      </c>
      <c r="C1279" s="1">
        <f>IFERROR(__xludf.DUMMYFUNCTION("""COMPUTED_VALUE"""),168.88)</f>
        <v>168.88</v>
      </c>
      <c r="D1279" s="1">
        <f>IFERROR(__xludf.DUMMYFUNCTION("""COMPUTED_VALUE"""),165.4)</f>
        <v>165.4</v>
      </c>
      <c r="E1279" s="1">
        <f>IFERROR(__xludf.DUMMYFUNCTION("""COMPUTED_VALUE"""),168.26)</f>
        <v>168.26</v>
      </c>
      <c r="F1279" s="1">
        <f>IFERROR(__xludf.DUMMYFUNCTION("""COMPUTED_VALUE"""),3.5037653E7)</f>
        <v>35037653</v>
      </c>
    </row>
    <row r="1280">
      <c r="A1280" s="2">
        <f>IFERROR(__xludf.DUMMYFUNCTION("""COMPUTED_VALUE"""),45471.66666666667)</f>
        <v>45471.66667</v>
      </c>
      <c r="B1280" s="1">
        <f>IFERROR(__xludf.DUMMYFUNCTION("""COMPUTED_VALUE"""),168.76)</f>
        <v>168.76</v>
      </c>
      <c r="C1280" s="1">
        <f>IFERROR(__xludf.DUMMYFUNCTION("""COMPUTED_VALUE"""),169.41)</f>
        <v>169.41</v>
      </c>
      <c r="D1280" s="1">
        <f>IFERROR(__xludf.DUMMYFUNCTION("""COMPUTED_VALUE"""),164.58)</f>
        <v>164.58</v>
      </c>
      <c r="E1280" s="1">
        <f>IFERROR(__xludf.DUMMYFUNCTION("""COMPUTED_VALUE"""),164.92)</f>
        <v>164.92</v>
      </c>
      <c r="F1280" s="1">
        <f>IFERROR(__xludf.DUMMYFUNCTION("""COMPUTED_VALUE"""),3.5313625E7)</f>
        <v>35313625</v>
      </c>
    </row>
    <row r="1281">
      <c r="A1281" s="2">
        <f>IFERROR(__xludf.DUMMYFUNCTION("""COMPUTED_VALUE"""),45478.66666666667)</f>
        <v>45478.66667</v>
      </c>
      <c r="B1281" s="1">
        <f>IFERROR(__xludf.DUMMYFUNCTION("""COMPUTED_VALUE"""),165.59)</f>
        <v>165.59</v>
      </c>
      <c r="C1281" s="1">
        <f>IFERROR(__xludf.DUMMYFUNCTION("""COMPUTED_VALUE"""),166.21)</f>
        <v>166.21</v>
      </c>
      <c r="D1281" s="1">
        <f>IFERROR(__xludf.DUMMYFUNCTION("""COMPUTED_VALUE"""),161.71)</f>
        <v>161.71</v>
      </c>
      <c r="E1281" s="1">
        <f>IFERROR(__xludf.DUMMYFUNCTION("""COMPUTED_VALUE"""),165.21)</f>
        <v>165.21</v>
      </c>
      <c r="F1281" s="1">
        <f>IFERROR(__xludf.DUMMYFUNCTION("""COMPUTED_VALUE"""),2.2577567E7)</f>
        <v>22577567</v>
      </c>
    </row>
    <row r="1282">
      <c r="A1282" s="2">
        <f>IFERROR(__xludf.DUMMYFUNCTION("""COMPUTED_VALUE"""),45485.66666666667)</f>
        <v>45485.66667</v>
      </c>
      <c r="B1282" s="1">
        <f>IFERROR(__xludf.DUMMYFUNCTION("""COMPUTED_VALUE"""),165.95)</f>
        <v>165.95</v>
      </c>
      <c r="C1282" s="1">
        <f>IFERROR(__xludf.DUMMYFUNCTION("""COMPUTED_VALUE"""),167.64)</f>
        <v>167.64</v>
      </c>
      <c r="D1282" s="1">
        <f>IFERROR(__xludf.DUMMYFUNCTION("""COMPUTED_VALUE"""),164.78)</f>
        <v>164.78</v>
      </c>
      <c r="E1282" s="1">
        <f>IFERROR(__xludf.DUMMYFUNCTION("""COMPUTED_VALUE"""),166.61)</f>
        <v>166.61</v>
      </c>
      <c r="F1282" s="1">
        <f>IFERROR(__xludf.DUMMYFUNCTION("""COMPUTED_VALUE"""),2.5092437E7)</f>
        <v>25092437</v>
      </c>
    </row>
    <row r="1283">
      <c r="A1283" s="2">
        <f>IFERROR(__xludf.DUMMYFUNCTION("""COMPUTED_VALUE"""),45492.66666666667)</f>
        <v>45492.66667</v>
      </c>
      <c r="B1283" s="1">
        <f>IFERROR(__xludf.DUMMYFUNCTION("""COMPUTED_VALUE"""),166.47)</f>
        <v>166.47</v>
      </c>
      <c r="C1283" s="1">
        <f>IFERROR(__xludf.DUMMYFUNCTION("""COMPUTED_VALUE"""),170.92)</f>
        <v>170.92</v>
      </c>
      <c r="D1283" s="1">
        <f>IFERROR(__xludf.DUMMYFUNCTION("""COMPUTED_VALUE"""),164.46)</f>
        <v>164.46</v>
      </c>
      <c r="E1283" s="1">
        <f>IFERROR(__xludf.DUMMYFUNCTION("""COMPUTED_VALUE"""),167.96)</f>
        <v>167.96</v>
      </c>
      <c r="F1283" s="1">
        <f>IFERROR(__xludf.DUMMYFUNCTION("""COMPUTED_VALUE"""),3.2636589E7)</f>
        <v>32636589</v>
      </c>
    </row>
    <row r="1284">
      <c r="A1284" s="2">
        <f>IFERROR(__xludf.DUMMYFUNCTION("""COMPUTED_VALUE"""),45499.66666666667)</f>
        <v>45499.66667</v>
      </c>
      <c r="B1284" s="1">
        <f>IFERROR(__xludf.DUMMYFUNCTION("""COMPUTED_VALUE"""),167.93)</f>
        <v>167.93</v>
      </c>
      <c r="C1284" s="1">
        <f>IFERROR(__xludf.DUMMYFUNCTION("""COMPUTED_VALUE"""),170.09)</f>
        <v>170.09</v>
      </c>
      <c r="D1284" s="1">
        <f>IFERROR(__xludf.DUMMYFUNCTION("""COMPUTED_VALUE"""),165.58)</f>
        <v>165.58</v>
      </c>
      <c r="E1284" s="1">
        <f>IFERROR(__xludf.DUMMYFUNCTION("""COMPUTED_VALUE"""),169.11)</f>
        <v>169.11</v>
      </c>
      <c r="F1284" s="1">
        <f>IFERROR(__xludf.DUMMYFUNCTION("""COMPUTED_VALUE"""),3.0073499E7)</f>
        <v>30073499</v>
      </c>
    </row>
    <row r="1285">
      <c r="A1285" s="2">
        <f>IFERROR(__xludf.DUMMYFUNCTION("""COMPUTED_VALUE"""),45506.66666666667)</f>
        <v>45506.66667</v>
      </c>
      <c r="B1285" s="1">
        <f>IFERROR(__xludf.DUMMYFUNCTION("""COMPUTED_VALUE"""),168.85)</f>
        <v>168.85</v>
      </c>
      <c r="C1285" s="1">
        <f>IFERROR(__xludf.DUMMYFUNCTION("""COMPUTED_VALUE"""),170.54)</f>
        <v>170.54</v>
      </c>
      <c r="D1285" s="1">
        <f>IFERROR(__xludf.DUMMYFUNCTION("""COMPUTED_VALUE"""),158.04)</f>
        <v>158.04</v>
      </c>
      <c r="E1285" s="1">
        <f>IFERROR(__xludf.DUMMYFUNCTION("""COMPUTED_VALUE"""),170.08)</f>
        <v>170.08</v>
      </c>
      <c r="F1285" s="1">
        <f>IFERROR(__xludf.DUMMYFUNCTION("""COMPUTED_VALUE"""),5.6636726E7)</f>
        <v>56636726</v>
      </c>
    </row>
    <row r="1286">
      <c r="A1286" s="2">
        <f>IFERROR(__xludf.DUMMYFUNCTION("""COMPUTED_VALUE"""),45513.66666666667)</f>
        <v>45513.66667</v>
      </c>
      <c r="B1286" s="1">
        <f>IFERROR(__xludf.DUMMYFUNCTION("""COMPUTED_VALUE"""),170.88)</f>
        <v>170.88</v>
      </c>
      <c r="C1286" s="1">
        <f>IFERROR(__xludf.DUMMYFUNCTION("""COMPUTED_VALUE"""),171.72)</f>
        <v>171.72</v>
      </c>
      <c r="D1286" s="1">
        <f>IFERROR(__xludf.DUMMYFUNCTION("""COMPUTED_VALUE"""),166.67)</f>
        <v>166.67</v>
      </c>
      <c r="E1286" s="1">
        <f>IFERROR(__xludf.DUMMYFUNCTION("""COMPUTED_VALUE"""),170.54)</f>
        <v>170.54</v>
      </c>
      <c r="F1286" s="1">
        <f>IFERROR(__xludf.DUMMYFUNCTION("""COMPUTED_VALUE"""),3.7943501E7)</f>
        <v>37943501</v>
      </c>
    </row>
    <row r="1287">
      <c r="A1287" s="2">
        <f>IFERROR(__xludf.DUMMYFUNCTION("""COMPUTED_VALUE"""),45520.66666666667)</f>
        <v>45520.66667</v>
      </c>
      <c r="B1287" s="1">
        <f>IFERROR(__xludf.DUMMYFUNCTION("""COMPUTED_VALUE"""),169.4)</f>
        <v>169.4</v>
      </c>
      <c r="C1287" s="1">
        <f>IFERROR(__xludf.DUMMYFUNCTION("""COMPUTED_VALUE"""),169.68)</f>
        <v>169.68</v>
      </c>
      <c r="D1287" s="1">
        <f>IFERROR(__xludf.DUMMYFUNCTION("""COMPUTED_VALUE"""),165.82)</f>
        <v>165.82</v>
      </c>
      <c r="E1287" s="1">
        <f>IFERROR(__xludf.DUMMYFUNCTION("""COMPUTED_VALUE"""),167.89)</f>
        <v>167.89</v>
      </c>
      <c r="F1287" s="1">
        <f>IFERROR(__xludf.DUMMYFUNCTION("""COMPUTED_VALUE"""),3.1587335E7)</f>
        <v>31587335</v>
      </c>
    </row>
    <row r="1288">
      <c r="A1288" s="2">
        <f>IFERROR(__xludf.DUMMYFUNCTION("""COMPUTED_VALUE"""),45527.66666666667)</f>
        <v>45527.66667</v>
      </c>
      <c r="B1288" s="1">
        <f>IFERROR(__xludf.DUMMYFUNCTION("""COMPUTED_VALUE"""),168.18)</f>
        <v>168.18</v>
      </c>
      <c r="C1288" s="1">
        <f>IFERROR(__xludf.DUMMYFUNCTION("""COMPUTED_VALUE"""),171.89)</f>
        <v>171.89</v>
      </c>
      <c r="D1288" s="1">
        <f>IFERROR(__xludf.DUMMYFUNCTION("""COMPUTED_VALUE"""),168.11)</f>
        <v>168.11</v>
      </c>
      <c r="E1288" s="1">
        <f>IFERROR(__xludf.DUMMYFUNCTION("""COMPUTED_VALUE"""),169.17)</f>
        <v>169.17</v>
      </c>
      <c r="F1288" s="1">
        <f>IFERROR(__xludf.DUMMYFUNCTION("""COMPUTED_VALUE"""),2.134959E7)</f>
        <v>21349590</v>
      </c>
    </row>
    <row r="1289">
      <c r="A1289" s="2">
        <f>IFERROR(__xludf.DUMMYFUNCTION("""COMPUTED_VALUE"""),45534.66666666667)</f>
        <v>45534.66667</v>
      </c>
      <c r="B1289" s="1">
        <f>IFERROR(__xludf.DUMMYFUNCTION("""COMPUTED_VALUE"""),168.7)</f>
        <v>168.7</v>
      </c>
      <c r="C1289" s="1">
        <f>IFERROR(__xludf.DUMMYFUNCTION("""COMPUTED_VALUE"""),171.88)</f>
        <v>171.88</v>
      </c>
      <c r="D1289" s="1">
        <f>IFERROR(__xludf.DUMMYFUNCTION("""COMPUTED_VALUE"""),168.58)</f>
        <v>168.58</v>
      </c>
      <c r="E1289" s="1">
        <f>IFERROR(__xludf.DUMMYFUNCTION("""COMPUTED_VALUE"""),171.54)</f>
        <v>171.54</v>
      </c>
      <c r="F1289" s="1">
        <f>IFERROR(__xludf.DUMMYFUNCTION("""COMPUTED_VALUE"""),2.8288874E7)</f>
        <v>28288874</v>
      </c>
    </row>
    <row r="1290">
      <c r="A1290" s="2">
        <f>IFERROR(__xludf.DUMMYFUNCTION("""COMPUTED_VALUE"""),45541.66666666667)</f>
        <v>45541.66667</v>
      </c>
      <c r="B1290" s="1">
        <f>IFERROR(__xludf.DUMMYFUNCTION("""COMPUTED_VALUE"""),171.03)</f>
        <v>171.03</v>
      </c>
      <c r="C1290" s="1">
        <f>IFERROR(__xludf.DUMMYFUNCTION("""COMPUTED_VALUE"""),177.04)</f>
        <v>177.04</v>
      </c>
      <c r="D1290" s="1">
        <f>IFERROR(__xludf.DUMMYFUNCTION("""COMPUTED_VALUE"""),170.99)</f>
        <v>170.99</v>
      </c>
      <c r="E1290" s="1">
        <f>IFERROR(__xludf.DUMMYFUNCTION("""COMPUTED_VALUE"""),175.59)</f>
        <v>175.59</v>
      </c>
      <c r="F1290" s="1">
        <f>IFERROR(__xludf.DUMMYFUNCTION("""COMPUTED_VALUE"""),2.9466493E7)</f>
        <v>29466493</v>
      </c>
    </row>
    <row r="1291">
      <c r="A1291" s="2">
        <f>IFERROR(__xludf.DUMMYFUNCTION("""COMPUTED_VALUE"""),45548.66666666667)</f>
        <v>45548.66667</v>
      </c>
      <c r="B1291" s="1">
        <f>IFERROR(__xludf.DUMMYFUNCTION("""COMPUTED_VALUE"""),175.54)</f>
        <v>175.54</v>
      </c>
      <c r="C1291" s="1">
        <f>IFERROR(__xludf.DUMMYFUNCTION("""COMPUTED_VALUE"""),177.94)</f>
        <v>177.94</v>
      </c>
      <c r="D1291" s="1">
        <f>IFERROR(__xludf.DUMMYFUNCTION("""COMPUTED_VALUE"""),172.44)</f>
        <v>172.44</v>
      </c>
      <c r="E1291" s="1">
        <f>IFERROR(__xludf.DUMMYFUNCTION("""COMPUTED_VALUE"""),174.08)</f>
        <v>174.08</v>
      </c>
      <c r="F1291" s="1">
        <f>IFERROR(__xludf.DUMMYFUNCTION("""COMPUTED_VALUE"""),2.8432426E7)</f>
        <v>28432426</v>
      </c>
    </row>
    <row r="1292">
      <c r="A1292" s="2">
        <f>IFERROR(__xludf.DUMMYFUNCTION("""COMPUTED_VALUE"""),45555.66666666667)</f>
        <v>45555.66667</v>
      </c>
      <c r="B1292" s="1">
        <f>IFERROR(__xludf.DUMMYFUNCTION("""COMPUTED_VALUE"""),174.71)</f>
        <v>174.71</v>
      </c>
      <c r="C1292" s="1">
        <f>IFERROR(__xludf.DUMMYFUNCTION("""COMPUTED_VALUE"""),177.31)</f>
        <v>177.31</v>
      </c>
      <c r="D1292" s="1">
        <f>IFERROR(__xludf.DUMMYFUNCTION("""COMPUTED_VALUE"""),170.38)</f>
        <v>170.38</v>
      </c>
      <c r="E1292" s="1">
        <f>IFERROR(__xludf.DUMMYFUNCTION("""COMPUTED_VALUE"""),174.22)</f>
        <v>174.22</v>
      </c>
      <c r="F1292" s="1">
        <f>IFERROR(__xludf.DUMMYFUNCTION("""COMPUTED_VALUE"""),5.4091944E7)</f>
        <v>54091944</v>
      </c>
    </row>
    <row r="1293">
      <c r="A1293" s="2">
        <f>IFERROR(__xludf.DUMMYFUNCTION("""COMPUTED_VALUE"""),45562.66666666667)</f>
        <v>45562.66667</v>
      </c>
      <c r="B1293" s="1">
        <f>IFERROR(__xludf.DUMMYFUNCTION("""COMPUTED_VALUE"""),174.01)</f>
        <v>174.01</v>
      </c>
      <c r="C1293" s="1">
        <f>IFERROR(__xludf.DUMMYFUNCTION("""COMPUTED_VALUE"""),175.19)</f>
        <v>175.19</v>
      </c>
      <c r="D1293" s="1">
        <f>IFERROR(__xludf.DUMMYFUNCTION("""COMPUTED_VALUE"""),171.36)</f>
        <v>171.36</v>
      </c>
      <c r="E1293" s="1">
        <f>IFERROR(__xludf.DUMMYFUNCTION("""COMPUTED_VALUE"""),173.55)</f>
        <v>173.55</v>
      </c>
      <c r="F1293" s="1">
        <f>IFERROR(__xludf.DUMMYFUNCTION("""COMPUTED_VALUE"""),3.4161109E7)</f>
        <v>34161109</v>
      </c>
    </row>
    <row r="1294">
      <c r="A1294" s="2">
        <f>IFERROR(__xludf.DUMMYFUNCTION("""COMPUTED_VALUE"""),45569.66666666667)</f>
        <v>45569.66667</v>
      </c>
      <c r="B1294" s="1">
        <f>IFERROR(__xludf.DUMMYFUNCTION("""COMPUTED_VALUE"""),173.73)</f>
        <v>173.73</v>
      </c>
      <c r="C1294" s="1">
        <f>IFERROR(__xludf.DUMMYFUNCTION("""COMPUTED_VALUE"""),174.0)</f>
        <v>174</v>
      </c>
      <c r="D1294" s="1">
        <f>IFERROR(__xludf.DUMMYFUNCTION("""COMPUTED_VALUE"""),168.26)</f>
        <v>168.26</v>
      </c>
      <c r="E1294" s="1">
        <f>IFERROR(__xludf.DUMMYFUNCTION("""COMPUTED_VALUE"""),168.88)</f>
        <v>168.88</v>
      </c>
      <c r="F1294" s="1">
        <f>IFERROR(__xludf.DUMMYFUNCTION("""COMPUTED_VALUE"""),3.0438384E7)</f>
        <v>30438384</v>
      </c>
    </row>
    <row r="1295">
      <c r="A1295" s="2">
        <f>IFERROR(__xludf.DUMMYFUNCTION("""COMPUTED_VALUE"""),45576.66666666667)</f>
        <v>45576.66667</v>
      </c>
      <c r="B1295" s="1">
        <f>IFERROR(__xludf.DUMMYFUNCTION("""COMPUTED_VALUE"""),169.16)</f>
        <v>169.16</v>
      </c>
      <c r="C1295" s="1">
        <f>IFERROR(__xludf.DUMMYFUNCTION("""COMPUTED_VALUE"""),171.41)</f>
        <v>171.41</v>
      </c>
      <c r="D1295" s="1">
        <f>IFERROR(__xludf.DUMMYFUNCTION("""COMPUTED_VALUE"""),166.27)</f>
        <v>166.27</v>
      </c>
      <c r="E1295" s="1">
        <f>IFERROR(__xludf.DUMMYFUNCTION("""COMPUTED_VALUE"""),171.09)</f>
        <v>171.09</v>
      </c>
      <c r="F1295" s="1">
        <f>IFERROR(__xludf.DUMMYFUNCTION("""COMPUTED_VALUE"""),3.652584E7)</f>
        <v>36525840</v>
      </c>
    </row>
    <row r="1296">
      <c r="A1296" s="2">
        <f>IFERROR(__xludf.DUMMYFUNCTION("""COMPUTED_VALUE"""),45583.66666666667)</f>
        <v>45583.66667</v>
      </c>
      <c r="B1296" s="1">
        <f>IFERROR(__xludf.DUMMYFUNCTION("""COMPUTED_VALUE"""),171.02)</f>
        <v>171.02</v>
      </c>
      <c r="C1296" s="1">
        <f>IFERROR(__xludf.DUMMYFUNCTION("""COMPUTED_VALUE"""),174.91)</f>
        <v>174.91</v>
      </c>
      <c r="D1296" s="1">
        <f>IFERROR(__xludf.DUMMYFUNCTION("""COMPUTED_VALUE"""),168.46)</f>
        <v>168.46</v>
      </c>
      <c r="E1296" s="1">
        <f>IFERROR(__xludf.DUMMYFUNCTION("""COMPUTED_VALUE"""),171.28)</f>
        <v>171.28</v>
      </c>
      <c r="F1296" s="1">
        <f>IFERROR(__xludf.DUMMYFUNCTION("""COMPUTED_VALUE"""),3.4616595E7)</f>
        <v>34616595</v>
      </c>
    </row>
    <row r="1297">
      <c r="A1297" s="2">
        <f>IFERROR(__xludf.DUMMYFUNCTION("""COMPUTED_VALUE"""),45590.66666666667)</f>
        <v>45590.66667</v>
      </c>
      <c r="B1297" s="1">
        <f>IFERROR(__xludf.DUMMYFUNCTION("""COMPUTED_VALUE"""),170.98)</f>
        <v>170.98</v>
      </c>
      <c r="C1297" s="1">
        <f>IFERROR(__xludf.DUMMYFUNCTION("""COMPUTED_VALUE"""),171.48)</f>
        <v>171.48</v>
      </c>
      <c r="D1297" s="1">
        <f>IFERROR(__xludf.DUMMYFUNCTION("""COMPUTED_VALUE"""),168.04)</f>
        <v>168.04</v>
      </c>
      <c r="E1297" s="1">
        <f>IFERROR(__xludf.DUMMYFUNCTION("""COMPUTED_VALUE"""),168.22)</f>
        <v>168.22</v>
      </c>
      <c r="F1297" s="1">
        <f>IFERROR(__xludf.DUMMYFUNCTION("""COMPUTED_VALUE"""),2.8611155E7)</f>
        <v>28611155</v>
      </c>
    </row>
    <row r="1298">
      <c r="A1298" s="2">
        <f>IFERROR(__xludf.DUMMYFUNCTION("""COMPUTED_VALUE"""),45597.66666666667)</f>
        <v>45597.66667</v>
      </c>
      <c r="B1298" s="1">
        <f>IFERROR(__xludf.DUMMYFUNCTION("""COMPUTED_VALUE"""),169.28)</f>
        <v>169.28</v>
      </c>
      <c r="C1298" s="1">
        <f>IFERROR(__xludf.DUMMYFUNCTION("""COMPUTED_VALUE"""),169.66)</f>
        <v>169.66</v>
      </c>
      <c r="D1298" s="1">
        <f>IFERROR(__xludf.DUMMYFUNCTION("""COMPUTED_VALUE"""),164.99)</f>
        <v>164.99</v>
      </c>
      <c r="E1298" s="1">
        <f>IFERROR(__xludf.DUMMYFUNCTION("""COMPUTED_VALUE"""),165.1)</f>
        <v>165.1</v>
      </c>
      <c r="F1298" s="1">
        <f>IFERROR(__xludf.DUMMYFUNCTION("""COMPUTED_VALUE"""),2.8465095E7)</f>
        <v>28465095</v>
      </c>
    </row>
    <row r="1299">
      <c r="A1299" s="2">
        <f>IFERROR(__xludf.DUMMYFUNCTION("""COMPUTED_VALUE"""),45604.66666666667)</f>
        <v>45604.66667</v>
      </c>
      <c r="B1299" s="1">
        <f>IFERROR(__xludf.DUMMYFUNCTION("""COMPUTED_VALUE"""),165.72)</f>
        <v>165.72</v>
      </c>
      <c r="C1299" s="1">
        <f>IFERROR(__xludf.DUMMYFUNCTION("""COMPUTED_VALUE"""),167.75)</f>
        <v>167.75</v>
      </c>
      <c r="D1299" s="1">
        <f>IFERROR(__xludf.DUMMYFUNCTION("""COMPUTED_VALUE"""),159.81)</f>
        <v>159.81</v>
      </c>
      <c r="E1299" s="1">
        <f>IFERROR(__xludf.DUMMYFUNCTION("""COMPUTED_VALUE"""),167.71)</f>
        <v>167.71</v>
      </c>
      <c r="F1299" s="1">
        <f>IFERROR(__xludf.DUMMYFUNCTION("""COMPUTED_VALUE"""),3.7564758E7)</f>
        <v>37564758</v>
      </c>
    </row>
    <row r="1300">
      <c r="A1300" s="2">
        <f>IFERROR(__xludf.DUMMYFUNCTION("""COMPUTED_VALUE"""),45611.66666666667)</f>
        <v>45611.66667</v>
      </c>
      <c r="B1300" s="1">
        <f>IFERROR(__xludf.DUMMYFUNCTION("""COMPUTED_VALUE"""),167.0)</f>
        <v>167</v>
      </c>
      <c r="C1300" s="1">
        <f>IFERROR(__xludf.DUMMYFUNCTION("""COMPUTED_VALUE"""),170.57)</f>
        <v>170.57</v>
      </c>
      <c r="D1300" s="1">
        <f>IFERROR(__xludf.DUMMYFUNCTION("""COMPUTED_VALUE"""),165.57)</f>
        <v>165.57</v>
      </c>
      <c r="E1300" s="1">
        <f>IFERROR(__xludf.DUMMYFUNCTION("""COMPUTED_VALUE"""),169.54)</f>
        <v>169.54</v>
      </c>
      <c r="F1300" s="1">
        <f>IFERROR(__xludf.DUMMYFUNCTION("""COMPUTED_VALUE"""),3.5668481E7)</f>
        <v>35668481</v>
      </c>
    </row>
    <row r="1301">
      <c r="A1301" s="2">
        <f>IFERROR(__xludf.DUMMYFUNCTION("""COMPUTED_VALUE"""),45618.66666666667)</f>
        <v>45618.66667</v>
      </c>
      <c r="B1301" s="1">
        <f>IFERROR(__xludf.DUMMYFUNCTION("""COMPUTED_VALUE"""),169.11)</f>
        <v>169.11</v>
      </c>
      <c r="C1301" s="1">
        <f>IFERROR(__xludf.DUMMYFUNCTION("""COMPUTED_VALUE"""),177.4)</f>
        <v>177.4</v>
      </c>
      <c r="D1301" s="1">
        <f>IFERROR(__xludf.DUMMYFUNCTION("""COMPUTED_VALUE"""),168.83)</f>
        <v>168.83</v>
      </c>
      <c r="E1301" s="1">
        <f>IFERROR(__xludf.DUMMYFUNCTION("""COMPUTED_VALUE"""),176.28)</f>
        <v>176.28</v>
      </c>
      <c r="F1301" s="1">
        <f>IFERROR(__xludf.DUMMYFUNCTION("""COMPUTED_VALUE"""),3.6296185E7)</f>
        <v>36296185</v>
      </c>
    </row>
    <row r="1302">
      <c r="A1302" s="2">
        <f>IFERROR(__xludf.DUMMYFUNCTION("""COMPUTED_VALUE"""),45625.54166666667)</f>
        <v>45625.54167</v>
      </c>
      <c r="B1302" s="1">
        <f>IFERROR(__xludf.DUMMYFUNCTION("""COMPUTED_VALUE"""),177.48)</f>
        <v>177.48</v>
      </c>
      <c r="C1302" s="1">
        <f>IFERROR(__xludf.DUMMYFUNCTION("""COMPUTED_VALUE"""),180.43)</f>
        <v>180.43</v>
      </c>
      <c r="D1302" s="1">
        <f>IFERROR(__xludf.DUMMYFUNCTION("""COMPUTED_VALUE"""),176.9)</f>
        <v>176.9</v>
      </c>
      <c r="E1302" s="1">
        <f>IFERROR(__xludf.DUMMYFUNCTION("""COMPUTED_VALUE"""),179.26)</f>
        <v>179.26</v>
      </c>
      <c r="F1302" s="1">
        <f>IFERROR(__xludf.DUMMYFUNCTION("""COMPUTED_VALUE"""),3.4980558E7)</f>
        <v>34980558</v>
      </c>
    </row>
    <row r="1303">
      <c r="A1303" s="2">
        <f>IFERROR(__xludf.DUMMYFUNCTION("""COMPUTED_VALUE"""),45632.66666666667)</f>
        <v>45632.66667</v>
      </c>
      <c r="B1303" s="1">
        <f>IFERROR(__xludf.DUMMYFUNCTION("""COMPUTED_VALUE"""),179.12)</f>
        <v>179.12</v>
      </c>
      <c r="C1303" s="1">
        <f>IFERROR(__xludf.DUMMYFUNCTION("""COMPUTED_VALUE"""),180.16)</f>
        <v>180.16</v>
      </c>
      <c r="D1303" s="1">
        <f>IFERROR(__xludf.DUMMYFUNCTION("""COMPUTED_VALUE"""),173.46)</f>
        <v>173.46</v>
      </c>
      <c r="E1303" s="1">
        <f>IFERROR(__xludf.DUMMYFUNCTION("""COMPUTED_VALUE"""),173.82)</f>
        <v>173.82</v>
      </c>
      <c r="F1303" s="1">
        <f>IFERROR(__xludf.DUMMYFUNCTION("""COMPUTED_VALUE"""),3.1442641E7)</f>
        <v>31442641</v>
      </c>
    </row>
    <row r="1304">
      <c r="A1304" s="2">
        <f>IFERROR(__xludf.DUMMYFUNCTION("""COMPUTED_VALUE"""),45639.66666666667)</f>
        <v>45639.66667</v>
      </c>
      <c r="B1304" s="1">
        <f>IFERROR(__xludf.DUMMYFUNCTION("""COMPUTED_VALUE"""),173.64)</f>
        <v>173.64</v>
      </c>
      <c r="C1304" s="1">
        <f>IFERROR(__xludf.DUMMYFUNCTION("""COMPUTED_VALUE"""),173.76)</f>
        <v>173.76</v>
      </c>
      <c r="D1304" s="1">
        <f>IFERROR(__xludf.DUMMYFUNCTION("""COMPUTED_VALUE"""),169.93)</f>
        <v>169.93</v>
      </c>
      <c r="E1304" s="1">
        <f>IFERROR(__xludf.DUMMYFUNCTION("""COMPUTED_VALUE"""),171.06)</f>
        <v>171.06</v>
      </c>
      <c r="F1304" s="1">
        <f>IFERROR(__xludf.DUMMYFUNCTION("""COMPUTED_VALUE"""),2.657923E7)</f>
        <v>26579230</v>
      </c>
    </row>
    <row r="1305">
      <c r="A1305" s="2">
        <f>IFERROR(__xludf.DUMMYFUNCTION("""COMPUTED_VALUE"""),45646.66666666667)</f>
        <v>45646.66667</v>
      </c>
      <c r="B1305" s="1">
        <f>IFERROR(__xludf.DUMMYFUNCTION("""COMPUTED_VALUE"""),171.45)</f>
        <v>171.45</v>
      </c>
      <c r="C1305" s="1">
        <f>IFERROR(__xludf.DUMMYFUNCTION("""COMPUTED_VALUE"""),172.78)</f>
        <v>172.78</v>
      </c>
      <c r="D1305" s="1">
        <f>IFERROR(__xludf.DUMMYFUNCTION("""COMPUTED_VALUE"""),167.35)</f>
        <v>167.35</v>
      </c>
      <c r="E1305" s="1">
        <f>IFERROR(__xludf.DUMMYFUNCTION("""COMPUTED_VALUE"""),168.06)</f>
        <v>168.06</v>
      </c>
      <c r="F1305" s="1">
        <f>IFERROR(__xludf.DUMMYFUNCTION("""COMPUTED_VALUE"""),5.0114667E7)</f>
        <v>50114667</v>
      </c>
    </row>
    <row r="1306">
      <c r="A1306" s="2">
        <f>IFERROR(__xludf.DUMMYFUNCTION("""COMPUTED_VALUE"""),45653.66666666667)</f>
        <v>45653.66667</v>
      </c>
      <c r="B1306" s="1">
        <f>IFERROR(__xludf.DUMMYFUNCTION("""COMPUTED_VALUE"""),168.06)</f>
        <v>168.06</v>
      </c>
      <c r="C1306" s="1">
        <f>IFERROR(__xludf.DUMMYFUNCTION("""COMPUTED_VALUE"""),170.76)</f>
        <v>170.76</v>
      </c>
      <c r="D1306" s="1">
        <f>IFERROR(__xludf.DUMMYFUNCTION("""COMPUTED_VALUE"""),166.36)</f>
        <v>166.36</v>
      </c>
      <c r="E1306" s="1">
        <f>IFERROR(__xludf.DUMMYFUNCTION("""COMPUTED_VALUE"""),169.53)</f>
        <v>169.53</v>
      </c>
      <c r="F1306" s="1">
        <f>IFERROR(__xludf.DUMMYFUNCTION("""COMPUTED_VALUE"""),1.7442247E7)</f>
        <v>17442247</v>
      </c>
    </row>
    <row r="1307">
      <c r="A1307" s="2">
        <f>IFERROR(__xludf.DUMMYFUNCTION("""COMPUTED_VALUE"""),45660.66666666667)</f>
        <v>45660.66667</v>
      </c>
      <c r="B1307" s="1">
        <f>IFERROR(__xludf.DUMMYFUNCTION("""COMPUTED_VALUE"""),168.67)</f>
        <v>168.67</v>
      </c>
      <c r="C1307" s="1">
        <f>IFERROR(__xludf.DUMMYFUNCTION("""COMPUTED_VALUE"""),168.98)</f>
        <v>168.98</v>
      </c>
      <c r="D1307" s="1">
        <f>IFERROR(__xludf.DUMMYFUNCTION("""COMPUTED_VALUE"""),164.25)</f>
        <v>164.25</v>
      </c>
      <c r="E1307" s="1">
        <f>IFERROR(__xludf.DUMMYFUNCTION("""COMPUTED_VALUE"""),165.13)</f>
        <v>165.13</v>
      </c>
      <c r="F1307" s="1">
        <f>IFERROR(__xludf.DUMMYFUNCTION("""COMPUTED_VALUE"""),1.8970982E7)</f>
        <v>18970982</v>
      </c>
    </row>
    <row r="1308">
      <c r="A1308" s="2">
        <f>IFERROR(__xludf.DUMMYFUNCTION("""COMPUTED_VALUE"""),45667.66666666667)</f>
        <v>45667.66667</v>
      </c>
      <c r="B1308" s="1">
        <f>IFERROR(__xludf.DUMMYFUNCTION("""COMPUTED_VALUE"""),162.81)</f>
        <v>162.81</v>
      </c>
      <c r="C1308" s="1">
        <f>IFERROR(__xludf.DUMMYFUNCTION("""COMPUTED_VALUE"""),163.5)</f>
        <v>163.5</v>
      </c>
      <c r="D1308" s="1">
        <f>IFERROR(__xludf.DUMMYFUNCTION("""COMPUTED_VALUE"""),157.47)</f>
        <v>157.47</v>
      </c>
      <c r="E1308" s="1">
        <f>IFERROR(__xludf.DUMMYFUNCTION("""COMPUTED_VALUE"""),158.56)</f>
        <v>158.56</v>
      </c>
      <c r="F1308" s="1">
        <f>IFERROR(__xludf.DUMMYFUNCTION("""COMPUTED_VALUE"""),3.0655723E7)</f>
        <v>30655723</v>
      </c>
    </row>
    <row r="1309">
      <c r="A1309" s="2">
        <f>IFERROR(__xludf.DUMMYFUNCTION("""COMPUTED_VALUE"""),45674.66666666667)</f>
        <v>45674.66667</v>
      </c>
      <c r="B1309" s="1">
        <f>IFERROR(__xludf.DUMMYFUNCTION("""COMPUTED_VALUE"""),159.35)</f>
        <v>159.35</v>
      </c>
      <c r="C1309" s="1">
        <f>IFERROR(__xludf.DUMMYFUNCTION("""COMPUTED_VALUE"""),161.75)</f>
        <v>161.75</v>
      </c>
      <c r="D1309" s="1">
        <f>IFERROR(__xludf.DUMMYFUNCTION("""COMPUTED_VALUE"""),158.31)</f>
        <v>158.31</v>
      </c>
      <c r="E1309" s="1">
        <f>IFERROR(__xludf.DUMMYFUNCTION("""COMPUTED_VALUE"""),161.13)</f>
        <v>161.13</v>
      </c>
      <c r="F1309" s="1">
        <f>IFERROR(__xludf.DUMMYFUNCTION("""COMPUTED_VALUE"""),3.3850851E7)</f>
        <v>33850851</v>
      </c>
    </row>
    <row r="1310">
      <c r="A1310" s="2">
        <f>IFERROR(__xludf.DUMMYFUNCTION("""COMPUTED_VALUE"""),45681.66666666667)</f>
        <v>45681.66667</v>
      </c>
      <c r="B1310" s="1">
        <f>IFERROR(__xludf.DUMMYFUNCTION("""COMPUTED_VALUE"""),161.42)</f>
        <v>161.42</v>
      </c>
      <c r="C1310" s="1">
        <f>IFERROR(__xludf.DUMMYFUNCTION("""COMPUTED_VALUE"""),168.14)</f>
        <v>168.14</v>
      </c>
      <c r="D1310" s="1">
        <f>IFERROR(__xludf.DUMMYFUNCTION("""COMPUTED_VALUE"""),160.96)</f>
        <v>160.96</v>
      </c>
      <c r="E1310" s="1">
        <f>IFERROR(__xludf.DUMMYFUNCTION("""COMPUTED_VALUE"""),164.12)</f>
        <v>164.12</v>
      </c>
      <c r="F1310" s="1">
        <f>IFERROR(__xludf.DUMMYFUNCTION("""COMPUTED_VALUE"""),4.2085632E7)</f>
        <v>42085632</v>
      </c>
    </row>
    <row r="1311">
      <c r="A1311" s="2">
        <f>IFERROR(__xludf.DUMMYFUNCTION("""COMPUTED_VALUE"""),45688.66666666667)</f>
        <v>45688.66667</v>
      </c>
      <c r="B1311" s="1">
        <f>IFERROR(__xludf.DUMMYFUNCTION("""COMPUTED_VALUE"""),166.72)</f>
        <v>166.72</v>
      </c>
      <c r="C1311" s="1">
        <f>IFERROR(__xludf.DUMMYFUNCTION("""COMPUTED_VALUE"""),169.94)</f>
        <v>169.94</v>
      </c>
      <c r="D1311" s="1">
        <f>IFERROR(__xludf.DUMMYFUNCTION("""COMPUTED_VALUE"""),165.21)</f>
        <v>165.21</v>
      </c>
      <c r="E1311" s="1">
        <f>IFERROR(__xludf.DUMMYFUNCTION("""COMPUTED_VALUE"""),165.99)</f>
        <v>165.99</v>
      </c>
      <c r="F1311" s="1">
        <f>IFERROR(__xludf.DUMMYFUNCTION("""COMPUTED_VALUE"""),3.033896E7)</f>
        <v>30338960</v>
      </c>
    </row>
    <row r="1312">
      <c r="A1312" s="2">
        <f>IFERROR(__xludf.DUMMYFUNCTION("""COMPUTED_VALUE"""),45695.66666666667)</f>
        <v>45695.66667</v>
      </c>
      <c r="B1312" s="1">
        <f>IFERROR(__xludf.DUMMYFUNCTION("""COMPUTED_VALUE"""),165.47)</f>
        <v>165.47</v>
      </c>
      <c r="C1312" s="1">
        <f>IFERROR(__xludf.DUMMYFUNCTION("""COMPUTED_VALUE"""),169.93)</f>
        <v>169.93</v>
      </c>
      <c r="D1312" s="1">
        <f>IFERROR(__xludf.DUMMYFUNCTION("""COMPUTED_VALUE"""),165.23)</f>
        <v>165.23</v>
      </c>
      <c r="E1312" s="1">
        <f>IFERROR(__xludf.DUMMYFUNCTION("""COMPUTED_VALUE"""),167.97)</f>
        <v>167.97</v>
      </c>
      <c r="F1312" s="1">
        <f>IFERROR(__xludf.DUMMYFUNCTION("""COMPUTED_VALUE"""),3.2110405E7)</f>
        <v>32110405</v>
      </c>
    </row>
    <row r="1313">
      <c r="A1313" s="2">
        <f>IFERROR(__xludf.DUMMYFUNCTION("""COMPUTED_VALUE"""),45702.66666666667)</f>
        <v>45702.66667</v>
      </c>
      <c r="B1313" s="1">
        <f>IFERROR(__xludf.DUMMYFUNCTION("""COMPUTED_VALUE"""),167.69)</f>
        <v>167.69</v>
      </c>
      <c r="C1313" s="1">
        <f>IFERROR(__xludf.DUMMYFUNCTION("""COMPUTED_VALUE"""),171.38)</f>
        <v>171.38</v>
      </c>
      <c r="D1313" s="1">
        <f>IFERROR(__xludf.DUMMYFUNCTION("""COMPUTED_VALUE"""),162.3)</f>
        <v>162.3</v>
      </c>
      <c r="E1313" s="1">
        <f>IFERROR(__xludf.DUMMYFUNCTION("""COMPUTED_VALUE"""),162.89)</f>
        <v>162.89</v>
      </c>
      <c r="F1313" s="1">
        <f>IFERROR(__xludf.DUMMYFUNCTION("""COMPUTED_VALUE"""),3.8046762E7)</f>
        <v>38046762</v>
      </c>
    </row>
    <row r="1314">
      <c r="A1314" s="2">
        <f>IFERROR(__xludf.DUMMYFUNCTION("""COMPUTED_VALUE"""),45709.66666666667)</f>
        <v>45709.66667</v>
      </c>
      <c r="B1314" s="1">
        <f>IFERROR(__xludf.DUMMYFUNCTION("""COMPUTED_VALUE"""),163.35)</f>
        <v>163.35</v>
      </c>
      <c r="C1314" s="1">
        <f>IFERROR(__xludf.DUMMYFUNCTION("""COMPUTED_VALUE"""),170.55)</f>
        <v>170.55</v>
      </c>
      <c r="D1314" s="1">
        <f>IFERROR(__xludf.DUMMYFUNCTION("""COMPUTED_VALUE"""),162.2)</f>
        <v>162.2</v>
      </c>
      <c r="E1314" s="1">
        <f>IFERROR(__xludf.DUMMYFUNCTION("""COMPUTED_VALUE"""),170.23)</f>
        <v>170.23</v>
      </c>
      <c r="F1314" s="1">
        <f>IFERROR(__xludf.DUMMYFUNCTION("""COMPUTED_VALUE"""),3.0962825E7)</f>
        <v>30962825</v>
      </c>
    </row>
    <row r="1315">
      <c r="A1315" s="2">
        <f>IFERROR(__xludf.DUMMYFUNCTION("""COMPUTED_VALUE"""),45716.66666666667)</f>
        <v>45716.66667</v>
      </c>
      <c r="B1315" s="1">
        <f>IFERROR(__xludf.DUMMYFUNCTION("""COMPUTED_VALUE"""),170.22)</f>
        <v>170.22</v>
      </c>
      <c r="C1315" s="1">
        <f>IFERROR(__xludf.DUMMYFUNCTION("""COMPUTED_VALUE"""),174.65)</f>
        <v>174.65</v>
      </c>
      <c r="D1315" s="1">
        <f>IFERROR(__xludf.DUMMYFUNCTION("""COMPUTED_VALUE"""),169.79)</f>
        <v>169.79</v>
      </c>
      <c r="E1315" s="1">
        <f>IFERROR(__xludf.DUMMYFUNCTION("""COMPUTED_VALUE"""),173.84)</f>
        <v>173.84</v>
      </c>
      <c r="F1315" s="1">
        <f>IFERROR(__xludf.DUMMYFUNCTION("""COMPUTED_VALUE"""),3.7104988E7)</f>
        <v>37104988</v>
      </c>
    </row>
    <row r="1316">
      <c r="A1316" s="2">
        <f>IFERROR(__xludf.DUMMYFUNCTION("""COMPUTED_VALUE"""),45723.66666666667)</f>
        <v>45723.66667</v>
      </c>
      <c r="B1316" s="1">
        <f>IFERROR(__xludf.DUMMYFUNCTION("""COMPUTED_VALUE"""),173.58)</f>
        <v>173.58</v>
      </c>
      <c r="C1316" s="1">
        <f>IFERROR(__xludf.DUMMYFUNCTION("""COMPUTED_VALUE"""),179.99)</f>
        <v>179.99</v>
      </c>
      <c r="D1316" s="1">
        <f>IFERROR(__xludf.DUMMYFUNCTION("""COMPUTED_VALUE"""),172.84)</f>
        <v>172.84</v>
      </c>
      <c r="E1316" s="1">
        <f>IFERROR(__xludf.DUMMYFUNCTION("""COMPUTED_VALUE"""),175.95)</f>
        <v>175.95</v>
      </c>
      <c r="F1316" s="1">
        <f>IFERROR(__xludf.DUMMYFUNCTION("""COMPUTED_VALUE"""),4.2991932E7)</f>
        <v>42991932</v>
      </c>
    </row>
    <row r="1317">
      <c r="A1317" s="2">
        <f>IFERROR(__xludf.DUMMYFUNCTION("""COMPUTED_VALUE"""),45730.66666666667)</f>
        <v>45730.66667</v>
      </c>
      <c r="B1317" s="1">
        <f>IFERROR(__xludf.DUMMYFUNCTION("""COMPUTED_VALUE"""),176.76)</f>
        <v>176.76</v>
      </c>
      <c r="C1317" s="1">
        <f>IFERROR(__xludf.DUMMYFUNCTION("""COMPUTED_VALUE"""),179.99)</f>
        <v>179.99</v>
      </c>
      <c r="D1317" s="1">
        <f>IFERROR(__xludf.DUMMYFUNCTION("""COMPUTED_VALUE"""),166.62)</f>
        <v>166.62</v>
      </c>
      <c r="E1317" s="1">
        <f>IFERROR(__xludf.DUMMYFUNCTION("""COMPUTED_VALUE"""),167.97)</f>
        <v>167.97</v>
      </c>
      <c r="F1317" s="1">
        <f>IFERROR(__xludf.DUMMYFUNCTION("""COMPUTED_VALUE"""),4.5638193E7)</f>
        <v>45638193</v>
      </c>
    </row>
    <row r="1318">
      <c r="A1318" s="2">
        <f>IFERROR(__xludf.DUMMYFUNCTION("""COMPUTED_VALUE"""),45737.66666666667)</f>
        <v>45737.66667</v>
      </c>
      <c r="B1318" s="1">
        <f>IFERROR(__xludf.DUMMYFUNCTION("""COMPUTED_VALUE"""),168.37)</f>
        <v>168.37</v>
      </c>
      <c r="C1318" s="1">
        <f>IFERROR(__xludf.DUMMYFUNCTION("""COMPUTED_VALUE"""),171.09)</f>
        <v>171.09</v>
      </c>
      <c r="D1318" s="1">
        <f>IFERROR(__xludf.DUMMYFUNCTION("""COMPUTED_VALUE"""),164.12)</f>
        <v>164.12</v>
      </c>
      <c r="E1318" s="1">
        <f>IFERROR(__xludf.DUMMYFUNCTION("""COMPUTED_VALUE"""),166.69)</f>
        <v>166.69</v>
      </c>
      <c r="F1318" s="1">
        <f>IFERROR(__xludf.DUMMYFUNCTION("""COMPUTED_VALUE"""),4.8417503E7)</f>
        <v>48417503</v>
      </c>
    </row>
    <row r="1319">
      <c r="A1319" s="2">
        <f>IFERROR(__xludf.DUMMYFUNCTION("""COMPUTED_VALUE"""),45744.66666666667)</f>
        <v>45744.66667</v>
      </c>
      <c r="B1319" s="1">
        <f>IFERROR(__xludf.DUMMYFUNCTION("""COMPUTED_VALUE"""),166.43)</f>
        <v>166.43</v>
      </c>
      <c r="C1319" s="1">
        <f>IFERROR(__xludf.DUMMYFUNCTION("""COMPUTED_VALUE"""),169.71)</f>
        <v>169.71</v>
      </c>
      <c r="D1319" s="1">
        <f>IFERROR(__xludf.DUMMYFUNCTION("""COMPUTED_VALUE"""),162.2)</f>
        <v>162.2</v>
      </c>
      <c r="E1319" s="1">
        <f>IFERROR(__xludf.DUMMYFUNCTION("""COMPUTED_VALUE"""),168.03)</f>
        <v>168.03</v>
      </c>
      <c r="F1319" s="1">
        <f>IFERROR(__xludf.DUMMYFUNCTION("""COMPUTED_VALUE"""),3.3917145E7)</f>
        <v>33917145</v>
      </c>
    </row>
    <row r="1320">
      <c r="A1320" s="2">
        <f>IFERROR(__xludf.DUMMYFUNCTION("""COMPUTED_VALUE"""),45751.66666666667)</f>
        <v>45751.66667</v>
      </c>
      <c r="B1320" s="1">
        <f>IFERROR(__xludf.DUMMYFUNCTION("""COMPUTED_VALUE"""),168.1)</f>
        <v>168.1</v>
      </c>
      <c r="C1320" s="1">
        <f>IFERROR(__xludf.DUMMYFUNCTION("""COMPUTED_VALUE"""),174.8)</f>
        <v>174.8</v>
      </c>
      <c r="D1320" s="1">
        <f>IFERROR(__xludf.DUMMYFUNCTION("""COMPUTED_VALUE"""),163.47)</f>
        <v>163.47</v>
      </c>
      <c r="E1320" s="1">
        <f>IFERROR(__xludf.DUMMYFUNCTION("""COMPUTED_VALUE"""),163.75)</f>
        <v>163.75</v>
      </c>
      <c r="F1320" s="1">
        <f>IFERROR(__xludf.DUMMYFUNCTION("""COMPUTED_VALUE"""),4.7663981E7)</f>
        <v>47663981</v>
      </c>
    </row>
    <row r="1321">
      <c r="A1321" s="2">
        <f>IFERROR(__xludf.DUMMYFUNCTION("""COMPUTED_VALUE"""),45758.66666666667)</f>
        <v>45758.66667</v>
      </c>
      <c r="B1321" s="1">
        <f>IFERROR(__xludf.DUMMYFUNCTION("""COMPUTED_VALUE"""),163.66)</f>
        <v>163.66</v>
      </c>
      <c r="C1321" s="1">
        <f>IFERROR(__xludf.DUMMYFUNCTION("""COMPUTED_VALUE"""),168.02)</f>
        <v>168.02</v>
      </c>
      <c r="D1321" s="1">
        <f>IFERROR(__xludf.DUMMYFUNCTION("""COMPUTED_VALUE"""),156.69)</f>
        <v>156.69</v>
      </c>
      <c r="E1321" s="1">
        <f>IFERROR(__xludf.DUMMYFUNCTION("""COMPUTED_VALUE"""),166.91)</f>
        <v>166.91</v>
      </c>
      <c r="F1321" s="1">
        <f>IFERROR(__xludf.DUMMYFUNCTION("""COMPUTED_VALUE"""),5.7104106E7)</f>
        <v>57104106</v>
      </c>
    </row>
    <row r="1322">
      <c r="A1322" s="2">
        <f>IFERROR(__xludf.DUMMYFUNCTION("""COMPUTED_VALUE"""),45764.66666666667)</f>
        <v>45764.66667</v>
      </c>
      <c r="B1322" s="1">
        <f>IFERROR(__xludf.DUMMYFUNCTION("""COMPUTED_VALUE"""),167.04)</f>
        <v>167.04</v>
      </c>
      <c r="C1322" s="1">
        <f>IFERROR(__xludf.DUMMYFUNCTION("""COMPUTED_VALUE"""),171.65)</f>
        <v>171.65</v>
      </c>
      <c r="D1322" s="1">
        <f>IFERROR(__xludf.DUMMYFUNCTION("""COMPUTED_VALUE"""),165.78)</f>
        <v>165.78</v>
      </c>
      <c r="E1322" s="1">
        <f>IFERROR(__xludf.DUMMYFUNCTION("""COMPUTED_VALUE"""),170.63)</f>
        <v>170.63</v>
      </c>
      <c r="F1322" s="1">
        <f>IFERROR(__xludf.DUMMYFUNCTION("""COMPUTED_VALUE"""),3.1767084E7)</f>
        <v>31767084</v>
      </c>
    </row>
    <row r="1323">
      <c r="A1323" s="2">
        <f>IFERROR(__xludf.DUMMYFUNCTION("""COMPUTED_VALUE"""),45772.66666666667)</f>
        <v>45772.66667</v>
      </c>
      <c r="B1323" s="1">
        <f>IFERROR(__xludf.DUMMYFUNCTION("""COMPUTED_VALUE"""),169.89)</f>
        <v>169.89</v>
      </c>
      <c r="C1323" s="1">
        <f>IFERROR(__xludf.DUMMYFUNCTION("""COMPUTED_VALUE"""),169.95)</f>
        <v>169.95</v>
      </c>
      <c r="D1323" s="1">
        <f>IFERROR(__xludf.DUMMYFUNCTION("""COMPUTED_VALUE"""),156.58)</f>
        <v>156.58</v>
      </c>
      <c r="E1323" s="1">
        <f>IFERROR(__xludf.DUMMYFUNCTION("""COMPUTED_VALUE"""),161.02)</f>
        <v>161.02</v>
      </c>
      <c r="F1323" s="1">
        <f>IFERROR(__xludf.DUMMYFUNCTION("""COMPUTED_VALUE"""),5.824981E7)</f>
        <v>58249810</v>
      </c>
    </row>
    <row r="1324">
      <c r="A1324" s="2">
        <f>IFERROR(__xludf.DUMMYFUNCTION("""COMPUTED_VALUE"""),45779.66666666667)</f>
        <v>45779.66667</v>
      </c>
      <c r="B1324" s="1">
        <f>IFERROR(__xludf.DUMMYFUNCTION("""COMPUTED_VALUE"""),161.04)</f>
        <v>161.04</v>
      </c>
      <c r="C1324" s="1">
        <f>IFERROR(__xludf.DUMMYFUNCTION("""COMPUTED_VALUE"""),163.16)</f>
        <v>163.16</v>
      </c>
      <c r="D1324" s="1">
        <f>IFERROR(__xludf.DUMMYFUNCTION("""COMPUTED_VALUE"""),159.05)</f>
        <v>159.05</v>
      </c>
      <c r="E1324" s="1">
        <f>IFERROR(__xludf.DUMMYFUNCTION("""COMPUTED_VALUE"""),160.52)</f>
        <v>160.52</v>
      </c>
      <c r="F1324" s="1">
        <f>IFERROR(__xludf.DUMMYFUNCTION("""COMPUTED_VALUE"""),4.1411654E7)</f>
        <v>41411654</v>
      </c>
    </row>
    <row r="1325">
      <c r="A1325" s="2">
        <f>IFERROR(__xludf.DUMMYFUNCTION("""COMPUTED_VALUE"""),45786.66666666667)</f>
        <v>45786.66667</v>
      </c>
      <c r="B1325" s="1">
        <f>IFERROR(__xludf.DUMMYFUNCTION("""COMPUTED_VALUE"""),160.89)</f>
        <v>160.89</v>
      </c>
      <c r="C1325" s="1">
        <f>IFERROR(__xludf.DUMMYFUNCTION("""COMPUTED_VALUE"""),160.91)</f>
        <v>160.91</v>
      </c>
      <c r="D1325" s="1">
        <f>IFERROR(__xludf.DUMMYFUNCTION("""COMPUTED_VALUE"""),157.41)</f>
        <v>157.41</v>
      </c>
      <c r="E1325" s="1">
        <f>IFERROR(__xludf.DUMMYFUNCTION("""COMPUTED_VALUE"""),157.66)</f>
        <v>157.66</v>
      </c>
      <c r="F1325" s="1">
        <f>IFERROR(__xludf.DUMMYFUNCTION("""COMPUTED_VALUE"""),3.5394256E7)</f>
        <v>35394256</v>
      </c>
    </row>
    <row r="1326">
      <c r="A1326" s="2">
        <f>IFERROR(__xludf.DUMMYFUNCTION("""COMPUTED_VALUE"""),45793.66666666667)</f>
        <v>45793.66667</v>
      </c>
      <c r="B1326" s="1">
        <f>IFERROR(__xludf.DUMMYFUNCTION("""COMPUTED_VALUE"""),157.43)</f>
        <v>157.43</v>
      </c>
      <c r="C1326" s="1">
        <f>IFERROR(__xludf.DUMMYFUNCTION("""COMPUTED_VALUE"""),163.43)</f>
        <v>163.43</v>
      </c>
      <c r="D1326" s="1">
        <f>IFERROR(__xludf.DUMMYFUNCTION("""COMPUTED_VALUE"""),156.69)</f>
        <v>156.69</v>
      </c>
      <c r="E1326" s="1">
        <f>IFERROR(__xludf.DUMMYFUNCTION("""COMPUTED_VALUE"""),163.28)</f>
        <v>163.28</v>
      </c>
      <c r="F1326" s="1">
        <f>IFERROR(__xludf.DUMMYFUNCTION("""COMPUTED_VALUE"""),3.6976212E7)</f>
        <v>36976212</v>
      </c>
    </row>
    <row r="1327">
      <c r="A1327" s="2">
        <f>IFERROR(__xludf.DUMMYFUNCTION("""COMPUTED_VALUE"""),45800.66666666667)</f>
        <v>45800.66667</v>
      </c>
      <c r="B1327" s="1">
        <f>IFERROR(__xludf.DUMMYFUNCTION("""COMPUTED_VALUE"""),163.47)</f>
        <v>163.47</v>
      </c>
      <c r="C1327" s="1">
        <f>IFERROR(__xludf.DUMMYFUNCTION("""COMPUTED_VALUE"""),166.37)</f>
        <v>166.37</v>
      </c>
      <c r="D1327" s="1">
        <f>IFERROR(__xludf.DUMMYFUNCTION("""COMPUTED_VALUE"""),163.41)</f>
        <v>163.41</v>
      </c>
      <c r="E1327" s="1">
        <f>IFERROR(__xludf.DUMMYFUNCTION("""COMPUTED_VALUE"""),165.86)</f>
        <v>165.86</v>
      </c>
      <c r="F1327" s="1">
        <f>IFERROR(__xludf.DUMMYFUNCTION("""COMPUTED_VALUE"""),2.5479517E7)</f>
        <v>25479517</v>
      </c>
    </row>
    <row r="1328">
      <c r="A1328" s="2">
        <f>IFERROR(__xludf.DUMMYFUNCTION("""COMPUTED_VALUE"""),45807.66666666667)</f>
        <v>45807.66667</v>
      </c>
      <c r="B1328" s="1">
        <f>IFERROR(__xludf.DUMMYFUNCTION("""COMPUTED_VALUE"""),165.27)</f>
        <v>165.27</v>
      </c>
      <c r="C1328" s="1">
        <f>IFERROR(__xludf.DUMMYFUNCTION("""COMPUTED_VALUE"""),170.99)</f>
        <v>170.99</v>
      </c>
      <c r="D1328" s="1">
        <f>IFERROR(__xludf.DUMMYFUNCTION("""COMPUTED_VALUE"""),165.27)</f>
        <v>165.27</v>
      </c>
      <c r="E1328" s="1">
        <f>IFERROR(__xludf.DUMMYFUNCTION("""COMPUTED_VALUE"""),169.89)</f>
        <v>169.89</v>
      </c>
      <c r="F1328" s="1">
        <f>IFERROR(__xludf.DUMMYFUNCTION("""COMPUTED_VALUE"""),3.4239827E7)</f>
        <v>34239827</v>
      </c>
    </row>
    <row r="1329">
      <c r="A1329" s="2">
        <f>IFERROR(__xludf.DUMMYFUNCTION("""COMPUTED_VALUE"""),45814.66666666667)</f>
        <v>45814.66667</v>
      </c>
      <c r="B1329" s="1">
        <f>IFERROR(__xludf.DUMMYFUNCTION("""COMPUTED_VALUE"""),169.02)</f>
        <v>169.02</v>
      </c>
      <c r="C1329" s="1">
        <f>IFERROR(__xludf.DUMMYFUNCTION("""COMPUTED_VALUE"""),169.04)</f>
        <v>169.04</v>
      </c>
      <c r="D1329" s="1">
        <f>IFERROR(__xludf.DUMMYFUNCTION("""COMPUTED_VALUE"""),162.51)</f>
        <v>162.51</v>
      </c>
      <c r="E1329" s="1">
        <f>IFERROR(__xludf.DUMMYFUNCTION("""COMPUTED_VALUE"""),164.02)</f>
        <v>164.02</v>
      </c>
      <c r="F1329" s="1">
        <f>IFERROR(__xludf.DUMMYFUNCTION("""COMPUTED_VALUE"""),3.4787373E7)</f>
        <v>34787373</v>
      </c>
    </row>
    <row r="1330">
      <c r="A1330" s="2">
        <f>IFERROR(__xludf.DUMMYFUNCTION("""COMPUTED_VALUE"""),45821.66666666667)</f>
        <v>45821.66667</v>
      </c>
      <c r="B1330" s="1">
        <f>IFERROR(__xludf.DUMMYFUNCTION("""COMPUTED_VALUE"""),163.39)</f>
        <v>163.39</v>
      </c>
      <c r="C1330" s="1">
        <f>IFERROR(__xludf.DUMMYFUNCTION("""COMPUTED_VALUE"""),164.02)</f>
        <v>164.02</v>
      </c>
      <c r="D1330" s="1">
        <f>IFERROR(__xludf.DUMMYFUNCTION("""COMPUTED_VALUE"""),159.91)</f>
        <v>159.91</v>
      </c>
      <c r="E1330" s="1">
        <f>IFERROR(__xludf.DUMMYFUNCTION("""COMPUTED_VALUE"""),160.28)</f>
        <v>160.28</v>
      </c>
      <c r="F1330" s="1">
        <f>IFERROR(__xludf.DUMMYFUNCTION("""COMPUTED_VALUE"""),3.3798704E7)</f>
        <v>33798704</v>
      </c>
    </row>
    <row r="1331">
      <c r="A1331" s="2">
        <f>IFERROR(__xludf.DUMMYFUNCTION("""COMPUTED_VALUE"""),45828.66666666667)</f>
        <v>45828.66667</v>
      </c>
      <c r="B1331" s="1">
        <f>IFERROR(__xludf.DUMMYFUNCTION("""COMPUTED_VALUE"""),160.88)</f>
        <v>160.88</v>
      </c>
      <c r="C1331" s="1">
        <f>IFERROR(__xludf.DUMMYFUNCTION("""COMPUTED_VALUE"""),161.95)</f>
        <v>161.95</v>
      </c>
      <c r="D1331" s="1">
        <f>IFERROR(__xludf.DUMMYFUNCTION("""COMPUTED_VALUE"""),157.66)</f>
        <v>157.66</v>
      </c>
      <c r="E1331" s="1">
        <f>IFERROR(__xludf.DUMMYFUNCTION("""COMPUTED_VALUE"""),159.08)</f>
        <v>159.08</v>
      </c>
      <c r="F1331" s="1">
        <f>IFERROR(__xludf.DUMMYFUNCTION("""COMPUTED_VALUE"""),3.6526304E7)</f>
        <v>36526304</v>
      </c>
    </row>
    <row r="1332">
      <c r="A1332" s="2">
        <f>IFERROR(__xludf.DUMMYFUNCTION("""COMPUTED_VALUE"""),45835.66666666667)</f>
        <v>45835.66667</v>
      </c>
      <c r="B1332" s="1">
        <f>IFERROR(__xludf.DUMMYFUNCTION("""COMPUTED_VALUE"""),159.07)</f>
        <v>159.07</v>
      </c>
      <c r="C1332" s="1">
        <f>IFERROR(__xludf.DUMMYFUNCTION("""COMPUTED_VALUE"""),161.74)</f>
        <v>161.74</v>
      </c>
      <c r="D1332" s="1">
        <f>IFERROR(__xludf.DUMMYFUNCTION("""COMPUTED_VALUE"""),157.17)</f>
        <v>157.17</v>
      </c>
      <c r="E1332" s="1">
        <f>IFERROR(__xludf.DUMMYFUNCTION("""COMPUTED_VALUE"""),159.86)</f>
        <v>159.86</v>
      </c>
      <c r="F1332" s="1">
        <f>IFERROR(__xludf.DUMMYFUNCTION("""COMPUTED_VALUE"""),4.6659391E7)</f>
        <v>46659391</v>
      </c>
    </row>
    <row r="1333">
      <c r="A1333" s="2">
        <f>IFERROR(__xludf.DUMMYFUNCTION("""COMPUTED_VALUE"""),45841.54166666667)</f>
        <v>45841.54167</v>
      </c>
      <c r="B1333" s="1">
        <f>IFERROR(__xludf.DUMMYFUNCTION("""COMPUTED_VALUE"""),159.26)</f>
        <v>159.26</v>
      </c>
      <c r="C1333" s="1">
        <f>IFERROR(__xludf.DUMMYFUNCTION("""COMPUTED_VALUE"""),162.53)</f>
        <v>162.53</v>
      </c>
      <c r="D1333" s="1">
        <f>IFERROR(__xludf.DUMMYFUNCTION("""COMPUTED_VALUE"""),158.13)</f>
        <v>158.13</v>
      </c>
      <c r="E1333" s="1">
        <f>IFERROR(__xludf.DUMMYFUNCTION("""COMPUTED_VALUE"""),160.83)</f>
        <v>160.83</v>
      </c>
      <c r="F1333" s="1">
        <f>IFERROR(__xludf.DUMMYFUNCTION("""COMPUTED_VALUE"""),3.7751425E7)</f>
        <v>37751425</v>
      </c>
    </row>
    <row r="1334">
      <c r="A1334" s="2">
        <f>IFERROR(__xludf.DUMMYFUNCTION("""COMPUTED_VALUE"""),45849.66666666667)</f>
        <v>45849.66667</v>
      </c>
      <c r="B1334" s="1">
        <f>IFERROR(__xludf.DUMMYFUNCTION("""COMPUTED_VALUE"""),160.85)</f>
        <v>160.85</v>
      </c>
      <c r="C1334" s="1">
        <f>IFERROR(__xludf.DUMMYFUNCTION("""COMPUTED_VALUE"""),161.18)</f>
        <v>161.18</v>
      </c>
      <c r="D1334" s="1">
        <f>IFERROR(__xludf.DUMMYFUNCTION("""COMPUTED_VALUE"""),155.95)</f>
        <v>155.95</v>
      </c>
      <c r="E1334" s="1">
        <f>IFERROR(__xludf.DUMMYFUNCTION("""COMPUTED_VALUE"""),157.05)</f>
        <v>157.05</v>
      </c>
      <c r="F1334" s="1">
        <f>IFERROR(__xludf.DUMMYFUNCTION("""COMPUTED_VALUE"""),5.3286909E7)</f>
        <v>53286909</v>
      </c>
    </row>
    <row r="1335">
      <c r="A1335" s="2">
        <f>IFERROR(__xludf.DUMMYFUNCTION("""COMPUTED_VALUE"""),45856.66666666667)</f>
        <v>45856.66667</v>
      </c>
      <c r="B1335" s="1">
        <f>IFERROR(__xludf.DUMMYFUNCTION("""COMPUTED_VALUE"""),155.58)</f>
        <v>155.58</v>
      </c>
      <c r="C1335" s="1">
        <f>IFERROR(__xludf.DUMMYFUNCTION("""COMPUTED_VALUE"""),155.8)</f>
        <v>155.8</v>
      </c>
      <c r="D1335" s="1">
        <f>IFERROR(__xludf.DUMMYFUNCTION("""COMPUTED_VALUE"""),151.9)</f>
        <v>151.9</v>
      </c>
      <c r="E1335" s="1">
        <f>IFERROR(__xludf.DUMMYFUNCTION("""COMPUTED_VALUE"""),155.1)</f>
        <v>155.1</v>
      </c>
      <c r="F1335" s="1">
        <f>IFERROR(__xludf.DUMMYFUNCTION("""COMPUTED_VALUE"""),4.4770548E7)</f>
        <v>44770548</v>
      </c>
    </row>
    <row r="1336">
      <c r="A1336" s="2">
        <f>IFERROR(__xludf.DUMMYFUNCTION("""COMPUTED_VALUE"""),45863.66666666667)</f>
        <v>45863.66667</v>
      </c>
      <c r="B1336" s="1">
        <f>IFERROR(__xludf.DUMMYFUNCTION("""COMPUTED_VALUE"""),155.07)</f>
        <v>155.07</v>
      </c>
      <c r="C1336" s="1">
        <f>IFERROR(__xludf.DUMMYFUNCTION("""COMPUTED_VALUE"""),159.02)</f>
        <v>159.02</v>
      </c>
      <c r="D1336" s="1">
        <f>IFERROR(__xludf.DUMMYFUNCTION("""COMPUTED_VALUE"""),154.89)</f>
        <v>154.89</v>
      </c>
      <c r="E1336" s="1">
        <f>IFERROR(__xludf.DUMMYFUNCTION("""COMPUTED_VALUE"""),158.3)</f>
        <v>158.3</v>
      </c>
      <c r="F1336" s="1">
        <f>IFERROR(__xludf.DUMMYFUNCTION("""COMPUTED_VALUE"""),3.2147775E7)</f>
        <v>32147775</v>
      </c>
    </row>
    <row r="1337">
      <c r="A1337" s="2">
        <f>IFERROR(__xludf.DUMMYFUNCTION("""COMPUTED_VALUE"""),45870.66666666667)</f>
        <v>45870.66667</v>
      </c>
      <c r="B1337" s="1">
        <f>IFERROR(__xludf.DUMMYFUNCTION("""COMPUTED_VALUE"""),157.63)</f>
        <v>157.63</v>
      </c>
      <c r="C1337" s="1">
        <f>IFERROR(__xludf.DUMMYFUNCTION("""COMPUTED_VALUE"""),158.65)</f>
        <v>158.65</v>
      </c>
      <c r="D1337" s="1">
        <f>IFERROR(__xludf.DUMMYFUNCTION("""COMPUTED_VALUE"""),149.91)</f>
        <v>149.91</v>
      </c>
      <c r="E1337" s="1">
        <f>IFERROR(__xludf.DUMMYFUNCTION("""COMPUTED_VALUE"""),150.65)</f>
        <v>150.65</v>
      </c>
      <c r="F1337" s="1">
        <f>IFERROR(__xludf.DUMMYFUNCTION("""COMPUTED_VALUE"""),4.7953635E7)</f>
        <v>47953635</v>
      </c>
    </row>
    <row r="1338">
      <c r="A1338" s="2">
        <f>IFERROR(__xludf.DUMMYFUNCTION("""COMPUTED_VALUE"""),45877.66666666667)</f>
        <v>45877.66667</v>
      </c>
      <c r="B1338" s="1">
        <f>IFERROR(__xludf.DUMMYFUNCTION("""COMPUTED_VALUE"""),150.25)</f>
        <v>150.25</v>
      </c>
      <c r="C1338" s="1">
        <f>IFERROR(__xludf.DUMMYFUNCTION("""COMPUTED_VALUE"""),154.01)</f>
        <v>154.01</v>
      </c>
      <c r="D1338" s="1">
        <f>IFERROR(__xludf.DUMMYFUNCTION("""COMPUTED_VALUE"""),150.02)</f>
        <v>150.02</v>
      </c>
      <c r="E1338" s="1">
        <f>IFERROR(__xludf.DUMMYFUNCTION("""COMPUTED_VALUE"""),153.51)</f>
        <v>153.51</v>
      </c>
      <c r="F1338" s="1">
        <f>IFERROR(__xludf.DUMMYFUNCTION("""COMPUTED_VALUE"""),3.4255964E7)</f>
        <v>34255964</v>
      </c>
    </row>
    <row r="1339">
      <c r="A1339" s="2">
        <f>IFERROR(__xludf.DUMMYFUNCTION("""COMPUTED_VALUE"""),45884.66666666667)</f>
        <v>45884.66667</v>
      </c>
      <c r="B1339" s="1">
        <f>IFERROR(__xludf.DUMMYFUNCTION("""COMPUTED_VALUE"""),153.54)</f>
        <v>153.54</v>
      </c>
      <c r="C1339" s="1">
        <f>IFERROR(__xludf.DUMMYFUNCTION("""COMPUTED_VALUE"""),157.01)</f>
        <v>157.01</v>
      </c>
      <c r="D1339" s="1">
        <f>IFERROR(__xludf.DUMMYFUNCTION("""COMPUTED_VALUE"""),153.27)</f>
        <v>153.27</v>
      </c>
      <c r="E1339" s="1">
        <f>IFERROR(__xludf.DUMMYFUNCTION("""COMPUTED_VALUE"""),154.36)</f>
        <v>154.36</v>
      </c>
      <c r="F1339" s="1">
        <f>IFERROR(__xludf.DUMMYFUNCTION("""COMPUTED_VALUE"""),3.3547814E7)</f>
        <v>33547814</v>
      </c>
    </row>
    <row r="1340">
      <c r="A1340" s="2">
        <f>IFERROR(__xludf.DUMMYFUNCTION("""COMPUTED_VALUE"""),45891.66666666667)</f>
        <v>45891.66667</v>
      </c>
      <c r="B1340" s="1">
        <f>IFERROR(__xludf.DUMMYFUNCTION("""COMPUTED_VALUE"""),154.42)</f>
        <v>154.42</v>
      </c>
      <c r="C1340" s="1">
        <f>IFERROR(__xludf.DUMMYFUNCTION("""COMPUTED_VALUE"""),161.03)</f>
        <v>161.03</v>
      </c>
      <c r="D1340" s="1">
        <f>IFERROR(__xludf.DUMMYFUNCTION("""COMPUTED_VALUE"""),154.17)</f>
        <v>154.17</v>
      </c>
      <c r="E1340" s="1">
        <f>IFERROR(__xludf.DUMMYFUNCTION("""COMPUTED_VALUE"""),158.67)</f>
        <v>158.67</v>
      </c>
      <c r="F1340" s="1">
        <f>IFERROR(__xludf.DUMMYFUNCTION("""COMPUTED_VALUE"""),3.619823E7)</f>
        <v>36198230</v>
      </c>
    </row>
    <row r="1341">
      <c r="A1341" s="2">
        <f>IFERROR(__xludf.DUMMYFUNCTION("""COMPUTED_VALUE"""),45898.66666666667)</f>
        <v>45898.66667</v>
      </c>
      <c r="B1341" s="1">
        <f>IFERROR(__xludf.DUMMYFUNCTION("""COMPUTED_VALUE"""),158.39)</f>
        <v>158.39</v>
      </c>
      <c r="C1341" s="1">
        <f>IFERROR(__xludf.DUMMYFUNCTION("""COMPUTED_VALUE"""),158.7)</f>
        <v>158.7</v>
      </c>
      <c r="D1341" s="1">
        <f>IFERROR(__xludf.DUMMYFUNCTION("""COMPUTED_VALUE"""),155.03)</f>
        <v>155.03</v>
      </c>
      <c r="E1341" s="1">
        <f>IFERROR(__xludf.DUMMYFUNCTION("""COMPUTED_VALUE"""),157.04)</f>
        <v>157.04</v>
      </c>
      <c r="F1341" s="1">
        <f>IFERROR(__xludf.DUMMYFUNCTION("""COMPUTED_VALUE"""),2.6757607E7)</f>
        <v>26757607</v>
      </c>
    </row>
    <row r="1342">
      <c r="A1342" s="2">
        <f>IFERROR(__xludf.DUMMYFUNCTION("""COMPUTED_VALUE"""),45905.66666666667)</f>
        <v>45905.66667</v>
      </c>
      <c r="B1342" s="1">
        <f>IFERROR(__xludf.DUMMYFUNCTION("""COMPUTED_VALUE"""),157.36)</f>
        <v>157.36</v>
      </c>
      <c r="C1342" s="1">
        <f>IFERROR(__xludf.DUMMYFUNCTION("""COMPUTED_VALUE"""),160.56)</f>
        <v>160.56</v>
      </c>
      <c r="D1342" s="1">
        <f>IFERROR(__xludf.DUMMYFUNCTION("""COMPUTED_VALUE"""),156.5)</f>
        <v>156.5</v>
      </c>
      <c r="E1342" s="1">
        <f>IFERROR(__xludf.DUMMYFUNCTION("""COMPUTED_VALUE"""),160.02)</f>
        <v>160.02</v>
      </c>
      <c r="F1342" s="1">
        <f>IFERROR(__xludf.DUMMYFUNCTION("""COMPUTED_VALUE"""),2.6396683E7)</f>
        <v>26396683</v>
      </c>
    </row>
    <row r="1343">
      <c r="A1343" s="2">
        <f>IFERROR(__xludf.DUMMYFUNCTION("""COMPUTED_VALUE"""),45912.66666666667)</f>
        <v>45912.66667</v>
      </c>
      <c r="B1343" s="1">
        <f>IFERROR(__xludf.DUMMYFUNCTION("""COMPUTED_VALUE"""),159.61)</f>
        <v>159.61</v>
      </c>
      <c r="C1343" s="1">
        <f>IFERROR(__xludf.DUMMYFUNCTION("""COMPUTED_VALUE"""),160.27)</f>
        <v>160.27</v>
      </c>
      <c r="D1343" s="1">
        <f>IFERROR(__xludf.DUMMYFUNCTION("""COMPUTED_VALUE"""),155.89)</f>
        <v>155.89</v>
      </c>
      <c r="E1343" s="1">
        <f>IFERROR(__xludf.DUMMYFUNCTION("""COMPUTED_VALUE"""),157.9)</f>
        <v>157.9</v>
      </c>
      <c r="F1343" s="1">
        <f>IFERROR(__xludf.DUMMYFUNCTION("""COMPUTED_VALUE"""),3.0145651E7)</f>
        <v>30145651</v>
      </c>
    </row>
    <row r="1344">
      <c r="A1344" s="2">
        <f>IFERROR(__xludf.DUMMYFUNCTION("""COMPUTED_VALUE"""),45919.66666666667)</f>
        <v>45919.66667</v>
      </c>
      <c r="B1344" s="1">
        <f>IFERROR(__xludf.DUMMYFUNCTION("""COMPUTED_VALUE"""),157.88)</f>
        <v>157.88</v>
      </c>
      <c r="C1344" s="1">
        <f>IFERROR(__xludf.DUMMYFUNCTION("""COMPUTED_VALUE"""),161.67)</f>
        <v>161.67</v>
      </c>
      <c r="D1344" s="1">
        <f>IFERROR(__xludf.DUMMYFUNCTION("""COMPUTED_VALUE"""),155.97)</f>
        <v>155.97</v>
      </c>
      <c r="E1344" s="1">
        <f>IFERROR(__xludf.DUMMYFUNCTION("""COMPUTED_VALUE"""),156.04)</f>
        <v>156.04</v>
      </c>
      <c r="F1344" s="1">
        <f>IFERROR(__xludf.DUMMYFUNCTION("""COMPUTED_VALUE"""),4.4195004E7)</f>
        <v>44195004</v>
      </c>
    </row>
    <row r="1345">
      <c r="A1345" s="2">
        <f>IFERROR(__xludf.DUMMYFUNCTION("""COMPUTED_VALUE"""),45926.66666666667)</f>
        <v>45926.66667</v>
      </c>
      <c r="B1345" s="1">
        <f>IFERROR(__xludf.DUMMYFUNCTION("""COMPUTED_VALUE"""),156.08)</f>
        <v>156.08</v>
      </c>
      <c r="C1345" s="1">
        <f>IFERROR(__xludf.DUMMYFUNCTION("""COMPUTED_VALUE"""),156.08)</f>
        <v>156.08</v>
      </c>
      <c r="D1345" s="1">
        <f>IFERROR(__xludf.DUMMYFUNCTION("""COMPUTED_VALUE"""),150.97)</f>
        <v>150.97</v>
      </c>
      <c r="E1345" s="1">
        <f>IFERROR(__xludf.DUMMYFUNCTION("""COMPUTED_VALUE"""),152.5)</f>
        <v>152.5</v>
      </c>
      <c r="F1345" s="1">
        <f>IFERROR(__xludf.DUMMYFUNCTION("""COMPUTED_VALUE"""),3.7282099E7)</f>
        <v>37282099</v>
      </c>
    </row>
    <row r="1346">
      <c r="A1346" s="2">
        <f>IFERROR(__xludf.DUMMYFUNCTION("""COMPUTED_VALUE"""),45933.66666666667)</f>
        <v>45933.66667</v>
      </c>
      <c r="B1346" s="1">
        <f>IFERROR(__xludf.DUMMYFUNCTION("""COMPUTED_VALUE"""),152.42)</f>
        <v>152.42</v>
      </c>
      <c r="C1346" s="1">
        <f>IFERROR(__xludf.DUMMYFUNCTION("""COMPUTED_VALUE"""),154.38)</f>
        <v>154.38</v>
      </c>
      <c r="D1346" s="1">
        <f>IFERROR(__xludf.DUMMYFUNCTION("""COMPUTED_VALUE"""),151.41)</f>
        <v>151.41</v>
      </c>
      <c r="E1346" s="1">
        <f>IFERROR(__xludf.DUMMYFUNCTION("""COMPUTED_VALUE"""),152.27)</f>
        <v>152.27</v>
      </c>
      <c r="F1346" s="1">
        <f>IFERROR(__xludf.DUMMYFUNCTION("""COMPUTED_VALUE"""),3.5573007E7)</f>
        <v>35573007</v>
      </c>
    </row>
    <row r="1347">
      <c r="A1347" s="2">
        <f>IFERROR(__xludf.DUMMYFUNCTION("""COMPUTED_VALUE"""),45940.66666666667)</f>
        <v>45940.66667</v>
      </c>
      <c r="B1347" s="1">
        <f>IFERROR(__xludf.DUMMYFUNCTION("""COMPUTED_VALUE"""),151.5)</f>
        <v>151.5</v>
      </c>
      <c r="C1347" s="1">
        <f>IFERROR(__xludf.DUMMYFUNCTION("""COMPUTED_VALUE"""),153.17)</f>
        <v>153.17</v>
      </c>
      <c r="D1347" s="1">
        <f>IFERROR(__xludf.DUMMYFUNCTION("""COMPUTED_VALUE"""),149.45)</f>
        <v>149.45</v>
      </c>
      <c r="E1347" s="1">
        <f>IFERROR(__xludf.DUMMYFUNCTION("""COMPUTED_VALUE"""),149.69)</f>
        <v>149.69</v>
      </c>
      <c r="F1347" s="1">
        <f>IFERROR(__xludf.DUMMYFUNCTION("""COMPUTED_VALUE"""),3.2344556E7)</f>
        <v>32344556</v>
      </c>
    </row>
    <row r="1348">
      <c r="A1348" s="2">
        <f>IFERROR(__xludf.DUMMYFUNCTION("""COMPUTED_VALUE"""),45947.66666666667)</f>
        <v>45947.66667</v>
      </c>
      <c r="B1348" s="1">
        <f>IFERROR(__xludf.DUMMYFUNCTION("""COMPUTED_VALUE"""),149.0)</f>
        <v>149</v>
      </c>
      <c r="C1348" s="1">
        <f>IFERROR(__xludf.DUMMYFUNCTION("""COMPUTED_VALUE"""),152.03)</f>
        <v>152.03</v>
      </c>
      <c r="D1348" s="1">
        <f>IFERROR(__xludf.DUMMYFUNCTION("""COMPUTED_VALUE"""),146.97)</f>
        <v>146.97</v>
      </c>
      <c r="E1348" s="1">
        <f>IFERROR(__xludf.DUMMYFUNCTION("""COMPUTED_VALUE"""),151.4)</f>
        <v>151.4</v>
      </c>
      <c r="F1348" s="1">
        <f>IFERROR(__xludf.DUMMYFUNCTION("""COMPUTED_VALUE"""),4.3522089E7)</f>
        <v>43522089</v>
      </c>
    </row>
    <row r="1349">
      <c r="A1349" s="2">
        <f>IFERROR(__xludf.DUMMYFUNCTION("""COMPUTED_VALUE"""),45954.66666666667)</f>
        <v>45954.66667</v>
      </c>
      <c r="B1349" s="1">
        <f>IFERROR(__xludf.DUMMYFUNCTION("""COMPUTED_VALUE"""),151.59)</f>
        <v>151.59</v>
      </c>
      <c r="C1349" s="1">
        <f>IFERROR(__xludf.DUMMYFUNCTION("""COMPUTED_VALUE"""),157.4)</f>
        <v>157.4</v>
      </c>
      <c r="D1349" s="1">
        <f>IFERROR(__xludf.DUMMYFUNCTION("""COMPUTED_VALUE"""),150.58)</f>
        <v>150.58</v>
      </c>
      <c r="E1349" s="1">
        <f>IFERROR(__xludf.DUMMYFUNCTION("""COMPUTED_VALUE"""),152.49)</f>
        <v>152.49</v>
      </c>
      <c r="F1349" s="1">
        <f>IFERROR(__xludf.DUMMYFUNCTION("""COMPUTED_VALUE"""),3.8182888E7)</f>
        <v>38182888</v>
      </c>
    </row>
    <row r="1350">
      <c r="A1350" s="2">
        <f>IFERROR(__xludf.DUMMYFUNCTION("""COMPUTED_VALUE"""),45961.66666666667)</f>
        <v>45961.66667</v>
      </c>
      <c r="B1350" s="1">
        <f>IFERROR(__xludf.DUMMYFUNCTION("""COMPUTED_VALUE"""),151.61)</f>
        <v>151.61</v>
      </c>
      <c r="C1350" s="1">
        <f>IFERROR(__xludf.DUMMYFUNCTION("""COMPUTED_VALUE"""),153.17)</f>
        <v>153.17</v>
      </c>
      <c r="D1350" s="1">
        <f>IFERROR(__xludf.DUMMYFUNCTION("""COMPUTED_VALUE"""),148.47)</f>
        <v>148.47</v>
      </c>
      <c r="E1350" s="1">
        <f>IFERROR(__xludf.DUMMYFUNCTION("""COMPUTED_VALUE"""),150.37)</f>
        <v>150.37</v>
      </c>
      <c r="F1350" s="1">
        <f>IFERROR(__xludf.DUMMYFUNCTION("""COMPUTED_VALUE"""),3.5691082E7)</f>
        <v>35691082</v>
      </c>
    </row>
    <row r="1351">
      <c r="A1351" s="2">
        <f>IFERROR(__xludf.DUMMYFUNCTION("""COMPUTED_VALUE"""),45968.66666666667)</f>
        <v>45968.66667</v>
      </c>
      <c r="B1351" s="1">
        <f>IFERROR(__xludf.DUMMYFUNCTION("""COMPUTED_VALUE"""),150.1)</f>
        <v>150.1</v>
      </c>
      <c r="C1351" s="1">
        <f>IFERROR(__xludf.DUMMYFUNCTION("""COMPUTED_VALUE"""),150.22)</f>
        <v>150.22</v>
      </c>
      <c r="D1351" s="1">
        <f>IFERROR(__xludf.DUMMYFUNCTION("""COMPUTED_VALUE"""),144.46)</f>
        <v>144.46</v>
      </c>
      <c r="E1351" s="1">
        <f>IFERROR(__xludf.DUMMYFUNCTION("""COMPUTED_VALUE"""),146.98)</f>
        <v>146.98</v>
      </c>
      <c r="F1351" s="1">
        <f>IFERROR(__xludf.DUMMYFUNCTION("""COMPUTED_VALUE"""),4.7966356E7)</f>
        <v>47966356</v>
      </c>
    </row>
    <row r="1352">
      <c r="A1352" s="2">
        <f>IFERROR(__xludf.DUMMYFUNCTION("""COMPUTED_VALUE"""),45975.66666666667)</f>
        <v>45975.66667</v>
      </c>
      <c r="B1352" s="1">
        <f>IFERROR(__xludf.DUMMYFUNCTION("""COMPUTED_VALUE"""),146.38)</f>
        <v>146.38</v>
      </c>
      <c r="C1352" s="1">
        <f>IFERROR(__xludf.DUMMYFUNCTION("""COMPUTED_VALUE"""),149.38)</f>
        <v>149.38</v>
      </c>
      <c r="D1352" s="1">
        <f>IFERROR(__xludf.DUMMYFUNCTION("""COMPUTED_VALUE"""),144.09)</f>
        <v>144.09</v>
      </c>
      <c r="E1352" s="1">
        <f>IFERROR(__xludf.DUMMYFUNCTION("""COMPUTED_VALUE"""),147.67)</f>
        <v>147.67</v>
      </c>
      <c r="F1352" s="1">
        <f>IFERROR(__xludf.DUMMYFUNCTION("""COMPUTED_VALUE"""),4.2109532E7)</f>
        <v>42109532</v>
      </c>
    </row>
    <row r="1353">
      <c r="A1353" s="2">
        <f>IFERROR(__xludf.DUMMYFUNCTION("""COMPUTED_VALUE"""),45982.66666666667)</f>
        <v>45982.66667</v>
      </c>
      <c r="B1353" s="1">
        <f>IFERROR(__xludf.DUMMYFUNCTION("""COMPUTED_VALUE"""),147.75)</f>
        <v>147.75</v>
      </c>
      <c r="C1353" s="1">
        <f>IFERROR(__xludf.DUMMYFUNCTION("""COMPUTED_VALUE"""),151.5)</f>
        <v>151.5</v>
      </c>
      <c r="D1353" s="1">
        <f>IFERROR(__xludf.DUMMYFUNCTION("""COMPUTED_VALUE"""),145.01)</f>
        <v>145.01</v>
      </c>
      <c r="E1353" s="1">
        <f>IFERROR(__xludf.DUMMYFUNCTION("""COMPUTED_VALUE"""),150.92)</f>
        <v>150.92</v>
      </c>
      <c r="F1353" s="1">
        <f>IFERROR(__xludf.DUMMYFUNCTION("""COMPUTED_VALUE"""),4.8043836E7)</f>
        <v>48043836</v>
      </c>
    </row>
    <row r="1354">
      <c r="A1354" s="2">
        <f>IFERROR(__xludf.DUMMYFUNCTION("""COMPUTED_VALUE"""),45989.54166666667)</f>
        <v>45989.54167</v>
      </c>
      <c r="B1354" s="1">
        <f>IFERROR(__xludf.DUMMYFUNCTION("""COMPUTED_VALUE"""),150.1)</f>
        <v>150.1</v>
      </c>
      <c r="C1354" s="1">
        <f>IFERROR(__xludf.DUMMYFUNCTION("""COMPUTED_VALUE"""),150.41)</f>
        <v>150.41</v>
      </c>
      <c r="D1354" s="1">
        <f>IFERROR(__xludf.DUMMYFUNCTION("""COMPUTED_VALUE"""),146.54)</f>
        <v>146.54</v>
      </c>
      <c r="E1354" s="1">
        <f>IFERROR(__xludf.DUMMYFUNCTION("""COMPUTED_VALUE"""),148.16)</f>
        <v>148.16</v>
      </c>
      <c r="F1354" s="1">
        <f>IFERROR(__xludf.DUMMYFUNCTION("""COMPUTED_VALUE"""),3.8270178E7)</f>
        <v>38270178</v>
      </c>
    </row>
    <row r="1355">
      <c r="A1355" s="2">
        <f>IFERROR(__xludf.DUMMYFUNCTION("""COMPUTED_VALUE"""),45996.66666666667)</f>
        <v>45996.66667</v>
      </c>
      <c r="B1355" s="1">
        <f>IFERROR(__xludf.DUMMYFUNCTION("""COMPUTED_VALUE"""),148.1)</f>
        <v>148.1</v>
      </c>
      <c r="C1355" s="1">
        <f>IFERROR(__xludf.DUMMYFUNCTION("""COMPUTED_VALUE"""),148.89)</f>
        <v>148.89</v>
      </c>
      <c r="D1355" s="1">
        <f>IFERROR(__xludf.DUMMYFUNCTION("""COMPUTED_VALUE"""),142.51)</f>
        <v>142.51</v>
      </c>
      <c r="E1355" s="1">
        <f>IFERROR(__xludf.DUMMYFUNCTION("""COMPUTED_VALUE"""),143.45)</f>
        <v>143.45</v>
      </c>
      <c r="F1355" s="1">
        <f>IFERROR(__xludf.DUMMYFUNCTION("""COMPUTED_VALUE"""),5.701379E7)</f>
        <v>57013790</v>
      </c>
    </row>
    <row r="1356">
      <c r="A1356" s="2">
        <f>IFERROR(__xludf.DUMMYFUNCTION("""COMPUTED_VALUE"""),46003.66666666667)</f>
        <v>46003.66667</v>
      </c>
      <c r="B1356" s="1">
        <f>IFERROR(__xludf.DUMMYFUNCTION("""COMPUTED_VALUE"""),142.91)</f>
        <v>142.91</v>
      </c>
      <c r="C1356" s="1">
        <f>IFERROR(__xludf.DUMMYFUNCTION("""COMPUTED_VALUE"""),143.11)</f>
        <v>143.11</v>
      </c>
      <c r="D1356" s="1">
        <f>IFERROR(__xludf.DUMMYFUNCTION("""COMPUTED_VALUE"""),138.14)</f>
        <v>138.14</v>
      </c>
      <c r="E1356" s="1">
        <f>IFERROR(__xludf.DUMMYFUNCTION("""COMPUTED_VALUE"""),142.84)</f>
        <v>142.84</v>
      </c>
      <c r="F1356" s="1">
        <f>IFERROR(__xludf.DUMMYFUNCTION("""COMPUTED_VALUE"""),6.3600319E7)</f>
        <v>63600319</v>
      </c>
    </row>
    <row r="1357">
      <c r="A1357" s="2">
        <f>IFERROR(__xludf.DUMMYFUNCTION("""COMPUTED_VALUE"""),46010.66666666667)</f>
        <v>46010.66667</v>
      </c>
      <c r="B1357" s="1">
        <f>IFERROR(__xludf.DUMMYFUNCTION("""COMPUTED_VALUE"""),143.27)</f>
        <v>143.27</v>
      </c>
      <c r="C1357" s="1">
        <f>IFERROR(__xludf.DUMMYFUNCTION("""COMPUTED_VALUE"""),148.45)</f>
        <v>148.45</v>
      </c>
      <c r="D1357" s="1">
        <f>IFERROR(__xludf.DUMMYFUNCTION("""COMPUTED_VALUE"""),143.2)</f>
        <v>143.2</v>
      </c>
      <c r="E1357" s="1">
        <f>IFERROR(__xludf.DUMMYFUNCTION("""COMPUTED_VALUE"""),144.46)</f>
        <v>144.46</v>
      </c>
      <c r="F1357" s="1">
        <f>IFERROR(__xludf.DUMMYFUNCTION("""COMPUTED_VALUE"""),6.5548137E7)</f>
        <v>65548137</v>
      </c>
    </row>
    <row r="1358">
      <c r="A1358" s="2">
        <f>IFERROR(__xludf.DUMMYFUNCTION("""COMPUTED_VALUE"""),46017.66666666667)</f>
        <v>46017.66667</v>
      </c>
      <c r="B1358" s="1">
        <f>IFERROR(__xludf.DUMMYFUNCTION("""COMPUTED_VALUE"""),143.71)</f>
        <v>143.71</v>
      </c>
      <c r="C1358" s="1">
        <f>IFERROR(__xludf.DUMMYFUNCTION("""COMPUTED_VALUE"""),145.64)</f>
        <v>145.64</v>
      </c>
      <c r="D1358" s="1">
        <f>IFERROR(__xludf.DUMMYFUNCTION("""COMPUTED_VALUE"""),142.08)</f>
        <v>142.08</v>
      </c>
      <c r="E1358" s="1">
        <f>IFERROR(__xludf.DUMMYFUNCTION("""COMPUTED_VALUE"""),144.74)</f>
        <v>144.74</v>
      </c>
      <c r="F1358" s="1">
        <f>IFERROR(__xludf.DUMMYFUNCTION("""COMPUTED_VALUE"""),2.9243637E7)</f>
        <v>29243637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IFERROR(__xludf.DUMMYFUNCTION("GOOGLEFINANCE(""PG"", ""all"", DATE(2000, 1, 1), DATE(2025, 12, 31), ""DAILY"")"),"Date")</f>
        <v>Date</v>
      </c>
      <c r="B1" s="1" t="str">
        <f>IFERROR(__xludf.DUMMYFUNCTION("""COMPUTED_VALUE"""),"Open")</f>
        <v>Open</v>
      </c>
      <c r="C1" s="1" t="str">
        <f>IFERROR(__xludf.DUMMYFUNCTION("""COMPUTED_VALUE"""),"High")</f>
        <v>High</v>
      </c>
      <c r="D1" s="1" t="str">
        <f>IFERROR(__xludf.DUMMYFUNCTION("""COMPUTED_VALUE"""),"Low")</f>
        <v>Low</v>
      </c>
      <c r="E1" s="1" t="str">
        <f>IFERROR(__xludf.DUMMYFUNCTION("""COMPUTED_VALUE"""),"Close")</f>
        <v>Close</v>
      </c>
      <c r="F1" s="1" t="str">
        <f>IFERROR(__xludf.DUMMYFUNCTION("""COMPUTED_VALUE"""),"Volume")</f>
        <v>Volume</v>
      </c>
    </row>
    <row r="2">
      <c r="A2" s="2">
        <f>IFERROR(__xludf.DUMMYFUNCTION("""COMPUTED_VALUE"""),36528.666666666664)</f>
        <v>36528.66667</v>
      </c>
      <c r="B2" s="1">
        <f>IFERROR(__xludf.DUMMYFUNCTION("""COMPUTED_VALUE"""),53.24)</f>
        <v>53.24</v>
      </c>
      <c r="C2" s="1">
        <f>IFERROR(__xludf.DUMMYFUNCTION("""COMPUTED_VALUE"""),53.3)</f>
        <v>53.3</v>
      </c>
      <c r="D2" s="1">
        <f>IFERROR(__xludf.DUMMYFUNCTION("""COMPUTED_VALUE"""),52.19)</f>
        <v>52.19</v>
      </c>
      <c r="E2" s="1">
        <f>IFERROR(__xludf.DUMMYFUNCTION("""COMPUTED_VALUE"""),52.93)</f>
        <v>52.93</v>
      </c>
      <c r="F2" s="1">
        <f>IFERROR(__xludf.DUMMYFUNCTION("""COMPUTED_VALUE"""),1862100.0)</f>
        <v>1862100</v>
      </c>
    </row>
    <row r="3">
      <c r="A3" s="2">
        <f>IFERROR(__xludf.DUMMYFUNCTION("""COMPUTED_VALUE"""),36529.666666666664)</f>
        <v>36529.66667</v>
      </c>
      <c r="B3" s="1">
        <f>IFERROR(__xludf.DUMMYFUNCTION("""COMPUTED_VALUE"""),53.24)</f>
        <v>53.24</v>
      </c>
      <c r="C3" s="1">
        <f>IFERROR(__xludf.DUMMYFUNCTION("""COMPUTED_VALUE"""),53.49)</f>
        <v>53.49</v>
      </c>
      <c r="D3" s="1">
        <f>IFERROR(__xludf.DUMMYFUNCTION("""COMPUTED_VALUE"""),51.23)</f>
        <v>51.23</v>
      </c>
      <c r="E3" s="1">
        <f>IFERROR(__xludf.DUMMYFUNCTION("""COMPUTED_VALUE"""),51.91)</f>
        <v>51.91</v>
      </c>
      <c r="F3" s="1">
        <f>IFERROR(__xludf.DUMMYFUNCTION("""COMPUTED_VALUE"""),1889200.0)</f>
        <v>1889200</v>
      </c>
    </row>
    <row r="4">
      <c r="A4" s="2">
        <f>IFERROR(__xludf.DUMMYFUNCTION("""COMPUTED_VALUE"""),36530.666666666664)</f>
        <v>36530.66667</v>
      </c>
      <c r="B4" s="1">
        <f>IFERROR(__xludf.DUMMYFUNCTION("""COMPUTED_VALUE"""),51.79)</f>
        <v>51.79</v>
      </c>
      <c r="C4" s="1">
        <f>IFERROR(__xludf.DUMMYFUNCTION("""COMPUTED_VALUE"""),51.98)</f>
        <v>51.98</v>
      </c>
      <c r="D4" s="1">
        <f>IFERROR(__xludf.DUMMYFUNCTION("""COMPUTED_VALUE"""),50.62)</f>
        <v>50.62</v>
      </c>
      <c r="E4" s="1">
        <f>IFERROR(__xludf.DUMMYFUNCTION("""COMPUTED_VALUE"""),50.83)</f>
        <v>50.83</v>
      </c>
      <c r="F4" s="1">
        <f>IFERROR(__xludf.DUMMYFUNCTION("""COMPUTED_VALUE"""),2285000.0)</f>
        <v>2285000</v>
      </c>
    </row>
    <row r="5">
      <c r="A5" s="2">
        <f>IFERROR(__xludf.DUMMYFUNCTION("""COMPUTED_VALUE"""),36531.666666666664)</f>
        <v>36531.66667</v>
      </c>
      <c r="B5" s="1">
        <f>IFERROR(__xludf.DUMMYFUNCTION("""COMPUTED_VALUE"""),51.91)</f>
        <v>51.91</v>
      </c>
      <c r="C5" s="1">
        <f>IFERROR(__xludf.DUMMYFUNCTION("""COMPUTED_VALUE"""),54.04)</f>
        <v>54.04</v>
      </c>
      <c r="D5" s="1">
        <f>IFERROR(__xludf.DUMMYFUNCTION("""COMPUTED_VALUE"""),51.88)</f>
        <v>51.88</v>
      </c>
      <c r="E5" s="1">
        <f>IFERROR(__xludf.DUMMYFUNCTION("""COMPUTED_VALUE"""),53.21)</f>
        <v>53.21</v>
      </c>
      <c r="F5" s="1">
        <f>IFERROR(__xludf.DUMMYFUNCTION("""COMPUTED_VALUE"""),2897700.0)</f>
        <v>2897700</v>
      </c>
    </row>
    <row r="6">
      <c r="A6" s="2">
        <f>IFERROR(__xludf.DUMMYFUNCTION("""COMPUTED_VALUE"""),36532.666666666664)</f>
        <v>36532.66667</v>
      </c>
      <c r="B6" s="1">
        <f>IFERROR(__xludf.DUMMYFUNCTION("""COMPUTED_VALUE"""),57.53)</f>
        <v>57.53</v>
      </c>
      <c r="C6" s="1">
        <f>IFERROR(__xludf.DUMMYFUNCTION("""COMPUTED_VALUE"""),57.78)</f>
        <v>57.78</v>
      </c>
      <c r="D6" s="1">
        <f>IFERROR(__xludf.DUMMYFUNCTION("""COMPUTED_VALUE"""),53.95)</f>
        <v>53.95</v>
      </c>
      <c r="E6" s="1">
        <f>IFERROR(__xludf.DUMMYFUNCTION("""COMPUTED_VALUE"""),57.53)</f>
        <v>57.53</v>
      </c>
      <c r="F6" s="1">
        <f>IFERROR(__xludf.DUMMYFUNCTION("""COMPUTED_VALUE"""),4038400.0)</f>
        <v>4038400</v>
      </c>
    </row>
    <row r="7">
      <c r="A7" s="2">
        <f>IFERROR(__xludf.DUMMYFUNCTION("""COMPUTED_VALUE"""),36535.666666666664)</f>
        <v>36535.66667</v>
      </c>
      <c r="B7" s="1">
        <f>IFERROR(__xludf.DUMMYFUNCTION("""COMPUTED_VALUE"""),57.19)</f>
        <v>57.19</v>
      </c>
      <c r="C7" s="1">
        <f>IFERROR(__xludf.DUMMYFUNCTION("""COMPUTED_VALUE"""),57.93)</f>
        <v>57.93</v>
      </c>
      <c r="D7" s="1">
        <f>IFERROR(__xludf.DUMMYFUNCTION("""COMPUTED_VALUE"""),56.48)</f>
        <v>56.48</v>
      </c>
      <c r="E7" s="1">
        <f>IFERROR(__xludf.DUMMYFUNCTION("""COMPUTED_VALUE"""),57.25)</f>
        <v>57.25</v>
      </c>
      <c r="F7" s="1">
        <f>IFERROR(__xludf.DUMMYFUNCTION("""COMPUTED_VALUE"""),2916600.0)</f>
        <v>2916600</v>
      </c>
    </row>
    <row r="8">
      <c r="A8" s="2">
        <f>IFERROR(__xludf.DUMMYFUNCTION("""COMPUTED_VALUE"""),36536.666666666664)</f>
        <v>36536.66667</v>
      </c>
      <c r="B8" s="1">
        <f>IFERROR(__xludf.DUMMYFUNCTION("""COMPUTED_VALUE"""),56.98)</f>
        <v>56.98</v>
      </c>
      <c r="C8" s="1">
        <f>IFERROR(__xludf.DUMMYFUNCTION("""COMPUTED_VALUE"""),58.15)</f>
        <v>58.15</v>
      </c>
      <c r="D8" s="1">
        <f>IFERROR(__xludf.DUMMYFUNCTION("""COMPUTED_VALUE"""),56.51)</f>
        <v>56.51</v>
      </c>
      <c r="E8" s="1">
        <f>IFERROR(__xludf.DUMMYFUNCTION("""COMPUTED_VALUE"""),58.15)</f>
        <v>58.15</v>
      </c>
      <c r="F8" s="1">
        <f>IFERROR(__xludf.DUMMYFUNCTION("""COMPUTED_VALUE"""),1907600.0)</f>
        <v>1907600</v>
      </c>
    </row>
    <row r="9">
      <c r="A9" s="2">
        <f>IFERROR(__xludf.DUMMYFUNCTION("""COMPUTED_VALUE"""),36537.666666666664)</f>
        <v>36537.66667</v>
      </c>
      <c r="B9" s="1">
        <f>IFERROR(__xludf.DUMMYFUNCTION("""COMPUTED_VALUE"""),57.35)</f>
        <v>57.35</v>
      </c>
      <c r="C9" s="1">
        <f>IFERROR(__xludf.DUMMYFUNCTION("""COMPUTED_VALUE"""),58.46)</f>
        <v>58.46</v>
      </c>
      <c r="D9" s="1">
        <f>IFERROR(__xludf.DUMMYFUNCTION("""COMPUTED_VALUE"""),57.35)</f>
        <v>57.35</v>
      </c>
      <c r="E9" s="1">
        <f>IFERROR(__xludf.DUMMYFUNCTION("""COMPUTED_VALUE"""),57.78)</f>
        <v>57.78</v>
      </c>
      <c r="F9" s="1">
        <f>IFERROR(__xludf.DUMMYFUNCTION("""COMPUTED_VALUE"""),2720900.0)</f>
        <v>2720900</v>
      </c>
    </row>
    <row r="10">
      <c r="A10" s="2">
        <f>IFERROR(__xludf.DUMMYFUNCTION("""COMPUTED_VALUE"""),36538.666666666664)</f>
        <v>36538.66667</v>
      </c>
      <c r="B10" s="1">
        <f>IFERROR(__xludf.DUMMYFUNCTION("""COMPUTED_VALUE"""),57.72)</f>
        <v>57.72</v>
      </c>
      <c r="C10" s="1">
        <f>IFERROR(__xludf.DUMMYFUNCTION("""COMPUTED_VALUE"""),57.78)</f>
        <v>57.78</v>
      </c>
      <c r="D10" s="1">
        <f>IFERROR(__xludf.DUMMYFUNCTION("""COMPUTED_VALUE"""),56.57)</f>
        <v>56.57</v>
      </c>
      <c r="E10" s="1">
        <f>IFERROR(__xludf.DUMMYFUNCTION("""COMPUTED_VALUE"""),56.79)</f>
        <v>56.79</v>
      </c>
      <c r="F10" s="1">
        <f>IFERROR(__xludf.DUMMYFUNCTION("""COMPUTED_VALUE"""),2048800.0)</f>
        <v>2048800</v>
      </c>
    </row>
    <row r="11">
      <c r="A11" s="2">
        <f>IFERROR(__xludf.DUMMYFUNCTION("""COMPUTED_VALUE"""),36539.666666666664)</f>
        <v>36539.66667</v>
      </c>
      <c r="B11" s="1">
        <f>IFERROR(__xludf.DUMMYFUNCTION("""COMPUTED_VALUE"""),57.04)</f>
        <v>57.04</v>
      </c>
      <c r="C11" s="1">
        <f>IFERROR(__xludf.DUMMYFUNCTION("""COMPUTED_VALUE"""),57.78)</f>
        <v>57.78</v>
      </c>
      <c r="D11" s="1">
        <f>IFERROR(__xludf.DUMMYFUNCTION("""COMPUTED_VALUE"""),56.98)</f>
        <v>56.98</v>
      </c>
      <c r="E11" s="1">
        <f>IFERROR(__xludf.DUMMYFUNCTION("""COMPUTED_VALUE"""),57.78)</f>
        <v>57.78</v>
      </c>
      <c r="F11" s="1">
        <f>IFERROR(__xludf.DUMMYFUNCTION("""COMPUTED_VALUE"""),2165100.0)</f>
        <v>2165100</v>
      </c>
    </row>
    <row r="12">
      <c r="A12" s="2">
        <f>IFERROR(__xludf.DUMMYFUNCTION("""COMPUTED_VALUE"""),36543.666666666664)</f>
        <v>36543.66667</v>
      </c>
      <c r="B12" s="1">
        <f>IFERROR(__xludf.DUMMYFUNCTION("""COMPUTED_VALUE"""),57.75)</f>
        <v>57.75</v>
      </c>
      <c r="C12" s="1">
        <f>IFERROR(__xludf.DUMMYFUNCTION("""COMPUTED_VALUE"""),58.27)</f>
        <v>58.27</v>
      </c>
      <c r="D12" s="1">
        <f>IFERROR(__xludf.DUMMYFUNCTION("""COMPUTED_VALUE"""),57.31)</f>
        <v>57.31</v>
      </c>
      <c r="E12" s="1">
        <f>IFERROR(__xludf.DUMMYFUNCTION("""COMPUTED_VALUE"""),57.75)</f>
        <v>57.75</v>
      </c>
      <c r="F12" s="1">
        <f>IFERROR(__xludf.DUMMYFUNCTION("""COMPUTED_VALUE"""),1962100.0)</f>
        <v>1962100</v>
      </c>
    </row>
    <row r="13">
      <c r="A13" s="2">
        <f>IFERROR(__xludf.DUMMYFUNCTION("""COMPUTED_VALUE"""),36544.666666666664)</f>
        <v>36544.66667</v>
      </c>
      <c r="B13" s="1">
        <f>IFERROR(__xludf.DUMMYFUNCTION("""COMPUTED_VALUE"""),57.28)</f>
        <v>57.28</v>
      </c>
      <c r="C13" s="1">
        <f>IFERROR(__xludf.DUMMYFUNCTION("""COMPUTED_VALUE"""),57.28)</f>
        <v>57.28</v>
      </c>
      <c r="D13" s="1">
        <f>IFERROR(__xludf.DUMMYFUNCTION("""COMPUTED_VALUE"""),56.08)</f>
        <v>56.08</v>
      </c>
      <c r="E13" s="1">
        <f>IFERROR(__xludf.DUMMYFUNCTION("""COMPUTED_VALUE"""),56.98)</f>
        <v>56.98</v>
      </c>
      <c r="F13" s="1">
        <f>IFERROR(__xludf.DUMMYFUNCTION("""COMPUTED_VALUE"""),2477400.0)</f>
        <v>2477400</v>
      </c>
    </row>
    <row r="14">
      <c r="A14" s="2">
        <f>IFERROR(__xludf.DUMMYFUNCTION("""COMPUTED_VALUE"""),36545.666666666664)</f>
        <v>36545.66667</v>
      </c>
      <c r="B14" s="1">
        <f>IFERROR(__xludf.DUMMYFUNCTION("""COMPUTED_VALUE"""),56.42)</f>
        <v>56.42</v>
      </c>
      <c r="C14" s="1">
        <f>IFERROR(__xludf.DUMMYFUNCTION("""COMPUTED_VALUE"""),56.42)</f>
        <v>56.42</v>
      </c>
      <c r="D14" s="1">
        <f>IFERROR(__xludf.DUMMYFUNCTION("""COMPUTED_VALUE"""),53.15)</f>
        <v>53.15</v>
      </c>
      <c r="E14" s="1">
        <f>IFERROR(__xludf.DUMMYFUNCTION("""COMPUTED_VALUE"""),55.59)</f>
        <v>55.59</v>
      </c>
      <c r="F14" s="1">
        <f>IFERROR(__xludf.DUMMYFUNCTION("""COMPUTED_VALUE"""),4631500.0)</f>
        <v>4631500</v>
      </c>
    </row>
    <row r="15">
      <c r="A15" s="2">
        <f>IFERROR(__xludf.DUMMYFUNCTION("""COMPUTED_VALUE"""),36546.666666666664)</f>
        <v>36546.66667</v>
      </c>
      <c r="B15" s="1">
        <f>IFERROR(__xludf.DUMMYFUNCTION("""COMPUTED_VALUE"""),55.62)</f>
        <v>55.62</v>
      </c>
      <c r="C15" s="1">
        <f>IFERROR(__xludf.DUMMYFUNCTION("""COMPUTED_VALUE"""),55.62)</f>
        <v>55.62</v>
      </c>
      <c r="D15" s="1">
        <f>IFERROR(__xludf.DUMMYFUNCTION("""COMPUTED_VALUE"""),49.14)</f>
        <v>49.14</v>
      </c>
      <c r="E15" s="1">
        <f>IFERROR(__xludf.DUMMYFUNCTION("""COMPUTED_VALUE"""),50.71)</f>
        <v>50.71</v>
      </c>
      <c r="F15" s="1">
        <f>IFERROR(__xludf.DUMMYFUNCTION("""COMPUTED_VALUE"""),1.05162E7)</f>
        <v>10516200</v>
      </c>
    </row>
    <row r="16">
      <c r="A16" s="2">
        <f>IFERROR(__xludf.DUMMYFUNCTION("""COMPUTED_VALUE"""),36549.666666666664)</f>
        <v>36549.66667</v>
      </c>
      <c r="B16" s="1">
        <f>IFERROR(__xludf.DUMMYFUNCTION("""COMPUTED_VALUE"""),47.9)</f>
        <v>47.9</v>
      </c>
      <c r="C16" s="1">
        <f>IFERROR(__xludf.DUMMYFUNCTION("""COMPUTED_VALUE"""),53.77)</f>
        <v>53.77</v>
      </c>
      <c r="D16" s="1">
        <f>IFERROR(__xludf.DUMMYFUNCTION("""COMPUTED_VALUE"""),46.82)</f>
        <v>46.82</v>
      </c>
      <c r="E16" s="1">
        <f>IFERROR(__xludf.DUMMYFUNCTION("""COMPUTED_VALUE"""),50.93)</f>
        <v>50.93</v>
      </c>
      <c r="F16" s="1">
        <f>IFERROR(__xludf.DUMMYFUNCTION("""COMPUTED_VALUE"""),9447900.0)</f>
        <v>9447900</v>
      </c>
    </row>
    <row r="17">
      <c r="A17" s="2">
        <f>IFERROR(__xludf.DUMMYFUNCTION("""COMPUTED_VALUE"""),36550.666666666664)</f>
        <v>36550.66667</v>
      </c>
      <c r="B17" s="1">
        <f>IFERROR(__xludf.DUMMYFUNCTION("""COMPUTED_VALUE"""),51.17)</f>
        <v>51.17</v>
      </c>
      <c r="C17" s="1">
        <f>IFERROR(__xludf.DUMMYFUNCTION("""COMPUTED_VALUE"""),51.17)</f>
        <v>51.17</v>
      </c>
      <c r="D17" s="1">
        <f>IFERROR(__xludf.DUMMYFUNCTION("""COMPUTED_VALUE"""),47.9)</f>
        <v>47.9</v>
      </c>
      <c r="E17" s="1">
        <f>IFERROR(__xludf.DUMMYFUNCTION("""COMPUTED_VALUE"""),48.12)</f>
        <v>48.12</v>
      </c>
      <c r="F17" s="1">
        <f>IFERROR(__xludf.DUMMYFUNCTION("""COMPUTED_VALUE"""),7593000.0)</f>
        <v>7593000</v>
      </c>
    </row>
    <row r="18">
      <c r="A18" s="2">
        <f>IFERROR(__xludf.DUMMYFUNCTION("""COMPUTED_VALUE"""),36551.666666666664)</f>
        <v>36551.66667</v>
      </c>
      <c r="B18" s="1">
        <f>IFERROR(__xludf.DUMMYFUNCTION("""COMPUTED_VALUE"""),49.78)</f>
        <v>49.78</v>
      </c>
      <c r="C18" s="1">
        <f>IFERROR(__xludf.DUMMYFUNCTION("""COMPUTED_VALUE"""),49.78)</f>
        <v>49.78</v>
      </c>
      <c r="D18" s="1">
        <f>IFERROR(__xludf.DUMMYFUNCTION("""COMPUTED_VALUE"""),48.8)</f>
        <v>48.8</v>
      </c>
      <c r="E18" s="1">
        <f>IFERROR(__xludf.DUMMYFUNCTION("""COMPUTED_VALUE"""),49.6)</f>
        <v>49.6</v>
      </c>
      <c r="F18" s="1">
        <f>IFERROR(__xludf.DUMMYFUNCTION("""COMPUTED_VALUE"""),4538200.0)</f>
        <v>4538200</v>
      </c>
    </row>
    <row r="19">
      <c r="A19" s="2">
        <f>IFERROR(__xludf.DUMMYFUNCTION("""COMPUTED_VALUE"""),36552.666666666664)</f>
        <v>36552.66667</v>
      </c>
      <c r="B19" s="1">
        <f>IFERROR(__xludf.DUMMYFUNCTION("""COMPUTED_VALUE"""),50.37)</f>
        <v>50.37</v>
      </c>
      <c r="C19" s="1">
        <f>IFERROR(__xludf.DUMMYFUNCTION("""COMPUTED_VALUE"""),51.57)</f>
        <v>51.57</v>
      </c>
      <c r="D19" s="1">
        <f>IFERROR(__xludf.DUMMYFUNCTION("""COMPUTED_VALUE"""),50.06)</f>
        <v>50.06</v>
      </c>
      <c r="E19" s="1">
        <f>IFERROR(__xludf.DUMMYFUNCTION("""COMPUTED_VALUE"""),51.33)</f>
        <v>51.33</v>
      </c>
      <c r="F19" s="1">
        <f>IFERROR(__xludf.DUMMYFUNCTION("""COMPUTED_VALUE"""),3965700.0)</f>
        <v>3965700</v>
      </c>
    </row>
    <row r="20">
      <c r="A20" s="2">
        <f>IFERROR(__xludf.DUMMYFUNCTION("""COMPUTED_VALUE"""),36553.666666666664)</f>
        <v>36553.66667</v>
      </c>
      <c r="B20" s="1">
        <f>IFERROR(__xludf.DUMMYFUNCTION("""COMPUTED_VALUE"""),51.2)</f>
        <v>51.2</v>
      </c>
      <c r="C20" s="1">
        <f>IFERROR(__xludf.DUMMYFUNCTION("""COMPUTED_VALUE"""),51.2)</f>
        <v>51.2</v>
      </c>
      <c r="D20" s="1">
        <f>IFERROR(__xludf.DUMMYFUNCTION("""COMPUTED_VALUE"""),49.07)</f>
        <v>49.07</v>
      </c>
      <c r="E20" s="1">
        <f>IFERROR(__xludf.DUMMYFUNCTION("""COMPUTED_VALUE"""),49.54)</f>
        <v>49.54</v>
      </c>
      <c r="F20" s="1">
        <f>IFERROR(__xludf.DUMMYFUNCTION("""COMPUTED_VALUE"""),4354400.0)</f>
        <v>4354400</v>
      </c>
    </row>
    <row r="21">
      <c r="A21" s="2">
        <f>IFERROR(__xludf.DUMMYFUNCTION("""COMPUTED_VALUE"""),36556.666666666664)</f>
        <v>36556.66667</v>
      </c>
      <c r="B21" s="1">
        <f>IFERROR(__xludf.DUMMYFUNCTION("""COMPUTED_VALUE"""),49.51)</f>
        <v>49.51</v>
      </c>
      <c r="C21" s="1">
        <f>IFERROR(__xludf.DUMMYFUNCTION("""COMPUTED_VALUE"""),49.94)</f>
        <v>49.94</v>
      </c>
      <c r="D21" s="1">
        <f>IFERROR(__xludf.DUMMYFUNCTION("""COMPUTED_VALUE"""),48.77)</f>
        <v>48.77</v>
      </c>
      <c r="E21" s="1">
        <f>IFERROR(__xludf.DUMMYFUNCTION("""COMPUTED_VALUE"""),49.81)</f>
        <v>49.81</v>
      </c>
      <c r="F21" s="1">
        <f>IFERROR(__xludf.DUMMYFUNCTION("""COMPUTED_VALUE"""),1964600.0)</f>
        <v>1964600</v>
      </c>
    </row>
    <row r="22">
      <c r="A22" s="2">
        <f>IFERROR(__xludf.DUMMYFUNCTION("""COMPUTED_VALUE"""),36557.666666666664)</f>
        <v>36557.66667</v>
      </c>
      <c r="B22" s="1">
        <f>IFERROR(__xludf.DUMMYFUNCTION("""COMPUTED_VALUE"""),49.72)</f>
        <v>49.72</v>
      </c>
      <c r="C22" s="1">
        <f>IFERROR(__xludf.DUMMYFUNCTION("""COMPUTED_VALUE"""),49.75)</f>
        <v>49.75</v>
      </c>
      <c r="D22" s="1">
        <f>IFERROR(__xludf.DUMMYFUNCTION("""COMPUTED_VALUE"""),48.77)</f>
        <v>48.77</v>
      </c>
      <c r="E22" s="1">
        <f>IFERROR(__xludf.DUMMYFUNCTION("""COMPUTED_VALUE"""),49.14)</f>
        <v>49.14</v>
      </c>
      <c r="F22" s="1">
        <f>IFERROR(__xludf.DUMMYFUNCTION("""COMPUTED_VALUE"""),1739800.0)</f>
        <v>1739800</v>
      </c>
    </row>
    <row r="23">
      <c r="A23" s="2">
        <f>IFERROR(__xludf.DUMMYFUNCTION("""COMPUTED_VALUE"""),36558.666666666664)</f>
        <v>36558.66667</v>
      </c>
      <c r="B23" s="1">
        <f>IFERROR(__xludf.DUMMYFUNCTION("""COMPUTED_VALUE"""),49.26)</f>
        <v>49.26</v>
      </c>
      <c r="C23" s="1">
        <f>IFERROR(__xludf.DUMMYFUNCTION("""COMPUTED_VALUE"""),49.38)</f>
        <v>49.38</v>
      </c>
      <c r="D23" s="1">
        <f>IFERROR(__xludf.DUMMYFUNCTION("""COMPUTED_VALUE"""),48.55)</f>
        <v>48.55</v>
      </c>
      <c r="E23" s="1">
        <f>IFERROR(__xludf.DUMMYFUNCTION("""COMPUTED_VALUE"""),48.7)</f>
        <v>48.7</v>
      </c>
      <c r="F23" s="1">
        <f>IFERROR(__xludf.DUMMYFUNCTION("""COMPUTED_VALUE"""),1682800.0)</f>
        <v>1682800</v>
      </c>
    </row>
    <row r="24">
      <c r="A24" s="2">
        <f>IFERROR(__xludf.DUMMYFUNCTION("""COMPUTED_VALUE"""),36559.666666666664)</f>
        <v>36559.66667</v>
      </c>
      <c r="B24" s="1">
        <f>IFERROR(__xludf.DUMMYFUNCTION("""COMPUTED_VALUE"""),49.29)</f>
        <v>49.29</v>
      </c>
      <c r="C24" s="1">
        <f>IFERROR(__xludf.DUMMYFUNCTION("""COMPUTED_VALUE"""),49.29)</f>
        <v>49.29</v>
      </c>
      <c r="D24" s="1">
        <f>IFERROR(__xludf.DUMMYFUNCTION("""COMPUTED_VALUE"""),47.75)</f>
        <v>47.75</v>
      </c>
      <c r="E24" s="1">
        <f>IFERROR(__xludf.DUMMYFUNCTION("""COMPUTED_VALUE"""),48.27)</f>
        <v>48.27</v>
      </c>
      <c r="F24" s="1">
        <f>IFERROR(__xludf.DUMMYFUNCTION("""COMPUTED_VALUE"""),2725300.0)</f>
        <v>2725300</v>
      </c>
    </row>
    <row r="25">
      <c r="A25" s="2">
        <f>IFERROR(__xludf.DUMMYFUNCTION("""COMPUTED_VALUE"""),36560.666666666664)</f>
        <v>36560.66667</v>
      </c>
      <c r="B25" s="1">
        <f>IFERROR(__xludf.DUMMYFUNCTION("""COMPUTED_VALUE"""),48.21)</f>
        <v>48.21</v>
      </c>
      <c r="C25" s="1">
        <f>IFERROR(__xludf.DUMMYFUNCTION("""COMPUTED_VALUE"""),48.24)</f>
        <v>48.24</v>
      </c>
      <c r="D25" s="1">
        <f>IFERROR(__xludf.DUMMYFUNCTION("""COMPUTED_VALUE"""),46.42)</f>
        <v>46.42</v>
      </c>
      <c r="E25" s="1">
        <f>IFERROR(__xludf.DUMMYFUNCTION("""COMPUTED_VALUE"""),46.79)</f>
        <v>46.79</v>
      </c>
      <c r="F25" s="1">
        <f>IFERROR(__xludf.DUMMYFUNCTION("""COMPUTED_VALUE"""),3082100.0)</f>
        <v>3082100</v>
      </c>
    </row>
    <row r="26">
      <c r="A26" s="2">
        <f>IFERROR(__xludf.DUMMYFUNCTION("""COMPUTED_VALUE"""),36563.666666666664)</f>
        <v>36563.66667</v>
      </c>
      <c r="B26" s="1">
        <f>IFERROR(__xludf.DUMMYFUNCTION("""COMPUTED_VALUE"""),46.42)</f>
        <v>46.42</v>
      </c>
      <c r="C26" s="1">
        <f>IFERROR(__xludf.DUMMYFUNCTION("""COMPUTED_VALUE"""),46.82)</f>
        <v>46.82</v>
      </c>
      <c r="D26" s="1">
        <f>IFERROR(__xludf.DUMMYFUNCTION("""COMPUTED_VALUE"""),45.71)</f>
        <v>45.71</v>
      </c>
      <c r="E26" s="1">
        <f>IFERROR(__xludf.DUMMYFUNCTION("""COMPUTED_VALUE"""),46.14)</f>
        <v>46.14</v>
      </c>
      <c r="F26" s="1">
        <f>IFERROR(__xludf.DUMMYFUNCTION("""COMPUTED_VALUE"""),2756100.0)</f>
        <v>2756100</v>
      </c>
    </row>
    <row r="27">
      <c r="A27" s="2">
        <f>IFERROR(__xludf.DUMMYFUNCTION("""COMPUTED_VALUE"""),36564.666666666664)</f>
        <v>36564.66667</v>
      </c>
      <c r="B27" s="1">
        <f>IFERROR(__xludf.DUMMYFUNCTION("""COMPUTED_VALUE"""),46.42)</f>
        <v>46.42</v>
      </c>
      <c r="C27" s="1">
        <f>IFERROR(__xludf.DUMMYFUNCTION("""COMPUTED_VALUE"""),47.35)</f>
        <v>47.35</v>
      </c>
      <c r="D27" s="1">
        <f>IFERROR(__xludf.DUMMYFUNCTION("""COMPUTED_VALUE"""),45.83)</f>
        <v>45.83</v>
      </c>
      <c r="E27" s="1">
        <f>IFERROR(__xludf.DUMMYFUNCTION("""COMPUTED_VALUE"""),47.28)</f>
        <v>47.28</v>
      </c>
      <c r="F27" s="1">
        <f>IFERROR(__xludf.DUMMYFUNCTION("""COMPUTED_VALUE"""),2892800.0)</f>
        <v>2892800</v>
      </c>
    </row>
    <row r="28">
      <c r="A28" s="2">
        <f>IFERROR(__xludf.DUMMYFUNCTION("""COMPUTED_VALUE"""),36565.666666666664)</f>
        <v>36565.66667</v>
      </c>
      <c r="B28" s="1">
        <f>IFERROR(__xludf.DUMMYFUNCTION("""COMPUTED_VALUE"""),47.04)</f>
        <v>47.04</v>
      </c>
      <c r="C28" s="1">
        <f>IFERROR(__xludf.DUMMYFUNCTION("""COMPUTED_VALUE"""),47.25)</f>
        <v>47.25</v>
      </c>
      <c r="D28" s="1">
        <f>IFERROR(__xludf.DUMMYFUNCTION("""COMPUTED_VALUE"""),46.3)</f>
        <v>46.3</v>
      </c>
      <c r="E28" s="1">
        <f>IFERROR(__xludf.DUMMYFUNCTION("""COMPUTED_VALUE"""),46.3)</f>
        <v>46.3</v>
      </c>
      <c r="F28" s="1">
        <f>IFERROR(__xludf.DUMMYFUNCTION("""COMPUTED_VALUE"""),2732700.0)</f>
        <v>2732700</v>
      </c>
    </row>
    <row r="29">
      <c r="A29" s="2">
        <f>IFERROR(__xludf.DUMMYFUNCTION("""COMPUTED_VALUE"""),36566.666666666664)</f>
        <v>36566.66667</v>
      </c>
      <c r="B29" s="1">
        <f>IFERROR(__xludf.DUMMYFUNCTION("""COMPUTED_VALUE"""),46.3)</f>
        <v>46.3</v>
      </c>
      <c r="C29" s="1">
        <f>IFERROR(__xludf.DUMMYFUNCTION("""COMPUTED_VALUE"""),46.76)</f>
        <v>46.76</v>
      </c>
      <c r="D29" s="1">
        <f>IFERROR(__xludf.DUMMYFUNCTION("""COMPUTED_VALUE"""),44.51)</f>
        <v>44.51</v>
      </c>
      <c r="E29" s="1">
        <f>IFERROR(__xludf.DUMMYFUNCTION("""COMPUTED_VALUE"""),45.15)</f>
        <v>45.15</v>
      </c>
      <c r="F29" s="1">
        <f>IFERROR(__xludf.DUMMYFUNCTION("""COMPUTED_VALUE"""),2193900.0)</f>
        <v>2193900</v>
      </c>
    </row>
    <row r="30">
      <c r="A30" s="2">
        <f>IFERROR(__xludf.DUMMYFUNCTION("""COMPUTED_VALUE"""),36567.666666666664)</f>
        <v>36567.66667</v>
      </c>
      <c r="B30" s="1">
        <f>IFERROR(__xludf.DUMMYFUNCTION("""COMPUTED_VALUE"""),46.3)</f>
        <v>46.3</v>
      </c>
      <c r="C30" s="1">
        <f>IFERROR(__xludf.DUMMYFUNCTION("""COMPUTED_VALUE"""),46.39)</f>
        <v>46.39</v>
      </c>
      <c r="D30" s="1">
        <f>IFERROR(__xludf.DUMMYFUNCTION("""COMPUTED_VALUE"""),44.51)</f>
        <v>44.51</v>
      </c>
      <c r="E30" s="1">
        <f>IFERROR(__xludf.DUMMYFUNCTION("""COMPUTED_VALUE"""),46.3)</f>
        <v>46.3</v>
      </c>
      <c r="F30" s="1">
        <f>IFERROR(__xludf.DUMMYFUNCTION("""COMPUTED_VALUE"""),2256900.0)</f>
        <v>2256900</v>
      </c>
    </row>
    <row r="31">
      <c r="A31" s="2">
        <f>IFERROR(__xludf.DUMMYFUNCTION("""COMPUTED_VALUE"""),36570.666666666664)</f>
        <v>36570.66667</v>
      </c>
      <c r="B31" s="1">
        <f>IFERROR(__xludf.DUMMYFUNCTION("""COMPUTED_VALUE"""),46.27)</f>
        <v>46.27</v>
      </c>
      <c r="C31" s="1">
        <f>IFERROR(__xludf.DUMMYFUNCTION("""COMPUTED_VALUE"""),46.33)</f>
        <v>46.33</v>
      </c>
      <c r="D31" s="1">
        <f>IFERROR(__xludf.DUMMYFUNCTION("""COMPUTED_VALUE"""),44.94)</f>
        <v>44.94</v>
      </c>
      <c r="E31" s="1">
        <f>IFERROR(__xludf.DUMMYFUNCTION("""COMPUTED_VALUE"""),45.37)</f>
        <v>45.37</v>
      </c>
      <c r="F31" s="1">
        <f>IFERROR(__xludf.DUMMYFUNCTION("""COMPUTED_VALUE"""),2336100.0)</f>
        <v>2336100</v>
      </c>
    </row>
    <row r="32">
      <c r="A32" s="2">
        <f>IFERROR(__xludf.DUMMYFUNCTION("""COMPUTED_VALUE"""),36571.666666666664)</f>
        <v>36571.66667</v>
      </c>
      <c r="B32" s="1">
        <f>IFERROR(__xludf.DUMMYFUNCTION("""COMPUTED_VALUE"""),46.27)</f>
        <v>46.27</v>
      </c>
      <c r="C32" s="1">
        <f>IFERROR(__xludf.DUMMYFUNCTION("""COMPUTED_VALUE"""),47.31)</f>
        <v>47.31</v>
      </c>
      <c r="D32" s="1">
        <f>IFERROR(__xludf.DUMMYFUNCTION("""COMPUTED_VALUE"""),45.59)</f>
        <v>45.59</v>
      </c>
      <c r="E32" s="1">
        <f>IFERROR(__xludf.DUMMYFUNCTION("""COMPUTED_VALUE"""),47.25)</f>
        <v>47.25</v>
      </c>
      <c r="F32" s="1">
        <f>IFERROR(__xludf.DUMMYFUNCTION("""COMPUTED_VALUE"""),3007300.0)</f>
        <v>3007300</v>
      </c>
    </row>
    <row r="33">
      <c r="A33" s="2">
        <f>IFERROR(__xludf.DUMMYFUNCTION("""COMPUTED_VALUE"""),36572.666666666664)</f>
        <v>36572.66667</v>
      </c>
      <c r="B33" s="1">
        <f>IFERROR(__xludf.DUMMYFUNCTION("""COMPUTED_VALUE"""),47.31)</f>
        <v>47.31</v>
      </c>
      <c r="C33" s="1">
        <f>IFERROR(__xludf.DUMMYFUNCTION("""COMPUTED_VALUE"""),47.41)</f>
        <v>47.41</v>
      </c>
      <c r="D33" s="1">
        <f>IFERROR(__xludf.DUMMYFUNCTION("""COMPUTED_VALUE"""),45.93)</f>
        <v>45.93</v>
      </c>
      <c r="E33" s="1">
        <f>IFERROR(__xludf.DUMMYFUNCTION("""COMPUTED_VALUE"""),46.11)</f>
        <v>46.11</v>
      </c>
      <c r="F33" s="1">
        <f>IFERROR(__xludf.DUMMYFUNCTION("""COMPUTED_VALUE"""),2384500.0)</f>
        <v>2384500</v>
      </c>
    </row>
    <row r="34">
      <c r="A34" s="2">
        <f>IFERROR(__xludf.DUMMYFUNCTION("""COMPUTED_VALUE"""),36573.666666666664)</f>
        <v>36573.66667</v>
      </c>
      <c r="B34" s="1">
        <f>IFERROR(__xludf.DUMMYFUNCTION("""COMPUTED_VALUE"""),46.42)</f>
        <v>46.42</v>
      </c>
      <c r="C34" s="1">
        <f>IFERROR(__xludf.DUMMYFUNCTION("""COMPUTED_VALUE"""),46.91)</f>
        <v>46.91</v>
      </c>
      <c r="D34" s="1">
        <f>IFERROR(__xludf.DUMMYFUNCTION("""COMPUTED_VALUE"""),45.93)</f>
        <v>45.93</v>
      </c>
      <c r="E34" s="1">
        <f>IFERROR(__xludf.DUMMYFUNCTION("""COMPUTED_VALUE"""),46.51)</f>
        <v>46.51</v>
      </c>
      <c r="F34" s="1">
        <f>IFERROR(__xludf.DUMMYFUNCTION("""COMPUTED_VALUE"""),2128000.0)</f>
        <v>2128000</v>
      </c>
    </row>
    <row r="35">
      <c r="A35" s="2">
        <f>IFERROR(__xludf.DUMMYFUNCTION("""COMPUTED_VALUE"""),36574.666666666664)</f>
        <v>36574.66667</v>
      </c>
      <c r="B35" s="1">
        <f>IFERROR(__xludf.DUMMYFUNCTION("""COMPUTED_VALUE"""),46.33)</f>
        <v>46.33</v>
      </c>
      <c r="C35" s="1">
        <f>IFERROR(__xludf.DUMMYFUNCTION("""COMPUTED_VALUE"""),46.64)</f>
        <v>46.64</v>
      </c>
      <c r="D35" s="1">
        <f>IFERROR(__xludf.DUMMYFUNCTION("""COMPUTED_VALUE"""),45.43)</f>
        <v>45.43</v>
      </c>
      <c r="E35" s="1">
        <f>IFERROR(__xludf.DUMMYFUNCTION("""COMPUTED_VALUE"""),45.89)</f>
        <v>45.89</v>
      </c>
      <c r="F35" s="1">
        <f>IFERROR(__xludf.DUMMYFUNCTION("""COMPUTED_VALUE"""),2037600.0)</f>
        <v>2037600</v>
      </c>
    </row>
    <row r="36">
      <c r="A36" s="2">
        <f>IFERROR(__xludf.DUMMYFUNCTION("""COMPUTED_VALUE"""),36578.666666666664)</f>
        <v>36578.66667</v>
      </c>
      <c r="B36" s="1">
        <f>IFERROR(__xludf.DUMMYFUNCTION("""COMPUTED_VALUE"""),45.59)</f>
        <v>45.59</v>
      </c>
      <c r="C36" s="1">
        <f>IFERROR(__xludf.DUMMYFUNCTION("""COMPUTED_VALUE"""),46.14)</f>
        <v>46.14</v>
      </c>
      <c r="D36" s="1">
        <f>IFERROR(__xludf.DUMMYFUNCTION("""COMPUTED_VALUE"""),44.48)</f>
        <v>44.48</v>
      </c>
      <c r="E36" s="1">
        <f>IFERROR(__xludf.DUMMYFUNCTION("""COMPUTED_VALUE"""),45.86)</f>
        <v>45.86</v>
      </c>
      <c r="F36" s="1">
        <f>IFERROR(__xludf.DUMMYFUNCTION("""COMPUTED_VALUE"""),2219000.0)</f>
        <v>2219000</v>
      </c>
    </row>
    <row r="37">
      <c r="A37" s="2">
        <f>IFERROR(__xludf.DUMMYFUNCTION("""COMPUTED_VALUE"""),36579.666666666664)</f>
        <v>36579.66667</v>
      </c>
      <c r="B37" s="1">
        <f>IFERROR(__xludf.DUMMYFUNCTION("""COMPUTED_VALUE"""),45.86)</f>
        <v>45.86</v>
      </c>
      <c r="C37" s="1">
        <f>IFERROR(__xludf.DUMMYFUNCTION("""COMPUTED_VALUE"""),45.86)</f>
        <v>45.86</v>
      </c>
      <c r="D37" s="1">
        <f>IFERROR(__xludf.DUMMYFUNCTION("""COMPUTED_VALUE"""),44.51)</f>
        <v>44.51</v>
      </c>
      <c r="E37" s="1">
        <f>IFERROR(__xludf.DUMMYFUNCTION("""COMPUTED_VALUE"""),44.54)</f>
        <v>44.54</v>
      </c>
      <c r="F37" s="1">
        <f>IFERROR(__xludf.DUMMYFUNCTION("""COMPUTED_VALUE"""),2307900.0)</f>
        <v>2307900</v>
      </c>
    </row>
    <row r="38">
      <c r="A38" s="2">
        <f>IFERROR(__xludf.DUMMYFUNCTION("""COMPUTED_VALUE"""),36580.666666666664)</f>
        <v>36580.66667</v>
      </c>
      <c r="B38" s="1">
        <f>IFERROR(__xludf.DUMMYFUNCTION("""COMPUTED_VALUE"""),44.63)</f>
        <v>44.63</v>
      </c>
      <c r="C38" s="1">
        <f>IFERROR(__xludf.DUMMYFUNCTION("""COMPUTED_VALUE"""),44.88)</f>
        <v>44.88</v>
      </c>
      <c r="D38" s="1">
        <f>IFERROR(__xludf.DUMMYFUNCTION("""COMPUTED_VALUE"""),42.75)</f>
        <v>42.75</v>
      </c>
      <c r="E38" s="1">
        <f>IFERROR(__xludf.DUMMYFUNCTION("""COMPUTED_VALUE"""),43.8)</f>
        <v>43.8</v>
      </c>
      <c r="F38" s="1">
        <f>IFERROR(__xludf.DUMMYFUNCTION("""COMPUTED_VALUE"""),2929100.0)</f>
        <v>2929100</v>
      </c>
    </row>
    <row r="39">
      <c r="A39" s="2">
        <f>IFERROR(__xludf.DUMMYFUNCTION("""COMPUTED_VALUE"""),36581.666666666664)</f>
        <v>36581.66667</v>
      </c>
      <c r="B39" s="1">
        <f>IFERROR(__xludf.DUMMYFUNCTION("""COMPUTED_VALUE"""),43.83)</f>
        <v>43.83</v>
      </c>
      <c r="C39" s="1">
        <f>IFERROR(__xludf.DUMMYFUNCTION("""COMPUTED_VALUE"""),43.95)</f>
        <v>43.95</v>
      </c>
      <c r="D39" s="1">
        <f>IFERROR(__xludf.DUMMYFUNCTION("""COMPUTED_VALUE"""),42.04)</f>
        <v>42.04</v>
      </c>
      <c r="E39" s="1">
        <f>IFERROR(__xludf.DUMMYFUNCTION("""COMPUTED_VALUE"""),42.04)</f>
        <v>42.04</v>
      </c>
      <c r="F39" s="1">
        <f>IFERROR(__xludf.DUMMYFUNCTION("""COMPUTED_VALUE"""),2923600.0)</f>
        <v>2923600</v>
      </c>
    </row>
    <row r="40">
      <c r="A40" s="2">
        <f>IFERROR(__xludf.DUMMYFUNCTION("""COMPUTED_VALUE"""),36584.666666666664)</f>
        <v>36584.66667</v>
      </c>
      <c r="B40" s="1">
        <f>IFERROR(__xludf.DUMMYFUNCTION("""COMPUTED_VALUE"""),42.38)</f>
        <v>42.38</v>
      </c>
      <c r="C40" s="1">
        <f>IFERROR(__xludf.DUMMYFUNCTION("""COMPUTED_VALUE"""),44.44)</f>
        <v>44.44</v>
      </c>
      <c r="D40" s="1">
        <f>IFERROR(__xludf.DUMMYFUNCTION("""COMPUTED_VALUE"""),42.01)</f>
        <v>42.01</v>
      </c>
      <c r="E40" s="1">
        <f>IFERROR(__xludf.DUMMYFUNCTION("""COMPUTED_VALUE"""),43.7)</f>
        <v>43.7</v>
      </c>
      <c r="F40" s="1">
        <f>IFERROR(__xludf.DUMMYFUNCTION("""COMPUTED_VALUE"""),2964900.0)</f>
        <v>2964900</v>
      </c>
    </row>
    <row r="41">
      <c r="A41" s="2">
        <f>IFERROR(__xludf.DUMMYFUNCTION("""COMPUTED_VALUE"""),36585.666666666664)</f>
        <v>36585.66667</v>
      </c>
      <c r="B41" s="1">
        <f>IFERROR(__xludf.DUMMYFUNCTION("""COMPUTED_VALUE"""),44.2)</f>
        <v>44.2</v>
      </c>
      <c r="C41" s="1">
        <f>IFERROR(__xludf.DUMMYFUNCTION("""COMPUTED_VALUE"""),44.38)</f>
        <v>44.38</v>
      </c>
      <c r="D41" s="1">
        <f>IFERROR(__xludf.DUMMYFUNCTION("""COMPUTED_VALUE"""),43.09)</f>
        <v>43.09</v>
      </c>
      <c r="E41" s="1">
        <f>IFERROR(__xludf.DUMMYFUNCTION("""COMPUTED_VALUE"""),43.46)</f>
        <v>43.46</v>
      </c>
      <c r="F41" s="1">
        <f>IFERROR(__xludf.DUMMYFUNCTION("""COMPUTED_VALUE"""),3290000.0)</f>
        <v>3290000</v>
      </c>
    </row>
    <row r="42">
      <c r="A42" s="2">
        <f>IFERROR(__xludf.DUMMYFUNCTION("""COMPUTED_VALUE"""),36586.666666666664)</f>
        <v>36586.66667</v>
      </c>
      <c r="B42" s="1">
        <f>IFERROR(__xludf.DUMMYFUNCTION("""COMPUTED_VALUE"""),43.46)</f>
        <v>43.46</v>
      </c>
      <c r="C42" s="1">
        <f>IFERROR(__xludf.DUMMYFUNCTION("""COMPUTED_VALUE"""),43.8)</f>
        <v>43.8</v>
      </c>
      <c r="D42" s="1">
        <f>IFERROR(__xludf.DUMMYFUNCTION("""COMPUTED_VALUE"""),42.93)</f>
        <v>42.93</v>
      </c>
      <c r="E42" s="1">
        <f>IFERROR(__xludf.DUMMYFUNCTION("""COMPUTED_VALUE"""),43.58)</f>
        <v>43.58</v>
      </c>
      <c r="F42" s="1">
        <f>IFERROR(__xludf.DUMMYFUNCTION("""COMPUTED_VALUE"""),1759600.0)</f>
        <v>1759600</v>
      </c>
    </row>
    <row r="43">
      <c r="A43" s="2">
        <f>IFERROR(__xludf.DUMMYFUNCTION("""COMPUTED_VALUE"""),36587.666666666664)</f>
        <v>36587.66667</v>
      </c>
      <c r="B43" s="1">
        <f>IFERROR(__xludf.DUMMYFUNCTION("""COMPUTED_VALUE"""),43.46)</f>
        <v>43.46</v>
      </c>
      <c r="C43" s="1">
        <f>IFERROR(__xludf.DUMMYFUNCTION("""COMPUTED_VALUE"""),43.67)</f>
        <v>43.67</v>
      </c>
      <c r="D43" s="1">
        <f>IFERROR(__xludf.DUMMYFUNCTION("""COMPUTED_VALUE"""),42.81)</f>
        <v>42.81</v>
      </c>
      <c r="E43" s="1">
        <f>IFERROR(__xludf.DUMMYFUNCTION("""COMPUTED_VALUE"""),43.12)</f>
        <v>43.12</v>
      </c>
      <c r="F43" s="1">
        <f>IFERROR(__xludf.DUMMYFUNCTION("""COMPUTED_VALUE"""),1476400.0)</f>
        <v>1476400</v>
      </c>
    </row>
    <row r="44">
      <c r="A44" s="2">
        <f>IFERROR(__xludf.DUMMYFUNCTION("""COMPUTED_VALUE"""),36588.666666666664)</f>
        <v>36588.66667</v>
      </c>
      <c r="B44" s="1">
        <f>IFERROR(__xludf.DUMMYFUNCTION("""COMPUTED_VALUE"""),43.36)</f>
        <v>43.36</v>
      </c>
      <c r="C44" s="1">
        <f>IFERROR(__xludf.DUMMYFUNCTION("""COMPUTED_VALUE"""),44.35)</f>
        <v>44.35</v>
      </c>
      <c r="D44" s="1">
        <f>IFERROR(__xludf.DUMMYFUNCTION("""COMPUTED_VALUE"""),42.96)</f>
        <v>42.96</v>
      </c>
      <c r="E44" s="1">
        <f>IFERROR(__xludf.DUMMYFUNCTION("""COMPUTED_VALUE"""),43.67)</f>
        <v>43.67</v>
      </c>
      <c r="F44" s="1">
        <f>IFERROR(__xludf.DUMMYFUNCTION("""COMPUTED_VALUE"""),2041500.0)</f>
        <v>2041500</v>
      </c>
    </row>
    <row r="45">
      <c r="A45" s="2">
        <f>IFERROR(__xludf.DUMMYFUNCTION("""COMPUTED_VALUE"""),36591.666666666664)</f>
        <v>36591.66667</v>
      </c>
      <c r="B45" s="1">
        <f>IFERROR(__xludf.DUMMYFUNCTION("""COMPUTED_VALUE"""),43.64)</f>
        <v>43.64</v>
      </c>
      <c r="C45" s="1">
        <f>IFERROR(__xludf.DUMMYFUNCTION("""COMPUTED_VALUE"""),43.67)</f>
        <v>43.67</v>
      </c>
      <c r="D45" s="1">
        <f>IFERROR(__xludf.DUMMYFUNCTION("""COMPUTED_VALUE"""),42.78)</f>
        <v>42.78</v>
      </c>
      <c r="E45" s="1">
        <f>IFERROR(__xludf.DUMMYFUNCTION("""COMPUTED_VALUE"""),43.18)</f>
        <v>43.18</v>
      </c>
      <c r="F45" s="1">
        <f>IFERROR(__xludf.DUMMYFUNCTION("""COMPUTED_VALUE"""),1534700.0)</f>
        <v>1534700</v>
      </c>
    </row>
    <row r="46">
      <c r="A46" s="2">
        <f>IFERROR(__xludf.DUMMYFUNCTION("""COMPUTED_VALUE"""),36592.666666666664)</f>
        <v>36592.66667</v>
      </c>
      <c r="B46" s="1">
        <f>IFERROR(__xludf.DUMMYFUNCTION("""COMPUTED_VALUE"""),28.78)</f>
        <v>28.78</v>
      </c>
      <c r="C46" s="1">
        <f>IFERROR(__xludf.DUMMYFUNCTION("""COMPUTED_VALUE"""),35.92)</f>
        <v>35.92</v>
      </c>
      <c r="D46" s="1">
        <f>IFERROR(__xludf.DUMMYFUNCTION("""COMPUTED_VALUE"""),28.41)</f>
        <v>28.41</v>
      </c>
      <c r="E46" s="1">
        <f>IFERROR(__xludf.DUMMYFUNCTION("""COMPUTED_VALUE"""),29.96)</f>
        <v>29.96</v>
      </c>
      <c r="F46" s="1">
        <f>IFERROR(__xludf.DUMMYFUNCTION("""COMPUTED_VALUE"""),5.13211E7)</f>
        <v>51321100</v>
      </c>
    </row>
    <row r="47">
      <c r="A47" s="2">
        <f>IFERROR(__xludf.DUMMYFUNCTION("""COMPUTED_VALUE"""),36593.666666666664)</f>
        <v>36593.66667</v>
      </c>
      <c r="B47" s="1">
        <f>IFERROR(__xludf.DUMMYFUNCTION("""COMPUTED_VALUE"""),28.46)</f>
        <v>28.46</v>
      </c>
      <c r="C47" s="1">
        <f>IFERROR(__xludf.DUMMYFUNCTION("""COMPUTED_VALUE"""),30.37)</f>
        <v>30.37</v>
      </c>
      <c r="D47" s="1">
        <f>IFERROR(__xludf.DUMMYFUNCTION("""COMPUTED_VALUE"""),28.21)</f>
        <v>28.21</v>
      </c>
      <c r="E47" s="1">
        <f>IFERROR(__xludf.DUMMYFUNCTION("""COMPUTED_VALUE"""),28.46)</f>
        <v>28.46</v>
      </c>
      <c r="F47" s="1">
        <f>IFERROR(__xludf.DUMMYFUNCTION("""COMPUTED_VALUE"""),2.63137E7)</f>
        <v>26313700</v>
      </c>
    </row>
    <row r="48">
      <c r="A48" s="2">
        <f>IFERROR(__xludf.DUMMYFUNCTION("""COMPUTED_VALUE"""),36594.666666666664)</f>
        <v>36594.66667</v>
      </c>
      <c r="B48" s="1">
        <f>IFERROR(__xludf.DUMMYFUNCTION("""COMPUTED_VALUE"""),28.89)</f>
        <v>28.89</v>
      </c>
      <c r="C48" s="1">
        <f>IFERROR(__xludf.DUMMYFUNCTION("""COMPUTED_VALUE"""),28.95)</f>
        <v>28.95</v>
      </c>
      <c r="D48" s="1">
        <f>IFERROR(__xludf.DUMMYFUNCTION("""COMPUTED_VALUE"""),27.9)</f>
        <v>27.9</v>
      </c>
      <c r="E48" s="1">
        <f>IFERROR(__xludf.DUMMYFUNCTION("""COMPUTED_VALUE"""),28.33)</f>
        <v>28.33</v>
      </c>
      <c r="F48" s="1">
        <f>IFERROR(__xludf.DUMMYFUNCTION("""COMPUTED_VALUE"""),1.17225E7)</f>
        <v>11722500</v>
      </c>
    </row>
    <row r="49">
      <c r="A49" s="2">
        <f>IFERROR(__xludf.DUMMYFUNCTION("""COMPUTED_VALUE"""),36595.666666666664)</f>
        <v>36595.66667</v>
      </c>
      <c r="B49" s="1">
        <f>IFERROR(__xludf.DUMMYFUNCTION("""COMPUTED_VALUE"""),28.43)</f>
        <v>28.43</v>
      </c>
      <c r="C49" s="1">
        <f>IFERROR(__xludf.DUMMYFUNCTION("""COMPUTED_VALUE"""),28.43)</f>
        <v>28.43</v>
      </c>
      <c r="D49" s="1">
        <f>IFERROR(__xludf.DUMMYFUNCTION("""COMPUTED_VALUE"""),26.17)</f>
        <v>26.17</v>
      </c>
      <c r="E49" s="1">
        <f>IFERROR(__xludf.DUMMYFUNCTION("""COMPUTED_VALUE"""),26.2)</f>
        <v>26.2</v>
      </c>
      <c r="F49" s="1">
        <f>IFERROR(__xludf.DUMMYFUNCTION("""COMPUTED_VALUE"""),1.71706E7)</f>
        <v>17170600</v>
      </c>
    </row>
    <row r="50">
      <c r="A50" s="2">
        <f>IFERROR(__xludf.DUMMYFUNCTION("""COMPUTED_VALUE"""),36598.666666666664)</f>
        <v>36598.66667</v>
      </c>
      <c r="B50" s="1">
        <f>IFERROR(__xludf.DUMMYFUNCTION("""COMPUTED_VALUE"""),26.54)</f>
        <v>26.54</v>
      </c>
      <c r="C50" s="1">
        <f>IFERROR(__xludf.DUMMYFUNCTION("""COMPUTED_VALUE"""),28.21)</f>
        <v>28.21</v>
      </c>
      <c r="D50" s="1">
        <f>IFERROR(__xludf.DUMMYFUNCTION("""COMPUTED_VALUE"""),26.33)</f>
        <v>26.33</v>
      </c>
      <c r="E50" s="1">
        <f>IFERROR(__xludf.DUMMYFUNCTION("""COMPUTED_VALUE"""),28.12)</f>
        <v>28.12</v>
      </c>
      <c r="F50" s="1">
        <f>IFERROR(__xludf.DUMMYFUNCTION("""COMPUTED_VALUE"""),1.23441E7)</f>
        <v>12344100</v>
      </c>
    </row>
    <row r="51">
      <c r="A51" s="2">
        <f>IFERROR(__xludf.DUMMYFUNCTION("""COMPUTED_VALUE"""),36599.666666666664)</f>
        <v>36599.66667</v>
      </c>
      <c r="B51" s="1">
        <f>IFERROR(__xludf.DUMMYFUNCTION("""COMPUTED_VALUE"""),28.36)</f>
        <v>28.36</v>
      </c>
      <c r="C51" s="1">
        <f>IFERROR(__xludf.DUMMYFUNCTION("""COMPUTED_VALUE"""),28.61)</f>
        <v>28.61</v>
      </c>
      <c r="D51" s="1">
        <f>IFERROR(__xludf.DUMMYFUNCTION("""COMPUTED_VALUE"""),27.22)</f>
        <v>27.22</v>
      </c>
      <c r="E51" s="1">
        <f>IFERROR(__xludf.DUMMYFUNCTION("""COMPUTED_VALUE"""),27.59)</f>
        <v>27.59</v>
      </c>
      <c r="F51" s="1">
        <f>IFERROR(__xludf.DUMMYFUNCTION("""COMPUTED_VALUE"""),5971200.0)</f>
        <v>5971200</v>
      </c>
    </row>
    <row r="52">
      <c r="A52" s="2">
        <f>IFERROR(__xludf.DUMMYFUNCTION("""COMPUTED_VALUE"""),36600.666666666664)</f>
        <v>36600.66667</v>
      </c>
      <c r="B52" s="1">
        <f>IFERROR(__xludf.DUMMYFUNCTION("""COMPUTED_VALUE"""),27.87)</f>
        <v>27.87</v>
      </c>
      <c r="C52" s="1">
        <f>IFERROR(__xludf.DUMMYFUNCTION("""COMPUTED_VALUE"""),28.89)</f>
        <v>28.89</v>
      </c>
      <c r="D52" s="1">
        <f>IFERROR(__xludf.DUMMYFUNCTION("""COMPUTED_VALUE"""),26.98)</f>
        <v>26.98</v>
      </c>
      <c r="E52" s="1">
        <f>IFERROR(__xludf.DUMMYFUNCTION("""COMPUTED_VALUE"""),28.89)</f>
        <v>28.89</v>
      </c>
      <c r="F52" s="1">
        <f>IFERROR(__xludf.DUMMYFUNCTION("""COMPUTED_VALUE"""),9040100.0)</f>
        <v>9040100</v>
      </c>
    </row>
    <row r="53">
      <c r="A53" s="2">
        <f>IFERROR(__xludf.DUMMYFUNCTION("""COMPUTED_VALUE"""),36601.666666666664)</f>
        <v>36601.66667</v>
      </c>
      <c r="B53" s="1">
        <f>IFERROR(__xludf.DUMMYFUNCTION("""COMPUTED_VALUE"""),29.48)</f>
        <v>29.48</v>
      </c>
      <c r="C53" s="1">
        <f>IFERROR(__xludf.DUMMYFUNCTION("""COMPUTED_VALUE"""),29.88)</f>
        <v>29.88</v>
      </c>
      <c r="D53" s="1">
        <f>IFERROR(__xludf.DUMMYFUNCTION("""COMPUTED_VALUE"""),29.07)</f>
        <v>29.07</v>
      </c>
      <c r="E53" s="1">
        <f>IFERROR(__xludf.DUMMYFUNCTION("""COMPUTED_VALUE"""),29.57)</f>
        <v>29.57</v>
      </c>
      <c r="F53" s="1">
        <f>IFERROR(__xludf.DUMMYFUNCTION("""COMPUTED_VALUE"""),1.01403E7)</f>
        <v>10140300</v>
      </c>
    </row>
    <row r="54">
      <c r="A54" s="2">
        <f>IFERROR(__xludf.DUMMYFUNCTION("""COMPUTED_VALUE"""),36602.666666666664)</f>
        <v>36602.66667</v>
      </c>
      <c r="B54" s="1">
        <f>IFERROR(__xludf.DUMMYFUNCTION("""COMPUTED_VALUE"""),29.57)</f>
        <v>29.57</v>
      </c>
      <c r="C54" s="1">
        <f>IFERROR(__xludf.DUMMYFUNCTION("""COMPUTED_VALUE"""),29.57)</f>
        <v>29.57</v>
      </c>
      <c r="D54" s="1">
        <f>IFERROR(__xludf.DUMMYFUNCTION("""COMPUTED_VALUE"""),28.15)</f>
        <v>28.15</v>
      </c>
      <c r="E54" s="1">
        <f>IFERROR(__xludf.DUMMYFUNCTION("""COMPUTED_VALUE"""),28.46)</f>
        <v>28.46</v>
      </c>
      <c r="F54" s="1">
        <f>IFERROR(__xludf.DUMMYFUNCTION("""COMPUTED_VALUE"""),8749100.0)</f>
        <v>8749100</v>
      </c>
    </row>
    <row r="55">
      <c r="A55" s="2">
        <f>IFERROR(__xludf.DUMMYFUNCTION("""COMPUTED_VALUE"""),36605.666666666664)</f>
        <v>36605.66667</v>
      </c>
      <c r="B55" s="1">
        <f>IFERROR(__xludf.DUMMYFUNCTION("""COMPUTED_VALUE"""),28.92)</f>
        <v>28.92</v>
      </c>
      <c r="C55" s="1">
        <f>IFERROR(__xludf.DUMMYFUNCTION("""COMPUTED_VALUE"""),28.92)</f>
        <v>28.92</v>
      </c>
      <c r="D55" s="1">
        <f>IFERROR(__xludf.DUMMYFUNCTION("""COMPUTED_VALUE"""),28.39)</f>
        <v>28.39</v>
      </c>
      <c r="E55" s="1">
        <f>IFERROR(__xludf.DUMMYFUNCTION("""COMPUTED_VALUE"""),28.73)</f>
        <v>28.73</v>
      </c>
      <c r="F55" s="1">
        <f>IFERROR(__xludf.DUMMYFUNCTION("""COMPUTED_VALUE"""),4389800.0)</f>
        <v>4389800</v>
      </c>
    </row>
    <row r="56">
      <c r="A56" s="2">
        <f>IFERROR(__xludf.DUMMYFUNCTION("""COMPUTED_VALUE"""),36606.666666666664)</f>
        <v>36606.66667</v>
      </c>
      <c r="B56" s="1">
        <f>IFERROR(__xludf.DUMMYFUNCTION("""COMPUTED_VALUE"""),28.24)</f>
        <v>28.24</v>
      </c>
      <c r="C56" s="1">
        <f>IFERROR(__xludf.DUMMYFUNCTION("""COMPUTED_VALUE"""),28.39)</f>
        <v>28.39</v>
      </c>
      <c r="D56" s="1">
        <f>IFERROR(__xludf.DUMMYFUNCTION("""COMPUTED_VALUE"""),27.72)</f>
        <v>27.72</v>
      </c>
      <c r="E56" s="1">
        <f>IFERROR(__xludf.DUMMYFUNCTION("""COMPUTED_VALUE"""),28.15)</f>
        <v>28.15</v>
      </c>
      <c r="F56" s="1">
        <f>IFERROR(__xludf.DUMMYFUNCTION("""COMPUTED_VALUE"""),5912600.0)</f>
        <v>5912600</v>
      </c>
    </row>
    <row r="57">
      <c r="A57" s="2">
        <f>IFERROR(__xludf.DUMMYFUNCTION("""COMPUTED_VALUE"""),36607.666666666664)</f>
        <v>36607.66667</v>
      </c>
      <c r="B57" s="1">
        <f>IFERROR(__xludf.DUMMYFUNCTION("""COMPUTED_VALUE"""),28.27)</f>
        <v>28.27</v>
      </c>
      <c r="C57" s="1">
        <f>IFERROR(__xludf.DUMMYFUNCTION("""COMPUTED_VALUE"""),28.46)</f>
        <v>28.46</v>
      </c>
      <c r="D57" s="1">
        <f>IFERROR(__xludf.DUMMYFUNCTION("""COMPUTED_VALUE"""),27.38)</f>
        <v>27.38</v>
      </c>
      <c r="E57" s="1">
        <f>IFERROR(__xludf.DUMMYFUNCTION("""COMPUTED_VALUE"""),27.59)</f>
        <v>27.59</v>
      </c>
      <c r="F57" s="1">
        <f>IFERROR(__xludf.DUMMYFUNCTION("""COMPUTED_VALUE"""),5555000.0)</f>
        <v>5555000</v>
      </c>
    </row>
    <row r="58">
      <c r="A58" s="2">
        <f>IFERROR(__xludf.DUMMYFUNCTION("""COMPUTED_VALUE"""),36608.666666666664)</f>
        <v>36608.66667</v>
      </c>
      <c r="B58" s="1">
        <f>IFERROR(__xludf.DUMMYFUNCTION("""COMPUTED_VALUE"""),27.62)</f>
        <v>27.62</v>
      </c>
      <c r="C58" s="1">
        <f>IFERROR(__xludf.DUMMYFUNCTION("""COMPUTED_VALUE"""),28.09)</f>
        <v>28.09</v>
      </c>
      <c r="D58" s="1">
        <f>IFERROR(__xludf.DUMMYFUNCTION("""COMPUTED_VALUE"""),27.44)</f>
        <v>27.44</v>
      </c>
      <c r="E58" s="1">
        <f>IFERROR(__xludf.DUMMYFUNCTION("""COMPUTED_VALUE"""),27.72)</f>
        <v>27.72</v>
      </c>
      <c r="F58" s="1">
        <f>IFERROR(__xludf.DUMMYFUNCTION("""COMPUTED_VALUE"""),5111600.0)</f>
        <v>5111600</v>
      </c>
    </row>
    <row r="59">
      <c r="A59" s="2">
        <f>IFERROR(__xludf.DUMMYFUNCTION("""COMPUTED_VALUE"""),36609.666666666664)</f>
        <v>36609.66667</v>
      </c>
      <c r="B59" s="1">
        <f>IFERROR(__xludf.DUMMYFUNCTION("""COMPUTED_VALUE"""),27.87)</f>
        <v>27.87</v>
      </c>
      <c r="C59" s="1">
        <f>IFERROR(__xludf.DUMMYFUNCTION("""COMPUTED_VALUE"""),27.9)</f>
        <v>27.9</v>
      </c>
      <c r="D59" s="1">
        <f>IFERROR(__xludf.DUMMYFUNCTION("""COMPUTED_VALUE"""),27.22)</f>
        <v>27.22</v>
      </c>
      <c r="E59" s="1">
        <f>IFERROR(__xludf.DUMMYFUNCTION("""COMPUTED_VALUE"""),27.87)</f>
        <v>27.87</v>
      </c>
      <c r="F59" s="1">
        <f>IFERROR(__xludf.DUMMYFUNCTION("""COMPUTED_VALUE"""),5463200.0)</f>
        <v>5463200</v>
      </c>
    </row>
    <row r="60">
      <c r="A60" s="2">
        <f>IFERROR(__xludf.DUMMYFUNCTION("""COMPUTED_VALUE"""),36612.666666666664)</f>
        <v>36612.66667</v>
      </c>
      <c r="B60" s="1">
        <f>IFERROR(__xludf.DUMMYFUNCTION("""COMPUTED_VALUE"""),27.78)</f>
        <v>27.78</v>
      </c>
      <c r="C60" s="1">
        <f>IFERROR(__xludf.DUMMYFUNCTION("""COMPUTED_VALUE"""),28.09)</f>
        <v>28.09</v>
      </c>
      <c r="D60" s="1">
        <f>IFERROR(__xludf.DUMMYFUNCTION("""COMPUTED_VALUE"""),27.22)</f>
        <v>27.22</v>
      </c>
      <c r="E60" s="1">
        <f>IFERROR(__xludf.DUMMYFUNCTION("""COMPUTED_VALUE"""),27.28)</f>
        <v>27.28</v>
      </c>
      <c r="F60" s="1">
        <f>IFERROR(__xludf.DUMMYFUNCTION("""COMPUTED_VALUE"""),4242500.0)</f>
        <v>4242500</v>
      </c>
    </row>
    <row r="61">
      <c r="A61" s="2">
        <f>IFERROR(__xludf.DUMMYFUNCTION("""COMPUTED_VALUE"""),36613.666666666664)</f>
        <v>36613.66667</v>
      </c>
      <c r="B61" s="1">
        <f>IFERROR(__xludf.DUMMYFUNCTION("""COMPUTED_VALUE"""),27.25)</f>
        <v>27.25</v>
      </c>
      <c r="C61" s="1">
        <f>IFERROR(__xludf.DUMMYFUNCTION("""COMPUTED_VALUE"""),28.18)</f>
        <v>28.18</v>
      </c>
      <c r="D61" s="1">
        <f>IFERROR(__xludf.DUMMYFUNCTION("""COMPUTED_VALUE"""),27.25)</f>
        <v>27.25</v>
      </c>
      <c r="E61" s="1">
        <f>IFERROR(__xludf.DUMMYFUNCTION("""COMPUTED_VALUE"""),28.18)</f>
        <v>28.18</v>
      </c>
      <c r="F61" s="1">
        <f>IFERROR(__xludf.DUMMYFUNCTION("""COMPUTED_VALUE"""),4450200.0)</f>
        <v>4450200</v>
      </c>
    </row>
    <row r="62">
      <c r="A62" s="2">
        <f>IFERROR(__xludf.DUMMYFUNCTION("""COMPUTED_VALUE"""),36614.666666666664)</f>
        <v>36614.66667</v>
      </c>
      <c r="B62" s="1">
        <f>IFERROR(__xludf.DUMMYFUNCTION("""COMPUTED_VALUE"""),28.24)</f>
        <v>28.24</v>
      </c>
      <c r="C62" s="1">
        <f>IFERROR(__xludf.DUMMYFUNCTION("""COMPUTED_VALUE"""),28.98)</f>
        <v>28.98</v>
      </c>
      <c r="D62" s="1">
        <f>IFERROR(__xludf.DUMMYFUNCTION("""COMPUTED_VALUE"""),28.21)</f>
        <v>28.21</v>
      </c>
      <c r="E62" s="1">
        <f>IFERROR(__xludf.DUMMYFUNCTION("""COMPUTED_VALUE"""),28.98)</f>
        <v>28.98</v>
      </c>
      <c r="F62" s="1">
        <f>IFERROR(__xludf.DUMMYFUNCTION("""COMPUTED_VALUE"""),5799600.0)</f>
        <v>5799600</v>
      </c>
    </row>
    <row r="63">
      <c r="A63" s="2">
        <f>IFERROR(__xludf.DUMMYFUNCTION("""COMPUTED_VALUE"""),36615.666666666664)</f>
        <v>36615.66667</v>
      </c>
      <c r="B63" s="1">
        <f>IFERROR(__xludf.DUMMYFUNCTION("""COMPUTED_VALUE"""),29.1)</f>
        <v>29.1</v>
      </c>
      <c r="C63" s="1">
        <f>IFERROR(__xludf.DUMMYFUNCTION("""COMPUTED_VALUE"""),29.63)</f>
        <v>29.63</v>
      </c>
      <c r="D63" s="1">
        <f>IFERROR(__xludf.DUMMYFUNCTION("""COMPUTED_VALUE"""),28.7)</f>
        <v>28.7</v>
      </c>
      <c r="E63" s="1">
        <f>IFERROR(__xludf.DUMMYFUNCTION("""COMPUTED_VALUE"""),28.7)</f>
        <v>28.7</v>
      </c>
      <c r="F63" s="1">
        <f>IFERROR(__xludf.DUMMYFUNCTION("""COMPUTED_VALUE"""),6135400.0)</f>
        <v>6135400</v>
      </c>
    </row>
    <row r="64">
      <c r="A64" s="2">
        <f>IFERROR(__xludf.DUMMYFUNCTION("""COMPUTED_VALUE"""),36616.666666666664)</f>
        <v>36616.66667</v>
      </c>
      <c r="B64" s="1">
        <f>IFERROR(__xludf.DUMMYFUNCTION("""COMPUTED_VALUE"""),29.38)</f>
        <v>29.38</v>
      </c>
      <c r="C64" s="1">
        <f>IFERROR(__xludf.DUMMYFUNCTION("""COMPUTED_VALUE"""),29.38)</f>
        <v>29.38</v>
      </c>
      <c r="D64" s="1">
        <f>IFERROR(__xludf.DUMMYFUNCTION("""COMPUTED_VALUE"""),27.78)</f>
        <v>27.78</v>
      </c>
      <c r="E64" s="1">
        <f>IFERROR(__xludf.DUMMYFUNCTION("""COMPUTED_VALUE"""),27.78)</f>
        <v>27.78</v>
      </c>
      <c r="F64" s="1">
        <f>IFERROR(__xludf.DUMMYFUNCTION("""COMPUTED_VALUE"""),4788000.0)</f>
        <v>4788000</v>
      </c>
    </row>
    <row r="65">
      <c r="A65" s="2">
        <f>IFERROR(__xludf.DUMMYFUNCTION("""COMPUTED_VALUE"""),36619.666666666664)</f>
        <v>36619.66667</v>
      </c>
      <c r="B65" s="1">
        <f>IFERROR(__xludf.DUMMYFUNCTION("""COMPUTED_VALUE"""),28.02)</f>
        <v>28.02</v>
      </c>
      <c r="C65" s="1">
        <f>IFERROR(__xludf.DUMMYFUNCTION("""COMPUTED_VALUE"""),29.38)</f>
        <v>29.38</v>
      </c>
      <c r="D65" s="1">
        <f>IFERROR(__xludf.DUMMYFUNCTION("""COMPUTED_VALUE"""),28.02)</f>
        <v>28.02</v>
      </c>
      <c r="E65" s="1">
        <f>IFERROR(__xludf.DUMMYFUNCTION("""COMPUTED_VALUE"""),29.38)</f>
        <v>29.38</v>
      </c>
      <c r="F65" s="1">
        <f>IFERROR(__xludf.DUMMYFUNCTION("""COMPUTED_VALUE"""),3640100.0)</f>
        <v>3640100</v>
      </c>
    </row>
    <row r="66">
      <c r="A66" s="2">
        <f>IFERROR(__xludf.DUMMYFUNCTION("""COMPUTED_VALUE"""),36620.666666666664)</f>
        <v>36620.66667</v>
      </c>
      <c r="B66" s="1">
        <f>IFERROR(__xludf.DUMMYFUNCTION("""COMPUTED_VALUE"""),30.06)</f>
        <v>30.06</v>
      </c>
      <c r="C66" s="1">
        <f>IFERROR(__xludf.DUMMYFUNCTION("""COMPUTED_VALUE"""),31.42)</f>
        <v>31.42</v>
      </c>
      <c r="D66" s="1">
        <f>IFERROR(__xludf.DUMMYFUNCTION("""COMPUTED_VALUE"""),29.63)</f>
        <v>29.63</v>
      </c>
      <c r="E66" s="1">
        <f>IFERROR(__xludf.DUMMYFUNCTION("""COMPUTED_VALUE"""),31.33)</f>
        <v>31.33</v>
      </c>
      <c r="F66" s="1">
        <f>IFERROR(__xludf.DUMMYFUNCTION("""COMPUTED_VALUE"""),9436800.0)</f>
        <v>9436800</v>
      </c>
    </row>
    <row r="67">
      <c r="A67" s="2">
        <f>IFERROR(__xludf.DUMMYFUNCTION("""COMPUTED_VALUE"""),36621.666666666664)</f>
        <v>36621.66667</v>
      </c>
      <c r="B67" s="1">
        <f>IFERROR(__xludf.DUMMYFUNCTION("""COMPUTED_VALUE"""),30.96)</f>
        <v>30.96</v>
      </c>
      <c r="C67" s="1">
        <f>IFERROR(__xludf.DUMMYFUNCTION("""COMPUTED_VALUE"""),31.42)</f>
        <v>31.42</v>
      </c>
      <c r="D67" s="1">
        <f>IFERROR(__xludf.DUMMYFUNCTION("""COMPUTED_VALUE"""),30.4)</f>
        <v>30.4</v>
      </c>
      <c r="E67" s="1">
        <f>IFERROR(__xludf.DUMMYFUNCTION("""COMPUTED_VALUE"""),30.4)</f>
        <v>30.4</v>
      </c>
      <c r="F67" s="1">
        <f>IFERROR(__xludf.DUMMYFUNCTION("""COMPUTED_VALUE"""),5036100.0)</f>
        <v>5036100</v>
      </c>
    </row>
    <row r="68">
      <c r="A68" s="2">
        <f>IFERROR(__xludf.DUMMYFUNCTION("""COMPUTED_VALUE"""),36622.666666666664)</f>
        <v>36622.66667</v>
      </c>
      <c r="B68" s="1">
        <f>IFERROR(__xludf.DUMMYFUNCTION("""COMPUTED_VALUE"""),30.62)</f>
        <v>30.62</v>
      </c>
      <c r="C68" s="1">
        <f>IFERROR(__xludf.DUMMYFUNCTION("""COMPUTED_VALUE"""),31.08)</f>
        <v>31.08</v>
      </c>
      <c r="D68" s="1">
        <f>IFERROR(__xludf.DUMMYFUNCTION("""COMPUTED_VALUE"""),30.12)</f>
        <v>30.12</v>
      </c>
      <c r="E68" s="1">
        <f>IFERROR(__xludf.DUMMYFUNCTION("""COMPUTED_VALUE"""),30.96)</f>
        <v>30.96</v>
      </c>
      <c r="F68" s="1">
        <f>IFERROR(__xludf.DUMMYFUNCTION("""COMPUTED_VALUE"""),2772400.0)</f>
        <v>2772400</v>
      </c>
    </row>
    <row r="69">
      <c r="A69" s="2">
        <f>IFERROR(__xludf.DUMMYFUNCTION("""COMPUTED_VALUE"""),36623.666666666664)</f>
        <v>36623.66667</v>
      </c>
      <c r="B69" s="1">
        <f>IFERROR(__xludf.DUMMYFUNCTION("""COMPUTED_VALUE"""),31.3)</f>
        <v>31.3</v>
      </c>
      <c r="C69" s="1">
        <f>IFERROR(__xludf.DUMMYFUNCTION("""COMPUTED_VALUE"""),31.48)</f>
        <v>31.48</v>
      </c>
      <c r="D69" s="1">
        <f>IFERROR(__xludf.DUMMYFUNCTION("""COMPUTED_VALUE"""),30.86)</f>
        <v>30.86</v>
      </c>
      <c r="E69" s="1">
        <f>IFERROR(__xludf.DUMMYFUNCTION("""COMPUTED_VALUE"""),31.33)</f>
        <v>31.33</v>
      </c>
      <c r="F69" s="1">
        <f>IFERROR(__xludf.DUMMYFUNCTION("""COMPUTED_VALUE"""),2910400.0)</f>
        <v>2910400</v>
      </c>
    </row>
    <row r="70">
      <c r="A70" s="2">
        <f>IFERROR(__xludf.DUMMYFUNCTION("""COMPUTED_VALUE"""),36626.666666666664)</f>
        <v>36626.66667</v>
      </c>
      <c r="B70" s="1">
        <f>IFERROR(__xludf.DUMMYFUNCTION("""COMPUTED_VALUE"""),31.57)</f>
        <v>31.57</v>
      </c>
      <c r="C70" s="1">
        <f>IFERROR(__xludf.DUMMYFUNCTION("""COMPUTED_VALUE"""),32.59)</f>
        <v>32.59</v>
      </c>
      <c r="D70" s="1">
        <f>IFERROR(__xludf.DUMMYFUNCTION("""COMPUTED_VALUE"""),31.51)</f>
        <v>31.51</v>
      </c>
      <c r="E70" s="1">
        <f>IFERROR(__xludf.DUMMYFUNCTION("""COMPUTED_VALUE"""),32.53)</f>
        <v>32.53</v>
      </c>
      <c r="F70" s="1">
        <f>IFERROR(__xludf.DUMMYFUNCTION("""COMPUTED_VALUE"""),4344100.0)</f>
        <v>4344100</v>
      </c>
    </row>
    <row r="71">
      <c r="A71" s="2">
        <f>IFERROR(__xludf.DUMMYFUNCTION("""COMPUTED_VALUE"""),36627.666666666664)</f>
        <v>36627.66667</v>
      </c>
      <c r="B71" s="1">
        <f>IFERROR(__xludf.DUMMYFUNCTION("""COMPUTED_VALUE"""),31.57)</f>
        <v>31.57</v>
      </c>
      <c r="C71" s="1">
        <f>IFERROR(__xludf.DUMMYFUNCTION("""COMPUTED_VALUE"""),32.99)</f>
        <v>32.99</v>
      </c>
      <c r="D71" s="1">
        <f>IFERROR(__xludf.DUMMYFUNCTION("""COMPUTED_VALUE"""),31.54)</f>
        <v>31.54</v>
      </c>
      <c r="E71" s="1">
        <f>IFERROR(__xludf.DUMMYFUNCTION("""COMPUTED_VALUE"""),32.81)</f>
        <v>32.81</v>
      </c>
      <c r="F71" s="1">
        <f>IFERROR(__xludf.DUMMYFUNCTION("""COMPUTED_VALUE"""),3984500.0)</f>
        <v>3984500</v>
      </c>
    </row>
    <row r="72">
      <c r="A72" s="2">
        <f>IFERROR(__xludf.DUMMYFUNCTION("""COMPUTED_VALUE"""),36628.666666666664)</f>
        <v>36628.66667</v>
      </c>
      <c r="B72" s="1">
        <f>IFERROR(__xludf.DUMMYFUNCTION("""COMPUTED_VALUE"""),33.55)</f>
        <v>33.55</v>
      </c>
      <c r="C72" s="1">
        <f>IFERROR(__xludf.DUMMYFUNCTION("""COMPUTED_VALUE"""),35.86)</f>
        <v>35.86</v>
      </c>
      <c r="D72" s="1">
        <f>IFERROR(__xludf.DUMMYFUNCTION("""COMPUTED_VALUE"""),33.39)</f>
        <v>33.39</v>
      </c>
      <c r="E72" s="1">
        <f>IFERROR(__xludf.DUMMYFUNCTION("""COMPUTED_VALUE"""),34.32)</f>
        <v>34.32</v>
      </c>
      <c r="F72" s="1">
        <f>IFERROR(__xludf.DUMMYFUNCTION("""COMPUTED_VALUE"""),7712000.0)</f>
        <v>7712000</v>
      </c>
    </row>
    <row r="73">
      <c r="A73" s="2">
        <f>IFERROR(__xludf.DUMMYFUNCTION("""COMPUTED_VALUE"""),36629.666666666664)</f>
        <v>36629.66667</v>
      </c>
      <c r="B73" s="1">
        <f>IFERROR(__xludf.DUMMYFUNCTION("""COMPUTED_VALUE"""),33.55)</f>
        <v>33.55</v>
      </c>
      <c r="C73" s="1">
        <f>IFERROR(__xludf.DUMMYFUNCTION("""COMPUTED_VALUE"""),34.38)</f>
        <v>34.38</v>
      </c>
      <c r="D73" s="1">
        <f>IFERROR(__xludf.DUMMYFUNCTION("""COMPUTED_VALUE"""),33.18)</f>
        <v>33.18</v>
      </c>
      <c r="E73" s="1">
        <f>IFERROR(__xludf.DUMMYFUNCTION("""COMPUTED_VALUE"""),34.1)</f>
        <v>34.1</v>
      </c>
      <c r="F73" s="1">
        <f>IFERROR(__xludf.DUMMYFUNCTION("""COMPUTED_VALUE"""),4499300.0)</f>
        <v>4499300</v>
      </c>
    </row>
    <row r="74">
      <c r="A74" s="2">
        <f>IFERROR(__xludf.DUMMYFUNCTION("""COMPUTED_VALUE"""),36630.666666666664)</f>
        <v>36630.66667</v>
      </c>
      <c r="B74" s="1">
        <f>IFERROR(__xludf.DUMMYFUNCTION("""COMPUTED_VALUE"""),33.58)</f>
        <v>33.58</v>
      </c>
      <c r="C74" s="1">
        <f>IFERROR(__xludf.DUMMYFUNCTION("""COMPUTED_VALUE"""),33.58)</f>
        <v>33.58</v>
      </c>
      <c r="D74" s="1">
        <f>IFERROR(__xludf.DUMMYFUNCTION("""COMPUTED_VALUE"""),30.62)</f>
        <v>30.62</v>
      </c>
      <c r="E74" s="1">
        <f>IFERROR(__xludf.DUMMYFUNCTION("""COMPUTED_VALUE"""),30.93)</f>
        <v>30.93</v>
      </c>
      <c r="F74" s="1">
        <f>IFERROR(__xludf.DUMMYFUNCTION("""COMPUTED_VALUE"""),7148900.0)</f>
        <v>7148900</v>
      </c>
    </row>
    <row r="75">
      <c r="A75" s="2">
        <f>IFERROR(__xludf.DUMMYFUNCTION("""COMPUTED_VALUE"""),36633.666666666664)</f>
        <v>36633.66667</v>
      </c>
      <c r="B75" s="1">
        <f>IFERROR(__xludf.DUMMYFUNCTION("""COMPUTED_VALUE"""),31.05)</f>
        <v>31.05</v>
      </c>
      <c r="C75" s="1">
        <f>IFERROR(__xludf.DUMMYFUNCTION("""COMPUTED_VALUE"""),34.07)</f>
        <v>34.07</v>
      </c>
      <c r="D75" s="1">
        <f>IFERROR(__xludf.DUMMYFUNCTION("""COMPUTED_VALUE"""),31.05)</f>
        <v>31.05</v>
      </c>
      <c r="E75" s="1">
        <f>IFERROR(__xludf.DUMMYFUNCTION("""COMPUTED_VALUE"""),34.07)</f>
        <v>34.07</v>
      </c>
      <c r="F75" s="1">
        <f>IFERROR(__xludf.DUMMYFUNCTION("""COMPUTED_VALUE"""),5952900.0)</f>
        <v>5952900</v>
      </c>
    </row>
    <row r="76">
      <c r="A76" s="2">
        <f>IFERROR(__xludf.DUMMYFUNCTION("""COMPUTED_VALUE"""),36634.666666666664)</f>
        <v>36634.66667</v>
      </c>
      <c r="B76" s="1">
        <f>IFERROR(__xludf.DUMMYFUNCTION("""COMPUTED_VALUE"""),33.86)</f>
        <v>33.86</v>
      </c>
      <c r="C76" s="1">
        <f>IFERROR(__xludf.DUMMYFUNCTION("""COMPUTED_VALUE"""),33.86)</f>
        <v>33.86</v>
      </c>
      <c r="D76" s="1">
        <f>IFERROR(__xludf.DUMMYFUNCTION("""COMPUTED_VALUE"""),32.31)</f>
        <v>32.31</v>
      </c>
      <c r="E76" s="1">
        <f>IFERROR(__xludf.DUMMYFUNCTION("""COMPUTED_VALUE"""),32.62)</f>
        <v>32.62</v>
      </c>
      <c r="F76" s="1">
        <f>IFERROR(__xludf.DUMMYFUNCTION("""COMPUTED_VALUE"""),5810500.0)</f>
        <v>5810500</v>
      </c>
    </row>
    <row r="77">
      <c r="A77" s="2">
        <f>IFERROR(__xludf.DUMMYFUNCTION("""COMPUTED_VALUE"""),36635.666666666664)</f>
        <v>36635.66667</v>
      </c>
      <c r="B77" s="1">
        <f>IFERROR(__xludf.DUMMYFUNCTION("""COMPUTED_VALUE"""),32.75)</f>
        <v>32.75</v>
      </c>
      <c r="C77" s="1">
        <f>IFERROR(__xludf.DUMMYFUNCTION("""COMPUTED_VALUE"""),33.43)</f>
        <v>33.43</v>
      </c>
      <c r="D77" s="1">
        <f>IFERROR(__xludf.DUMMYFUNCTION("""COMPUTED_VALUE"""),32.38)</f>
        <v>32.38</v>
      </c>
      <c r="E77" s="1">
        <f>IFERROR(__xludf.DUMMYFUNCTION("""COMPUTED_VALUE"""),32.62)</f>
        <v>32.62</v>
      </c>
      <c r="F77" s="1">
        <f>IFERROR(__xludf.DUMMYFUNCTION("""COMPUTED_VALUE"""),3214200.0)</f>
        <v>3214200</v>
      </c>
    </row>
    <row r="78">
      <c r="A78" s="2">
        <f>IFERROR(__xludf.DUMMYFUNCTION("""COMPUTED_VALUE"""),36636.666666666664)</f>
        <v>36636.66667</v>
      </c>
      <c r="B78" s="1">
        <f>IFERROR(__xludf.DUMMYFUNCTION("""COMPUTED_VALUE"""),32.75)</f>
        <v>32.75</v>
      </c>
      <c r="C78" s="1">
        <f>IFERROR(__xludf.DUMMYFUNCTION("""COMPUTED_VALUE"""),34.04)</f>
        <v>34.04</v>
      </c>
      <c r="D78" s="1">
        <f>IFERROR(__xludf.DUMMYFUNCTION("""COMPUTED_VALUE"""),32.38)</f>
        <v>32.38</v>
      </c>
      <c r="E78" s="1">
        <f>IFERROR(__xludf.DUMMYFUNCTION("""COMPUTED_VALUE"""),34.04)</f>
        <v>34.04</v>
      </c>
      <c r="F78" s="1">
        <f>IFERROR(__xludf.DUMMYFUNCTION("""COMPUTED_VALUE"""),3223900.0)</f>
        <v>3223900</v>
      </c>
    </row>
    <row r="79">
      <c r="A79" s="2">
        <f>IFERROR(__xludf.DUMMYFUNCTION("""COMPUTED_VALUE"""),36640.666666666664)</f>
        <v>36640.66667</v>
      </c>
      <c r="B79" s="1">
        <f>IFERROR(__xludf.DUMMYFUNCTION("""COMPUTED_VALUE"""),34.04)</f>
        <v>34.04</v>
      </c>
      <c r="C79" s="1">
        <f>IFERROR(__xludf.DUMMYFUNCTION("""COMPUTED_VALUE"""),35.06)</f>
        <v>35.06</v>
      </c>
      <c r="D79" s="1">
        <f>IFERROR(__xludf.DUMMYFUNCTION("""COMPUTED_VALUE"""),33.83)</f>
        <v>33.83</v>
      </c>
      <c r="E79" s="1">
        <f>IFERROR(__xludf.DUMMYFUNCTION("""COMPUTED_VALUE"""),35.06)</f>
        <v>35.06</v>
      </c>
      <c r="F79" s="1">
        <f>IFERROR(__xludf.DUMMYFUNCTION("""COMPUTED_VALUE"""),3274700.0)</f>
        <v>3274700</v>
      </c>
    </row>
    <row r="80">
      <c r="A80" s="2">
        <f>IFERROR(__xludf.DUMMYFUNCTION("""COMPUTED_VALUE"""),36641.666666666664)</f>
        <v>36641.66667</v>
      </c>
      <c r="B80" s="1">
        <f>IFERROR(__xludf.DUMMYFUNCTION("""COMPUTED_VALUE"""),34.04)</f>
        <v>34.04</v>
      </c>
      <c r="C80" s="1">
        <f>IFERROR(__xludf.DUMMYFUNCTION("""COMPUTED_VALUE"""),35.06)</f>
        <v>35.06</v>
      </c>
      <c r="D80" s="1">
        <f>IFERROR(__xludf.DUMMYFUNCTION("""COMPUTED_VALUE"""),31.36)</f>
        <v>31.36</v>
      </c>
      <c r="E80" s="1">
        <f>IFERROR(__xludf.DUMMYFUNCTION("""COMPUTED_VALUE"""),31.73)</f>
        <v>31.73</v>
      </c>
      <c r="F80" s="1">
        <f>IFERROR(__xludf.DUMMYFUNCTION("""COMPUTED_VALUE"""),8238200.0)</f>
        <v>8238200</v>
      </c>
    </row>
    <row r="81">
      <c r="A81" s="2">
        <f>IFERROR(__xludf.DUMMYFUNCTION("""COMPUTED_VALUE"""),36642.666666666664)</f>
        <v>36642.66667</v>
      </c>
      <c r="B81" s="1">
        <f>IFERROR(__xludf.DUMMYFUNCTION("""COMPUTED_VALUE"""),31.23)</f>
        <v>31.23</v>
      </c>
      <c r="C81" s="1">
        <f>IFERROR(__xludf.DUMMYFUNCTION("""COMPUTED_VALUE"""),31.27)</f>
        <v>31.27</v>
      </c>
      <c r="D81" s="1">
        <f>IFERROR(__xludf.DUMMYFUNCTION("""COMPUTED_VALUE"""),29.57)</f>
        <v>29.57</v>
      </c>
      <c r="E81" s="1">
        <f>IFERROR(__xludf.DUMMYFUNCTION("""COMPUTED_VALUE"""),30.0)</f>
        <v>30</v>
      </c>
      <c r="F81" s="1">
        <f>IFERROR(__xludf.DUMMYFUNCTION("""COMPUTED_VALUE"""),9848100.0)</f>
        <v>9848100</v>
      </c>
    </row>
    <row r="82">
      <c r="A82" s="2">
        <f>IFERROR(__xludf.DUMMYFUNCTION("""COMPUTED_VALUE"""),36643.666666666664)</f>
        <v>36643.66667</v>
      </c>
      <c r="B82" s="1">
        <f>IFERROR(__xludf.DUMMYFUNCTION("""COMPUTED_VALUE"""),29.63)</f>
        <v>29.63</v>
      </c>
      <c r="C82" s="1">
        <f>IFERROR(__xludf.DUMMYFUNCTION("""COMPUTED_VALUE"""),30.74)</f>
        <v>30.74</v>
      </c>
      <c r="D82" s="1">
        <f>IFERROR(__xludf.DUMMYFUNCTION("""COMPUTED_VALUE"""),29.32)</f>
        <v>29.32</v>
      </c>
      <c r="E82" s="1">
        <f>IFERROR(__xludf.DUMMYFUNCTION("""COMPUTED_VALUE"""),30.06)</f>
        <v>30.06</v>
      </c>
      <c r="F82" s="1">
        <f>IFERROR(__xludf.DUMMYFUNCTION("""COMPUTED_VALUE"""),5772500.0)</f>
        <v>5772500</v>
      </c>
    </row>
    <row r="83">
      <c r="A83" s="2">
        <f>IFERROR(__xludf.DUMMYFUNCTION("""COMPUTED_VALUE"""),36644.666666666664)</f>
        <v>36644.66667</v>
      </c>
      <c r="B83" s="1">
        <f>IFERROR(__xludf.DUMMYFUNCTION("""COMPUTED_VALUE"""),30.09)</f>
        <v>30.09</v>
      </c>
      <c r="C83" s="1">
        <f>IFERROR(__xludf.DUMMYFUNCTION("""COMPUTED_VALUE"""),30.09)</f>
        <v>30.09</v>
      </c>
      <c r="D83" s="1">
        <f>IFERROR(__xludf.DUMMYFUNCTION("""COMPUTED_VALUE"""),29.23)</f>
        <v>29.23</v>
      </c>
      <c r="E83" s="1">
        <f>IFERROR(__xludf.DUMMYFUNCTION("""COMPUTED_VALUE"""),29.44)</f>
        <v>29.44</v>
      </c>
      <c r="F83" s="1">
        <f>IFERROR(__xludf.DUMMYFUNCTION("""COMPUTED_VALUE"""),3198700.0)</f>
        <v>3198700</v>
      </c>
    </row>
    <row r="84">
      <c r="A84" s="2">
        <f>IFERROR(__xludf.DUMMYFUNCTION("""COMPUTED_VALUE"""),36647.666666666664)</f>
        <v>36647.66667</v>
      </c>
      <c r="B84" s="1">
        <f>IFERROR(__xludf.DUMMYFUNCTION("""COMPUTED_VALUE"""),29.54)</f>
        <v>29.54</v>
      </c>
      <c r="C84" s="1">
        <f>IFERROR(__xludf.DUMMYFUNCTION("""COMPUTED_VALUE"""),29.78)</f>
        <v>29.78</v>
      </c>
      <c r="D84" s="1">
        <f>IFERROR(__xludf.DUMMYFUNCTION("""COMPUTED_VALUE"""),29.04)</f>
        <v>29.04</v>
      </c>
      <c r="E84" s="1">
        <f>IFERROR(__xludf.DUMMYFUNCTION("""COMPUTED_VALUE"""),29.35)</f>
        <v>29.35</v>
      </c>
      <c r="F84" s="1">
        <f>IFERROR(__xludf.DUMMYFUNCTION("""COMPUTED_VALUE"""),2473700.0)</f>
        <v>2473700</v>
      </c>
    </row>
    <row r="85">
      <c r="A85" s="2">
        <f>IFERROR(__xludf.DUMMYFUNCTION("""COMPUTED_VALUE"""),36648.666666666664)</f>
        <v>36648.66667</v>
      </c>
      <c r="B85" s="1">
        <f>IFERROR(__xludf.DUMMYFUNCTION("""COMPUTED_VALUE"""),29.35)</f>
        <v>29.35</v>
      </c>
      <c r="C85" s="1">
        <f>IFERROR(__xludf.DUMMYFUNCTION("""COMPUTED_VALUE"""),29.66)</f>
        <v>29.66</v>
      </c>
      <c r="D85" s="1">
        <f>IFERROR(__xludf.DUMMYFUNCTION("""COMPUTED_VALUE"""),29.14)</f>
        <v>29.14</v>
      </c>
      <c r="E85" s="1">
        <f>IFERROR(__xludf.DUMMYFUNCTION("""COMPUTED_VALUE"""),29.54)</f>
        <v>29.54</v>
      </c>
      <c r="F85" s="1">
        <f>IFERROR(__xludf.DUMMYFUNCTION("""COMPUTED_VALUE"""),2140600.0)</f>
        <v>2140600</v>
      </c>
    </row>
    <row r="86">
      <c r="A86" s="2">
        <f>IFERROR(__xludf.DUMMYFUNCTION("""COMPUTED_VALUE"""),36649.666666666664)</f>
        <v>36649.66667</v>
      </c>
      <c r="B86" s="1">
        <f>IFERROR(__xludf.DUMMYFUNCTION("""COMPUTED_VALUE"""),29.94)</f>
        <v>29.94</v>
      </c>
      <c r="C86" s="1">
        <f>IFERROR(__xludf.DUMMYFUNCTION("""COMPUTED_VALUE"""),30.43)</f>
        <v>30.43</v>
      </c>
      <c r="D86" s="1">
        <f>IFERROR(__xludf.DUMMYFUNCTION("""COMPUTED_VALUE"""),29.78)</f>
        <v>29.78</v>
      </c>
      <c r="E86" s="1">
        <f>IFERROR(__xludf.DUMMYFUNCTION("""COMPUTED_VALUE"""),29.88)</f>
        <v>29.88</v>
      </c>
      <c r="F86" s="1">
        <f>IFERROR(__xludf.DUMMYFUNCTION("""COMPUTED_VALUE"""),2761800.0)</f>
        <v>2761800</v>
      </c>
    </row>
    <row r="87">
      <c r="A87" s="2">
        <f>IFERROR(__xludf.DUMMYFUNCTION("""COMPUTED_VALUE"""),36650.666666666664)</f>
        <v>36650.66667</v>
      </c>
      <c r="B87" s="1">
        <f>IFERROR(__xludf.DUMMYFUNCTION("""COMPUTED_VALUE"""),29.91)</f>
        <v>29.91</v>
      </c>
      <c r="C87" s="1">
        <f>IFERROR(__xludf.DUMMYFUNCTION("""COMPUTED_VALUE"""),30.43)</f>
        <v>30.43</v>
      </c>
      <c r="D87" s="1">
        <f>IFERROR(__xludf.DUMMYFUNCTION("""COMPUTED_VALUE"""),29.63)</f>
        <v>29.63</v>
      </c>
      <c r="E87" s="1">
        <f>IFERROR(__xludf.DUMMYFUNCTION("""COMPUTED_VALUE"""),29.75)</f>
        <v>29.75</v>
      </c>
      <c r="F87" s="1">
        <f>IFERROR(__xludf.DUMMYFUNCTION("""COMPUTED_VALUE"""),2859500.0)</f>
        <v>2859500</v>
      </c>
    </row>
    <row r="88">
      <c r="A88" s="2">
        <f>IFERROR(__xludf.DUMMYFUNCTION("""COMPUTED_VALUE"""),36651.666666666664)</f>
        <v>36651.66667</v>
      </c>
      <c r="B88" s="1">
        <f>IFERROR(__xludf.DUMMYFUNCTION("""COMPUTED_VALUE"""),29.75)</f>
        <v>29.75</v>
      </c>
      <c r="C88" s="1">
        <f>IFERROR(__xludf.DUMMYFUNCTION("""COMPUTED_VALUE"""),30.06)</f>
        <v>30.06</v>
      </c>
      <c r="D88" s="1">
        <f>IFERROR(__xludf.DUMMYFUNCTION("""COMPUTED_VALUE"""),29.57)</f>
        <v>29.57</v>
      </c>
      <c r="E88" s="1">
        <f>IFERROR(__xludf.DUMMYFUNCTION("""COMPUTED_VALUE"""),30.06)</f>
        <v>30.06</v>
      </c>
      <c r="F88" s="1">
        <f>IFERROR(__xludf.DUMMYFUNCTION("""COMPUTED_VALUE"""),1732800.0)</f>
        <v>1732800</v>
      </c>
    </row>
    <row r="89">
      <c r="A89" s="2">
        <f>IFERROR(__xludf.DUMMYFUNCTION("""COMPUTED_VALUE"""),36654.666666666664)</f>
        <v>36654.66667</v>
      </c>
      <c r="B89" s="1">
        <f>IFERROR(__xludf.DUMMYFUNCTION("""COMPUTED_VALUE"""),29.69)</f>
        <v>29.69</v>
      </c>
      <c r="C89" s="1">
        <f>IFERROR(__xludf.DUMMYFUNCTION("""COMPUTED_VALUE"""),30.31)</f>
        <v>30.31</v>
      </c>
      <c r="D89" s="1">
        <f>IFERROR(__xludf.DUMMYFUNCTION("""COMPUTED_VALUE"""),29.66)</f>
        <v>29.66</v>
      </c>
      <c r="E89" s="1">
        <f>IFERROR(__xludf.DUMMYFUNCTION("""COMPUTED_VALUE"""),30.22)</f>
        <v>30.22</v>
      </c>
      <c r="F89" s="1">
        <f>IFERROR(__xludf.DUMMYFUNCTION("""COMPUTED_VALUE"""),2338700.0)</f>
        <v>2338700</v>
      </c>
    </row>
    <row r="90">
      <c r="A90" s="2">
        <f>IFERROR(__xludf.DUMMYFUNCTION("""COMPUTED_VALUE"""),36655.666666666664)</f>
        <v>36655.66667</v>
      </c>
      <c r="B90" s="1">
        <f>IFERROR(__xludf.DUMMYFUNCTION("""COMPUTED_VALUE"""),30.25)</f>
        <v>30.25</v>
      </c>
      <c r="C90" s="1">
        <f>IFERROR(__xludf.DUMMYFUNCTION("""COMPUTED_VALUE"""),31.11)</f>
        <v>31.11</v>
      </c>
      <c r="D90" s="1">
        <f>IFERROR(__xludf.DUMMYFUNCTION("""COMPUTED_VALUE"""),30.25)</f>
        <v>30.25</v>
      </c>
      <c r="E90" s="1">
        <f>IFERROR(__xludf.DUMMYFUNCTION("""COMPUTED_VALUE"""),30.93)</f>
        <v>30.93</v>
      </c>
      <c r="F90" s="1">
        <f>IFERROR(__xludf.DUMMYFUNCTION("""COMPUTED_VALUE"""),3357900.0)</f>
        <v>3357900</v>
      </c>
    </row>
    <row r="91">
      <c r="A91" s="2">
        <f>IFERROR(__xludf.DUMMYFUNCTION("""COMPUTED_VALUE"""),36656.666666666664)</f>
        <v>36656.66667</v>
      </c>
      <c r="B91" s="1">
        <f>IFERROR(__xludf.DUMMYFUNCTION("""COMPUTED_VALUE"""),31.27)</f>
        <v>31.27</v>
      </c>
      <c r="C91" s="1">
        <f>IFERROR(__xludf.DUMMYFUNCTION("""COMPUTED_VALUE"""),32.01)</f>
        <v>32.01</v>
      </c>
      <c r="D91" s="1">
        <f>IFERROR(__xludf.DUMMYFUNCTION("""COMPUTED_VALUE"""),31.11)</f>
        <v>31.11</v>
      </c>
      <c r="E91" s="1">
        <f>IFERROR(__xludf.DUMMYFUNCTION("""COMPUTED_VALUE"""),31.7)</f>
        <v>31.7</v>
      </c>
      <c r="F91" s="1">
        <f>IFERROR(__xludf.DUMMYFUNCTION("""COMPUTED_VALUE"""),3257000.0)</f>
        <v>3257000</v>
      </c>
    </row>
    <row r="92">
      <c r="A92" s="2">
        <f>IFERROR(__xludf.DUMMYFUNCTION("""COMPUTED_VALUE"""),36657.666666666664)</f>
        <v>36657.66667</v>
      </c>
      <c r="B92" s="1">
        <f>IFERROR(__xludf.DUMMYFUNCTION("""COMPUTED_VALUE"""),31.79)</f>
        <v>31.79</v>
      </c>
      <c r="C92" s="1">
        <f>IFERROR(__xludf.DUMMYFUNCTION("""COMPUTED_VALUE"""),32.19)</f>
        <v>32.19</v>
      </c>
      <c r="D92" s="1">
        <f>IFERROR(__xludf.DUMMYFUNCTION("""COMPUTED_VALUE"""),31.23)</f>
        <v>31.23</v>
      </c>
      <c r="E92" s="1">
        <f>IFERROR(__xludf.DUMMYFUNCTION("""COMPUTED_VALUE"""),32.1)</f>
        <v>32.1</v>
      </c>
      <c r="F92" s="1">
        <f>IFERROR(__xludf.DUMMYFUNCTION("""COMPUTED_VALUE"""),2650000.0)</f>
        <v>2650000</v>
      </c>
    </row>
    <row r="93">
      <c r="A93" s="2">
        <f>IFERROR(__xludf.DUMMYFUNCTION("""COMPUTED_VALUE"""),36658.666666666664)</f>
        <v>36658.66667</v>
      </c>
      <c r="B93" s="1">
        <f>IFERROR(__xludf.DUMMYFUNCTION("""COMPUTED_VALUE"""),32.1)</f>
        <v>32.1</v>
      </c>
      <c r="C93" s="1">
        <f>IFERROR(__xludf.DUMMYFUNCTION("""COMPUTED_VALUE"""),32.35)</f>
        <v>32.35</v>
      </c>
      <c r="D93" s="1">
        <f>IFERROR(__xludf.DUMMYFUNCTION("""COMPUTED_VALUE"""),31.45)</f>
        <v>31.45</v>
      </c>
      <c r="E93" s="1">
        <f>IFERROR(__xludf.DUMMYFUNCTION("""COMPUTED_VALUE"""),31.64)</f>
        <v>31.64</v>
      </c>
      <c r="F93" s="1">
        <f>IFERROR(__xludf.DUMMYFUNCTION("""COMPUTED_VALUE"""),1637900.0)</f>
        <v>1637900</v>
      </c>
    </row>
    <row r="94">
      <c r="A94" s="2">
        <f>IFERROR(__xludf.DUMMYFUNCTION("""COMPUTED_VALUE"""),36661.666666666664)</f>
        <v>36661.66667</v>
      </c>
      <c r="B94" s="1">
        <f>IFERROR(__xludf.DUMMYFUNCTION("""COMPUTED_VALUE"""),31.54)</f>
        <v>31.54</v>
      </c>
      <c r="C94" s="1">
        <f>IFERROR(__xludf.DUMMYFUNCTION("""COMPUTED_VALUE"""),32.22)</f>
        <v>32.22</v>
      </c>
      <c r="D94" s="1">
        <f>IFERROR(__xludf.DUMMYFUNCTION("""COMPUTED_VALUE"""),31.3)</f>
        <v>31.3</v>
      </c>
      <c r="E94" s="1">
        <f>IFERROR(__xludf.DUMMYFUNCTION("""COMPUTED_VALUE"""),32.04)</f>
        <v>32.04</v>
      </c>
      <c r="F94" s="1">
        <f>IFERROR(__xludf.DUMMYFUNCTION("""COMPUTED_VALUE"""),1843700.0)</f>
        <v>1843700</v>
      </c>
    </row>
    <row r="95">
      <c r="A95" s="2">
        <f>IFERROR(__xludf.DUMMYFUNCTION("""COMPUTED_VALUE"""),36662.666666666664)</f>
        <v>36662.66667</v>
      </c>
      <c r="B95" s="1">
        <f>IFERROR(__xludf.DUMMYFUNCTION("""COMPUTED_VALUE"""),32.04)</f>
        <v>32.04</v>
      </c>
      <c r="C95" s="1">
        <f>IFERROR(__xludf.DUMMYFUNCTION("""COMPUTED_VALUE"""),32.25)</f>
        <v>32.25</v>
      </c>
      <c r="D95" s="1">
        <f>IFERROR(__xludf.DUMMYFUNCTION("""COMPUTED_VALUE"""),31.54)</f>
        <v>31.54</v>
      </c>
      <c r="E95" s="1">
        <f>IFERROR(__xludf.DUMMYFUNCTION("""COMPUTED_VALUE"""),32.13)</f>
        <v>32.13</v>
      </c>
      <c r="F95" s="1">
        <f>IFERROR(__xludf.DUMMYFUNCTION("""COMPUTED_VALUE"""),2618800.0)</f>
        <v>2618800</v>
      </c>
    </row>
    <row r="96">
      <c r="A96" s="2">
        <f>IFERROR(__xludf.DUMMYFUNCTION("""COMPUTED_VALUE"""),36663.666666666664)</f>
        <v>36663.66667</v>
      </c>
      <c r="B96" s="1">
        <f>IFERROR(__xludf.DUMMYFUNCTION("""COMPUTED_VALUE"""),31.85)</f>
        <v>31.85</v>
      </c>
      <c r="C96" s="1">
        <f>IFERROR(__xludf.DUMMYFUNCTION("""COMPUTED_VALUE"""),32.1)</f>
        <v>32.1</v>
      </c>
      <c r="D96" s="1">
        <f>IFERROR(__xludf.DUMMYFUNCTION("""COMPUTED_VALUE"""),31.48)</f>
        <v>31.48</v>
      </c>
      <c r="E96" s="1">
        <f>IFERROR(__xludf.DUMMYFUNCTION("""COMPUTED_VALUE"""),31.98)</f>
        <v>31.98</v>
      </c>
      <c r="F96" s="1">
        <f>IFERROR(__xludf.DUMMYFUNCTION("""COMPUTED_VALUE"""),2586900.0)</f>
        <v>2586900</v>
      </c>
    </row>
    <row r="97">
      <c r="A97" s="2">
        <f>IFERROR(__xludf.DUMMYFUNCTION("""COMPUTED_VALUE"""),36664.666666666664)</f>
        <v>36664.66667</v>
      </c>
      <c r="B97" s="1">
        <f>IFERROR(__xludf.DUMMYFUNCTION("""COMPUTED_VALUE"""),31.85)</f>
        <v>31.85</v>
      </c>
      <c r="C97" s="1">
        <f>IFERROR(__xludf.DUMMYFUNCTION("""COMPUTED_VALUE"""),32.25)</f>
        <v>32.25</v>
      </c>
      <c r="D97" s="1">
        <f>IFERROR(__xludf.DUMMYFUNCTION("""COMPUTED_VALUE"""),31.85)</f>
        <v>31.85</v>
      </c>
      <c r="E97" s="1">
        <f>IFERROR(__xludf.DUMMYFUNCTION("""COMPUTED_VALUE"""),31.98)</f>
        <v>31.98</v>
      </c>
      <c r="F97" s="1">
        <f>IFERROR(__xludf.DUMMYFUNCTION("""COMPUTED_VALUE"""),2172900.0)</f>
        <v>2172900</v>
      </c>
    </row>
    <row r="98">
      <c r="A98" s="2">
        <f>IFERROR(__xludf.DUMMYFUNCTION("""COMPUTED_VALUE"""),36665.666666666664)</f>
        <v>36665.66667</v>
      </c>
      <c r="B98" s="1">
        <f>IFERROR(__xludf.DUMMYFUNCTION("""COMPUTED_VALUE"""),31.73)</f>
        <v>31.73</v>
      </c>
      <c r="C98" s="1">
        <f>IFERROR(__xludf.DUMMYFUNCTION("""COMPUTED_VALUE"""),32.19)</f>
        <v>32.19</v>
      </c>
      <c r="D98" s="1">
        <f>IFERROR(__xludf.DUMMYFUNCTION("""COMPUTED_VALUE"""),31.64)</f>
        <v>31.64</v>
      </c>
      <c r="E98" s="1">
        <f>IFERROR(__xludf.DUMMYFUNCTION("""COMPUTED_VALUE"""),32.13)</f>
        <v>32.13</v>
      </c>
      <c r="F98" s="1">
        <f>IFERROR(__xludf.DUMMYFUNCTION("""COMPUTED_VALUE"""),2585300.0)</f>
        <v>2585300</v>
      </c>
    </row>
    <row r="99">
      <c r="A99" s="2">
        <f>IFERROR(__xludf.DUMMYFUNCTION("""COMPUTED_VALUE"""),36668.666666666664)</f>
        <v>36668.66667</v>
      </c>
      <c r="B99" s="1">
        <f>IFERROR(__xludf.DUMMYFUNCTION("""COMPUTED_VALUE"""),32.19)</f>
        <v>32.19</v>
      </c>
      <c r="C99" s="1">
        <f>IFERROR(__xludf.DUMMYFUNCTION("""COMPUTED_VALUE"""),32.28)</f>
        <v>32.28</v>
      </c>
      <c r="D99" s="1">
        <f>IFERROR(__xludf.DUMMYFUNCTION("""COMPUTED_VALUE"""),31.76)</f>
        <v>31.76</v>
      </c>
      <c r="E99" s="1">
        <f>IFERROR(__xludf.DUMMYFUNCTION("""COMPUTED_VALUE"""),32.04)</f>
        <v>32.04</v>
      </c>
      <c r="F99" s="1">
        <f>IFERROR(__xludf.DUMMYFUNCTION("""COMPUTED_VALUE"""),2376000.0)</f>
        <v>2376000</v>
      </c>
    </row>
    <row r="100">
      <c r="A100" s="2">
        <f>IFERROR(__xludf.DUMMYFUNCTION("""COMPUTED_VALUE"""),36669.666666666664)</f>
        <v>36669.66667</v>
      </c>
      <c r="B100" s="1">
        <f>IFERROR(__xludf.DUMMYFUNCTION("""COMPUTED_VALUE"""),32.19)</f>
        <v>32.19</v>
      </c>
      <c r="C100" s="1">
        <f>IFERROR(__xludf.DUMMYFUNCTION("""COMPUTED_VALUE"""),32.19)</f>
        <v>32.19</v>
      </c>
      <c r="D100" s="1">
        <f>IFERROR(__xludf.DUMMYFUNCTION("""COMPUTED_VALUE"""),31.48)</f>
        <v>31.48</v>
      </c>
      <c r="E100" s="1">
        <f>IFERROR(__xludf.DUMMYFUNCTION("""COMPUTED_VALUE"""),31.79)</f>
        <v>31.79</v>
      </c>
      <c r="F100" s="1">
        <f>IFERROR(__xludf.DUMMYFUNCTION("""COMPUTED_VALUE"""),2145300.0)</f>
        <v>2145300</v>
      </c>
    </row>
    <row r="101">
      <c r="A101" s="2">
        <f>IFERROR(__xludf.DUMMYFUNCTION("""COMPUTED_VALUE"""),36670.666666666664)</f>
        <v>36670.66667</v>
      </c>
      <c r="B101" s="1">
        <f>IFERROR(__xludf.DUMMYFUNCTION("""COMPUTED_VALUE"""),31.88)</f>
        <v>31.88</v>
      </c>
      <c r="C101" s="1">
        <f>IFERROR(__xludf.DUMMYFUNCTION("""COMPUTED_VALUE"""),32.72)</f>
        <v>32.72</v>
      </c>
      <c r="D101" s="1">
        <f>IFERROR(__xludf.DUMMYFUNCTION("""COMPUTED_VALUE"""),31.79)</f>
        <v>31.79</v>
      </c>
      <c r="E101" s="1">
        <f>IFERROR(__xludf.DUMMYFUNCTION("""COMPUTED_VALUE"""),32.53)</f>
        <v>32.53</v>
      </c>
      <c r="F101" s="1">
        <f>IFERROR(__xludf.DUMMYFUNCTION("""COMPUTED_VALUE"""),3705000.0)</f>
        <v>3705000</v>
      </c>
    </row>
    <row r="102">
      <c r="A102" s="2">
        <f>IFERROR(__xludf.DUMMYFUNCTION("""COMPUTED_VALUE"""),36671.666666666664)</f>
        <v>36671.66667</v>
      </c>
      <c r="B102" s="1">
        <f>IFERROR(__xludf.DUMMYFUNCTION("""COMPUTED_VALUE"""),32.19)</f>
        <v>32.19</v>
      </c>
      <c r="C102" s="1">
        <f>IFERROR(__xludf.DUMMYFUNCTION("""COMPUTED_VALUE"""),32.59)</f>
        <v>32.59</v>
      </c>
      <c r="D102" s="1">
        <f>IFERROR(__xludf.DUMMYFUNCTION("""COMPUTED_VALUE"""),31.98)</f>
        <v>31.98</v>
      </c>
      <c r="E102" s="1">
        <f>IFERROR(__xludf.DUMMYFUNCTION("""COMPUTED_VALUE"""),32.56)</f>
        <v>32.56</v>
      </c>
      <c r="F102" s="1">
        <f>IFERROR(__xludf.DUMMYFUNCTION("""COMPUTED_VALUE"""),1787400.0)</f>
        <v>1787400</v>
      </c>
    </row>
    <row r="103">
      <c r="A103" s="2">
        <f>IFERROR(__xludf.DUMMYFUNCTION("""COMPUTED_VALUE"""),36672.666666666664)</f>
        <v>36672.66667</v>
      </c>
      <c r="B103" s="1">
        <f>IFERROR(__xludf.DUMMYFUNCTION("""COMPUTED_VALUE"""),32.41)</f>
        <v>32.41</v>
      </c>
      <c r="C103" s="1">
        <f>IFERROR(__xludf.DUMMYFUNCTION("""COMPUTED_VALUE"""),32.81)</f>
        <v>32.81</v>
      </c>
      <c r="D103" s="1">
        <f>IFERROR(__xludf.DUMMYFUNCTION("""COMPUTED_VALUE"""),32.41)</f>
        <v>32.41</v>
      </c>
      <c r="E103" s="1">
        <f>IFERROR(__xludf.DUMMYFUNCTION("""COMPUTED_VALUE"""),32.72)</f>
        <v>32.72</v>
      </c>
      <c r="F103" s="1">
        <f>IFERROR(__xludf.DUMMYFUNCTION("""COMPUTED_VALUE"""),1694400.0)</f>
        <v>1694400</v>
      </c>
    </row>
    <row r="104">
      <c r="A104" s="2">
        <f>IFERROR(__xludf.DUMMYFUNCTION("""COMPUTED_VALUE"""),36676.666666666664)</f>
        <v>36676.66667</v>
      </c>
      <c r="B104" s="1">
        <f>IFERROR(__xludf.DUMMYFUNCTION("""COMPUTED_VALUE"""),32.75)</f>
        <v>32.75</v>
      </c>
      <c r="C104" s="1">
        <f>IFERROR(__xludf.DUMMYFUNCTION("""COMPUTED_VALUE"""),32.78)</f>
        <v>32.78</v>
      </c>
      <c r="D104" s="1">
        <f>IFERROR(__xludf.DUMMYFUNCTION("""COMPUTED_VALUE"""),32.47)</f>
        <v>32.47</v>
      </c>
      <c r="E104" s="1">
        <f>IFERROR(__xludf.DUMMYFUNCTION("""COMPUTED_VALUE"""),32.65)</f>
        <v>32.65</v>
      </c>
      <c r="F104" s="1">
        <f>IFERROR(__xludf.DUMMYFUNCTION("""COMPUTED_VALUE"""),1680200.0)</f>
        <v>1680200</v>
      </c>
    </row>
    <row r="105">
      <c r="A105" s="2">
        <f>IFERROR(__xludf.DUMMYFUNCTION("""COMPUTED_VALUE"""),36677.666666666664)</f>
        <v>36677.66667</v>
      </c>
      <c r="B105" s="1">
        <f>IFERROR(__xludf.DUMMYFUNCTION("""COMPUTED_VALUE"""),32.59)</f>
        <v>32.59</v>
      </c>
      <c r="C105" s="1">
        <f>IFERROR(__xludf.DUMMYFUNCTION("""COMPUTED_VALUE"""),33.02)</f>
        <v>33.02</v>
      </c>
      <c r="D105" s="1">
        <f>IFERROR(__xludf.DUMMYFUNCTION("""COMPUTED_VALUE"""),32.38)</f>
        <v>32.38</v>
      </c>
      <c r="E105" s="1">
        <f>IFERROR(__xludf.DUMMYFUNCTION("""COMPUTED_VALUE"""),32.84)</f>
        <v>32.84</v>
      </c>
      <c r="F105" s="1">
        <f>IFERROR(__xludf.DUMMYFUNCTION("""COMPUTED_VALUE"""),1658600.0)</f>
        <v>1658600</v>
      </c>
    </row>
    <row r="106">
      <c r="A106" s="2">
        <f>IFERROR(__xludf.DUMMYFUNCTION("""COMPUTED_VALUE"""),36678.666666666664)</f>
        <v>36678.66667</v>
      </c>
      <c r="B106" s="1">
        <f>IFERROR(__xludf.DUMMYFUNCTION("""COMPUTED_VALUE"""),32.65)</f>
        <v>32.65</v>
      </c>
      <c r="C106" s="1">
        <f>IFERROR(__xludf.DUMMYFUNCTION("""COMPUTED_VALUE"""),32.78)</f>
        <v>32.78</v>
      </c>
      <c r="D106" s="1">
        <f>IFERROR(__xludf.DUMMYFUNCTION("""COMPUTED_VALUE"""),32.28)</f>
        <v>32.28</v>
      </c>
      <c r="E106" s="1">
        <f>IFERROR(__xludf.DUMMYFUNCTION("""COMPUTED_VALUE"""),32.41)</f>
        <v>32.41</v>
      </c>
      <c r="F106" s="1">
        <f>IFERROR(__xludf.DUMMYFUNCTION("""COMPUTED_VALUE"""),3291800.0)</f>
        <v>3291800</v>
      </c>
    </row>
    <row r="107">
      <c r="A107" s="2">
        <f>IFERROR(__xludf.DUMMYFUNCTION("""COMPUTED_VALUE"""),36679.666666666664)</f>
        <v>36679.66667</v>
      </c>
      <c r="B107" s="1">
        <f>IFERROR(__xludf.DUMMYFUNCTION("""COMPUTED_VALUE"""),32.65)</f>
        <v>32.65</v>
      </c>
      <c r="C107" s="1">
        <f>IFERROR(__xludf.DUMMYFUNCTION("""COMPUTED_VALUE"""),32.78)</f>
        <v>32.78</v>
      </c>
      <c r="D107" s="1">
        <f>IFERROR(__xludf.DUMMYFUNCTION("""COMPUTED_VALUE"""),31.36)</f>
        <v>31.36</v>
      </c>
      <c r="E107" s="1">
        <f>IFERROR(__xludf.DUMMYFUNCTION("""COMPUTED_VALUE"""),31.6)</f>
        <v>31.6</v>
      </c>
      <c r="F107" s="1">
        <f>IFERROR(__xludf.DUMMYFUNCTION("""COMPUTED_VALUE"""),4319200.0)</f>
        <v>4319200</v>
      </c>
    </row>
    <row r="108">
      <c r="A108" s="2">
        <f>IFERROR(__xludf.DUMMYFUNCTION("""COMPUTED_VALUE"""),36682.666666666664)</f>
        <v>36682.66667</v>
      </c>
      <c r="B108" s="1">
        <f>IFERROR(__xludf.DUMMYFUNCTION("""COMPUTED_VALUE"""),32.65)</f>
        <v>32.65</v>
      </c>
      <c r="C108" s="1">
        <f>IFERROR(__xludf.DUMMYFUNCTION("""COMPUTED_VALUE"""),32.78)</f>
        <v>32.78</v>
      </c>
      <c r="D108" s="1">
        <f>IFERROR(__xludf.DUMMYFUNCTION("""COMPUTED_VALUE"""),30.96)</f>
        <v>30.96</v>
      </c>
      <c r="E108" s="1">
        <f>IFERROR(__xludf.DUMMYFUNCTION("""COMPUTED_VALUE"""),31.08)</f>
        <v>31.08</v>
      </c>
      <c r="F108" s="1">
        <f>IFERROR(__xludf.DUMMYFUNCTION("""COMPUTED_VALUE"""),3252300.0)</f>
        <v>3252300</v>
      </c>
    </row>
    <row r="109">
      <c r="A109" s="2">
        <f>IFERROR(__xludf.DUMMYFUNCTION("""COMPUTED_VALUE"""),36683.666666666664)</f>
        <v>36683.66667</v>
      </c>
      <c r="B109" s="1">
        <f>IFERROR(__xludf.DUMMYFUNCTION("""COMPUTED_VALUE"""),31.05)</f>
        <v>31.05</v>
      </c>
      <c r="C109" s="1">
        <f>IFERROR(__xludf.DUMMYFUNCTION("""COMPUTED_VALUE"""),31.45)</f>
        <v>31.45</v>
      </c>
      <c r="D109" s="1">
        <f>IFERROR(__xludf.DUMMYFUNCTION("""COMPUTED_VALUE"""),30.99)</f>
        <v>30.99</v>
      </c>
      <c r="E109" s="1">
        <f>IFERROR(__xludf.DUMMYFUNCTION("""COMPUTED_VALUE"""),31.23)</f>
        <v>31.23</v>
      </c>
      <c r="F109" s="1">
        <f>IFERROR(__xludf.DUMMYFUNCTION("""COMPUTED_VALUE"""),1721000.0)</f>
        <v>1721000</v>
      </c>
    </row>
    <row r="110">
      <c r="A110" s="2">
        <f>IFERROR(__xludf.DUMMYFUNCTION("""COMPUTED_VALUE"""),36684.666666666664)</f>
        <v>36684.66667</v>
      </c>
      <c r="B110" s="1">
        <f>IFERROR(__xludf.DUMMYFUNCTION("""COMPUTED_VALUE"""),31.05)</f>
        <v>31.05</v>
      </c>
      <c r="C110" s="1">
        <f>IFERROR(__xludf.DUMMYFUNCTION("""COMPUTED_VALUE"""),31.54)</f>
        <v>31.54</v>
      </c>
      <c r="D110" s="1">
        <f>IFERROR(__xludf.DUMMYFUNCTION("""COMPUTED_VALUE"""),30.89)</f>
        <v>30.89</v>
      </c>
      <c r="E110" s="1">
        <f>IFERROR(__xludf.DUMMYFUNCTION("""COMPUTED_VALUE"""),31.05)</f>
        <v>31.05</v>
      </c>
      <c r="F110" s="1">
        <f>IFERROR(__xludf.DUMMYFUNCTION("""COMPUTED_VALUE"""),2634200.0)</f>
        <v>2634200</v>
      </c>
    </row>
    <row r="111">
      <c r="A111" s="2">
        <f>IFERROR(__xludf.DUMMYFUNCTION("""COMPUTED_VALUE"""),36685.666666666664)</f>
        <v>36685.66667</v>
      </c>
      <c r="B111" s="1">
        <f>IFERROR(__xludf.DUMMYFUNCTION("""COMPUTED_VALUE"""),29.14)</f>
        <v>29.14</v>
      </c>
      <c r="C111" s="1">
        <f>IFERROR(__xludf.DUMMYFUNCTION("""COMPUTED_VALUE"""),29.51)</f>
        <v>29.51</v>
      </c>
      <c r="D111" s="1">
        <f>IFERROR(__xludf.DUMMYFUNCTION("""COMPUTED_VALUE"""),27.59)</f>
        <v>27.59</v>
      </c>
      <c r="E111" s="1">
        <f>IFERROR(__xludf.DUMMYFUNCTION("""COMPUTED_VALUE"""),28.02)</f>
        <v>28.02</v>
      </c>
      <c r="F111" s="1">
        <f>IFERROR(__xludf.DUMMYFUNCTION("""COMPUTED_VALUE"""),1.86577E7)</f>
        <v>18657700</v>
      </c>
    </row>
    <row r="112">
      <c r="A112" s="2">
        <f>IFERROR(__xludf.DUMMYFUNCTION("""COMPUTED_VALUE"""),36686.666666666664)</f>
        <v>36686.66667</v>
      </c>
      <c r="B112" s="1">
        <f>IFERROR(__xludf.DUMMYFUNCTION("""COMPUTED_VALUE"""),28.06)</f>
        <v>28.06</v>
      </c>
      <c r="C112" s="1">
        <f>IFERROR(__xludf.DUMMYFUNCTION("""COMPUTED_VALUE"""),28.39)</f>
        <v>28.39</v>
      </c>
      <c r="D112" s="1">
        <f>IFERROR(__xludf.DUMMYFUNCTION("""COMPUTED_VALUE"""),27.56)</f>
        <v>27.56</v>
      </c>
      <c r="E112" s="1">
        <f>IFERROR(__xludf.DUMMYFUNCTION("""COMPUTED_VALUE"""),27.99)</f>
        <v>27.99</v>
      </c>
      <c r="F112" s="1">
        <f>IFERROR(__xludf.DUMMYFUNCTION("""COMPUTED_VALUE"""),6761900.0)</f>
        <v>6761900</v>
      </c>
    </row>
    <row r="113">
      <c r="A113" s="2">
        <f>IFERROR(__xludf.DUMMYFUNCTION("""COMPUTED_VALUE"""),36689.666666666664)</f>
        <v>36689.66667</v>
      </c>
      <c r="B113" s="1">
        <f>IFERROR(__xludf.DUMMYFUNCTION("""COMPUTED_VALUE"""),28.15)</f>
        <v>28.15</v>
      </c>
      <c r="C113" s="1">
        <f>IFERROR(__xludf.DUMMYFUNCTION("""COMPUTED_VALUE"""),28.24)</f>
        <v>28.24</v>
      </c>
      <c r="D113" s="1">
        <f>IFERROR(__xludf.DUMMYFUNCTION("""COMPUTED_VALUE"""),27.69)</f>
        <v>27.69</v>
      </c>
      <c r="E113" s="1">
        <f>IFERROR(__xludf.DUMMYFUNCTION("""COMPUTED_VALUE"""),27.99)</f>
        <v>27.99</v>
      </c>
      <c r="F113" s="1">
        <f>IFERROR(__xludf.DUMMYFUNCTION("""COMPUTED_VALUE"""),3665900.0)</f>
        <v>3665900</v>
      </c>
    </row>
    <row r="114">
      <c r="A114" s="2">
        <f>IFERROR(__xludf.DUMMYFUNCTION("""COMPUTED_VALUE"""),36690.666666666664)</f>
        <v>36690.66667</v>
      </c>
      <c r="B114" s="1">
        <f>IFERROR(__xludf.DUMMYFUNCTION("""COMPUTED_VALUE"""),27.56)</f>
        <v>27.56</v>
      </c>
      <c r="C114" s="1">
        <f>IFERROR(__xludf.DUMMYFUNCTION("""COMPUTED_VALUE"""),27.99)</f>
        <v>27.99</v>
      </c>
      <c r="D114" s="1">
        <f>IFERROR(__xludf.DUMMYFUNCTION("""COMPUTED_VALUE"""),27.56)</f>
        <v>27.56</v>
      </c>
      <c r="E114" s="1">
        <f>IFERROR(__xludf.DUMMYFUNCTION("""COMPUTED_VALUE"""),27.93)</f>
        <v>27.93</v>
      </c>
      <c r="F114" s="1">
        <f>IFERROR(__xludf.DUMMYFUNCTION("""COMPUTED_VALUE"""),3767900.0)</f>
        <v>3767900</v>
      </c>
    </row>
    <row r="115">
      <c r="A115" s="2">
        <f>IFERROR(__xludf.DUMMYFUNCTION("""COMPUTED_VALUE"""),36691.666666666664)</f>
        <v>36691.66667</v>
      </c>
      <c r="B115" s="1">
        <f>IFERROR(__xludf.DUMMYFUNCTION("""COMPUTED_VALUE"""),27.96)</f>
        <v>27.96</v>
      </c>
      <c r="C115" s="1">
        <f>IFERROR(__xludf.DUMMYFUNCTION("""COMPUTED_VALUE"""),28.21)</f>
        <v>28.21</v>
      </c>
      <c r="D115" s="1">
        <f>IFERROR(__xludf.DUMMYFUNCTION("""COMPUTED_VALUE"""),27.96)</f>
        <v>27.96</v>
      </c>
      <c r="E115" s="1">
        <f>IFERROR(__xludf.DUMMYFUNCTION("""COMPUTED_VALUE"""),28.21)</f>
        <v>28.21</v>
      </c>
      <c r="F115" s="1">
        <f>IFERROR(__xludf.DUMMYFUNCTION("""COMPUTED_VALUE"""),3080900.0)</f>
        <v>3080900</v>
      </c>
    </row>
    <row r="116">
      <c r="A116" s="2">
        <f>IFERROR(__xludf.DUMMYFUNCTION("""COMPUTED_VALUE"""),36692.666666666664)</f>
        <v>36692.66667</v>
      </c>
      <c r="B116" s="1">
        <f>IFERROR(__xludf.DUMMYFUNCTION("""COMPUTED_VALUE"""),28.24)</f>
        <v>28.24</v>
      </c>
      <c r="C116" s="1">
        <f>IFERROR(__xludf.DUMMYFUNCTION("""COMPUTED_VALUE"""),28.39)</f>
        <v>28.39</v>
      </c>
      <c r="D116" s="1">
        <f>IFERROR(__xludf.DUMMYFUNCTION("""COMPUTED_VALUE"""),27.9)</f>
        <v>27.9</v>
      </c>
      <c r="E116" s="1">
        <f>IFERROR(__xludf.DUMMYFUNCTION("""COMPUTED_VALUE"""),28.18)</f>
        <v>28.18</v>
      </c>
      <c r="F116" s="1">
        <f>IFERROR(__xludf.DUMMYFUNCTION("""COMPUTED_VALUE"""),4780900.0)</f>
        <v>4780900</v>
      </c>
    </row>
    <row r="117">
      <c r="A117" s="2">
        <f>IFERROR(__xludf.DUMMYFUNCTION("""COMPUTED_VALUE"""),36693.666666666664)</f>
        <v>36693.66667</v>
      </c>
      <c r="B117" s="1">
        <f>IFERROR(__xludf.DUMMYFUNCTION("""COMPUTED_VALUE"""),28.15)</f>
        <v>28.15</v>
      </c>
      <c r="C117" s="1">
        <f>IFERROR(__xludf.DUMMYFUNCTION("""COMPUTED_VALUE"""),28.18)</f>
        <v>28.18</v>
      </c>
      <c r="D117" s="1">
        <f>IFERROR(__xludf.DUMMYFUNCTION("""COMPUTED_VALUE"""),27.41)</f>
        <v>27.41</v>
      </c>
      <c r="E117" s="1">
        <f>IFERROR(__xludf.DUMMYFUNCTION("""COMPUTED_VALUE"""),27.41)</f>
        <v>27.41</v>
      </c>
      <c r="F117" s="1">
        <f>IFERROR(__xludf.DUMMYFUNCTION("""COMPUTED_VALUE"""),4887000.0)</f>
        <v>4887000</v>
      </c>
    </row>
    <row r="118">
      <c r="A118" s="2">
        <f>IFERROR(__xludf.DUMMYFUNCTION("""COMPUTED_VALUE"""),36696.666666666664)</f>
        <v>36696.66667</v>
      </c>
      <c r="B118" s="1">
        <f>IFERROR(__xludf.DUMMYFUNCTION("""COMPUTED_VALUE"""),27.75)</f>
        <v>27.75</v>
      </c>
      <c r="C118" s="1">
        <f>IFERROR(__xludf.DUMMYFUNCTION("""COMPUTED_VALUE"""),27.9)</f>
        <v>27.9</v>
      </c>
      <c r="D118" s="1">
        <f>IFERROR(__xludf.DUMMYFUNCTION("""COMPUTED_VALUE"""),27.53)</f>
        <v>27.53</v>
      </c>
      <c r="E118" s="1">
        <f>IFERROR(__xludf.DUMMYFUNCTION("""COMPUTED_VALUE"""),27.59)</f>
        <v>27.59</v>
      </c>
      <c r="F118" s="1">
        <f>IFERROR(__xludf.DUMMYFUNCTION("""COMPUTED_VALUE"""),2707200.0)</f>
        <v>2707200</v>
      </c>
    </row>
    <row r="119">
      <c r="A119" s="2">
        <f>IFERROR(__xludf.DUMMYFUNCTION("""COMPUTED_VALUE"""),36697.666666666664)</f>
        <v>36697.66667</v>
      </c>
      <c r="B119" s="1">
        <f>IFERROR(__xludf.DUMMYFUNCTION("""COMPUTED_VALUE"""),27.59)</f>
        <v>27.59</v>
      </c>
      <c r="C119" s="1">
        <f>IFERROR(__xludf.DUMMYFUNCTION("""COMPUTED_VALUE"""),27.59)</f>
        <v>27.59</v>
      </c>
      <c r="D119" s="1">
        <f>IFERROR(__xludf.DUMMYFUNCTION("""COMPUTED_VALUE"""),27.13)</f>
        <v>27.13</v>
      </c>
      <c r="E119" s="1">
        <f>IFERROR(__xludf.DUMMYFUNCTION("""COMPUTED_VALUE"""),27.19)</f>
        <v>27.19</v>
      </c>
      <c r="F119" s="1">
        <f>IFERROR(__xludf.DUMMYFUNCTION("""COMPUTED_VALUE"""),2817000.0)</f>
        <v>2817000</v>
      </c>
    </row>
    <row r="120">
      <c r="A120" s="2">
        <f>IFERROR(__xludf.DUMMYFUNCTION("""COMPUTED_VALUE"""),36698.666666666664)</f>
        <v>36698.66667</v>
      </c>
      <c r="B120" s="1">
        <f>IFERROR(__xludf.DUMMYFUNCTION("""COMPUTED_VALUE"""),27.35)</f>
        <v>27.35</v>
      </c>
      <c r="C120" s="1">
        <f>IFERROR(__xludf.DUMMYFUNCTION("""COMPUTED_VALUE"""),27.35)</f>
        <v>27.35</v>
      </c>
      <c r="D120" s="1">
        <f>IFERROR(__xludf.DUMMYFUNCTION("""COMPUTED_VALUE"""),26.79)</f>
        <v>26.79</v>
      </c>
      <c r="E120" s="1">
        <f>IFERROR(__xludf.DUMMYFUNCTION("""COMPUTED_VALUE"""),27.01)</f>
        <v>27.01</v>
      </c>
      <c r="F120" s="1">
        <f>IFERROR(__xludf.DUMMYFUNCTION("""COMPUTED_VALUE"""),3236100.0)</f>
        <v>3236100</v>
      </c>
    </row>
    <row r="121">
      <c r="A121" s="2">
        <f>IFERROR(__xludf.DUMMYFUNCTION("""COMPUTED_VALUE"""),36699.666666666664)</f>
        <v>36699.66667</v>
      </c>
      <c r="B121" s="1">
        <f>IFERROR(__xludf.DUMMYFUNCTION("""COMPUTED_VALUE"""),26.98)</f>
        <v>26.98</v>
      </c>
      <c r="C121" s="1">
        <f>IFERROR(__xludf.DUMMYFUNCTION("""COMPUTED_VALUE"""),27.07)</f>
        <v>27.07</v>
      </c>
      <c r="D121" s="1">
        <f>IFERROR(__xludf.DUMMYFUNCTION("""COMPUTED_VALUE"""),26.7)</f>
        <v>26.7</v>
      </c>
      <c r="E121" s="1">
        <f>IFERROR(__xludf.DUMMYFUNCTION("""COMPUTED_VALUE"""),26.73)</f>
        <v>26.73</v>
      </c>
      <c r="F121" s="1">
        <f>IFERROR(__xludf.DUMMYFUNCTION("""COMPUTED_VALUE"""),2917500.0)</f>
        <v>2917500</v>
      </c>
    </row>
    <row r="122">
      <c r="A122" s="2">
        <f>IFERROR(__xludf.DUMMYFUNCTION("""COMPUTED_VALUE"""),36700.666666666664)</f>
        <v>36700.66667</v>
      </c>
      <c r="B122" s="1">
        <f>IFERROR(__xludf.DUMMYFUNCTION("""COMPUTED_VALUE"""),26.98)</f>
        <v>26.98</v>
      </c>
      <c r="C122" s="1">
        <f>IFERROR(__xludf.DUMMYFUNCTION("""COMPUTED_VALUE"""),27.38)</f>
        <v>27.38</v>
      </c>
      <c r="D122" s="1">
        <f>IFERROR(__xludf.DUMMYFUNCTION("""COMPUTED_VALUE"""),26.79)</f>
        <v>26.79</v>
      </c>
      <c r="E122" s="1">
        <f>IFERROR(__xludf.DUMMYFUNCTION("""COMPUTED_VALUE"""),27.13)</f>
        <v>27.13</v>
      </c>
      <c r="F122" s="1">
        <f>IFERROR(__xludf.DUMMYFUNCTION("""COMPUTED_VALUE"""),3433500.0)</f>
        <v>3433500</v>
      </c>
    </row>
    <row r="123">
      <c r="A123" s="2">
        <f>IFERROR(__xludf.DUMMYFUNCTION("""COMPUTED_VALUE"""),36703.666666666664)</f>
        <v>36703.66667</v>
      </c>
      <c r="B123" s="1">
        <f>IFERROR(__xludf.DUMMYFUNCTION("""COMPUTED_VALUE"""),27.16)</f>
        <v>27.16</v>
      </c>
      <c r="C123" s="1">
        <f>IFERROR(__xludf.DUMMYFUNCTION("""COMPUTED_VALUE"""),27.56)</f>
        <v>27.56</v>
      </c>
      <c r="D123" s="1">
        <f>IFERROR(__xludf.DUMMYFUNCTION("""COMPUTED_VALUE"""),27.16)</f>
        <v>27.16</v>
      </c>
      <c r="E123" s="1">
        <f>IFERROR(__xludf.DUMMYFUNCTION("""COMPUTED_VALUE"""),27.53)</f>
        <v>27.53</v>
      </c>
      <c r="F123" s="1">
        <f>IFERROR(__xludf.DUMMYFUNCTION("""COMPUTED_VALUE"""),2809600.0)</f>
        <v>2809600</v>
      </c>
    </row>
    <row r="124">
      <c r="A124" s="2">
        <f>IFERROR(__xludf.DUMMYFUNCTION("""COMPUTED_VALUE"""),36704.666666666664)</f>
        <v>36704.66667</v>
      </c>
      <c r="B124" s="1">
        <f>IFERROR(__xludf.DUMMYFUNCTION("""COMPUTED_VALUE"""),27.25)</f>
        <v>27.25</v>
      </c>
      <c r="C124" s="1">
        <f>IFERROR(__xludf.DUMMYFUNCTION("""COMPUTED_VALUE"""),27.96)</f>
        <v>27.96</v>
      </c>
      <c r="D124" s="1">
        <f>IFERROR(__xludf.DUMMYFUNCTION("""COMPUTED_VALUE"""),27.25)</f>
        <v>27.25</v>
      </c>
      <c r="E124" s="1">
        <f>IFERROR(__xludf.DUMMYFUNCTION("""COMPUTED_VALUE"""),27.47)</f>
        <v>27.47</v>
      </c>
      <c r="F124" s="1">
        <f>IFERROR(__xludf.DUMMYFUNCTION("""COMPUTED_VALUE"""),3488600.0)</f>
        <v>3488600</v>
      </c>
    </row>
    <row r="125">
      <c r="A125" s="2">
        <f>IFERROR(__xludf.DUMMYFUNCTION("""COMPUTED_VALUE"""),36705.666666666664)</f>
        <v>36705.66667</v>
      </c>
      <c r="B125" s="1">
        <f>IFERROR(__xludf.DUMMYFUNCTION("""COMPUTED_VALUE"""),27.22)</f>
        <v>27.22</v>
      </c>
      <c r="C125" s="1">
        <f>IFERROR(__xludf.DUMMYFUNCTION("""COMPUTED_VALUE"""),27.65)</f>
        <v>27.65</v>
      </c>
      <c r="D125" s="1">
        <f>IFERROR(__xludf.DUMMYFUNCTION("""COMPUTED_VALUE"""),27.22)</f>
        <v>27.22</v>
      </c>
      <c r="E125" s="1">
        <f>IFERROR(__xludf.DUMMYFUNCTION("""COMPUTED_VALUE"""),27.41)</f>
        <v>27.41</v>
      </c>
      <c r="F125" s="1">
        <f>IFERROR(__xludf.DUMMYFUNCTION("""COMPUTED_VALUE"""),3155100.0)</f>
        <v>3155100</v>
      </c>
    </row>
    <row r="126">
      <c r="A126" s="2">
        <f>IFERROR(__xludf.DUMMYFUNCTION("""COMPUTED_VALUE"""),36706.666666666664)</f>
        <v>36706.66667</v>
      </c>
      <c r="B126" s="1">
        <f>IFERROR(__xludf.DUMMYFUNCTION("""COMPUTED_VALUE"""),27.19)</f>
        <v>27.19</v>
      </c>
      <c r="C126" s="1">
        <f>IFERROR(__xludf.DUMMYFUNCTION("""COMPUTED_VALUE"""),27.22)</f>
        <v>27.22</v>
      </c>
      <c r="D126" s="1">
        <f>IFERROR(__xludf.DUMMYFUNCTION("""COMPUTED_VALUE"""),26.48)</f>
        <v>26.48</v>
      </c>
      <c r="E126" s="1">
        <f>IFERROR(__xludf.DUMMYFUNCTION("""COMPUTED_VALUE"""),26.51)</f>
        <v>26.51</v>
      </c>
      <c r="F126" s="1">
        <f>IFERROR(__xludf.DUMMYFUNCTION("""COMPUTED_VALUE"""),3784800.0)</f>
        <v>3784800</v>
      </c>
    </row>
    <row r="127">
      <c r="A127" s="2">
        <f>IFERROR(__xludf.DUMMYFUNCTION("""COMPUTED_VALUE"""),36707.666666666664)</f>
        <v>36707.66667</v>
      </c>
      <c r="B127" s="1">
        <f>IFERROR(__xludf.DUMMYFUNCTION("""COMPUTED_VALUE"""),27.19)</f>
        <v>27.19</v>
      </c>
      <c r="C127" s="1">
        <f>IFERROR(__xludf.DUMMYFUNCTION("""COMPUTED_VALUE"""),28.27)</f>
        <v>28.27</v>
      </c>
      <c r="D127" s="1">
        <f>IFERROR(__xludf.DUMMYFUNCTION("""COMPUTED_VALUE"""),26.3)</f>
        <v>26.3</v>
      </c>
      <c r="E127" s="1">
        <f>IFERROR(__xludf.DUMMYFUNCTION("""COMPUTED_VALUE"""),28.27)</f>
        <v>28.27</v>
      </c>
      <c r="F127" s="1">
        <f>IFERROR(__xludf.DUMMYFUNCTION("""COMPUTED_VALUE"""),9436600.0)</f>
        <v>9436600</v>
      </c>
    </row>
    <row r="128">
      <c r="A128" s="2">
        <f>IFERROR(__xludf.DUMMYFUNCTION("""COMPUTED_VALUE"""),36710.666666666664)</f>
        <v>36710.66667</v>
      </c>
      <c r="B128" s="1">
        <f>IFERROR(__xludf.DUMMYFUNCTION("""COMPUTED_VALUE"""),27.25)</f>
        <v>27.25</v>
      </c>
      <c r="C128" s="1">
        <f>IFERROR(__xludf.DUMMYFUNCTION("""COMPUTED_VALUE"""),28.27)</f>
        <v>28.27</v>
      </c>
      <c r="D128" s="1">
        <f>IFERROR(__xludf.DUMMYFUNCTION("""COMPUTED_VALUE"""),27.25)</f>
        <v>27.25</v>
      </c>
      <c r="E128" s="1">
        <f>IFERROR(__xludf.DUMMYFUNCTION("""COMPUTED_VALUE"""),27.59)</f>
        <v>27.59</v>
      </c>
      <c r="F128" s="1">
        <f>IFERROR(__xludf.DUMMYFUNCTION("""COMPUTED_VALUE"""),2361600.0)</f>
        <v>2361600</v>
      </c>
    </row>
    <row r="129">
      <c r="A129" s="2">
        <f>IFERROR(__xludf.DUMMYFUNCTION("""COMPUTED_VALUE"""),36712.666666666664)</f>
        <v>36712.66667</v>
      </c>
      <c r="B129" s="1">
        <f>IFERROR(__xludf.DUMMYFUNCTION("""COMPUTED_VALUE"""),27.28)</f>
        <v>27.28</v>
      </c>
      <c r="C129" s="1">
        <f>IFERROR(__xludf.DUMMYFUNCTION("""COMPUTED_VALUE"""),28.27)</f>
        <v>28.27</v>
      </c>
      <c r="D129" s="1">
        <f>IFERROR(__xludf.DUMMYFUNCTION("""COMPUTED_VALUE"""),27.28)</f>
        <v>27.28</v>
      </c>
      <c r="E129" s="1">
        <f>IFERROR(__xludf.DUMMYFUNCTION("""COMPUTED_VALUE"""),27.47)</f>
        <v>27.47</v>
      </c>
      <c r="F129" s="1">
        <f>IFERROR(__xludf.DUMMYFUNCTION("""COMPUTED_VALUE"""),2917300.0)</f>
        <v>2917300</v>
      </c>
    </row>
    <row r="130">
      <c r="A130" s="2">
        <f>IFERROR(__xludf.DUMMYFUNCTION("""COMPUTED_VALUE"""),36713.666666666664)</f>
        <v>36713.66667</v>
      </c>
      <c r="B130" s="1">
        <f>IFERROR(__xludf.DUMMYFUNCTION("""COMPUTED_VALUE"""),27.65)</f>
        <v>27.65</v>
      </c>
      <c r="C130" s="1">
        <f>IFERROR(__xludf.DUMMYFUNCTION("""COMPUTED_VALUE"""),27.65)</f>
        <v>27.65</v>
      </c>
      <c r="D130" s="1">
        <f>IFERROR(__xludf.DUMMYFUNCTION("""COMPUTED_VALUE"""),27.16)</f>
        <v>27.16</v>
      </c>
      <c r="E130" s="1">
        <f>IFERROR(__xludf.DUMMYFUNCTION("""COMPUTED_VALUE"""),27.28)</f>
        <v>27.28</v>
      </c>
      <c r="F130" s="1">
        <f>IFERROR(__xludf.DUMMYFUNCTION("""COMPUTED_VALUE"""),3528800.0)</f>
        <v>3528800</v>
      </c>
    </row>
    <row r="131">
      <c r="A131" s="2">
        <f>IFERROR(__xludf.DUMMYFUNCTION("""COMPUTED_VALUE"""),36714.666666666664)</f>
        <v>36714.66667</v>
      </c>
      <c r="B131" s="1">
        <f>IFERROR(__xludf.DUMMYFUNCTION("""COMPUTED_VALUE"""),27.5)</f>
        <v>27.5</v>
      </c>
      <c r="C131" s="1">
        <f>IFERROR(__xludf.DUMMYFUNCTION("""COMPUTED_VALUE"""),27.5)</f>
        <v>27.5</v>
      </c>
      <c r="D131" s="1">
        <f>IFERROR(__xludf.DUMMYFUNCTION("""COMPUTED_VALUE"""),26.76)</f>
        <v>26.76</v>
      </c>
      <c r="E131" s="1">
        <f>IFERROR(__xludf.DUMMYFUNCTION("""COMPUTED_VALUE"""),27.13)</f>
        <v>27.13</v>
      </c>
      <c r="F131" s="1">
        <f>IFERROR(__xludf.DUMMYFUNCTION("""COMPUTED_VALUE"""),3705400.0)</f>
        <v>3705400</v>
      </c>
    </row>
    <row r="132">
      <c r="A132" s="2">
        <f>IFERROR(__xludf.DUMMYFUNCTION("""COMPUTED_VALUE"""),36717.666666666664)</f>
        <v>36717.66667</v>
      </c>
      <c r="B132" s="1">
        <f>IFERROR(__xludf.DUMMYFUNCTION("""COMPUTED_VALUE"""),27.19)</f>
        <v>27.19</v>
      </c>
      <c r="C132" s="1">
        <f>IFERROR(__xludf.DUMMYFUNCTION("""COMPUTED_VALUE"""),27.47)</f>
        <v>27.47</v>
      </c>
      <c r="D132" s="1">
        <f>IFERROR(__xludf.DUMMYFUNCTION("""COMPUTED_VALUE"""),27.16)</f>
        <v>27.16</v>
      </c>
      <c r="E132" s="1">
        <f>IFERROR(__xludf.DUMMYFUNCTION("""COMPUTED_VALUE"""),27.38)</f>
        <v>27.38</v>
      </c>
      <c r="F132" s="1">
        <f>IFERROR(__xludf.DUMMYFUNCTION("""COMPUTED_VALUE"""),3895700.0)</f>
        <v>3895700</v>
      </c>
    </row>
    <row r="133">
      <c r="A133" s="2">
        <f>IFERROR(__xludf.DUMMYFUNCTION("""COMPUTED_VALUE"""),36718.666666666664)</f>
        <v>36718.66667</v>
      </c>
      <c r="B133" s="1">
        <f>IFERROR(__xludf.DUMMYFUNCTION("""COMPUTED_VALUE"""),27.41)</f>
        <v>27.41</v>
      </c>
      <c r="C133" s="1">
        <f>IFERROR(__xludf.DUMMYFUNCTION("""COMPUTED_VALUE"""),27.47)</f>
        <v>27.47</v>
      </c>
      <c r="D133" s="1">
        <f>IFERROR(__xludf.DUMMYFUNCTION("""COMPUTED_VALUE"""),26.91)</f>
        <v>26.91</v>
      </c>
      <c r="E133" s="1">
        <f>IFERROR(__xludf.DUMMYFUNCTION("""COMPUTED_VALUE"""),27.1)</f>
        <v>27.1</v>
      </c>
      <c r="F133" s="1">
        <f>IFERROR(__xludf.DUMMYFUNCTION("""COMPUTED_VALUE"""),2800300.0)</f>
        <v>2800300</v>
      </c>
    </row>
    <row r="134">
      <c r="A134" s="2">
        <f>IFERROR(__xludf.DUMMYFUNCTION("""COMPUTED_VALUE"""),36719.666666666664)</f>
        <v>36719.66667</v>
      </c>
      <c r="B134" s="1">
        <f>IFERROR(__xludf.DUMMYFUNCTION("""COMPUTED_VALUE"""),27.1)</f>
        <v>27.1</v>
      </c>
      <c r="C134" s="1">
        <f>IFERROR(__xludf.DUMMYFUNCTION("""COMPUTED_VALUE"""),27.41)</f>
        <v>27.41</v>
      </c>
      <c r="D134" s="1">
        <f>IFERROR(__xludf.DUMMYFUNCTION("""COMPUTED_VALUE"""),26.73)</f>
        <v>26.73</v>
      </c>
      <c r="E134" s="1">
        <f>IFERROR(__xludf.DUMMYFUNCTION("""COMPUTED_VALUE"""),27.22)</f>
        <v>27.22</v>
      </c>
      <c r="F134" s="1">
        <f>IFERROR(__xludf.DUMMYFUNCTION("""COMPUTED_VALUE"""),3521300.0)</f>
        <v>3521300</v>
      </c>
    </row>
    <row r="135">
      <c r="A135" s="2">
        <f>IFERROR(__xludf.DUMMYFUNCTION("""COMPUTED_VALUE"""),36720.666666666664)</f>
        <v>36720.66667</v>
      </c>
      <c r="B135" s="1">
        <f>IFERROR(__xludf.DUMMYFUNCTION("""COMPUTED_VALUE"""),27.1)</f>
        <v>27.1</v>
      </c>
      <c r="C135" s="1">
        <f>IFERROR(__xludf.DUMMYFUNCTION("""COMPUTED_VALUE"""),27.38)</f>
        <v>27.38</v>
      </c>
      <c r="D135" s="1">
        <f>IFERROR(__xludf.DUMMYFUNCTION("""COMPUTED_VALUE"""),26.85)</f>
        <v>26.85</v>
      </c>
      <c r="E135" s="1">
        <f>IFERROR(__xludf.DUMMYFUNCTION("""COMPUTED_VALUE"""),26.94)</f>
        <v>26.94</v>
      </c>
      <c r="F135" s="1">
        <f>IFERROR(__xludf.DUMMYFUNCTION("""COMPUTED_VALUE"""),2911900.0)</f>
        <v>2911900</v>
      </c>
    </row>
    <row r="136">
      <c r="A136" s="2">
        <f>IFERROR(__xludf.DUMMYFUNCTION("""COMPUTED_VALUE"""),36721.666666666664)</f>
        <v>36721.66667</v>
      </c>
      <c r="B136" s="1">
        <f>IFERROR(__xludf.DUMMYFUNCTION("""COMPUTED_VALUE"""),27.1)</f>
        <v>27.1</v>
      </c>
      <c r="C136" s="1">
        <f>IFERROR(__xludf.DUMMYFUNCTION("""COMPUTED_VALUE"""),27.78)</f>
        <v>27.78</v>
      </c>
      <c r="D136" s="1">
        <f>IFERROR(__xludf.DUMMYFUNCTION("""COMPUTED_VALUE"""),26.85)</f>
        <v>26.85</v>
      </c>
      <c r="E136" s="1">
        <f>IFERROR(__xludf.DUMMYFUNCTION("""COMPUTED_VALUE"""),27.65)</f>
        <v>27.65</v>
      </c>
      <c r="F136" s="1">
        <f>IFERROR(__xludf.DUMMYFUNCTION("""COMPUTED_VALUE"""),4155000.0)</f>
        <v>4155000</v>
      </c>
    </row>
    <row r="137">
      <c r="A137" s="2">
        <f>IFERROR(__xludf.DUMMYFUNCTION("""COMPUTED_VALUE"""),36724.666666666664)</f>
        <v>36724.66667</v>
      </c>
      <c r="B137" s="1">
        <f>IFERROR(__xludf.DUMMYFUNCTION("""COMPUTED_VALUE"""),27.69)</f>
        <v>27.69</v>
      </c>
      <c r="C137" s="1">
        <f>IFERROR(__xludf.DUMMYFUNCTION("""COMPUTED_VALUE"""),28.24)</f>
        <v>28.24</v>
      </c>
      <c r="D137" s="1">
        <f>IFERROR(__xludf.DUMMYFUNCTION("""COMPUTED_VALUE"""),27.69)</f>
        <v>27.69</v>
      </c>
      <c r="E137" s="1">
        <f>IFERROR(__xludf.DUMMYFUNCTION("""COMPUTED_VALUE"""),27.72)</f>
        <v>27.72</v>
      </c>
      <c r="F137" s="1">
        <f>IFERROR(__xludf.DUMMYFUNCTION("""COMPUTED_VALUE"""),3234200.0)</f>
        <v>3234200</v>
      </c>
    </row>
    <row r="138">
      <c r="A138" s="2">
        <f>IFERROR(__xludf.DUMMYFUNCTION("""COMPUTED_VALUE"""),36725.666666666664)</f>
        <v>36725.66667</v>
      </c>
      <c r="B138" s="1">
        <f>IFERROR(__xludf.DUMMYFUNCTION("""COMPUTED_VALUE"""),27.75)</f>
        <v>27.75</v>
      </c>
      <c r="C138" s="1">
        <f>IFERROR(__xludf.DUMMYFUNCTION("""COMPUTED_VALUE"""),28.7)</f>
        <v>28.7</v>
      </c>
      <c r="D138" s="1">
        <f>IFERROR(__xludf.DUMMYFUNCTION("""COMPUTED_VALUE"""),27.65)</f>
        <v>27.65</v>
      </c>
      <c r="E138" s="1">
        <f>IFERROR(__xludf.DUMMYFUNCTION("""COMPUTED_VALUE"""),28.61)</f>
        <v>28.61</v>
      </c>
      <c r="F138" s="1">
        <f>IFERROR(__xludf.DUMMYFUNCTION("""COMPUTED_VALUE"""),3599800.0)</f>
        <v>3599800</v>
      </c>
    </row>
    <row r="139">
      <c r="A139" s="2">
        <f>IFERROR(__xludf.DUMMYFUNCTION("""COMPUTED_VALUE"""),36726.666666666664)</f>
        <v>36726.66667</v>
      </c>
      <c r="B139" s="1">
        <f>IFERROR(__xludf.DUMMYFUNCTION("""COMPUTED_VALUE"""),28.61)</f>
        <v>28.61</v>
      </c>
      <c r="C139" s="1">
        <f>IFERROR(__xludf.DUMMYFUNCTION("""COMPUTED_VALUE"""),29.2)</f>
        <v>29.2</v>
      </c>
      <c r="D139" s="1">
        <f>IFERROR(__xludf.DUMMYFUNCTION("""COMPUTED_VALUE"""),28.43)</f>
        <v>28.43</v>
      </c>
      <c r="E139" s="1">
        <f>IFERROR(__xludf.DUMMYFUNCTION("""COMPUTED_VALUE"""),29.17)</f>
        <v>29.17</v>
      </c>
      <c r="F139" s="1">
        <f>IFERROR(__xludf.DUMMYFUNCTION("""COMPUTED_VALUE"""),3992600.0)</f>
        <v>3992600</v>
      </c>
    </row>
    <row r="140">
      <c r="A140" s="2">
        <f>IFERROR(__xludf.DUMMYFUNCTION("""COMPUTED_VALUE"""),36727.666666666664)</f>
        <v>36727.66667</v>
      </c>
      <c r="B140" s="1">
        <f>IFERROR(__xludf.DUMMYFUNCTION("""COMPUTED_VALUE"""),28.89)</f>
        <v>28.89</v>
      </c>
      <c r="C140" s="1">
        <f>IFERROR(__xludf.DUMMYFUNCTION("""COMPUTED_VALUE"""),29.41)</f>
        <v>29.41</v>
      </c>
      <c r="D140" s="1">
        <f>IFERROR(__xludf.DUMMYFUNCTION("""COMPUTED_VALUE"""),28.89)</f>
        <v>28.89</v>
      </c>
      <c r="E140" s="1">
        <f>IFERROR(__xludf.DUMMYFUNCTION("""COMPUTED_VALUE"""),29.14)</f>
        <v>29.14</v>
      </c>
      <c r="F140" s="1">
        <f>IFERROR(__xludf.DUMMYFUNCTION("""COMPUTED_VALUE"""),4318900.0)</f>
        <v>4318900</v>
      </c>
    </row>
    <row r="141">
      <c r="A141" s="2">
        <f>IFERROR(__xludf.DUMMYFUNCTION("""COMPUTED_VALUE"""),36728.666666666664)</f>
        <v>36728.66667</v>
      </c>
      <c r="B141" s="1">
        <f>IFERROR(__xludf.DUMMYFUNCTION("""COMPUTED_VALUE"""),29.07)</f>
        <v>29.07</v>
      </c>
      <c r="C141" s="1">
        <f>IFERROR(__xludf.DUMMYFUNCTION("""COMPUTED_VALUE"""),29.35)</f>
        <v>29.35</v>
      </c>
      <c r="D141" s="1">
        <f>IFERROR(__xludf.DUMMYFUNCTION("""COMPUTED_VALUE"""),29.07)</f>
        <v>29.07</v>
      </c>
      <c r="E141" s="1">
        <f>IFERROR(__xludf.DUMMYFUNCTION("""COMPUTED_VALUE"""),29.2)</f>
        <v>29.2</v>
      </c>
      <c r="F141" s="1">
        <f>IFERROR(__xludf.DUMMYFUNCTION("""COMPUTED_VALUE"""),2553300.0)</f>
        <v>2553300</v>
      </c>
    </row>
    <row r="142">
      <c r="A142" s="2">
        <f>IFERROR(__xludf.DUMMYFUNCTION("""COMPUTED_VALUE"""),36731.666666666664)</f>
        <v>36731.66667</v>
      </c>
      <c r="B142" s="1">
        <f>IFERROR(__xludf.DUMMYFUNCTION("""COMPUTED_VALUE"""),29.23)</f>
        <v>29.23</v>
      </c>
      <c r="C142" s="1">
        <f>IFERROR(__xludf.DUMMYFUNCTION("""COMPUTED_VALUE"""),29.35)</f>
        <v>29.35</v>
      </c>
      <c r="D142" s="1">
        <f>IFERROR(__xludf.DUMMYFUNCTION("""COMPUTED_VALUE"""),29.14)</f>
        <v>29.14</v>
      </c>
      <c r="E142" s="1">
        <f>IFERROR(__xludf.DUMMYFUNCTION("""COMPUTED_VALUE"""),29.14)</f>
        <v>29.14</v>
      </c>
      <c r="F142" s="1">
        <f>IFERROR(__xludf.DUMMYFUNCTION("""COMPUTED_VALUE"""),3432500.0)</f>
        <v>3432500</v>
      </c>
    </row>
    <row r="143">
      <c r="A143" s="2">
        <f>IFERROR(__xludf.DUMMYFUNCTION("""COMPUTED_VALUE"""),36732.666666666664)</f>
        <v>36732.66667</v>
      </c>
      <c r="B143" s="1">
        <f>IFERROR(__xludf.DUMMYFUNCTION("""COMPUTED_VALUE"""),29.35)</f>
        <v>29.35</v>
      </c>
      <c r="C143" s="1">
        <f>IFERROR(__xludf.DUMMYFUNCTION("""COMPUTED_VALUE"""),30.03)</f>
        <v>30.03</v>
      </c>
      <c r="D143" s="1">
        <f>IFERROR(__xludf.DUMMYFUNCTION("""COMPUTED_VALUE"""),29.35)</f>
        <v>29.35</v>
      </c>
      <c r="E143" s="1">
        <f>IFERROR(__xludf.DUMMYFUNCTION("""COMPUTED_VALUE"""),29.94)</f>
        <v>29.94</v>
      </c>
      <c r="F143" s="1">
        <f>IFERROR(__xludf.DUMMYFUNCTION("""COMPUTED_VALUE"""),3554300.0)</f>
        <v>3554300</v>
      </c>
    </row>
    <row r="144">
      <c r="A144" s="2">
        <f>IFERROR(__xludf.DUMMYFUNCTION("""COMPUTED_VALUE"""),36733.666666666664)</f>
        <v>36733.66667</v>
      </c>
      <c r="B144" s="1">
        <f>IFERROR(__xludf.DUMMYFUNCTION("""COMPUTED_VALUE"""),29.35)</f>
        <v>29.35</v>
      </c>
      <c r="C144" s="1">
        <f>IFERROR(__xludf.DUMMYFUNCTION("""COMPUTED_VALUE"""),29.48)</f>
        <v>29.48</v>
      </c>
      <c r="D144" s="1">
        <f>IFERROR(__xludf.DUMMYFUNCTION("""COMPUTED_VALUE"""),29.35)</f>
        <v>29.35</v>
      </c>
      <c r="E144" s="1">
        <f>IFERROR(__xludf.DUMMYFUNCTION("""COMPUTED_VALUE"""),29.44)</f>
        <v>29.44</v>
      </c>
      <c r="F144" s="1">
        <f>IFERROR(__xludf.DUMMYFUNCTION("""COMPUTED_VALUE"""),3085600.0)</f>
        <v>3085600</v>
      </c>
    </row>
    <row r="145">
      <c r="A145" s="2">
        <f>IFERROR(__xludf.DUMMYFUNCTION("""COMPUTED_VALUE"""),36734.666666666664)</f>
        <v>36734.66667</v>
      </c>
      <c r="B145" s="1">
        <f>IFERROR(__xludf.DUMMYFUNCTION("""COMPUTED_VALUE"""),29.29)</f>
        <v>29.29</v>
      </c>
      <c r="C145" s="1">
        <f>IFERROR(__xludf.DUMMYFUNCTION("""COMPUTED_VALUE"""),29.91)</f>
        <v>29.91</v>
      </c>
      <c r="D145" s="1">
        <f>IFERROR(__xludf.DUMMYFUNCTION("""COMPUTED_VALUE"""),29.29)</f>
        <v>29.29</v>
      </c>
      <c r="E145" s="1">
        <f>IFERROR(__xludf.DUMMYFUNCTION("""COMPUTED_VALUE"""),29.41)</f>
        <v>29.41</v>
      </c>
      <c r="F145" s="1">
        <f>IFERROR(__xludf.DUMMYFUNCTION("""COMPUTED_VALUE"""),2529700.0)</f>
        <v>2529700</v>
      </c>
    </row>
    <row r="146">
      <c r="A146" s="2">
        <f>IFERROR(__xludf.DUMMYFUNCTION("""COMPUTED_VALUE"""),36735.666666666664)</f>
        <v>36735.66667</v>
      </c>
      <c r="B146" s="1">
        <f>IFERROR(__xludf.DUMMYFUNCTION("""COMPUTED_VALUE"""),29.6)</f>
        <v>29.6</v>
      </c>
      <c r="C146" s="1">
        <f>IFERROR(__xludf.DUMMYFUNCTION("""COMPUTED_VALUE"""),29.63)</f>
        <v>29.63</v>
      </c>
      <c r="D146" s="1">
        <f>IFERROR(__xludf.DUMMYFUNCTION("""COMPUTED_VALUE"""),29.14)</f>
        <v>29.14</v>
      </c>
      <c r="E146" s="1">
        <f>IFERROR(__xludf.DUMMYFUNCTION("""COMPUTED_VALUE"""),29.23)</f>
        <v>29.23</v>
      </c>
      <c r="F146" s="1">
        <f>IFERROR(__xludf.DUMMYFUNCTION("""COMPUTED_VALUE"""),3301500.0)</f>
        <v>3301500</v>
      </c>
    </row>
    <row r="147">
      <c r="A147" s="2">
        <f>IFERROR(__xludf.DUMMYFUNCTION("""COMPUTED_VALUE"""),36738.666666666664)</f>
        <v>36738.66667</v>
      </c>
      <c r="B147" s="1">
        <f>IFERROR(__xludf.DUMMYFUNCTION("""COMPUTED_VALUE"""),29.01)</f>
        <v>29.01</v>
      </c>
      <c r="C147" s="1">
        <f>IFERROR(__xludf.DUMMYFUNCTION("""COMPUTED_VALUE"""),29.01)</f>
        <v>29.01</v>
      </c>
      <c r="D147" s="1">
        <f>IFERROR(__xludf.DUMMYFUNCTION("""COMPUTED_VALUE"""),27.9)</f>
        <v>27.9</v>
      </c>
      <c r="E147" s="1">
        <f>IFERROR(__xludf.DUMMYFUNCTION("""COMPUTED_VALUE"""),28.09)</f>
        <v>28.09</v>
      </c>
      <c r="F147" s="1">
        <f>IFERROR(__xludf.DUMMYFUNCTION("""COMPUTED_VALUE"""),4922200.0)</f>
        <v>4922200</v>
      </c>
    </row>
    <row r="148">
      <c r="A148" s="2">
        <f>IFERROR(__xludf.DUMMYFUNCTION("""COMPUTED_VALUE"""),36739.666666666664)</f>
        <v>36739.66667</v>
      </c>
      <c r="B148" s="1">
        <f>IFERROR(__xludf.DUMMYFUNCTION("""COMPUTED_VALUE"""),27.65)</f>
        <v>27.65</v>
      </c>
      <c r="C148" s="1">
        <f>IFERROR(__xludf.DUMMYFUNCTION("""COMPUTED_VALUE"""),29.6)</f>
        <v>29.6</v>
      </c>
      <c r="D148" s="1">
        <f>IFERROR(__xludf.DUMMYFUNCTION("""COMPUTED_VALUE"""),27.35)</f>
        <v>27.35</v>
      </c>
      <c r="E148" s="1">
        <f>IFERROR(__xludf.DUMMYFUNCTION("""COMPUTED_VALUE"""),29.17)</f>
        <v>29.17</v>
      </c>
      <c r="F148" s="1">
        <f>IFERROR(__xludf.DUMMYFUNCTION("""COMPUTED_VALUE"""),6971500.0)</f>
        <v>6971500</v>
      </c>
    </row>
    <row r="149">
      <c r="A149" s="2">
        <f>IFERROR(__xludf.DUMMYFUNCTION("""COMPUTED_VALUE"""),36740.666666666664)</f>
        <v>36740.66667</v>
      </c>
      <c r="B149" s="1">
        <f>IFERROR(__xludf.DUMMYFUNCTION("""COMPUTED_VALUE"""),29.32)</f>
        <v>29.32</v>
      </c>
      <c r="C149" s="1">
        <f>IFERROR(__xludf.DUMMYFUNCTION("""COMPUTED_VALUE"""),29.38)</f>
        <v>29.38</v>
      </c>
      <c r="D149" s="1">
        <f>IFERROR(__xludf.DUMMYFUNCTION("""COMPUTED_VALUE"""),28.46)</f>
        <v>28.46</v>
      </c>
      <c r="E149" s="1">
        <f>IFERROR(__xludf.DUMMYFUNCTION("""COMPUTED_VALUE"""),28.73)</f>
        <v>28.73</v>
      </c>
      <c r="F149" s="1">
        <f>IFERROR(__xludf.DUMMYFUNCTION("""COMPUTED_VALUE"""),4029400.0)</f>
        <v>4029400</v>
      </c>
    </row>
    <row r="150">
      <c r="A150" s="2">
        <f>IFERROR(__xludf.DUMMYFUNCTION("""COMPUTED_VALUE"""),36741.666666666664)</f>
        <v>36741.66667</v>
      </c>
      <c r="B150" s="1">
        <f>IFERROR(__xludf.DUMMYFUNCTION("""COMPUTED_VALUE"""),28.86)</f>
        <v>28.86</v>
      </c>
      <c r="C150" s="1">
        <f>IFERROR(__xludf.DUMMYFUNCTION("""COMPUTED_VALUE"""),29.17)</f>
        <v>29.17</v>
      </c>
      <c r="D150" s="1">
        <f>IFERROR(__xludf.DUMMYFUNCTION("""COMPUTED_VALUE"""),28.55)</f>
        <v>28.55</v>
      </c>
      <c r="E150" s="1">
        <f>IFERROR(__xludf.DUMMYFUNCTION("""COMPUTED_VALUE"""),28.67)</f>
        <v>28.67</v>
      </c>
      <c r="F150" s="1">
        <f>IFERROR(__xludf.DUMMYFUNCTION("""COMPUTED_VALUE"""),2093500.0)</f>
        <v>2093500</v>
      </c>
    </row>
    <row r="151">
      <c r="A151" s="2">
        <f>IFERROR(__xludf.DUMMYFUNCTION("""COMPUTED_VALUE"""),36742.666666666664)</f>
        <v>36742.66667</v>
      </c>
      <c r="B151" s="1">
        <f>IFERROR(__xludf.DUMMYFUNCTION("""COMPUTED_VALUE"""),28.67)</f>
        <v>28.67</v>
      </c>
      <c r="C151" s="1">
        <f>IFERROR(__xludf.DUMMYFUNCTION("""COMPUTED_VALUE"""),28.67)</f>
        <v>28.67</v>
      </c>
      <c r="D151" s="1">
        <f>IFERROR(__xludf.DUMMYFUNCTION("""COMPUTED_VALUE"""),28.21)</f>
        <v>28.21</v>
      </c>
      <c r="E151" s="1">
        <f>IFERROR(__xludf.DUMMYFUNCTION("""COMPUTED_VALUE"""),28.33)</f>
        <v>28.33</v>
      </c>
      <c r="F151" s="1">
        <f>IFERROR(__xludf.DUMMYFUNCTION("""COMPUTED_VALUE"""),1984500.0)</f>
        <v>1984500</v>
      </c>
    </row>
    <row r="152">
      <c r="A152" s="2">
        <f>IFERROR(__xludf.DUMMYFUNCTION("""COMPUTED_VALUE"""),36745.666666666664)</f>
        <v>36745.66667</v>
      </c>
      <c r="B152" s="1">
        <f>IFERROR(__xludf.DUMMYFUNCTION("""COMPUTED_VALUE"""),28.3)</f>
        <v>28.3</v>
      </c>
      <c r="C152" s="1">
        <f>IFERROR(__xludf.DUMMYFUNCTION("""COMPUTED_VALUE"""),28.49)</f>
        <v>28.49</v>
      </c>
      <c r="D152" s="1">
        <f>IFERROR(__xludf.DUMMYFUNCTION("""COMPUTED_VALUE"""),28.15)</f>
        <v>28.15</v>
      </c>
      <c r="E152" s="1">
        <f>IFERROR(__xludf.DUMMYFUNCTION("""COMPUTED_VALUE"""),28.21)</f>
        <v>28.21</v>
      </c>
      <c r="F152" s="1">
        <f>IFERROR(__xludf.DUMMYFUNCTION("""COMPUTED_VALUE"""),1666400.0)</f>
        <v>1666400</v>
      </c>
    </row>
    <row r="153">
      <c r="A153" s="2">
        <f>IFERROR(__xludf.DUMMYFUNCTION("""COMPUTED_VALUE"""),36746.666666666664)</f>
        <v>36746.66667</v>
      </c>
      <c r="B153" s="1">
        <f>IFERROR(__xludf.DUMMYFUNCTION("""COMPUTED_VALUE"""),28.15)</f>
        <v>28.15</v>
      </c>
      <c r="C153" s="1">
        <f>IFERROR(__xludf.DUMMYFUNCTION("""COMPUTED_VALUE"""),28.15)</f>
        <v>28.15</v>
      </c>
      <c r="D153" s="1">
        <f>IFERROR(__xludf.DUMMYFUNCTION("""COMPUTED_VALUE"""),27.81)</f>
        <v>27.81</v>
      </c>
      <c r="E153" s="1">
        <f>IFERROR(__xludf.DUMMYFUNCTION("""COMPUTED_VALUE"""),27.93)</f>
        <v>27.93</v>
      </c>
      <c r="F153" s="1">
        <f>IFERROR(__xludf.DUMMYFUNCTION("""COMPUTED_VALUE"""),2123100.0)</f>
        <v>2123100</v>
      </c>
    </row>
    <row r="154">
      <c r="A154" s="2">
        <f>IFERROR(__xludf.DUMMYFUNCTION("""COMPUTED_VALUE"""),36747.666666666664)</f>
        <v>36747.66667</v>
      </c>
      <c r="B154" s="1">
        <f>IFERROR(__xludf.DUMMYFUNCTION("""COMPUTED_VALUE"""),27.93)</f>
        <v>27.93</v>
      </c>
      <c r="C154" s="1">
        <f>IFERROR(__xludf.DUMMYFUNCTION("""COMPUTED_VALUE"""),28.02)</f>
        <v>28.02</v>
      </c>
      <c r="D154" s="1">
        <f>IFERROR(__xludf.DUMMYFUNCTION("""COMPUTED_VALUE"""),27.65)</f>
        <v>27.65</v>
      </c>
      <c r="E154" s="1">
        <f>IFERROR(__xludf.DUMMYFUNCTION("""COMPUTED_VALUE"""),27.81)</f>
        <v>27.81</v>
      </c>
      <c r="F154" s="1">
        <f>IFERROR(__xludf.DUMMYFUNCTION("""COMPUTED_VALUE"""),2871800.0)</f>
        <v>2871800</v>
      </c>
    </row>
    <row r="155">
      <c r="A155" s="2">
        <f>IFERROR(__xludf.DUMMYFUNCTION("""COMPUTED_VALUE"""),36748.666666666664)</f>
        <v>36748.66667</v>
      </c>
      <c r="B155" s="1">
        <f>IFERROR(__xludf.DUMMYFUNCTION("""COMPUTED_VALUE"""),27.93)</f>
        <v>27.93</v>
      </c>
      <c r="C155" s="1">
        <f>IFERROR(__xludf.DUMMYFUNCTION("""COMPUTED_VALUE"""),28.12)</f>
        <v>28.12</v>
      </c>
      <c r="D155" s="1">
        <f>IFERROR(__xludf.DUMMYFUNCTION("""COMPUTED_VALUE"""),27.81)</f>
        <v>27.81</v>
      </c>
      <c r="E155" s="1">
        <f>IFERROR(__xludf.DUMMYFUNCTION("""COMPUTED_VALUE"""),28.06)</f>
        <v>28.06</v>
      </c>
      <c r="F155" s="1">
        <f>IFERROR(__xludf.DUMMYFUNCTION("""COMPUTED_VALUE"""),1461900.0)</f>
        <v>1461900</v>
      </c>
    </row>
    <row r="156">
      <c r="A156" s="2">
        <f>IFERROR(__xludf.DUMMYFUNCTION("""COMPUTED_VALUE"""),36749.666666666664)</f>
        <v>36749.66667</v>
      </c>
      <c r="B156" s="1">
        <f>IFERROR(__xludf.DUMMYFUNCTION("""COMPUTED_VALUE"""),28.09)</f>
        <v>28.09</v>
      </c>
      <c r="C156" s="1">
        <f>IFERROR(__xludf.DUMMYFUNCTION("""COMPUTED_VALUE"""),28.89)</f>
        <v>28.89</v>
      </c>
      <c r="D156" s="1">
        <f>IFERROR(__xludf.DUMMYFUNCTION("""COMPUTED_VALUE"""),27.87)</f>
        <v>27.87</v>
      </c>
      <c r="E156" s="1">
        <f>IFERROR(__xludf.DUMMYFUNCTION("""COMPUTED_VALUE"""),28.77)</f>
        <v>28.77</v>
      </c>
      <c r="F156" s="1">
        <f>IFERROR(__xludf.DUMMYFUNCTION("""COMPUTED_VALUE"""),2269300.0)</f>
        <v>2269300</v>
      </c>
    </row>
    <row r="157">
      <c r="A157" s="2">
        <f>IFERROR(__xludf.DUMMYFUNCTION("""COMPUTED_VALUE"""),36752.666666666664)</f>
        <v>36752.66667</v>
      </c>
      <c r="B157" s="1">
        <f>IFERROR(__xludf.DUMMYFUNCTION("""COMPUTED_VALUE"""),28.8)</f>
        <v>28.8</v>
      </c>
      <c r="C157" s="1">
        <f>IFERROR(__xludf.DUMMYFUNCTION("""COMPUTED_VALUE"""),29.48)</f>
        <v>29.48</v>
      </c>
      <c r="D157" s="1">
        <f>IFERROR(__xludf.DUMMYFUNCTION("""COMPUTED_VALUE"""),28.67)</f>
        <v>28.67</v>
      </c>
      <c r="E157" s="1">
        <f>IFERROR(__xludf.DUMMYFUNCTION("""COMPUTED_VALUE"""),29.35)</f>
        <v>29.35</v>
      </c>
      <c r="F157" s="1">
        <f>IFERROR(__xludf.DUMMYFUNCTION("""COMPUTED_VALUE"""),2516400.0)</f>
        <v>2516400</v>
      </c>
    </row>
    <row r="158">
      <c r="A158" s="2">
        <f>IFERROR(__xludf.DUMMYFUNCTION("""COMPUTED_VALUE"""),36753.666666666664)</f>
        <v>36753.66667</v>
      </c>
      <c r="B158" s="1">
        <f>IFERROR(__xludf.DUMMYFUNCTION("""COMPUTED_VALUE"""),29.51)</f>
        <v>29.51</v>
      </c>
      <c r="C158" s="1">
        <f>IFERROR(__xludf.DUMMYFUNCTION("""COMPUTED_VALUE"""),30.99)</f>
        <v>30.99</v>
      </c>
      <c r="D158" s="1">
        <f>IFERROR(__xludf.DUMMYFUNCTION("""COMPUTED_VALUE"""),29.41)</f>
        <v>29.41</v>
      </c>
      <c r="E158" s="1">
        <f>IFERROR(__xludf.DUMMYFUNCTION("""COMPUTED_VALUE"""),30.65)</f>
        <v>30.65</v>
      </c>
      <c r="F158" s="1">
        <f>IFERROR(__xludf.DUMMYFUNCTION("""COMPUTED_VALUE"""),3502000.0)</f>
        <v>3502000</v>
      </c>
    </row>
    <row r="159">
      <c r="A159" s="2">
        <f>IFERROR(__xludf.DUMMYFUNCTION("""COMPUTED_VALUE"""),36754.666666666664)</f>
        <v>36754.66667</v>
      </c>
      <c r="B159" s="1">
        <f>IFERROR(__xludf.DUMMYFUNCTION("""COMPUTED_VALUE"""),30.37)</f>
        <v>30.37</v>
      </c>
      <c r="C159" s="1">
        <f>IFERROR(__xludf.DUMMYFUNCTION("""COMPUTED_VALUE"""),30.96)</f>
        <v>30.96</v>
      </c>
      <c r="D159" s="1">
        <f>IFERROR(__xludf.DUMMYFUNCTION("""COMPUTED_VALUE"""),30.25)</f>
        <v>30.25</v>
      </c>
      <c r="E159" s="1">
        <f>IFERROR(__xludf.DUMMYFUNCTION("""COMPUTED_VALUE"""),30.86)</f>
        <v>30.86</v>
      </c>
      <c r="F159" s="1">
        <f>IFERROR(__xludf.DUMMYFUNCTION("""COMPUTED_VALUE"""),3106200.0)</f>
        <v>3106200</v>
      </c>
    </row>
    <row r="160">
      <c r="A160" s="2">
        <f>IFERROR(__xludf.DUMMYFUNCTION("""COMPUTED_VALUE"""),36755.666666666664)</f>
        <v>36755.66667</v>
      </c>
      <c r="B160" s="1">
        <f>IFERROR(__xludf.DUMMYFUNCTION("""COMPUTED_VALUE"""),30.86)</f>
        <v>30.86</v>
      </c>
      <c r="C160" s="1">
        <f>IFERROR(__xludf.DUMMYFUNCTION("""COMPUTED_VALUE"""),30.96)</f>
        <v>30.96</v>
      </c>
      <c r="D160" s="1">
        <f>IFERROR(__xludf.DUMMYFUNCTION("""COMPUTED_VALUE"""),30.4)</f>
        <v>30.4</v>
      </c>
      <c r="E160" s="1">
        <f>IFERROR(__xludf.DUMMYFUNCTION("""COMPUTED_VALUE"""),30.68)</f>
        <v>30.68</v>
      </c>
      <c r="F160" s="1">
        <f>IFERROR(__xludf.DUMMYFUNCTION("""COMPUTED_VALUE"""),2849500.0)</f>
        <v>2849500</v>
      </c>
    </row>
    <row r="161">
      <c r="A161" s="2">
        <f>IFERROR(__xludf.DUMMYFUNCTION("""COMPUTED_VALUE"""),36756.666666666664)</f>
        <v>36756.66667</v>
      </c>
      <c r="B161" s="1">
        <f>IFERROR(__xludf.DUMMYFUNCTION("""COMPUTED_VALUE"""),30.74)</f>
        <v>30.74</v>
      </c>
      <c r="C161" s="1">
        <f>IFERROR(__xludf.DUMMYFUNCTION("""COMPUTED_VALUE"""),31.2)</f>
        <v>31.2</v>
      </c>
      <c r="D161" s="1">
        <f>IFERROR(__xludf.DUMMYFUNCTION("""COMPUTED_VALUE"""),30.68)</f>
        <v>30.68</v>
      </c>
      <c r="E161" s="1">
        <f>IFERROR(__xludf.DUMMYFUNCTION("""COMPUTED_VALUE"""),31.11)</f>
        <v>31.11</v>
      </c>
      <c r="F161" s="1">
        <f>IFERROR(__xludf.DUMMYFUNCTION("""COMPUTED_VALUE"""),3218600.0)</f>
        <v>3218600</v>
      </c>
    </row>
    <row r="162">
      <c r="A162" s="2">
        <f>IFERROR(__xludf.DUMMYFUNCTION("""COMPUTED_VALUE"""),36759.666666666664)</f>
        <v>36759.66667</v>
      </c>
      <c r="B162" s="1">
        <f>IFERROR(__xludf.DUMMYFUNCTION("""COMPUTED_VALUE"""),31.2)</f>
        <v>31.2</v>
      </c>
      <c r="C162" s="1">
        <f>IFERROR(__xludf.DUMMYFUNCTION("""COMPUTED_VALUE"""),31.33)</f>
        <v>31.33</v>
      </c>
      <c r="D162" s="1">
        <f>IFERROR(__xludf.DUMMYFUNCTION("""COMPUTED_VALUE"""),31.14)</f>
        <v>31.14</v>
      </c>
      <c r="E162" s="1">
        <f>IFERROR(__xludf.DUMMYFUNCTION("""COMPUTED_VALUE"""),31.2)</f>
        <v>31.2</v>
      </c>
      <c r="F162" s="1">
        <f>IFERROR(__xludf.DUMMYFUNCTION("""COMPUTED_VALUE"""),1503900.0)</f>
        <v>1503900</v>
      </c>
    </row>
    <row r="163">
      <c r="A163" s="2">
        <f>IFERROR(__xludf.DUMMYFUNCTION("""COMPUTED_VALUE"""),36760.666666666664)</f>
        <v>36760.66667</v>
      </c>
      <c r="B163" s="1">
        <f>IFERROR(__xludf.DUMMYFUNCTION("""COMPUTED_VALUE"""),31.33)</f>
        <v>31.33</v>
      </c>
      <c r="C163" s="1">
        <f>IFERROR(__xludf.DUMMYFUNCTION("""COMPUTED_VALUE"""),31.76)</f>
        <v>31.76</v>
      </c>
      <c r="D163" s="1">
        <f>IFERROR(__xludf.DUMMYFUNCTION("""COMPUTED_VALUE"""),31.3)</f>
        <v>31.3</v>
      </c>
      <c r="E163" s="1">
        <f>IFERROR(__xludf.DUMMYFUNCTION("""COMPUTED_VALUE"""),31.64)</f>
        <v>31.64</v>
      </c>
      <c r="F163" s="1">
        <f>IFERROR(__xludf.DUMMYFUNCTION("""COMPUTED_VALUE"""),2433100.0)</f>
        <v>2433100</v>
      </c>
    </row>
    <row r="164">
      <c r="A164" s="2">
        <f>IFERROR(__xludf.DUMMYFUNCTION("""COMPUTED_VALUE"""),36761.666666666664)</f>
        <v>36761.66667</v>
      </c>
      <c r="B164" s="1">
        <f>IFERROR(__xludf.DUMMYFUNCTION("""COMPUTED_VALUE"""),31.64)</f>
        <v>31.64</v>
      </c>
      <c r="C164" s="1">
        <f>IFERROR(__xludf.DUMMYFUNCTION("""COMPUTED_VALUE"""),31.85)</f>
        <v>31.85</v>
      </c>
      <c r="D164" s="1">
        <f>IFERROR(__xludf.DUMMYFUNCTION("""COMPUTED_VALUE"""),31.54)</f>
        <v>31.54</v>
      </c>
      <c r="E164" s="1">
        <f>IFERROR(__xludf.DUMMYFUNCTION("""COMPUTED_VALUE"""),31.76)</f>
        <v>31.76</v>
      </c>
      <c r="F164" s="1">
        <f>IFERROR(__xludf.DUMMYFUNCTION("""COMPUTED_VALUE"""),1589600.0)</f>
        <v>1589600</v>
      </c>
    </row>
    <row r="165">
      <c r="A165" s="2">
        <f>IFERROR(__xludf.DUMMYFUNCTION("""COMPUTED_VALUE"""),36762.666666666664)</f>
        <v>36762.66667</v>
      </c>
      <c r="B165" s="1">
        <f>IFERROR(__xludf.DUMMYFUNCTION("""COMPUTED_VALUE"""),31.73)</f>
        <v>31.73</v>
      </c>
      <c r="C165" s="1">
        <f>IFERROR(__xludf.DUMMYFUNCTION("""COMPUTED_VALUE"""),31.73)</f>
        <v>31.73</v>
      </c>
      <c r="D165" s="1">
        <f>IFERROR(__xludf.DUMMYFUNCTION("""COMPUTED_VALUE"""),30.68)</f>
        <v>30.68</v>
      </c>
      <c r="E165" s="1">
        <f>IFERROR(__xludf.DUMMYFUNCTION("""COMPUTED_VALUE"""),31.08)</f>
        <v>31.08</v>
      </c>
      <c r="F165" s="1">
        <f>IFERROR(__xludf.DUMMYFUNCTION("""COMPUTED_VALUE"""),3755000.0)</f>
        <v>3755000</v>
      </c>
    </row>
    <row r="166">
      <c r="A166" s="2">
        <f>IFERROR(__xludf.DUMMYFUNCTION("""COMPUTED_VALUE"""),36763.666666666664)</f>
        <v>36763.66667</v>
      </c>
      <c r="B166" s="1">
        <f>IFERROR(__xludf.DUMMYFUNCTION("""COMPUTED_VALUE"""),30.68)</f>
        <v>30.68</v>
      </c>
      <c r="C166" s="1">
        <f>IFERROR(__xludf.DUMMYFUNCTION("""COMPUTED_VALUE"""),30.99)</f>
        <v>30.99</v>
      </c>
      <c r="D166" s="1">
        <f>IFERROR(__xludf.DUMMYFUNCTION("""COMPUTED_VALUE"""),30.31)</f>
        <v>30.31</v>
      </c>
      <c r="E166" s="1">
        <f>IFERROR(__xludf.DUMMYFUNCTION("""COMPUTED_VALUE"""),30.99)</f>
        <v>30.99</v>
      </c>
      <c r="F166" s="1">
        <f>IFERROR(__xludf.DUMMYFUNCTION("""COMPUTED_VALUE"""),2707600.0)</f>
        <v>2707600</v>
      </c>
    </row>
    <row r="167">
      <c r="A167" s="2">
        <f>IFERROR(__xludf.DUMMYFUNCTION("""COMPUTED_VALUE"""),36766.666666666664)</f>
        <v>36766.66667</v>
      </c>
      <c r="B167" s="1">
        <f>IFERROR(__xludf.DUMMYFUNCTION("""COMPUTED_VALUE"""),30.99)</f>
        <v>30.99</v>
      </c>
      <c r="C167" s="1">
        <f>IFERROR(__xludf.DUMMYFUNCTION("""COMPUTED_VALUE"""),31.23)</f>
        <v>31.23</v>
      </c>
      <c r="D167" s="1">
        <f>IFERROR(__xludf.DUMMYFUNCTION("""COMPUTED_VALUE"""),30.77)</f>
        <v>30.77</v>
      </c>
      <c r="E167" s="1">
        <f>IFERROR(__xludf.DUMMYFUNCTION("""COMPUTED_VALUE"""),30.99)</f>
        <v>30.99</v>
      </c>
      <c r="F167" s="1">
        <f>IFERROR(__xludf.DUMMYFUNCTION("""COMPUTED_VALUE"""),1689900.0)</f>
        <v>1689900</v>
      </c>
    </row>
    <row r="168">
      <c r="A168" s="2">
        <f>IFERROR(__xludf.DUMMYFUNCTION("""COMPUTED_VALUE"""),36767.666666666664)</f>
        <v>36767.66667</v>
      </c>
      <c r="B168" s="1">
        <f>IFERROR(__xludf.DUMMYFUNCTION("""COMPUTED_VALUE"""),31.11)</f>
        <v>31.11</v>
      </c>
      <c r="C168" s="1">
        <f>IFERROR(__xludf.DUMMYFUNCTION("""COMPUTED_VALUE"""),31.11)</f>
        <v>31.11</v>
      </c>
      <c r="D168" s="1">
        <f>IFERROR(__xludf.DUMMYFUNCTION("""COMPUTED_VALUE"""),30.71)</f>
        <v>30.71</v>
      </c>
      <c r="E168" s="1">
        <f>IFERROR(__xludf.DUMMYFUNCTION("""COMPUTED_VALUE"""),30.74)</f>
        <v>30.74</v>
      </c>
      <c r="F168" s="1">
        <f>IFERROR(__xludf.DUMMYFUNCTION("""COMPUTED_VALUE"""),1440200.0)</f>
        <v>1440200</v>
      </c>
    </row>
    <row r="169">
      <c r="A169" s="2">
        <f>IFERROR(__xludf.DUMMYFUNCTION("""COMPUTED_VALUE"""),36768.666666666664)</f>
        <v>36768.66667</v>
      </c>
      <c r="B169" s="1">
        <f>IFERROR(__xludf.DUMMYFUNCTION("""COMPUTED_VALUE"""),30.65)</f>
        <v>30.65</v>
      </c>
      <c r="C169" s="1">
        <f>IFERROR(__xludf.DUMMYFUNCTION("""COMPUTED_VALUE"""),30.77)</f>
        <v>30.77</v>
      </c>
      <c r="D169" s="1">
        <f>IFERROR(__xludf.DUMMYFUNCTION("""COMPUTED_VALUE"""),30.4)</f>
        <v>30.4</v>
      </c>
      <c r="E169" s="1">
        <f>IFERROR(__xludf.DUMMYFUNCTION("""COMPUTED_VALUE"""),30.62)</f>
        <v>30.62</v>
      </c>
      <c r="F169" s="1">
        <f>IFERROR(__xludf.DUMMYFUNCTION("""COMPUTED_VALUE"""),1551600.0)</f>
        <v>1551600</v>
      </c>
    </row>
    <row r="170">
      <c r="A170" s="2">
        <f>IFERROR(__xludf.DUMMYFUNCTION("""COMPUTED_VALUE"""),36769.666666666664)</f>
        <v>36769.66667</v>
      </c>
      <c r="B170" s="1">
        <f>IFERROR(__xludf.DUMMYFUNCTION("""COMPUTED_VALUE"""),30.56)</f>
        <v>30.56</v>
      </c>
      <c r="C170" s="1">
        <f>IFERROR(__xludf.DUMMYFUNCTION("""COMPUTED_VALUE"""),30.74)</f>
        <v>30.74</v>
      </c>
      <c r="D170" s="1">
        <f>IFERROR(__xludf.DUMMYFUNCTION("""COMPUTED_VALUE"""),30.31)</f>
        <v>30.31</v>
      </c>
      <c r="E170" s="1">
        <f>IFERROR(__xludf.DUMMYFUNCTION("""COMPUTED_VALUE"""),30.52)</f>
        <v>30.52</v>
      </c>
      <c r="F170" s="1">
        <f>IFERROR(__xludf.DUMMYFUNCTION("""COMPUTED_VALUE"""),2108200.0)</f>
        <v>2108200</v>
      </c>
    </row>
    <row r="171">
      <c r="A171" s="2">
        <f>IFERROR(__xludf.DUMMYFUNCTION("""COMPUTED_VALUE"""),36770.666666666664)</f>
        <v>36770.66667</v>
      </c>
      <c r="B171" s="1">
        <f>IFERROR(__xludf.DUMMYFUNCTION("""COMPUTED_VALUE"""),30.43)</f>
        <v>30.43</v>
      </c>
      <c r="C171" s="1">
        <f>IFERROR(__xludf.DUMMYFUNCTION("""COMPUTED_VALUE"""),30.46)</f>
        <v>30.46</v>
      </c>
      <c r="D171" s="1">
        <f>IFERROR(__xludf.DUMMYFUNCTION("""COMPUTED_VALUE"""),30.15)</f>
        <v>30.15</v>
      </c>
      <c r="E171" s="1">
        <f>IFERROR(__xludf.DUMMYFUNCTION("""COMPUTED_VALUE"""),30.31)</f>
        <v>30.31</v>
      </c>
      <c r="F171" s="1">
        <f>IFERROR(__xludf.DUMMYFUNCTION("""COMPUTED_VALUE"""),1666800.0)</f>
        <v>1666800</v>
      </c>
    </row>
    <row r="172">
      <c r="A172" s="2">
        <f>IFERROR(__xludf.DUMMYFUNCTION("""COMPUTED_VALUE"""),36774.666666666664)</f>
        <v>36774.66667</v>
      </c>
      <c r="B172" s="1">
        <f>IFERROR(__xludf.DUMMYFUNCTION("""COMPUTED_VALUE"""),30.34)</f>
        <v>30.34</v>
      </c>
      <c r="C172" s="1">
        <f>IFERROR(__xludf.DUMMYFUNCTION("""COMPUTED_VALUE"""),30.96)</f>
        <v>30.96</v>
      </c>
      <c r="D172" s="1">
        <f>IFERROR(__xludf.DUMMYFUNCTION("""COMPUTED_VALUE"""),30.19)</f>
        <v>30.19</v>
      </c>
      <c r="E172" s="1">
        <f>IFERROR(__xludf.DUMMYFUNCTION("""COMPUTED_VALUE"""),30.86)</f>
        <v>30.86</v>
      </c>
      <c r="F172" s="1">
        <f>IFERROR(__xludf.DUMMYFUNCTION("""COMPUTED_VALUE"""),2016300.0)</f>
        <v>2016300</v>
      </c>
    </row>
    <row r="173">
      <c r="A173" s="2">
        <f>IFERROR(__xludf.DUMMYFUNCTION("""COMPUTED_VALUE"""),36775.666666666664)</f>
        <v>36775.66667</v>
      </c>
      <c r="B173" s="1">
        <f>IFERROR(__xludf.DUMMYFUNCTION("""COMPUTED_VALUE"""),30.99)</f>
        <v>30.99</v>
      </c>
      <c r="C173" s="1">
        <f>IFERROR(__xludf.DUMMYFUNCTION("""COMPUTED_VALUE"""),31.79)</f>
        <v>31.79</v>
      </c>
      <c r="D173" s="1">
        <f>IFERROR(__xludf.DUMMYFUNCTION("""COMPUTED_VALUE"""),30.89)</f>
        <v>30.89</v>
      </c>
      <c r="E173" s="1">
        <f>IFERROR(__xludf.DUMMYFUNCTION("""COMPUTED_VALUE"""),31.33)</f>
        <v>31.33</v>
      </c>
      <c r="F173" s="1">
        <f>IFERROR(__xludf.DUMMYFUNCTION("""COMPUTED_VALUE"""),5175700.0)</f>
        <v>5175700</v>
      </c>
    </row>
    <row r="174">
      <c r="A174" s="2">
        <f>IFERROR(__xludf.DUMMYFUNCTION("""COMPUTED_VALUE"""),36776.666666666664)</f>
        <v>36776.66667</v>
      </c>
      <c r="B174" s="1">
        <f>IFERROR(__xludf.DUMMYFUNCTION("""COMPUTED_VALUE"""),31.45)</f>
        <v>31.45</v>
      </c>
      <c r="C174" s="1">
        <f>IFERROR(__xludf.DUMMYFUNCTION("""COMPUTED_VALUE"""),31.51)</f>
        <v>31.51</v>
      </c>
      <c r="D174" s="1">
        <f>IFERROR(__xludf.DUMMYFUNCTION("""COMPUTED_VALUE"""),30.89)</f>
        <v>30.89</v>
      </c>
      <c r="E174" s="1">
        <f>IFERROR(__xludf.DUMMYFUNCTION("""COMPUTED_VALUE"""),30.93)</f>
        <v>30.93</v>
      </c>
      <c r="F174" s="1">
        <f>IFERROR(__xludf.DUMMYFUNCTION("""COMPUTED_VALUE"""),2619800.0)</f>
        <v>2619800</v>
      </c>
    </row>
    <row r="175">
      <c r="A175" s="2">
        <f>IFERROR(__xludf.DUMMYFUNCTION("""COMPUTED_VALUE"""),36777.666666666664)</f>
        <v>36777.66667</v>
      </c>
      <c r="B175" s="1">
        <f>IFERROR(__xludf.DUMMYFUNCTION("""COMPUTED_VALUE"""),30.99)</f>
        <v>30.99</v>
      </c>
      <c r="C175" s="1">
        <f>IFERROR(__xludf.DUMMYFUNCTION("""COMPUTED_VALUE"""),31.36)</f>
        <v>31.36</v>
      </c>
      <c r="D175" s="1">
        <f>IFERROR(__xludf.DUMMYFUNCTION("""COMPUTED_VALUE"""),30.93)</f>
        <v>30.93</v>
      </c>
      <c r="E175" s="1">
        <f>IFERROR(__xludf.DUMMYFUNCTION("""COMPUTED_VALUE"""),31.33)</f>
        <v>31.33</v>
      </c>
      <c r="F175" s="1">
        <f>IFERROR(__xludf.DUMMYFUNCTION("""COMPUTED_VALUE"""),2962300.0)</f>
        <v>2962300</v>
      </c>
    </row>
    <row r="176">
      <c r="A176" s="2">
        <f>IFERROR(__xludf.DUMMYFUNCTION("""COMPUTED_VALUE"""),36780.666666666664)</f>
        <v>36780.66667</v>
      </c>
      <c r="B176" s="1">
        <f>IFERROR(__xludf.DUMMYFUNCTION("""COMPUTED_VALUE"""),31.27)</f>
        <v>31.27</v>
      </c>
      <c r="C176" s="1">
        <f>IFERROR(__xludf.DUMMYFUNCTION("""COMPUTED_VALUE"""),31.48)</f>
        <v>31.48</v>
      </c>
      <c r="D176" s="1">
        <f>IFERROR(__xludf.DUMMYFUNCTION("""COMPUTED_VALUE"""),30.8)</f>
        <v>30.8</v>
      </c>
      <c r="E176" s="1">
        <f>IFERROR(__xludf.DUMMYFUNCTION("""COMPUTED_VALUE"""),30.96)</f>
        <v>30.96</v>
      </c>
      <c r="F176" s="1">
        <f>IFERROR(__xludf.DUMMYFUNCTION("""COMPUTED_VALUE"""),2072000.0)</f>
        <v>2072000</v>
      </c>
    </row>
    <row r="177">
      <c r="A177" s="2">
        <f>IFERROR(__xludf.DUMMYFUNCTION("""COMPUTED_VALUE"""),36781.666666666664)</f>
        <v>36781.66667</v>
      </c>
      <c r="B177" s="1">
        <f>IFERROR(__xludf.DUMMYFUNCTION("""COMPUTED_VALUE"""),30.89)</f>
        <v>30.89</v>
      </c>
      <c r="C177" s="1">
        <f>IFERROR(__xludf.DUMMYFUNCTION("""COMPUTED_VALUE"""),31.27)</f>
        <v>31.27</v>
      </c>
      <c r="D177" s="1">
        <f>IFERROR(__xludf.DUMMYFUNCTION("""COMPUTED_VALUE"""),30.77)</f>
        <v>30.77</v>
      </c>
      <c r="E177" s="1">
        <f>IFERROR(__xludf.DUMMYFUNCTION("""COMPUTED_VALUE"""),31.14)</f>
        <v>31.14</v>
      </c>
      <c r="F177" s="1">
        <f>IFERROR(__xludf.DUMMYFUNCTION("""COMPUTED_VALUE"""),2050800.0)</f>
        <v>2050800</v>
      </c>
    </row>
    <row r="178">
      <c r="A178" s="2">
        <f>IFERROR(__xludf.DUMMYFUNCTION("""COMPUTED_VALUE"""),36782.666666666664)</f>
        <v>36782.66667</v>
      </c>
      <c r="B178" s="1">
        <f>IFERROR(__xludf.DUMMYFUNCTION("""COMPUTED_VALUE"""),31.11)</f>
        <v>31.11</v>
      </c>
      <c r="C178" s="1">
        <f>IFERROR(__xludf.DUMMYFUNCTION("""COMPUTED_VALUE"""),31.11)</f>
        <v>31.11</v>
      </c>
      <c r="D178" s="1">
        <f>IFERROR(__xludf.DUMMYFUNCTION("""COMPUTED_VALUE"""),30.68)</f>
        <v>30.68</v>
      </c>
      <c r="E178" s="1">
        <f>IFERROR(__xludf.DUMMYFUNCTION("""COMPUTED_VALUE"""),30.89)</f>
        <v>30.89</v>
      </c>
      <c r="F178" s="1">
        <f>IFERROR(__xludf.DUMMYFUNCTION("""COMPUTED_VALUE"""),1849500.0)</f>
        <v>1849500</v>
      </c>
    </row>
    <row r="179">
      <c r="A179" s="2">
        <f>IFERROR(__xludf.DUMMYFUNCTION("""COMPUTED_VALUE"""),36783.666666666664)</f>
        <v>36783.66667</v>
      </c>
      <c r="B179" s="1">
        <f>IFERROR(__xludf.DUMMYFUNCTION("""COMPUTED_VALUE"""),30.52)</f>
        <v>30.52</v>
      </c>
      <c r="C179" s="1">
        <f>IFERROR(__xludf.DUMMYFUNCTION("""COMPUTED_VALUE"""),30.74)</f>
        <v>30.74</v>
      </c>
      <c r="D179" s="1">
        <f>IFERROR(__xludf.DUMMYFUNCTION("""COMPUTED_VALUE"""),29.66)</f>
        <v>29.66</v>
      </c>
      <c r="E179" s="1">
        <f>IFERROR(__xludf.DUMMYFUNCTION("""COMPUTED_VALUE"""),30.59)</f>
        <v>30.59</v>
      </c>
      <c r="F179" s="1">
        <f>IFERROR(__xludf.DUMMYFUNCTION("""COMPUTED_VALUE"""),5336300.0)</f>
        <v>5336300</v>
      </c>
    </row>
    <row r="180">
      <c r="A180" s="2">
        <f>IFERROR(__xludf.DUMMYFUNCTION("""COMPUTED_VALUE"""),36784.666666666664)</f>
        <v>36784.66667</v>
      </c>
      <c r="B180" s="1">
        <f>IFERROR(__xludf.DUMMYFUNCTION("""COMPUTED_VALUE"""),30.83)</f>
        <v>30.83</v>
      </c>
      <c r="C180" s="1">
        <f>IFERROR(__xludf.DUMMYFUNCTION("""COMPUTED_VALUE"""),31.14)</f>
        <v>31.14</v>
      </c>
      <c r="D180" s="1">
        <f>IFERROR(__xludf.DUMMYFUNCTION("""COMPUTED_VALUE"""),30.59)</f>
        <v>30.59</v>
      </c>
      <c r="E180" s="1">
        <f>IFERROR(__xludf.DUMMYFUNCTION("""COMPUTED_VALUE"""),30.59)</f>
        <v>30.59</v>
      </c>
      <c r="F180" s="1">
        <f>IFERROR(__xludf.DUMMYFUNCTION("""COMPUTED_VALUE"""),4126100.0)</f>
        <v>4126100</v>
      </c>
    </row>
    <row r="181">
      <c r="A181" s="2">
        <f>IFERROR(__xludf.DUMMYFUNCTION("""COMPUTED_VALUE"""),36787.666666666664)</f>
        <v>36787.66667</v>
      </c>
      <c r="B181" s="1">
        <f>IFERROR(__xludf.DUMMYFUNCTION("""COMPUTED_VALUE"""),30.59)</f>
        <v>30.59</v>
      </c>
      <c r="C181" s="1">
        <f>IFERROR(__xludf.DUMMYFUNCTION("""COMPUTED_VALUE"""),30.86)</f>
        <v>30.86</v>
      </c>
      <c r="D181" s="1">
        <f>IFERROR(__xludf.DUMMYFUNCTION("""COMPUTED_VALUE"""),30.12)</f>
        <v>30.12</v>
      </c>
      <c r="E181" s="1">
        <f>IFERROR(__xludf.DUMMYFUNCTION("""COMPUTED_VALUE"""),30.68)</f>
        <v>30.68</v>
      </c>
      <c r="F181" s="1">
        <f>IFERROR(__xludf.DUMMYFUNCTION("""COMPUTED_VALUE"""),3385700.0)</f>
        <v>3385700</v>
      </c>
    </row>
    <row r="182">
      <c r="A182" s="2">
        <f>IFERROR(__xludf.DUMMYFUNCTION("""COMPUTED_VALUE"""),36788.666666666664)</f>
        <v>36788.66667</v>
      </c>
      <c r="B182" s="1">
        <f>IFERROR(__xludf.DUMMYFUNCTION("""COMPUTED_VALUE"""),30.56)</f>
        <v>30.56</v>
      </c>
      <c r="C182" s="1">
        <f>IFERROR(__xludf.DUMMYFUNCTION("""COMPUTED_VALUE"""),30.83)</f>
        <v>30.83</v>
      </c>
      <c r="D182" s="1">
        <f>IFERROR(__xludf.DUMMYFUNCTION("""COMPUTED_VALUE"""),30.28)</f>
        <v>30.28</v>
      </c>
      <c r="E182" s="1">
        <f>IFERROR(__xludf.DUMMYFUNCTION("""COMPUTED_VALUE"""),30.4)</f>
        <v>30.4</v>
      </c>
      <c r="F182" s="1">
        <f>IFERROR(__xludf.DUMMYFUNCTION("""COMPUTED_VALUE"""),2503200.0)</f>
        <v>2503200</v>
      </c>
    </row>
    <row r="183">
      <c r="A183" s="2">
        <f>IFERROR(__xludf.DUMMYFUNCTION("""COMPUTED_VALUE"""),36789.666666666664)</f>
        <v>36789.66667</v>
      </c>
      <c r="B183" s="1">
        <f>IFERROR(__xludf.DUMMYFUNCTION("""COMPUTED_VALUE"""),30.12)</f>
        <v>30.12</v>
      </c>
      <c r="C183" s="1">
        <f>IFERROR(__xludf.DUMMYFUNCTION("""COMPUTED_VALUE"""),30.52)</f>
        <v>30.52</v>
      </c>
      <c r="D183" s="1">
        <f>IFERROR(__xludf.DUMMYFUNCTION("""COMPUTED_VALUE"""),29.88)</f>
        <v>29.88</v>
      </c>
      <c r="E183" s="1">
        <f>IFERROR(__xludf.DUMMYFUNCTION("""COMPUTED_VALUE"""),30.52)</f>
        <v>30.52</v>
      </c>
      <c r="F183" s="1">
        <f>IFERROR(__xludf.DUMMYFUNCTION("""COMPUTED_VALUE"""),3354400.0)</f>
        <v>3354400</v>
      </c>
    </row>
    <row r="184">
      <c r="A184" s="2">
        <f>IFERROR(__xludf.DUMMYFUNCTION("""COMPUTED_VALUE"""),36790.666666666664)</f>
        <v>36790.66667</v>
      </c>
      <c r="B184" s="1">
        <f>IFERROR(__xludf.DUMMYFUNCTION("""COMPUTED_VALUE"""),30.4)</f>
        <v>30.4</v>
      </c>
      <c r="C184" s="1">
        <f>IFERROR(__xludf.DUMMYFUNCTION("""COMPUTED_VALUE"""),31.3)</f>
        <v>31.3</v>
      </c>
      <c r="D184" s="1">
        <f>IFERROR(__xludf.DUMMYFUNCTION("""COMPUTED_VALUE"""),30.37)</f>
        <v>30.37</v>
      </c>
      <c r="E184" s="1">
        <f>IFERROR(__xludf.DUMMYFUNCTION("""COMPUTED_VALUE"""),30.96)</f>
        <v>30.96</v>
      </c>
      <c r="F184" s="1">
        <f>IFERROR(__xludf.DUMMYFUNCTION("""COMPUTED_VALUE"""),3059000.0)</f>
        <v>3059000</v>
      </c>
    </row>
    <row r="185">
      <c r="A185" s="2">
        <f>IFERROR(__xludf.DUMMYFUNCTION("""COMPUTED_VALUE"""),36791.666666666664)</f>
        <v>36791.66667</v>
      </c>
      <c r="B185" s="1">
        <f>IFERROR(__xludf.DUMMYFUNCTION("""COMPUTED_VALUE"""),31.23)</f>
        <v>31.23</v>
      </c>
      <c r="C185" s="1">
        <f>IFERROR(__xludf.DUMMYFUNCTION("""COMPUTED_VALUE"""),31.67)</f>
        <v>31.67</v>
      </c>
      <c r="D185" s="1">
        <f>IFERROR(__xludf.DUMMYFUNCTION("""COMPUTED_VALUE"""),31.11)</f>
        <v>31.11</v>
      </c>
      <c r="E185" s="1">
        <f>IFERROR(__xludf.DUMMYFUNCTION("""COMPUTED_VALUE"""),31.54)</f>
        <v>31.54</v>
      </c>
      <c r="F185" s="1">
        <f>IFERROR(__xludf.DUMMYFUNCTION("""COMPUTED_VALUE"""),3747000.0)</f>
        <v>3747000</v>
      </c>
    </row>
    <row r="186">
      <c r="A186" s="2">
        <f>IFERROR(__xludf.DUMMYFUNCTION("""COMPUTED_VALUE"""),36794.666666666664)</f>
        <v>36794.66667</v>
      </c>
      <c r="B186" s="1">
        <f>IFERROR(__xludf.DUMMYFUNCTION("""COMPUTED_VALUE"""),31.64)</f>
        <v>31.64</v>
      </c>
      <c r="C186" s="1">
        <f>IFERROR(__xludf.DUMMYFUNCTION("""COMPUTED_VALUE"""),31.64)</f>
        <v>31.64</v>
      </c>
      <c r="D186" s="1">
        <f>IFERROR(__xludf.DUMMYFUNCTION("""COMPUTED_VALUE"""),30.71)</f>
        <v>30.71</v>
      </c>
      <c r="E186" s="1">
        <f>IFERROR(__xludf.DUMMYFUNCTION("""COMPUTED_VALUE"""),31.27)</f>
        <v>31.27</v>
      </c>
      <c r="F186" s="1">
        <f>IFERROR(__xludf.DUMMYFUNCTION("""COMPUTED_VALUE"""),2989200.0)</f>
        <v>2989200</v>
      </c>
    </row>
    <row r="187">
      <c r="A187" s="2">
        <f>IFERROR(__xludf.DUMMYFUNCTION("""COMPUTED_VALUE"""),36795.666666666664)</f>
        <v>36795.66667</v>
      </c>
      <c r="B187" s="1">
        <f>IFERROR(__xludf.DUMMYFUNCTION("""COMPUTED_VALUE"""),31.29)</f>
        <v>31.29</v>
      </c>
      <c r="C187" s="1">
        <f>IFERROR(__xludf.DUMMYFUNCTION("""COMPUTED_VALUE"""),31.42)</f>
        <v>31.42</v>
      </c>
      <c r="D187" s="1">
        <f>IFERROR(__xludf.DUMMYFUNCTION("""COMPUTED_VALUE"""),29.99)</f>
        <v>29.99</v>
      </c>
      <c r="E187" s="1">
        <f>IFERROR(__xludf.DUMMYFUNCTION("""COMPUTED_VALUE"""),30.64)</f>
        <v>30.64</v>
      </c>
      <c r="F187" s="1">
        <f>IFERROR(__xludf.DUMMYFUNCTION("""COMPUTED_VALUE"""),1642525.0)</f>
        <v>1642525</v>
      </c>
    </row>
    <row r="188">
      <c r="A188" s="2">
        <f>IFERROR(__xludf.DUMMYFUNCTION("""COMPUTED_VALUE"""),36796.666666666664)</f>
        <v>36796.66667</v>
      </c>
      <c r="B188" s="1">
        <f>IFERROR(__xludf.DUMMYFUNCTION("""COMPUTED_VALUE"""),30.43)</f>
        <v>30.43</v>
      </c>
      <c r="C188" s="1">
        <f>IFERROR(__xludf.DUMMYFUNCTION("""COMPUTED_VALUE"""),30.8)</f>
        <v>30.8</v>
      </c>
      <c r="D188" s="1">
        <f>IFERROR(__xludf.DUMMYFUNCTION("""COMPUTED_VALUE"""),29.69)</f>
        <v>29.69</v>
      </c>
      <c r="E188" s="1">
        <f>IFERROR(__xludf.DUMMYFUNCTION("""COMPUTED_VALUE"""),30.56)</f>
        <v>30.56</v>
      </c>
      <c r="F188" s="1">
        <f>IFERROR(__xludf.DUMMYFUNCTION("""COMPUTED_VALUE"""),4070900.0)</f>
        <v>4070900</v>
      </c>
    </row>
    <row r="189">
      <c r="A189" s="2">
        <f>IFERROR(__xludf.DUMMYFUNCTION("""COMPUTED_VALUE"""),36797.666666666664)</f>
        <v>36797.66667</v>
      </c>
      <c r="B189" s="1">
        <f>IFERROR(__xludf.DUMMYFUNCTION("""COMPUTED_VALUE"""),30.37)</f>
        <v>30.37</v>
      </c>
      <c r="C189" s="1">
        <f>IFERROR(__xludf.DUMMYFUNCTION("""COMPUTED_VALUE"""),33.49)</f>
        <v>33.49</v>
      </c>
      <c r="D189" s="1">
        <f>IFERROR(__xludf.DUMMYFUNCTION("""COMPUTED_VALUE"""),30.15)</f>
        <v>30.15</v>
      </c>
      <c r="E189" s="1">
        <f>IFERROR(__xludf.DUMMYFUNCTION("""COMPUTED_VALUE"""),33.06)</f>
        <v>33.06</v>
      </c>
      <c r="F189" s="1">
        <f>IFERROR(__xludf.DUMMYFUNCTION("""COMPUTED_VALUE"""),1.30763E7)</f>
        <v>13076300</v>
      </c>
    </row>
    <row r="190">
      <c r="A190" s="2">
        <f>IFERROR(__xludf.DUMMYFUNCTION("""COMPUTED_VALUE"""),36798.666666666664)</f>
        <v>36798.66667</v>
      </c>
      <c r="B190" s="1">
        <f>IFERROR(__xludf.DUMMYFUNCTION("""COMPUTED_VALUE"""),33.09)</f>
        <v>33.09</v>
      </c>
      <c r="C190" s="1">
        <f>IFERROR(__xludf.DUMMYFUNCTION("""COMPUTED_VALUE"""),33.39)</f>
        <v>33.39</v>
      </c>
      <c r="D190" s="1">
        <f>IFERROR(__xludf.DUMMYFUNCTION("""COMPUTED_VALUE"""),32.81)</f>
        <v>32.81</v>
      </c>
      <c r="E190" s="1">
        <f>IFERROR(__xludf.DUMMYFUNCTION("""COMPUTED_VALUE"""),33.09)</f>
        <v>33.09</v>
      </c>
      <c r="F190" s="1">
        <f>IFERROR(__xludf.DUMMYFUNCTION("""COMPUTED_VALUE"""),4591300.0)</f>
        <v>4591300</v>
      </c>
    </row>
    <row r="191">
      <c r="A191" s="2">
        <f>IFERROR(__xludf.DUMMYFUNCTION("""COMPUTED_VALUE"""),36801.666666666664)</f>
        <v>36801.66667</v>
      </c>
      <c r="B191" s="1">
        <f>IFERROR(__xludf.DUMMYFUNCTION("""COMPUTED_VALUE"""),33.12)</f>
        <v>33.12</v>
      </c>
      <c r="C191" s="1">
        <f>IFERROR(__xludf.DUMMYFUNCTION("""COMPUTED_VALUE"""),33.61)</f>
        <v>33.61</v>
      </c>
      <c r="D191" s="1">
        <f>IFERROR(__xludf.DUMMYFUNCTION("""COMPUTED_VALUE"""),32.87)</f>
        <v>32.87</v>
      </c>
      <c r="E191" s="1">
        <f>IFERROR(__xludf.DUMMYFUNCTION("""COMPUTED_VALUE"""),33.61)</f>
        <v>33.61</v>
      </c>
      <c r="F191" s="1">
        <f>IFERROR(__xludf.DUMMYFUNCTION("""COMPUTED_VALUE"""),3083300.0)</f>
        <v>3083300</v>
      </c>
    </row>
    <row r="192">
      <c r="A192" s="2">
        <f>IFERROR(__xludf.DUMMYFUNCTION("""COMPUTED_VALUE"""),36802.666666666664)</f>
        <v>36802.66667</v>
      </c>
      <c r="B192" s="1">
        <f>IFERROR(__xludf.DUMMYFUNCTION("""COMPUTED_VALUE"""),33.58)</f>
        <v>33.58</v>
      </c>
      <c r="C192" s="1">
        <f>IFERROR(__xludf.DUMMYFUNCTION("""COMPUTED_VALUE"""),34.41)</f>
        <v>34.41</v>
      </c>
      <c r="D192" s="1">
        <f>IFERROR(__xludf.DUMMYFUNCTION("""COMPUTED_VALUE"""),33.49)</f>
        <v>33.49</v>
      </c>
      <c r="E192" s="1">
        <f>IFERROR(__xludf.DUMMYFUNCTION("""COMPUTED_VALUE"""),33.98)</f>
        <v>33.98</v>
      </c>
      <c r="F192" s="1">
        <f>IFERROR(__xludf.DUMMYFUNCTION("""COMPUTED_VALUE"""),3632300.0)</f>
        <v>3632300</v>
      </c>
    </row>
    <row r="193">
      <c r="A193" s="2">
        <f>IFERROR(__xludf.DUMMYFUNCTION("""COMPUTED_VALUE"""),36803.666666666664)</f>
        <v>36803.66667</v>
      </c>
      <c r="B193" s="1">
        <f>IFERROR(__xludf.DUMMYFUNCTION("""COMPUTED_VALUE"""),33.89)</f>
        <v>33.89</v>
      </c>
      <c r="C193" s="1">
        <f>IFERROR(__xludf.DUMMYFUNCTION("""COMPUTED_VALUE"""),34.91)</f>
        <v>34.91</v>
      </c>
      <c r="D193" s="1">
        <f>IFERROR(__xludf.DUMMYFUNCTION("""COMPUTED_VALUE"""),33.86)</f>
        <v>33.86</v>
      </c>
      <c r="E193" s="1">
        <f>IFERROR(__xludf.DUMMYFUNCTION("""COMPUTED_VALUE"""),34.69)</f>
        <v>34.69</v>
      </c>
      <c r="F193" s="1">
        <f>IFERROR(__xludf.DUMMYFUNCTION("""COMPUTED_VALUE"""),4257500.0)</f>
        <v>4257500</v>
      </c>
    </row>
    <row r="194">
      <c r="A194" s="2">
        <f>IFERROR(__xludf.DUMMYFUNCTION("""COMPUTED_VALUE"""),36804.666666666664)</f>
        <v>36804.66667</v>
      </c>
      <c r="B194" s="1">
        <f>IFERROR(__xludf.DUMMYFUNCTION("""COMPUTED_VALUE"""),35.49)</f>
        <v>35.49</v>
      </c>
      <c r="C194" s="1">
        <f>IFERROR(__xludf.DUMMYFUNCTION("""COMPUTED_VALUE"""),36.14)</f>
        <v>36.14</v>
      </c>
      <c r="D194" s="1">
        <f>IFERROR(__xludf.DUMMYFUNCTION("""COMPUTED_VALUE"""),35.34)</f>
        <v>35.34</v>
      </c>
      <c r="E194" s="1">
        <f>IFERROR(__xludf.DUMMYFUNCTION("""COMPUTED_VALUE"""),36.05)</f>
        <v>36.05</v>
      </c>
      <c r="F194" s="1">
        <f>IFERROR(__xludf.DUMMYFUNCTION("""COMPUTED_VALUE"""),5576100.0)</f>
        <v>5576100</v>
      </c>
    </row>
    <row r="195">
      <c r="A195" s="2">
        <f>IFERROR(__xludf.DUMMYFUNCTION("""COMPUTED_VALUE"""),36805.666666666664)</f>
        <v>36805.66667</v>
      </c>
      <c r="B195" s="1">
        <f>IFERROR(__xludf.DUMMYFUNCTION("""COMPUTED_VALUE"""),36.11)</f>
        <v>36.11</v>
      </c>
      <c r="C195" s="1">
        <f>IFERROR(__xludf.DUMMYFUNCTION("""COMPUTED_VALUE"""),36.98)</f>
        <v>36.98</v>
      </c>
      <c r="D195" s="1">
        <f>IFERROR(__xludf.DUMMYFUNCTION("""COMPUTED_VALUE"""),35.96)</f>
        <v>35.96</v>
      </c>
      <c r="E195" s="1">
        <f>IFERROR(__xludf.DUMMYFUNCTION("""COMPUTED_VALUE"""),36.51)</f>
        <v>36.51</v>
      </c>
      <c r="F195" s="1">
        <f>IFERROR(__xludf.DUMMYFUNCTION("""COMPUTED_VALUE"""),3963900.0)</f>
        <v>3963900</v>
      </c>
    </row>
    <row r="196">
      <c r="A196" s="2">
        <f>IFERROR(__xludf.DUMMYFUNCTION("""COMPUTED_VALUE"""),36808.666666666664)</f>
        <v>36808.66667</v>
      </c>
      <c r="B196" s="1">
        <f>IFERROR(__xludf.DUMMYFUNCTION("""COMPUTED_VALUE"""),36.05)</f>
        <v>36.05</v>
      </c>
      <c r="C196" s="1">
        <f>IFERROR(__xludf.DUMMYFUNCTION("""COMPUTED_VALUE"""),36.33)</f>
        <v>36.33</v>
      </c>
      <c r="D196" s="1">
        <f>IFERROR(__xludf.DUMMYFUNCTION("""COMPUTED_VALUE"""),35.77)</f>
        <v>35.77</v>
      </c>
      <c r="E196" s="1">
        <f>IFERROR(__xludf.DUMMYFUNCTION("""COMPUTED_VALUE"""),35.99)</f>
        <v>35.99</v>
      </c>
      <c r="F196" s="1">
        <f>IFERROR(__xludf.DUMMYFUNCTION("""COMPUTED_VALUE"""),2005500.0)</f>
        <v>2005500</v>
      </c>
    </row>
    <row r="197">
      <c r="A197" s="2">
        <f>IFERROR(__xludf.DUMMYFUNCTION("""COMPUTED_VALUE"""),36809.666666666664)</f>
        <v>36809.66667</v>
      </c>
      <c r="B197" s="1">
        <f>IFERROR(__xludf.DUMMYFUNCTION("""COMPUTED_VALUE"""),35.8)</f>
        <v>35.8</v>
      </c>
      <c r="C197" s="1">
        <f>IFERROR(__xludf.DUMMYFUNCTION("""COMPUTED_VALUE"""),36.05)</f>
        <v>36.05</v>
      </c>
      <c r="D197" s="1">
        <f>IFERROR(__xludf.DUMMYFUNCTION("""COMPUTED_VALUE"""),35.59)</f>
        <v>35.59</v>
      </c>
      <c r="E197" s="1">
        <f>IFERROR(__xludf.DUMMYFUNCTION("""COMPUTED_VALUE"""),35.89)</f>
        <v>35.89</v>
      </c>
      <c r="F197" s="1">
        <f>IFERROR(__xludf.DUMMYFUNCTION("""COMPUTED_VALUE"""),2060400.0)</f>
        <v>2060400</v>
      </c>
    </row>
    <row r="198">
      <c r="A198" s="2">
        <f>IFERROR(__xludf.DUMMYFUNCTION("""COMPUTED_VALUE"""),36810.666666666664)</f>
        <v>36810.66667</v>
      </c>
      <c r="B198" s="1">
        <f>IFERROR(__xludf.DUMMYFUNCTION("""COMPUTED_VALUE"""),35.68)</f>
        <v>35.68</v>
      </c>
      <c r="C198" s="1">
        <f>IFERROR(__xludf.DUMMYFUNCTION("""COMPUTED_VALUE"""),36.54)</f>
        <v>36.54</v>
      </c>
      <c r="D198" s="1">
        <f>IFERROR(__xludf.DUMMYFUNCTION("""COMPUTED_VALUE"""),35.65)</f>
        <v>35.65</v>
      </c>
      <c r="E198" s="1">
        <f>IFERROR(__xludf.DUMMYFUNCTION("""COMPUTED_VALUE"""),36.2)</f>
        <v>36.2</v>
      </c>
      <c r="F198" s="1">
        <f>IFERROR(__xludf.DUMMYFUNCTION("""COMPUTED_VALUE"""),3038200.0)</f>
        <v>3038200</v>
      </c>
    </row>
    <row r="199">
      <c r="A199" s="2">
        <f>IFERROR(__xludf.DUMMYFUNCTION("""COMPUTED_VALUE"""),36811.666666666664)</f>
        <v>36811.66667</v>
      </c>
      <c r="B199" s="1">
        <f>IFERROR(__xludf.DUMMYFUNCTION("""COMPUTED_VALUE"""),36.17)</f>
        <v>36.17</v>
      </c>
      <c r="C199" s="1">
        <f>IFERROR(__xludf.DUMMYFUNCTION("""COMPUTED_VALUE"""),36.76)</f>
        <v>36.76</v>
      </c>
      <c r="D199" s="1">
        <f>IFERROR(__xludf.DUMMYFUNCTION("""COMPUTED_VALUE"""),35.77)</f>
        <v>35.77</v>
      </c>
      <c r="E199" s="1">
        <f>IFERROR(__xludf.DUMMYFUNCTION("""COMPUTED_VALUE"""),36.6)</f>
        <v>36.6</v>
      </c>
      <c r="F199" s="1">
        <f>IFERROR(__xludf.DUMMYFUNCTION("""COMPUTED_VALUE"""),3213800.0)</f>
        <v>3213800</v>
      </c>
    </row>
    <row r="200">
      <c r="A200" s="2">
        <f>IFERROR(__xludf.DUMMYFUNCTION("""COMPUTED_VALUE"""),36812.666666666664)</f>
        <v>36812.66667</v>
      </c>
      <c r="B200" s="1">
        <f>IFERROR(__xludf.DUMMYFUNCTION("""COMPUTED_VALUE"""),35.93)</f>
        <v>35.93</v>
      </c>
      <c r="C200" s="1">
        <f>IFERROR(__xludf.DUMMYFUNCTION("""COMPUTED_VALUE"""),36.27)</f>
        <v>36.27</v>
      </c>
      <c r="D200" s="1">
        <f>IFERROR(__xludf.DUMMYFUNCTION("""COMPUTED_VALUE"""),35.62)</f>
        <v>35.62</v>
      </c>
      <c r="E200" s="1">
        <f>IFERROR(__xludf.DUMMYFUNCTION("""COMPUTED_VALUE"""),35.86)</f>
        <v>35.86</v>
      </c>
      <c r="F200" s="1">
        <f>IFERROR(__xludf.DUMMYFUNCTION("""COMPUTED_VALUE"""),3487800.0)</f>
        <v>3487800</v>
      </c>
    </row>
    <row r="201">
      <c r="A201" s="2">
        <f>IFERROR(__xludf.DUMMYFUNCTION("""COMPUTED_VALUE"""),36815.666666666664)</f>
        <v>36815.66667</v>
      </c>
      <c r="B201" s="1">
        <f>IFERROR(__xludf.DUMMYFUNCTION("""COMPUTED_VALUE"""),35.74)</f>
        <v>35.74</v>
      </c>
      <c r="C201" s="1">
        <f>IFERROR(__xludf.DUMMYFUNCTION("""COMPUTED_VALUE"""),35.74)</f>
        <v>35.74</v>
      </c>
      <c r="D201" s="1">
        <f>IFERROR(__xludf.DUMMYFUNCTION("""COMPUTED_VALUE"""),35.09)</f>
        <v>35.09</v>
      </c>
      <c r="E201" s="1">
        <f>IFERROR(__xludf.DUMMYFUNCTION("""COMPUTED_VALUE"""),35.52)</f>
        <v>35.52</v>
      </c>
      <c r="F201" s="1">
        <f>IFERROR(__xludf.DUMMYFUNCTION("""COMPUTED_VALUE"""),2295400.0)</f>
        <v>2295400</v>
      </c>
    </row>
    <row r="202">
      <c r="A202" s="2">
        <f>IFERROR(__xludf.DUMMYFUNCTION("""COMPUTED_VALUE"""),36816.666666666664)</f>
        <v>36816.66667</v>
      </c>
      <c r="B202" s="1">
        <f>IFERROR(__xludf.DUMMYFUNCTION("""COMPUTED_VALUE"""),35.31)</f>
        <v>35.31</v>
      </c>
      <c r="C202" s="1">
        <f>IFERROR(__xludf.DUMMYFUNCTION("""COMPUTED_VALUE"""),36.54)</f>
        <v>36.54</v>
      </c>
      <c r="D202" s="1">
        <f>IFERROR(__xludf.DUMMYFUNCTION("""COMPUTED_VALUE"""),35.15)</f>
        <v>35.15</v>
      </c>
      <c r="E202" s="1">
        <f>IFERROR(__xludf.DUMMYFUNCTION("""COMPUTED_VALUE"""),36.2)</f>
        <v>36.2</v>
      </c>
      <c r="F202" s="1">
        <f>IFERROR(__xludf.DUMMYFUNCTION("""COMPUTED_VALUE"""),2603400.0)</f>
        <v>2603400</v>
      </c>
    </row>
    <row r="203">
      <c r="A203" s="2">
        <f>IFERROR(__xludf.DUMMYFUNCTION("""COMPUTED_VALUE"""),36817.666666666664)</f>
        <v>36817.66667</v>
      </c>
      <c r="B203" s="1">
        <f>IFERROR(__xludf.DUMMYFUNCTION("""COMPUTED_VALUE"""),35.89)</f>
        <v>35.89</v>
      </c>
      <c r="C203" s="1">
        <f>IFERROR(__xludf.DUMMYFUNCTION("""COMPUTED_VALUE"""),37.01)</f>
        <v>37.01</v>
      </c>
      <c r="D203" s="1">
        <f>IFERROR(__xludf.DUMMYFUNCTION("""COMPUTED_VALUE"""),35.71)</f>
        <v>35.71</v>
      </c>
      <c r="E203" s="1">
        <f>IFERROR(__xludf.DUMMYFUNCTION("""COMPUTED_VALUE"""),36.88)</f>
        <v>36.88</v>
      </c>
      <c r="F203" s="1">
        <f>IFERROR(__xludf.DUMMYFUNCTION("""COMPUTED_VALUE"""),3240500.0)</f>
        <v>3240500</v>
      </c>
    </row>
    <row r="204">
      <c r="A204" s="2">
        <f>IFERROR(__xludf.DUMMYFUNCTION("""COMPUTED_VALUE"""),36818.666666666664)</f>
        <v>36818.66667</v>
      </c>
      <c r="B204" s="1">
        <f>IFERROR(__xludf.DUMMYFUNCTION("""COMPUTED_VALUE"""),36.6)</f>
        <v>36.6</v>
      </c>
      <c r="C204" s="1">
        <f>IFERROR(__xludf.DUMMYFUNCTION("""COMPUTED_VALUE"""),36.67)</f>
        <v>36.67</v>
      </c>
      <c r="D204" s="1">
        <f>IFERROR(__xludf.DUMMYFUNCTION("""COMPUTED_VALUE"""),35.77)</f>
        <v>35.77</v>
      </c>
      <c r="E204" s="1">
        <f>IFERROR(__xludf.DUMMYFUNCTION("""COMPUTED_VALUE"""),36.05)</f>
        <v>36.05</v>
      </c>
      <c r="F204" s="1">
        <f>IFERROR(__xludf.DUMMYFUNCTION("""COMPUTED_VALUE"""),3404400.0)</f>
        <v>3404400</v>
      </c>
    </row>
    <row r="205">
      <c r="A205" s="2">
        <f>IFERROR(__xludf.DUMMYFUNCTION("""COMPUTED_VALUE"""),36819.666666666664)</f>
        <v>36819.66667</v>
      </c>
      <c r="B205" s="1">
        <f>IFERROR(__xludf.DUMMYFUNCTION("""COMPUTED_VALUE"""),35.65)</f>
        <v>35.65</v>
      </c>
      <c r="C205" s="1">
        <f>IFERROR(__xludf.DUMMYFUNCTION("""COMPUTED_VALUE"""),36.2)</f>
        <v>36.2</v>
      </c>
      <c r="D205" s="1">
        <f>IFERROR(__xludf.DUMMYFUNCTION("""COMPUTED_VALUE"""),35.65)</f>
        <v>35.65</v>
      </c>
      <c r="E205" s="1">
        <f>IFERROR(__xludf.DUMMYFUNCTION("""COMPUTED_VALUE"""),35.99)</f>
        <v>35.99</v>
      </c>
      <c r="F205" s="1">
        <f>IFERROR(__xludf.DUMMYFUNCTION("""COMPUTED_VALUE"""),2330400.0)</f>
        <v>2330400</v>
      </c>
    </row>
    <row r="206">
      <c r="A206" s="2">
        <f>IFERROR(__xludf.DUMMYFUNCTION("""COMPUTED_VALUE"""),36822.666666666664)</f>
        <v>36822.66667</v>
      </c>
      <c r="B206" s="1">
        <f>IFERROR(__xludf.DUMMYFUNCTION("""COMPUTED_VALUE"""),35.89)</f>
        <v>35.89</v>
      </c>
      <c r="C206" s="1">
        <f>IFERROR(__xludf.DUMMYFUNCTION("""COMPUTED_VALUE"""),35.89)</f>
        <v>35.89</v>
      </c>
      <c r="D206" s="1">
        <f>IFERROR(__xludf.DUMMYFUNCTION("""COMPUTED_VALUE"""),34.35)</f>
        <v>34.35</v>
      </c>
      <c r="E206" s="1">
        <f>IFERROR(__xludf.DUMMYFUNCTION("""COMPUTED_VALUE"""),34.35)</f>
        <v>34.35</v>
      </c>
      <c r="F206" s="1">
        <f>IFERROR(__xludf.DUMMYFUNCTION("""COMPUTED_VALUE"""),2587600.0)</f>
        <v>2587600</v>
      </c>
    </row>
    <row r="207">
      <c r="A207" s="2">
        <f>IFERROR(__xludf.DUMMYFUNCTION("""COMPUTED_VALUE"""),36823.666666666664)</f>
        <v>36823.66667</v>
      </c>
      <c r="B207" s="1">
        <f>IFERROR(__xludf.DUMMYFUNCTION("""COMPUTED_VALUE"""),35.06)</f>
        <v>35.06</v>
      </c>
      <c r="C207" s="1">
        <f>IFERROR(__xludf.DUMMYFUNCTION("""COMPUTED_VALUE"""),36.39)</f>
        <v>36.39</v>
      </c>
      <c r="D207" s="1">
        <f>IFERROR(__xludf.DUMMYFUNCTION("""COMPUTED_VALUE"""),34.85)</f>
        <v>34.85</v>
      </c>
      <c r="E207" s="1">
        <f>IFERROR(__xludf.DUMMYFUNCTION("""COMPUTED_VALUE"""),36.36)</f>
        <v>36.36</v>
      </c>
      <c r="F207" s="1">
        <f>IFERROR(__xludf.DUMMYFUNCTION("""COMPUTED_VALUE"""),2894100.0)</f>
        <v>2894100</v>
      </c>
    </row>
    <row r="208">
      <c r="A208" s="2">
        <f>IFERROR(__xludf.DUMMYFUNCTION("""COMPUTED_VALUE"""),36824.666666666664)</f>
        <v>36824.66667</v>
      </c>
      <c r="B208" s="1">
        <f>IFERROR(__xludf.DUMMYFUNCTION("""COMPUTED_VALUE"""),36.48)</f>
        <v>36.48</v>
      </c>
      <c r="C208" s="1">
        <f>IFERROR(__xludf.DUMMYFUNCTION("""COMPUTED_VALUE"""),37.41)</f>
        <v>37.41</v>
      </c>
      <c r="D208" s="1">
        <f>IFERROR(__xludf.DUMMYFUNCTION("""COMPUTED_VALUE"""),36.14)</f>
        <v>36.14</v>
      </c>
      <c r="E208" s="1">
        <f>IFERROR(__xludf.DUMMYFUNCTION("""COMPUTED_VALUE"""),37.1)</f>
        <v>37.1</v>
      </c>
      <c r="F208" s="1">
        <f>IFERROR(__xludf.DUMMYFUNCTION("""COMPUTED_VALUE"""),3862800.0)</f>
        <v>3862800</v>
      </c>
    </row>
    <row r="209">
      <c r="A209" s="2">
        <f>IFERROR(__xludf.DUMMYFUNCTION("""COMPUTED_VALUE"""),36825.666666666664)</f>
        <v>36825.66667</v>
      </c>
      <c r="B209" s="1">
        <f>IFERROR(__xludf.DUMMYFUNCTION("""COMPUTED_VALUE"""),37.1)</f>
        <v>37.1</v>
      </c>
      <c r="C209" s="1">
        <f>IFERROR(__xludf.DUMMYFUNCTION("""COMPUTED_VALUE"""),37.5)</f>
        <v>37.5</v>
      </c>
      <c r="D209" s="1">
        <f>IFERROR(__xludf.DUMMYFUNCTION("""COMPUTED_VALUE"""),36.33)</f>
        <v>36.33</v>
      </c>
      <c r="E209" s="1">
        <f>IFERROR(__xludf.DUMMYFUNCTION("""COMPUTED_VALUE"""),37.01)</f>
        <v>37.01</v>
      </c>
      <c r="F209" s="1">
        <f>IFERROR(__xludf.DUMMYFUNCTION("""COMPUTED_VALUE"""),2495900.0)</f>
        <v>2495900</v>
      </c>
    </row>
    <row r="210">
      <c r="A210" s="2">
        <f>IFERROR(__xludf.DUMMYFUNCTION("""COMPUTED_VALUE"""),36826.666666666664)</f>
        <v>36826.66667</v>
      </c>
      <c r="B210" s="1">
        <f>IFERROR(__xludf.DUMMYFUNCTION("""COMPUTED_VALUE"""),36.42)</f>
        <v>36.42</v>
      </c>
      <c r="C210" s="1">
        <f>IFERROR(__xludf.DUMMYFUNCTION("""COMPUTED_VALUE"""),37.99)</f>
        <v>37.99</v>
      </c>
      <c r="D210" s="1">
        <f>IFERROR(__xludf.DUMMYFUNCTION("""COMPUTED_VALUE"""),36.3)</f>
        <v>36.3</v>
      </c>
      <c r="E210" s="1">
        <f>IFERROR(__xludf.DUMMYFUNCTION("""COMPUTED_VALUE"""),37.99)</f>
        <v>37.99</v>
      </c>
      <c r="F210" s="1">
        <f>IFERROR(__xludf.DUMMYFUNCTION("""COMPUTED_VALUE"""),3513400.0)</f>
        <v>3513400</v>
      </c>
    </row>
    <row r="211">
      <c r="A211" s="2">
        <f>IFERROR(__xludf.DUMMYFUNCTION("""COMPUTED_VALUE"""),36829.666666666664)</f>
        <v>36829.66667</v>
      </c>
      <c r="B211" s="1">
        <f>IFERROR(__xludf.DUMMYFUNCTION("""COMPUTED_VALUE"""),37.53)</f>
        <v>37.53</v>
      </c>
      <c r="C211" s="1">
        <f>IFERROR(__xludf.DUMMYFUNCTION("""COMPUTED_VALUE"""),37.96)</f>
        <v>37.96</v>
      </c>
      <c r="D211" s="1">
        <f>IFERROR(__xludf.DUMMYFUNCTION("""COMPUTED_VALUE"""),36.7)</f>
        <v>36.7</v>
      </c>
      <c r="E211" s="1">
        <f>IFERROR(__xludf.DUMMYFUNCTION("""COMPUTED_VALUE"""),37.96)</f>
        <v>37.96</v>
      </c>
      <c r="F211" s="1">
        <f>IFERROR(__xludf.DUMMYFUNCTION("""COMPUTED_VALUE"""),5167900.0)</f>
        <v>5167900</v>
      </c>
    </row>
    <row r="212">
      <c r="A212" s="2">
        <f>IFERROR(__xludf.DUMMYFUNCTION("""COMPUTED_VALUE"""),36830.666666666664)</f>
        <v>36830.66667</v>
      </c>
      <c r="B212" s="1">
        <f>IFERROR(__xludf.DUMMYFUNCTION("""COMPUTED_VALUE"""),37.04)</f>
        <v>37.04</v>
      </c>
      <c r="C212" s="1">
        <f>IFERROR(__xludf.DUMMYFUNCTION("""COMPUTED_VALUE"""),37.04)</f>
        <v>37.04</v>
      </c>
      <c r="D212" s="1">
        <f>IFERROR(__xludf.DUMMYFUNCTION("""COMPUTED_VALUE"""),34.48)</f>
        <v>34.48</v>
      </c>
      <c r="E212" s="1">
        <f>IFERROR(__xludf.DUMMYFUNCTION("""COMPUTED_VALUE"""),35.28)</f>
        <v>35.28</v>
      </c>
      <c r="F212" s="1">
        <f>IFERROR(__xludf.DUMMYFUNCTION("""COMPUTED_VALUE"""),1.03651E7)</f>
        <v>10365100</v>
      </c>
    </row>
    <row r="213">
      <c r="A213" s="2">
        <f>IFERROR(__xludf.DUMMYFUNCTION("""COMPUTED_VALUE"""),36831.666666666664)</f>
        <v>36831.66667</v>
      </c>
      <c r="B213" s="1">
        <f>IFERROR(__xludf.DUMMYFUNCTION("""COMPUTED_VALUE"""),35.0)</f>
        <v>35</v>
      </c>
      <c r="C213" s="1">
        <f>IFERROR(__xludf.DUMMYFUNCTION("""COMPUTED_VALUE"""),35.0)</f>
        <v>35</v>
      </c>
      <c r="D213" s="1">
        <f>IFERROR(__xludf.DUMMYFUNCTION("""COMPUTED_VALUE"""),33.73)</f>
        <v>33.73</v>
      </c>
      <c r="E213" s="1">
        <f>IFERROR(__xludf.DUMMYFUNCTION("""COMPUTED_VALUE"""),34.07)</f>
        <v>34.07</v>
      </c>
      <c r="F213" s="1">
        <f>IFERROR(__xludf.DUMMYFUNCTION("""COMPUTED_VALUE"""),5807900.0)</f>
        <v>5807900</v>
      </c>
    </row>
    <row r="214">
      <c r="A214" s="2">
        <f>IFERROR(__xludf.DUMMYFUNCTION("""COMPUTED_VALUE"""),36832.666666666664)</f>
        <v>36832.66667</v>
      </c>
      <c r="B214" s="1">
        <f>IFERROR(__xludf.DUMMYFUNCTION("""COMPUTED_VALUE"""),33.95)</f>
        <v>33.95</v>
      </c>
      <c r="C214" s="1">
        <f>IFERROR(__xludf.DUMMYFUNCTION("""COMPUTED_VALUE"""),34.23)</f>
        <v>34.23</v>
      </c>
      <c r="D214" s="1">
        <f>IFERROR(__xludf.DUMMYFUNCTION("""COMPUTED_VALUE"""),33.24)</f>
        <v>33.24</v>
      </c>
      <c r="E214" s="1">
        <f>IFERROR(__xludf.DUMMYFUNCTION("""COMPUTED_VALUE"""),33.55)</f>
        <v>33.55</v>
      </c>
      <c r="F214" s="1">
        <f>IFERROR(__xludf.DUMMYFUNCTION("""COMPUTED_VALUE"""),3832000.0)</f>
        <v>3832000</v>
      </c>
    </row>
    <row r="215">
      <c r="A215" s="2">
        <f>IFERROR(__xludf.DUMMYFUNCTION("""COMPUTED_VALUE"""),36833.666666666664)</f>
        <v>36833.66667</v>
      </c>
      <c r="B215" s="1">
        <f>IFERROR(__xludf.DUMMYFUNCTION("""COMPUTED_VALUE"""),33.46)</f>
        <v>33.46</v>
      </c>
      <c r="C215" s="1">
        <f>IFERROR(__xludf.DUMMYFUNCTION("""COMPUTED_VALUE"""),33.92)</f>
        <v>33.92</v>
      </c>
      <c r="D215" s="1">
        <f>IFERROR(__xludf.DUMMYFUNCTION("""COMPUTED_VALUE"""),33.15)</f>
        <v>33.15</v>
      </c>
      <c r="E215" s="1">
        <f>IFERROR(__xludf.DUMMYFUNCTION("""COMPUTED_VALUE"""),33.7)</f>
        <v>33.7</v>
      </c>
      <c r="F215" s="1">
        <f>IFERROR(__xludf.DUMMYFUNCTION("""COMPUTED_VALUE"""),2733700.0)</f>
        <v>2733700</v>
      </c>
    </row>
    <row r="216">
      <c r="A216" s="2">
        <f>IFERROR(__xludf.DUMMYFUNCTION("""COMPUTED_VALUE"""),36836.666666666664)</f>
        <v>36836.66667</v>
      </c>
      <c r="B216" s="1">
        <f>IFERROR(__xludf.DUMMYFUNCTION("""COMPUTED_VALUE"""),33.7)</f>
        <v>33.7</v>
      </c>
      <c r="C216" s="1">
        <f>IFERROR(__xludf.DUMMYFUNCTION("""COMPUTED_VALUE"""),34.07)</f>
        <v>34.07</v>
      </c>
      <c r="D216" s="1">
        <f>IFERROR(__xludf.DUMMYFUNCTION("""COMPUTED_VALUE"""),33.49)</f>
        <v>33.49</v>
      </c>
      <c r="E216" s="1">
        <f>IFERROR(__xludf.DUMMYFUNCTION("""COMPUTED_VALUE"""),33.83)</f>
        <v>33.83</v>
      </c>
      <c r="F216" s="1">
        <f>IFERROR(__xludf.DUMMYFUNCTION("""COMPUTED_VALUE"""),2342900.0)</f>
        <v>2342900</v>
      </c>
    </row>
    <row r="217">
      <c r="A217" s="2">
        <f>IFERROR(__xludf.DUMMYFUNCTION("""COMPUTED_VALUE"""),36837.666666666664)</f>
        <v>36837.66667</v>
      </c>
      <c r="B217" s="1">
        <f>IFERROR(__xludf.DUMMYFUNCTION("""COMPUTED_VALUE"""),33.89)</f>
        <v>33.89</v>
      </c>
      <c r="C217" s="1">
        <f>IFERROR(__xludf.DUMMYFUNCTION("""COMPUTED_VALUE"""),34.17)</f>
        <v>34.17</v>
      </c>
      <c r="D217" s="1">
        <f>IFERROR(__xludf.DUMMYFUNCTION("""COMPUTED_VALUE"""),33.33)</f>
        <v>33.33</v>
      </c>
      <c r="E217" s="1">
        <f>IFERROR(__xludf.DUMMYFUNCTION("""COMPUTED_VALUE"""),33.8)</f>
        <v>33.8</v>
      </c>
      <c r="F217" s="1">
        <f>IFERROR(__xludf.DUMMYFUNCTION("""COMPUTED_VALUE"""),1830800.0)</f>
        <v>1830800</v>
      </c>
    </row>
    <row r="218">
      <c r="A218" s="2">
        <f>IFERROR(__xludf.DUMMYFUNCTION("""COMPUTED_VALUE"""),36838.666666666664)</f>
        <v>36838.66667</v>
      </c>
      <c r="B218" s="1">
        <f>IFERROR(__xludf.DUMMYFUNCTION("""COMPUTED_VALUE"""),33.7)</f>
        <v>33.7</v>
      </c>
      <c r="C218" s="1">
        <f>IFERROR(__xludf.DUMMYFUNCTION("""COMPUTED_VALUE"""),34.66)</f>
        <v>34.66</v>
      </c>
      <c r="D218" s="1">
        <f>IFERROR(__xludf.DUMMYFUNCTION("""COMPUTED_VALUE"""),33.67)</f>
        <v>33.67</v>
      </c>
      <c r="E218" s="1">
        <f>IFERROR(__xludf.DUMMYFUNCTION("""COMPUTED_VALUE"""),34.32)</f>
        <v>34.32</v>
      </c>
      <c r="F218" s="1">
        <f>IFERROR(__xludf.DUMMYFUNCTION("""COMPUTED_VALUE"""),2493700.0)</f>
        <v>2493700</v>
      </c>
    </row>
    <row r="219">
      <c r="A219" s="2">
        <f>IFERROR(__xludf.DUMMYFUNCTION("""COMPUTED_VALUE"""),36839.666666666664)</f>
        <v>36839.66667</v>
      </c>
      <c r="B219" s="1">
        <f>IFERROR(__xludf.DUMMYFUNCTION("""COMPUTED_VALUE"""),34.57)</f>
        <v>34.57</v>
      </c>
      <c r="C219" s="1">
        <f>IFERROR(__xludf.DUMMYFUNCTION("""COMPUTED_VALUE"""),35.31)</f>
        <v>35.31</v>
      </c>
      <c r="D219" s="1">
        <f>IFERROR(__xludf.DUMMYFUNCTION("""COMPUTED_VALUE"""),33.58)</f>
        <v>33.58</v>
      </c>
      <c r="E219" s="1">
        <f>IFERROR(__xludf.DUMMYFUNCTION("""COMPUTED_VALUE"""),34.32)</f>
        <v>34.32</v>
      </c>
      <c r="F219" s="1">
        <f>IFERROR(__xludf.DUMMYFUNCTION("""COMPUTED_VALUE"""),5073400.0)</f>
        <v>5073400</v>
      </c>
    </row>
    <row r="220">
      <c r="A220" s="2">
        <f>IFERROR(__xludf.DUMMYFUNCTION("""COMPUTED_VALUE"""),36840.666666666664)</f>
        <v>36840.66667</v>
      </c>
      <c r="B220" s="1">
        <f>IFERROR(__xludf.DUMMYFUNCTION("""COMPUTED_VALUE"""),34.63)</f>
        <v>34.63</v>
      </c>
      <c r="C220" s="1">
        <f>IFERROR(__xludf.DUMMYFUNCTION("""COMPUTED_VALUE"""),35.8)</f>
        <v>35.8</v>
      </c>
      <c r="D220" s="1">
        <f>IFERROR(__xludf.DUMMYFUNCTION("""COMPUTED_VALUE"""),34.57)</f>
        <v>34.57</v>
      </c>
      <c r="E220" s="1">
        <f>IFERROR(__xludf.DUMMYFUNCTION("""COMPUTED_VALUE"""),35.37)</f>
        <v>35.37</v>
      </c>
      <c r="F220" s="1">
        <f>IFERROR(__xludf.DUMMYFUNCTION("""COMPUTED_VALUE"""),2757000.0)</f>
        <v>2757000</v>
      </c>
    </row>
    <row r="221">
      <c r="A221" s="2">
        <f>IFERROR(__xludf.DUMMYFUNCTION("""COMPUTED_VALUE"""),36843.666666666664)</f>
        <v>36843.66667</v>
      </c>
      <c r="B221" s="1">
        <f>IFERROR(__xludf.DUMMYFUNCTION("""COMPUTED_VALUE"""),35.31)</f>
        <v>35.31</v>
      </c>
      <c r="C221" s="1">
        <f>IFERROR(__xludf.DUMMYFUNCTION("""COMPUTED_VALUE"""),36.08)</f>
        <v>36.08</v>
      </c>
      <c r="D221" s="1">
        <f>IFERROR(__xludf.DUMMYFUNCTION("""COMPUTED_VALUE"""),35.25)</f>
        <v>35.25</v>
      </c>
      <c r="E221" s="1">
        <f>IFERROR(__xludf.DUMMYFUNCTION("""COMPUTED_VALUE"""),35.68)</f>
        <v>35.68</v>
      </c>
      <c r="F221" s="1">
        <f>IFERROR(__xludf.DUMMYFUNCTION("""COMPUTED_VALUE"""),2636000.0)</f>
        <v>2636000</v>
      </c>
    </row>
    <row r="222">
      <c r="A222" s="2">
        <f>IFERROR(__xludf.DUMMYFUNCTION("""COMPUTED_VALUE"""),36844.666666666664)</f>
        <v>36844.66667</v>
      </c>
      <c r="B222" s="1">
        <f>IFERROR(__xludf.DUMMYFUNCTION("""COMPUTED_VALUE"""),35.68)</f>
        <v>35.68</v>
      </c>
      <c r="C222" s="1">
        <f>IFERROR(__xludf.DUMMYFUNCTION("""COMPUTED_VALUE"""),35.99)</f>
        <v>35.99</v>
      </c>
      <c r="D222" s="1">
        <f>IFERROR(__xludf.DUMMYFUNCTION("""COMPUTED_VALUE"""),35.22)</f>
        <v>35.22</v>
      </c>
      <c r="E222" s="1">
        <f>IFERROR(__xludf.DUMMYFUNCTION("""COMPUTED_VALUE"""),35.77)</f>
        <v>35.77</v>
      </c>
      <c r="F222" s="1">
        <f>IFERROR(__xludf.DUMMYFUNCTION("""COMPUTED_VALUE"""),3322800.0)</f>
        <v>3322800</v>
      </c>
    </row>
    <row r="223">
      <c r="A223" s="2">
        <f>IFERROR(__xludf.DUMMYFUNCTION("""COMPUTED_VALUE"""),36845.666666666664)</f>
        <v>36845.66667</v>
      </c>
      <c r="B223" s="1">
        <f>IFERROR(__xludf.DUMMYFUNCTION("""COMPUTED_VALUE"""),36.05)</f>
        <v>36.05</v>
      </c>
      <c r="C223" s="1">
        <f>IFERROR(__xludf.DUMMYFUNCTION("""COMPUTED_VALUE"""),36.48)</f>
        <v>36.48</v>
      </c>
      <c r="D223" s="1">
        <f>IFERROR(__xludf.DUMMYFUNCTION("""COMPUTED_VALUE"""),35.86)</f>
        <v>35.86</v>
      </c>
      <c r="E223" s="1">
        <f>IFERROR(__xludf.DUMMYFUNCTION("""COMPUTED_VALUE"""),36.23)</f>
        <v>36.23</v>
      </c>
      <c r="F223" s="1">
        <f>IFERROR(__xludf.DUMMYFUNCTION("""COMPUTED_VALUE"""),2217800.0)</f>
        <v>2217800</v>
      </c>
    </row>
    <row r="224">
      <c r="A224" s="2">
        <f>IFERROR(__xludf.DUMMYFUNCTION("""COMPUTED_VALUE"""),36846.666666666664)</f>
        <v>36846.66667</v>
      </c>
      <c r="B224" s="1">
        <f>IFERROR(__xludf.DUMMYFUNCTION("""COMPUTED_VALUE"""),35.89)</f>
        <v>35.89</v>
      </c>
      <c r="C224" s="1">
        <f>IFERROR(__xludf.DUMMYFUNCTION("""COMPUTED_VALUE"""),36.94)</f>
        <v>36.94</v>
      </c>
      <c r="D224" s="1">
        <f>IFERROR(__xludf.DUMMYFUNCTION("""COMPUTED_VALUE"""),35.62)</f>
        <v>35.62</v>
      </c>
      <c r="E224" s="1">
        <f>IFERROR(__xludf.DUMMYFUNCTION("""COMPUTED_VALUE"""),36.57)</f>
        <v>36.57</v>
      </c>
      <c r="F224" s="1">
        <f>IFERROR(__xludf.DUMMYFUNCTION("""COMPUTED_VALUE"""),2228700.0)</f>
        <v>2228700</v>
      </c>
    </row>
    <row r="225">
      <c r="A225" s="2">
        <f>IFERROR(__xludf.DUMMYFUNCTION("""COMPUTED_VALUE"""),36847.666666666664)</f>
        <v>36847.66667</v>
      </c>
      <c r="B225" s="1">
        <f>IFERROR(__xludf.DUMMYFUNCTION("""COMPUTED_VALUE"""),36.48)</f>
        <v>36.48</v>
      </c>
      <c r="C225" s="1">
        <f>IFERROR(__xludf.DUMMYFUNCTION("""COMPUTED_VALUE"""),37.41)</f>
        <v>37.41</v>
      </c>
      <c r="D225" s="1">
        <f>IFERROR(__xludf.DUMMYFUNCTION("""COMPUTED_VALUE"""),36.48)</f>
        <v>36.48</v>
      </c>
      <c r="E225" s="1">
        <f>IFERROR(__xludf.DUMMYFUNCTION("""COMPUTED_VALUE"""),37.41)</f>
        <v>37.41</v>
      </c>
      <c r="F225" s="1">
        <f>IFERROR(__xludf.DUMMYFUNCTION("""COMPUTED_VALUE"""),3436000.0)</f>
        <v>3436000</v>
      </c>
    </row>
    <row r="226">
      <c r="A226" s="2">
        <f>IFERROR(__xludf.DUMMYFUNCTION("""COMPUTED_VALUE"""),36850.666666666664)</f>
        <v>36850.66667</v>
      </c>
      <c r="B226" s="1">
        <f>IFERROR(__xludf.DUMMYFUNCTION("""COMPUTED_VALUE"""),36.91)</f>
        <v>36.91</v>
      </c>
      <c r="C226" s="1">
        <f>IFERROR(__xludf.DUMMYFUNCTION("""COMPUTED_VALUE"""),37.47)</f>
        <v>37.47</v>
      </c>
      <c r="D226" s="1">
        <f>IFERROR(__xludf.DUMMYFUNCTION("""COMPUTED_VALUE"""),36.51)</f>
        <v>36.51</v>
      </c>
      <c r="E226" s="1">
        <f>IFERROR(__xludf.DUMMYFUNCTION("""COMPUTED_VALUE"""),37.01)</f>
        <v>37.01</v>
      </c>
      <c r="F226" s="1">
        <f>IFERROR(__xludf.DUMMYFUNCTION("""COMPUTED_VALUE"""),2752200.0)</f>
        <v>2752200</v>
      </c>
    </row>
    <row r="227">
      <c r="A227" s="2">
        <f>IFERROR(__xludf.DUMMYFUNCTION("""COMPUTED_VALUE"""),36851.666666666664)</f>
        <v>36851.66667</v>
      </c>
      <c r="B227" s="1">
        <f>IFERROR(__xludf.DUMMYFUNCTION("""COMPUTED_VALUE"""),36.6)</f>
        <v>36.6</v>
      </c>
      <c r="C227" s="1">
        <f>IFERROR(__xludf.DUMMYFUNCTION("""COMPUTED_VALUE"""),36.79)</f>
        <v>36.79</v>
      </c>
      <c r="D227" s="1">
        <f>IFERROR(__xludf.DUMMYFUNCTION("""COMPUTED_VALUE"""),35.93)</f>
        <v>35.93</v>
      </c>
      <c r="E227" s="1">
        <f>IFERROR(__xludf.DUMMYFUNCTION("""COMPUTED_VALUE"""),36.57)</f>
        <v>36.57</v>
      </c>
      <c r="F227" s="1">
        <f>IFERROR(__xludf.DUMMYFUNCTION("""COMPUTED_VALUE"""),2444000.0)</f>
        <v>2444000</v>
      </c>
    </row>
    <row r="228">
      <c r="A228" s="2">
        <f>IFERROR(__xludf.DUMMYFUNCTION("""COMPUTED_VALUE"""),36852.666666666664)</f>
        <v>36852.66667</v>
      </c>
      <c r="B228" s="1">
        <f>IFERROR(__xludf.DUMMYFUNCTION("""COMPUTED_VALUE"""),36.54)</f>
        <v>36.54</v>
      </c>
      <c r="C228" s="1">
        <f>IFERROR(__xludf.DUMMYFUNCTION("""COMPUTED_VALUE"""),37.5)</f>
        <v>37.5</v>
      </c>
      <c r="D228" s="1">
        <f>IFERROR(__xludf.DUMMYFUNCTION("""COMPUTED_VALUE"""),36.51)</f>
        <v>36.51</v>
      </c>
      <c r="E228" s="1">
        <f>IFERROR(__xludf.DUMMYFUNCTION("""COMPUTED_VALUE"""),37.25)</f>
        <v>37.25</v>
      </c>
      <c r="F228" s="1">
        <f>IFERROR(__xludf.DUMMYFUNCTION("""COMPUTED_VALUE"""),2776000.0)</f>
        <v>2776000</v>
      </c>
    </row>
    <row r="229">
      <c r="A229" s="2">
        <f>IFERROR(__xludf.DUMMYFUNCTION("""COMPUTED_VALUE"""),36854.666666666664)</f>
        <v>36854.66667</v>
      </c>
      <c r="B229" s="1">
        <f>IFERROR(__xludf.DUMMYFUNCTION("""COMPUTED_VALUE"""),36.45)</f>
        <v>36.45</v>
      </c>
      <c r="C229" s="1">
        <f>IFERROR(__xludf.DUMMYFUNCTION("""COMPUTED_VALUE"""),36.67)</f>
        <v>36.67</v>
      </c>
      <c r="D229" s="1">
        <f>IFERROR(__xludf.DUMMYFUNCTION("""COMPUTED_VALUE"""),36.27)</f>
        <v>36.27</v>
      </c>
      <c r="E229" s="1">
        <f>IFERROR(__xludf.DUMMYFUNCTION("""COMPUTED_VALUE"""),36.36)</f>
        <v>36.36</v>
      </c>
      <c r="F229" s="1">
        <f>IFERROR(__xludf.DUMMYFUNCTION("""COMPUTED_VALUE"""),1263700.0)</f>
        <v>1263700</v>
      </c>
    </row>
    <row r="230">
      <c r="A230" s="2">
        <f>IFERROR(__xludf.DUMMYFUNCTION("""COMPUTED_VALUE"""),36857.666666666664)</f>
        <v>36857.66667</v>
      </c>
      <c r="B230" s="1">
        <f>IFERROR(__xludf.DUMMYFUNCTION("""COMPUTED_VALUE"""),35.99)</f>
        <v>35.99</v>
      </c>
      <c r="C230" s="1">
        <f>IFERROR(__xludf.DUMMYFUNCTION("""COMPUTED_VALUE"""),36.42)</f>
        <v>36.42</v>
      </c>
      <c r="D230" s="1">
        <f>IFERROR(__xludf.DUMMYFUNCTION("""COMPUTED_VALUE"""),35.89)</f>
        <v>35.89</v>
      </c>
      <c r="E230" s="1">
        <f>IFERROR(__xludf.DUMMYFUNCTION("""COMPUTED_VALUE"""),35.99)</f>
        <v>35.99</v>
      </c>
      <c r="F230" s="1">
        <f>IFERROR(__xludf.DUMMYFUNCTION("""COMPUTED_VALUE"""),2255000.0)</f>
        <v>2255000</v>
      </c>
    </row>
    <row r="231">
      <c r="A231" s="2">
        <f>IFERROR(__xludf.DUMMYFUNCTION("""COMPUTED_VALUE"""),36858.666666666664)</f>
        <v>36858.66667</v>
      </c>
      <c r="B231" s="1">
        <f>IFERROR(__xludf.DUMMYFUNCTION("""COMPUTED_VALUE"""),36.05)</f>
        <v>36.05</v>
      </c>
      <c r="C231" s="1">
        <f>IFERROR(__xludf.DUMMYFUNCTION("""COMPUTED_VALUE"""),36.6)</f>
        <v>36.6</v>
      </c>
      <c r="D231" s="1">
        <f>IFERROR(__xludf.DUMMYFUNCTION("""COMPUTED_VALUE"""),35.8)</f>
        <v>35.8</v>
      </c>
      <c r="E231" s="1">
        <f>IFERROR(__xludf.DUMMYFUNCTION("""COMPUTED_VALUE"""),36.39)</f>
        <v>36.39</v>
      </c>
      <c r="F231" s="1">
        <f>IFERROR(__xludf.DUMMYFUNCTION("""COMPUTED_VALUE"""),2500100.0)</f>
        <v>2500100</v>
      </c>
    </row>
    <row r="232">
      <c r="A232" s="2">
        <f>IFERROR(__xludf.DUMMYFUNCTION("""COMPUTED_VALUE"""),36859.666666666664)</f>
        <v>36859.66667</v>
      </c>
      <c r="B232" s="1">
        <f>IFERROR(__xludf.DUMMYFUNCTION("""COMPUTED_VALUE"""),36.39)</f>
        <v>36.39</v>
      </c>
      <c r="C232" s="1">
        <f>IFERROR(__xludf.DUMMYFUNCTION("""COMPUTED_VALUE"""),37.47)</f>
        <v>37.47</v>
      </c>
      <c r="D232" s="1">
        <f>IFERROR(__xludf.DUMMYFUNCTION("""COMPUTED_VALUE"""),36.3)</f>
        <v>36.3</v>
      </c>
      <c r="E232" s="1">
        <f>IFERROR(__xludf.DUMMYFUNCTION("""COMPUTED_VALUE"""),37.31)</f>
        <v>37.31</v>
      </c>
      <c r="F232" s="1">
        <f>IFERROR(__xludf.DUMMYFUNCTION("""COMPUTED_VALUE"""),2088800.0)</f>
        <v>2088800</v>
      </c>
    </row>
    <row r="233">
      <c r="A233" s="2">
        <f>IFERROR(__xludf.DUMMYFUNCTION("""COMPUTED_VALUE"""),36860.666666666664)</f>
        <v>36860.66667</v>
      </c>
      <c r="B233" s="1">
        <f>IFERROR(__xludf.DUMMYFUNCTION("""COMPUTED_VALUE"""),36.91)</f>
        <v>36.91</v>
      </c>
      <c r="C233" s="1">
        <f>IFERROR(__xludf.DUMMYFUNCTION("""COMPUTED_VALUE"""),37.5)</f>
        <v>37.5</v>
      </c>
      <c r="D233" s="1">
        <f>IFERROR(__xludf.DUMMYFUNCTION("""COMPUTED_VALUE"""),36.76)</f>
        <v>36.76</v>
      </c>
      <c r="E233" s="1">
        <f>IFERROR(__xludf.DUMMYFUNCTION("""COMPUTED_VALUE"""),36.98)</f>
        <v>36.98</v>
      </c>
      <c r="F233" s="1">
        <f>IFERROR(__xludf.DUMMYFUNCTION("""COMPUTED_VALUE"""),2874700.0)</f>
        <v>2874700</v>
      </c>
    </row>
    <row r="234">
      <c r="A234" s="2">
        <f>IFERROR(__xludf.DUMMYFUNCTION("""COMPUTED_VALUE"""),36861.666666666664)</f>
        <v>36861.66667</v>
      </c>
      <c r="B234" s="1">
        <f>IFERROR(__xludf.DUMMYFUNCTION("""COMPUTED_VALUE"""),36.6)</f>
        <v>36.6</v>
      </c>
      <c r="C234" s="1">
        <f>IFERROR(__xludf.DUMMYFUNCTION("""COMPUTED_VALUE"""),36.94)</f>
        <v>36.94</v>
      </c>
      <c r="D234" s="1">
        <f>IFERROR(__xludf.DUMMYFUNCTION("""COMPUTED_VALUE"""),36.14)</f>
        <v>36.14</v>
      </c>
      <c r="E234" s="1">
        <f>IFERROR(__xludf.DUMMYFUNCTION("""COMPUTED_VALUE"""),36.51)</f>
        <v>36.51</v>
      </c>
      <c r="F234" s="1">
        <f>IFERROR(__xludf.DUMMYFUNCTION("""COMPUTED_VALUE"""),2707900.0)</f>
        <v>2707900</v>
      </c>
    </row>
    <row r="235">
      <c r="A235" s="2">
        <f>IFERROR(__xludf.DUMMYFUNCTION("""COMPUTED_VALUE"""),36864.666666666664)</f>
        <v>36864.66667</v>
      </c>
      <c r="B235" s="1">
        <f>IFERROR(__xludf.DUMMYFUNCTION("""COMPUTED_VALUE"""),36.42)</f>
        <v>36.42</v>
      </c>
      <c r="C235" s="1">
        <f>IFERROR(__xludf.DUMMYFUNCTION("""COMPUTED_VALUE"""),37.47)</f>
        <v>37.47</v>
      </c>
      <c r="D235" s="1">
        <f>IFERROR(__xludf.DUMMYFUNCTION("""COMPUTED_VALUE"""),36.08)</f>
        <v>36.08</v>
      </c>
      <c r="E235" s="1">
        <f>IFERROR(__xludf.DUMMYFUNCTION("""COMPUTED_VALUE"""),37.22)</f>
        <v>37.22</v>
      </c>
      <c r="F235" s="1">
        <f>IFERROR(__xludf.DUMMYFUNCTION("""COMPUTED_VALUE"""),2039300.0)</f>
        <v>2039300</v>
      </c>
    </row>
    <row r="236">
      <c r="A236" s="2">
        <f>IFERROR(__xludf.DUMMYFUNCTION("""COMPUTED_VALUE"""),36865.666666666664)</f>
        <v>36865.66667</v>
      </c>
      <c r="B236" s="1">
        <f>IFERROR(__xludf.DUMMYFUNCTION("""COMPUTED_VALUE"""),37.04)</f>
        <v>37.04</v>
      </c>
      <c r="C236" s="1">
        <f>IFERROR(__xludf.DUMMYFUNCTION("""COMPUTED_VALUE"""),37.62)</f>
        <v>37.62</v>
      </c>
      <c r="D236" s="1">
        <f>IFERROR(__xludf.DUMMYFUNCTION("""COMPUTED_VALUE"""),36.08)</f>
        <v>36.08</v>
      </c>
      <c r="E236" s="1">
        <f>IFERROR(__xludf.DUMMYFUNCTION("""COMPUTED_VALUE"""),36.23)</f>
        <v>36.23</v>
      </c>
      <c r="F236" s="1">
        <f>IFERROR(__xludf.DUMMYFUNCTION("""COMPUTED_VALUE"""),3321500.0)</f>
        <v>3321500</v>
      </c>
    </row>
    <row r="237">
      <c r="A237" s="2">
        <f>IFERROR(__xludf.DUMMYFUNCTION("""COMPUTED_VALUE"""),36866.666666666664)</f>
        <v>36866.66667</v>
      </c>
      <c r="B237" s="1">
        <f>IFERROR(__xludf.DUMMYFUNCTION("""COMPUTED_VALUE"""),36.2)</f>
        <v>36.2</v>
      </c>
      <c r="C237" s="1">
        <f>IFERROR(__xludf.DUMMYFUNCTION("""COMPUTED_VALUE"""),36.51)</f>
        <v>36.51</v>
      </c>
      <c r="D237" s="1">
        <f>IFERROR(__xludf.DUMMYFUNCTION("""COMPUTED_VALUE"""),35.28)</f>
        <v>35.28</v>
      </c>
      <c r="E237" s="1">
        <f>IFERROR(__xludf.DUMMYFUNCTION("""COMPUTED_VALUE"""),35.62)</f>
        <v>35.62</v>
      </c>
      <c r="F237" s="1">
        <f>IFERROR(__xludf.DUMMYFUNCTION("""COMPUTED_VALUE"""),2873700.0)</f>
        <v>2873700</v>
      </c>
    </row>
    <row r="238">
      <c r="A238" s="2">
        <f>IFERROR(__xludf.DUMMYFUNCTION("""COMPUTED_VALUE"""),36867.666666666664)</f>
        <v>36867.66667</v>
      </c>
      <c r="B238" s="1">
        <f>IFERROR(__xludf.DUMMYFUNCTION("""COMPUTED_VALUE"""),35.43)</f>
        <v>35.43</v>
      </c>
      <c r="C238" s="1">
        <f>IFERROR(__xludf.DUMMYFUNCTION("""COMPUTED_VALUE"""),36.82)</f>
        <v>36.82</v>
      </c>
      <c r="D238" s="1">
        <f>IFERROR(__xludf.DUMMYFUNCTION("""COMPUTED_VALUE"""),35.43)</f>
        <v>35.43</v>
      </c>
      <c r="E238" s="1">
        <f>IFERROR(__xludf.DUMMYFUNCTION("""COMPUTED_VALUE"""),36.33)</f>
        <v>36.33</v>
      </c>
      <c r="F238" s="1">
        <f>IFERROR(__xludf.DUMMYFUNCTION("""COMPUTED_VALUE"""),1772500.0)</f>
        <v>1772500</v>
      </c>
    </row>
    <row r="239">
      <c r="A239" s="2">
        <f>IFERROR(__xludf.DUMMYFUNCTION("""COMPUTED_VALUE"""),36868.666666666664)</f>
        <v>36868.66667</v>
      </c>
      <c r="B239" s="1">
        <f>IFERROR(__xludf.DUMMYFUNCTION("""COMPUTED_VALUE"""),36.3)</f>
        <v>36.3</v>
      </c>
      <c r="C239" s="1">
        <f>IFERROR(__xludf.DUMMYFUNCTION("""COMPUTED_VALUE"""),36.33)</f>
        <v>36.33</v>
      </c>
      <c r="D239" s="1">
        <f>IFERROR(__xludf.DUMMYFUNCTION("""COMPUTED_VALUE"""),35.0)</f>
        <v>35</v>
      </c>
      <c r="E239" s="1">
        <f>IFERROR(__xludf.DUMMYFUNCTION("""COMPUTED_VALUE"""),35.19)</f>
        <v>35.19</v>
      </c>
      <c r="F239" s="1">
        <f>IFERROR(__xludf.DUMMYFUNCTION("""COMPUTED_VALUE"""),2810100.0)</f>
        <v>2810100</v>
      </c>
    </row>
    <row r="240">
      <c r="A240" s="2">
        <f>IFERROR(__xludf.DUMMYFUNCTION("""COMPUTED_VALUE"""),36871.666666666664)</f>
        <v>36871.66667</v>
      </c>
      <c r="B240" s="1">
        <f>IFERROR(__xludf.DUMMYFUNCTION("""COMPUTED_VALUE"""),34.94)</f>
        <v>34.94</v>
      </c>
      <c r="C240" s="1">
        <f>IFERROR(__xludf.DUMMYFUNCTION("""COMPUTED_VALUE"""),34.94)</f>
        <v>34.94</v>
      </c>
      <c r="D240" s="1">
        <f>IFERROR(__xludf.DUMMYFUNCTION("""COMPUTED_VALUE"""),34.01)</f>
        <v>34.01</v>
      </c>
      <c r="E240" s="1">
        <f>IFERROR(__xludf.DUMMYFUNCTION("""COMPUTED_VALUE"""),34.1)</f>
        <v>34.1</v>
      </c>
      <c r="F240" s="1">
        <f>IFERROR(__xludf.DUMMYFUNCTION("""COMPUTED_VALUE"""),2811500.0)</f>
        <v>2811500</v>
      </c>
    </row>
    <row r="241">
      <c r="A241" s="2">
        <f>IFERROR(__xludf.DUMMYFUNCTION("""COMPUTED_VALUE"""),36872.666666666664)</f>
        <v>36872.66667</v>
      </c>
      <c r="B241" s="1">
        <f>IFERROR(__xludf.DUMMYFUNCTION("""COMPUTED_VALUE"""),35.19)</f>
        <v>35.19</v>
      </c>
      <c r="C241" s="1">
        <f>IFERROR(__xludf.DUMMYFUNCTION("""COMPUTED_VALUE"""),36.3)</f>
        <v>36.3</v>
      </c>
      <c r="D241" s="1">
        <f>IFERROR(__xludf.DUMMYFUNCTION("""COMPUTED_VALUE"""),34.81)</f>
        <v>34.81</v>
      </c>
      <c r="E241" s="1">
        <f>IFERROR(__xludf.DUMMYFUNCTION("""COMPUTED_VALUE"""),35.52)</f>
        <v>35.52</v>
      </c>
      <c r="F241" s="1">
        <f>IFERROR(__xludf.DUMMYFUNCTION("""COMPUTED_VALUE"""),3898300.0)</f>
        <v>3898300</v>
      </c>
    </row>
    <row r="242">
      <c r="A242" s="2">
        <f>IFERROR(__xludf.DUMMYFUNCTION("""COMPUTED_VALUE"""),36873.666666666664)</f>
        <v>36873.66667</v>
      </c>
      <c r="B242" s="1">
        <f>IFERROR(__xludf.DUMMYFUNCTION("""COMPUTED_VALUE"""),35.37)</f>
        <v>35.37</v>
      </c>
      <c r="C242" s="1">
        <f>IFERROR(__xludf.DUMMYFUNCTION("""COMPUTED_VALUE"""),35.86)</f>
        <v>35.86</v>
      </c>
      <c r="D242" s="1">
        <f>IFERROR(__xludf.DUMMYFUNCTION("""COMPUTED_VALUE"""),35.19)</f>
        <v>35.19</v>
      </c>
      <c r="E242" s="1">
        <f>IFERROR(__xludf.DUMMYFUNCTION("""COMPUTED_VALUE"""),35.77)</f>
        <v>35.77</v>
      </c>
      <c r="F242" s="1">
        <f>IFERROR(__xludf.DUMMYFUNCTION("""COMPUTED_VALUE"""),1525200.0)</f>
        <v>1525200</v>
      </c>
    </row>
    <row r="243">
      <c r="A243" s="2">
        <f>IFERROR(__xludf.DUMMYFUNCTION("""COMPUTED_VALUE"""),36874.666666666664)</f>
        <v>36874.66667</v>
      </c>
      <c r="B243" s="1">
        <f>IFERROR(__xludf.DUMMYFUNCTION("""COMPUTED_VALUE"""),35.31)</f>
        <v>35.31</v>
      </c>
      <c r="C243" s="1">
        <f>IFERROR(__xludf.DUMMYFUNCTION("""COMPUTED_VALUE"""),36.91)</f>
        <v>36.91</v>
      </c>
      <c r="D243" s="1">
        <f>IFERROR(__xludf.DUMMYFUNCTION("""COMPUTED_VALUE"""),35.25)</f>
        <v>35.25</v>
      </c>
      <c r="E243" s="1">
        <f>IFERROR(__xludf.DUMMYFUNCTION("""COMPUTED_VALUE"""),36.3)</f>
        <v>36.3</v>
      </c>
      <c r="F243" s="1">
        <f>IFERROR(__xludf.DUMMYFUNCTION("""COMPUTED_VALUE"""),2769600.0)</f>
        <v>2769600</v>
      </c>
    </row>
    <row r="244">
      <c r="A244" s="2">
        <f>IFERROR(__xludf.DUMMYFUNCTION("""COMPUTED_VALUE"""),36875.666666666664)</f>
        <v>36875.66667</v>
      </c>
      <c r="B244" s="1">
        <f>IFERROR(__xludf.DUMMYFUNCTION("""COMPUTED_VALUE"""),35.25)</f>
        <v>35.25</v>
      </c>
      <c r="C244" s="1">
        <f>IFERROR(__xludf.DUMMYFUNCTION("""COMPUTED_VALUE"""),36.45)</f>
        <v>36.45</v>
      </c>
      <c r="D244" s="1">
        <f>IFERROR(__xludf.DUMMYFUNCTION("""COMPUTED_VALUE"""),35.25)</f>
        <v>35.25</v>
      </c>
      <c r="E244" s="1">
        <f>IFERROR(__xludf.DUMMYFUNCTION("""COMPUTED_VALUE"""),35.25)</f>
        <v>35.25</v>
      </c>
      <c r="F244" s="1">
        <f>IFERROR(__xludf.DUMMYFUNCTION("""COMPUTED_VALUE"""),5332200.0)</f>
        <v>5332200</v>
      </c>
    </row>
    <row r="245">
      <c r="A245" s="2">
        <f>IFERROR(__xludf.DUMMYFUNCTION("""COMPUTED_VALUE"""),36878.666666666664)</f>
        <v>36878.66667</v>
      </c>
      <c r="B245" s="1">
        <f>IFERROR(__xludf.DUMMYFUNCTION("""COMPUTED_VALUE"""),35.86)</f>
        <v>35.86</v>
      </c>
      <c r="C245" s="1">
        <f>IFERROR(__xludf.DUMMYFUNCTION("""COMPUTED_VALUE"""),36.23)</f>
        <v>36.23</v>
      </c>
      <c r="D245" s="1">
        <f>IFERROR(__xludf.DUMMYFUNCTION("""COMPUTED_VALUE"""),35.52)</f>
        <v>35.52</v>
      </c>
      <c r="E245" s="1">
        <f>IFERROR(__xludf.DUMMYFUNCTION("""COMPUTED_VALUE"""),35.86)</f>
        <v>35.86</v>
      </c>
      <c r="F245" s="1">
        <f>IFERROR(__xludf.DUMMYFUNCTION("""COMPUTED_VALUE"""),2113900.0)</f>
        <v>2113900</v>
      </c>
    </row>
    <row r="246">
      <c r="A246" s="2">
        <f>IFERROR(__xludf.DUMMYFUNCTION("""COMPUTED_VALUE"""),36879.666666666664)</f>
        <v>36879.66667</v>
      </c>
      <c r="B246" s="1">
        <f>IFERROR(__xludf.DUMMYFUNCTION("""COMPUTED_VALUE"""),35.89)</f>
        <v>35.89</v>
      </c>
      <c r="C246" s="1">
        <f>IFERROR(__xludf.DUMMYFUNCTION("""COMPUTED_VALUE"""),36.91)</f>
        <v>36.91</v>
      </c>
      <c r="D246" s="1">
        <f>IFERROR(__xludf.DUMMYFUNCTION("""COMPUTED_VALUE"""),35.46)</f>
        <v>35.46</v>
      </c>
      <c r="E246" s="1">
        <f>IFERROR(__xludf.DUMMYFUNCTION("""COMPUTED_VALUE"""),36.11)</f>
        <v>36.11</v>
      </c>
      <c r="F246" s="1">
        <f>IFERROR(__xludf.DUMMYFUNCTION("""COMPUTED_VALUE"""),2293300.0)</f>
        <v>2293300</v>
      </c>
    </row>
    <row r="247">
      <c r="A247" s="2">
        <f>IFERROR(__xludf.DUMMYFUNCTION("""COMPUTED_VALUE"""),36880.666666666664)</f>
        <v>36880.66667</v>
      </c>
      <c r="B247" s="1">
        <f>IFERROR(__xludf.DUMMYFUNCTION("""COMPUTED_VALUE"""),35.86)</f>
        <v>35.86</v>
      </c>
      <c r="C247" s="1">
        <f>IFERROR(__xludf.DUMMYFUNCTION("""COMPUTED_VALUE"""),36.98)</f>
        <v>36.98</v>
      </c>
      <c r="D247" s="1">
        <f>IFERROR(__xludf.DUMMYFUNCTION("""COMPUTED_VALUE"""),35.56)</f>
        <v>35.56</v>
      </c>
      <c r="E247" s="1">
        <f>IFERROR(__xludf.DUMMYFUNCTION("""COMPUTED_VALUE"""),35.83)</f>
        <v>35.83</v>
      </c>
      <c r="F247" s="1">
        <f>IFERROR(__xludf.DUMMYFUNCTION("""COMPUTED_VALUE"""),3058200.0)</f>
        <v>3058200</v>
      </c>
    </row>
    <row r="248">
      <c r="A248" s="2">
        <f>IFERROR(__xludf.DUMMYFUNCTION("""COMPUTED_VALUE"""),36881.666666666664)</f>
        <v>36881.66667</v>
      </c>
      <c r="B248" s="1">
        <f>IFERROR(__xludf.DUMMYFUNCTION("""COMPUTED_VALUE"""),35.83)</f>
        <v>35.83</v>
      </c>
      <c r="C248" s="1">
        <f>IFERROR(__xludf.DUMMYFUNCTION("""COMPUTED_VALUE"""),36.98)</f>
        <v>36.98</v>
      </c>
      <c r="D248" s="1">
        <f>IFERROR(__xludf.DUMMYFUNCTION("""COMPUTED_VALUE"""),35.71)</f>
        <v>35.71</v>
      </c>
      <c r="E248" s="1">
        <f>IFERROR(__xludf.DUMMYFUNCTION("""COMPUTED_VALUE"""),36.79)</f>
        <v>36.79</v>
      </c>
      <c r="F248" s="1">
        <f>IFERROR(__xludf.DUMMYFUNCTION("""COMPUTED_VALUE"""),2686800.0)</f>
        <v>2686800</v>
      </c>
    </row>
    <row r="249">
      <c r="A249" s="2">
        <f>IFERROR(__xludf.DUMMYFUNCTION("""COMPUTED_VALUE"""),36882.666666666664)</f>
        <v>36882.66667</v>
      </c>
      <c r="B249" s="1">
        <f>IFERROR(__xludf.DUMMYFUNCTION("""COMPUTED_VALUE"""),36.79)</f>
        <v>36.79</v>
      </c>
      <c r="C249" s="1">
        <f>IFERROR(__xludf.DUMMYFUNCTION("""COMPUTED_VALUE"""),36.79)</f>
        <v>36.79</v>
      </c>
      <c r="D249" s="1">
        <f>IFERROR(__xludf.DUMMYFUNCTION("""COMPUTED_VALUE"""),35.8)</f>
        <v>35.8</v>
      </c>
      <c r="E249" s="1">
        <f>IFERROR(__xludf.DUMMYFUNCTION("""COMPUTED_VALUE"""),36.42)</f>
        <v>36.42</v>
      </c>
      <c r="F249" s="1">
        <f>IFERROR(__xludf.DUMMYFUNCTION("""COMPUTED_VALUE"""),2345300.0)</f>
        <v>2345300</v>
      </c>
    </row>
    <row r="250">
      <c r="A250" s="2">
        <f>IFERROR(__xludf.DUMMYFUNCTION("""COMPUTED_VALUE"""),36886.666666666664)</f>
        <v>36886.66667</v>
      </c>
      <c r="B250" s="1">
        <f>IFERROR(__xludf.DUMMYFUNCTION("""COMPUTED_VALUE"""),36.39)</f>
        <v>36.39</v>
      </c>
      <c r="C250" s="1">
        <f>IFERROR(__xludf.DUMMYFUNCTION("""COMPUTED_VALUE"""),36.91)</f>
        <v>36.91</v>
      </c>
      <c r="D250" s="1">
        <f>IFERROR(__xludf.DUMMYFUNCTION("""COMPUTED_VALUE"""),35.93)</f>
        <v>35.93</v>
      </c>
      <c r="E250" s="1">
        <f>IFERROR(__xludf.DUMMYFUNCTION("""COMPUTED_VALUE"""),36.76)</f>
        <v>36.76</v>
      </c>
      <c r="F250" s="1">
        <f>IFERROR(__xludf.DUMMYFUNCTION("""COMPUTED_VALUE"""),1471100.0)</f>
        <v>1471100</v>
      </c>
    </row>
    <row r="251">
      <c r="A251" s="2">
        <f>IFERROR(__xludf.DUMMYFUNCTION("""COMPUTED_VALUE"""),36887.666666666664)</f>
        <v>36887.66667</v>
      </c>
      <c r="B251" s="1">
        <f>IFERROR(__xludf.DUMMYFUNCTION("""COMPUTED_VALUE"""),36.73)</f>
        <v>36.73</v>
      </c>
      <c r="C251" s="1">
        <f>IFERROR(__xludf.DUMMYFUNCTION("""COMPUTED_VALUE"""),39.17)</f>
        <v>39.17</v>
      </c>
      <c r="D251" s="1">
        <f>IFERROR(__xludf.DUMMYFUNCTION("""COMPUTED_VALUE"""),36.54)</f>
        <v>36.54</v>
      </c>
      <c r="E251" s="1">
        <f>IFERROR(__xludf.DUMMYFUNCTION("""COMPUTED_VALUE"""),37.78)</f>
        <v>37.78</v>
      </c>
      <c r="F251" s="1">
        <f>IFERROR(__xludf.DUMMYFUNCTION("""COMPUTED_VALUE"""),6472800.0)</f>
        <v>6472800</v>
      </c>
    </row>
    <row r="252">
      <c r="A252" s="2">
        <f>IFERROR(__xludf.DUMMYFUNCTION("""COMPUTED_VALUE"""),36888.666666666664)</f>
        <v>36888.66667</v>
      </c>
      <c r="B252" s="1">
        <f>IFERROR(__xludf.DUMMYFUNCTION("""COMPUTED_VALUE"""),38.02)</f>
        <v>38.02</v>
      </c>
      <c r="C252" s="1">
        <f>IFERROR(__xludf.DUMMYFUNCTION("""COMPUTED_VALUE"""),38.33)</f>
        <v>38.33</v>
      </c>
      <c r="D252" s="1">
        <f>IFERROR(__xludf.DUMMYFUNCTION("""COMPUTED_VALUE"""),37.19)</f>
        <v>37.19</v>
      </c>
      <c r="E252" s="1">
        <f>IFERROR(__xludf.DUMMYFUNCTION("""COMPUTED_VALUE"""),38.15)</f>
        <v>38.15</v>
      </c>
      <c r="F252" s="1">
        <f>IFERROR(__xludf.DUMMYFUNCTION("""COMPUTED_VALUE"""),2560700.0)</f>
        <v>2560700</v>
      </c>
    </row>
    <row r="253">
      <c r="A253" s="2">
        <f>IFERROR(__xludf.DUMMYFUNCTION("""COMPUTED_VALUE"""),36889.666666666664)</f>
        <v>36889.66667</v>
      </c>
      <c r="B253" s="1">
        <f>IFERROR(__xludf.DUMMYFUNCTION("""COMPUTED_VALUE"""),38.27)</f>
        <v>38.27</v>
      </c>
      <c r="C253" s="1">
        <f>IFERROR(__xludf.DUMMYFUNCTION("""COMPUTED_VALUE"""),38.98)</f>
        <v>38.98</v>
      </c>
      <c r="D253" s="1">
        <f>IFERROR(__xludf.DUMMYFUNCTION("""COMPUTED_VALUE"""),37.72)</f>
        <v>37.72</v>
      </c>
      <c r="E253" s="1">
        <f>IFERROR(__xludf.DUMMYFUNCTION("""COMPUTED_VALUE"""),38.73)</f>
        <v>38.73</v>
      </c>
      <c r="F253" s="1">
        <f>IFERROR(__xludf.DUMMYFUNCTION("""COMPUTED_VALUE"""),2307200.0)</f>
        <v>2307200</v>
      </c>
    </row>
    <row r="254">
      <c r="A254" s="2">
        <f>IFERROR(__xludf.DUMMYFUNCTION("""COMPUTED_VALUE"""),36893.666666666664)</f>
        <v>36893.66667</v>
      </c>
      <c r="B254" s="1">
        <f>IFERROR(__xludf.DUMMYFUNCTION("""COMPUTED_VALUE"""),38.58)</f>
        <v>38.58</v>
      </c>
      <c r="C254" s="1">
        <f>IFERROR(__xludf.DUMMYFUNCTION("""COMPUTED_VALUE"""),38.95)</f>
        <v>38.95</v>
      </c>
      <c r="D254" s="1">
        <f>IFERROR(__xludf.DUMMYFUNCTION("""COMPUTED_VALUE"""),37.9)</f>
        <v>37.9</v>
      </c>
      <c r="E254" s="1">
        <f>IFERROR(__xludf.DUMMYFUNCTION("""COMPUTED_VALUE"""),38.77)</f>
        <v>38.77</v>
      </c>
      <c r="F254" s="1">
        <f>IFERROR(__xludf.DUMMYFUNCTION("""COMPUTED_VALUE"""),2830300.0)</f>
        <v>2830300</v>
      </c>
    </row>
    <row r="255">
      <c r="A255" s="2">
        <f>IFERROR(__xludf.DUMMYFUNCTION("""COMPUTED_VALUE"""),36894.666666666664)</f>
        <v>36894.66667</v>
      </c>
      <c r="B255" s="1">
        <f>IFERROR(__xludf.DUMMYFUNCTION("""COMPUTED_VALUE"""),38.77)</f>
        <v>38.77</v>
      </c>
      <c r="C255" s="1">
        <f>IFERROR(__xludf.DUMMYFUNCTION("""COMPUTED_VALUE"""),39.1)</f>
        <v>39.1</v>
      </c>
      <c r="D255" s="1">
        <f>IFERROR(__xludf.DUMMYFUNCTION("""COMPUTED_VALUE"""),36.54)</f>
        <v>36.54</v>
      </c>
      <c r="E255" s="1">
        <f>IFERROR(__xludf.DUMMYFUNCTION("""COMPUTED_VALUE"""),36.85)</f>
        <v>36.85</v>
      </c>
      <c r="F255" s="1">
        <f>IFERROR(__xludf.DUMMYFUNCTION("""COMPUTED_VALUE"""),4795000.0)</f>
        <v>4795000</v>
      </c>
    </row>
    <row r="256">
      <c r="A256" s="2">
        <f>IFERROR(__xludf.DUMMYFUNCTION("""COMPUTED_VALUE"""),36895.666666666664)</f>
        <v>36895.66667</v>
      </c>
      <c r="B256" s="1">
        <f>IFERROR(__xludf.DUMMYFUNCTION("""COMPUTED_VALUE"""),36.82)</f>
        <v>36.82</v>
      </c>
      <c r="C256" s="1">
        <f>IFERROR(__xludf.DUMMYFUNCTION("""COMPUTED_VALUE"""),36.85)</f>
        <v>36.85</v>
      </c>
      <c r="D256" s="1">
        <f>IFERROR(__xludf.DUMMYFUNCTION("""COMPUTED_VALUE"""),35.22)</f>
        <v>35.22</v>
      </c>
      <c r="E256" s="1">
        <f>IFERROR(__xludf.DUMMYFUNCTION("""COMPUTED_VALUE"""),35.71)</f>
        <v>35.71</v>
      </c>
      <c r="F256" s="1">
        <f>IFERROR(__xludf.DUMMYFUNCTION("""COMPUTED_VALUE"""),3546200.0)</f>
        <v>3546200</v>
      </c>
    </row>
    <row r="257">
      <c r="A257" s="2">
        <f>IFERROR(__xludf.DUMMYFUNCTION("""COMPUTED_VALUE"""),36896.666666666664)</f>
        <v>36896.66667</v>
      </c>
      <c r="B257" s="1">
        <f>IFERROR(__xludf.DUMMYFUNCTION("""COMPUTED_VALUE"""),35.68)</f>
        <v>35.68</v>
      </c>
      <c r="C257" s="1">
        <f>IFERROR(__xludf.DUMMYFUNCTION("""COMPUTED_VALUE"""),37.25)</f>
        <v>37.25</v>
      </c>
      <c r="D257" s="1">
        <f>IFERROR(__xludf.DUMMYFUNCTION("""COMPUTED_VALUE"""),35.37)</f>
        <v>35.37</v>
      </c>
      <c r="E257" s="1">
        <f>IFERROR(__xludf.DUMMYFUNCTION("""COMPUTED_VALUE"""),37.01)</f>
        <v>37.01</v>
      </c>
      <c r="F257" s="1">
        <f>IFERROR(__xludf.DUMMYFUNCTION("""COMPUTED_VALUE"""),3858100.0)</f>
        <v>3858100</v>
      </c>
    </row>
    <row r="258">
      <c r="A258" s="2">
        <f>IFERROR(__xludf.DUMMYFUNCTION("""COMPUTED_VALUE"""),36899.666666666664)</f>
        <v>36899.66667</v>
      </c>
      <c r="B258" s="1">
        <f>IFERROR(__xludf.DUMMYFUNCTION("""COMPUTED_VALUE"""),36.7)</f>
        <v>36.7</v>
      </c>
      <c r="C258" s="1">
        <f>IFERROR(__xludf.DUMMYFUNCTION("""COMPUTED_VALUE"""),38.18)</f>
        <v>38.18</v>
      </c>
      <c r="D258" s="1">
        <f>IFERROR(__xludf.DUMMYFUNCTION("""COMPUTED_VALUE"""),36.67)</f>
        <v>36.67</v>
      </c>
      <c r="E258" s="1">
        <f>IFERROR(__xludf.DUMMYFUNCTION("""COMPUTED_VALUE"""),37.81)</f>
        <v>37.81</v>
      </c>
      <c r="F258" s="1">
        <f>IFERROR(__xludf.DUMMYFUNCTION("""COMPUTED_VALUE"""),3152500.0)</f>
        <v>3152500</v>
      </c>
    </row>
    <row r="259">
      <c r="A259" s="2">
        <f>IFERROR(__xludf.DUMMYFUNCTION("""COMPUTED_VALUE"""),36900.666666666664)</f>
        <v>36900.66667</v>
      </c>
      <c r="B259" s="1">
        <f>IFERROR(__xludf.DUMMYFUNCTION("""COMPUTED_VALUE"""),37.41)</f>
        <v>37.41</v>
      </c>
      <c r="C259" s="1">
        <f>IFERROR(__xludf.DUMMYFUNCTION("""COMPUTED_VALUE"""),37.41)</f>
        <v>37.41</v>
      </c>
      <c r="D259" s="1">
        <f>IFERROR(__xludf.DUMMYFUNCTION("""COMPUTED_VALUE"""),36.36)</f>
        <v>36.36</v>
      </c>
      <c r="E259" s="1">
        <f>IFERROR(__xludf.DUMMYFUNCTION("""COMPUTED_VALUE"""),36.85)</f>
        <v>36.85</v>
      </c>
      <c r="F259" s="1">
        <f>IFERROR(__xludf.DUMMYFUNCTION("""COMPUTED_VALUE"""),3450100.0)</f>
        <v>3450100</v>
      </c>
    </row>
    <row r="260">
      <c r="A260" s="2">
        <f>IFERROR(__xludf.DUMMYFUNCTION("""COMPUTED_VALUE"""),36901.666666666664)</f>
        <v>36901.66667</v>
      </c>
      <c r="B260" s="1">
        <f>IFERROR(__xludf.DUMMYFUNCTION("""COMPUTED_VALUE"""),36.36)</f>
        <v>36.36</v>
      </c>
      <c r="C260" s="1">
        <f>IFERROR(__xludf.DUMMYFUNCTION("""COMPUTED_VALUE"""),36.79)</f>
        <v>36.79</v>
      </c>
      <c r="D260" s="1">
        <f>IFERROR(__xludf.DUMMYFUNCTION("""COMPUTED_VALUE"""),35.77)</f>
        <v>35.77</v>
      </c>
      <c r="E260" s="1">
        <f>IFERROR(__xludf.DUMMYFUNCTION("""COMPUTED_VALUE"""),36.45)</f>
        <v>36.45</v>
      </c>
      <c r="F260" s="1">
        <f>IFERROR(__xludf.DUMMYFUNCTION("""COMPUTED_VALUE"""),2510300.0)</f>
        <v>2510300</v>
      </c>
    </row>
    <row r="261">
      <c r="A261" s="2">
        <f>IFERROR(__xludf.DUMMYFUNCTION("""COMPUTED_VALUE"""),36902.666666666664)</f>
        <v>36902.66667</v>
      </c>
      <c r="B261" s="1">
        <f>IFERROR(__xludf.DUMMYFUNCTION("""COMPUTED_VALUE"""),36.45)</f>
        <v>36.45</v>
      </c>
      <c r="C261" s="1">
        <f>IFERROR(__xludf.DUMMYFUNCTION("""COMPUTED_VALUE"""),36.6)</f>
        <v>36.6</v>
      </c>
      <c r="D261" s="1">
        <f>IFERROR(__xludf.DUMMYFUNCTION("""COMPUTED_VALUE"""),35.43)</f>
        <v>35.43</v>
      </c>
      <c r="E261" s="1">
        <f>IFERROR(__xludf.DUMMYFUNCTION("""COMPUTED_VALUE"""),35.93)</f>
        <v>35.93</v>
      </c>
      <c r="F261" s="1">
        <f>IFERROR(__xludf.DUMMYFUNCTION("""COMPUTED_VALUE"""),2131700.0)</f>
        <v>2131700</v>
      </c>
    </row>
    <row r="262">
      <c r="A262" s="2">
        <f>IFERROR(__xludf.DUMMYFUNCTION("""COMPUTED_VALUE"""),36903.666666666664)</f>
        <v>36903.66667</v>
      </c>
      <c r="B262" s="1">
        <f>IFERROR(__xludf.DUMMYFUNCTION("""COMPUTED_VALUE"""),36.17)</f>
        <v>36.17</v>
      </c>
      <c r="C262" s="1">
        <f>IFERROR(__xludf.DUMMYFUNCTION("""COMPUTED_VALUE"""),36.2)</f>
        <v>36.2</v>
      </c>
      <c r="D262" s="1">
        <f>IFERROR(__xludf.DUMMYFUNCTION("""COMPUTED_VALUE"""),34.6)</f>
        <v>34.6</v>
      </c>
      <c r="E262" s="1">
        <f>IFERROR(__xludf.DUMMYFUNCTION("""COMPUTED_VALUE"""),34.72)</f>
        <v>34.72</v>
      </c>
      <c r="F262" s="1">
        <f>IFERROR(__xludf.DUMMYFUNCTION("""COMPUTED_VALUE"""),3290100.0)</f>
        <v>3290100</v>
      </c>
    </row>
    <row r="263">
      <c r="A263" s="2">
        <f>IFERROR(__xludf.DUMMYFUNCTION("""COMPUTED_VALUE"""),36907.666666666664)</f>
        <v>36907.66667</v>
      </c>
      <c r="B263" s="1">
        <f>IFERROR(__xludf.DUMMYFUNCTION("""COMPUTED_VALUE"""),35.03)</f>
        <v>35.03</v>
      </c>
      <c r="C263" s="1">
        <f>IFERROR(__xludf.DUMMYFUNCTION("""COMPUTED_VALUE"""),35.8)</f>
        <v>35.8</v>
      </c>
      <c r="D263" s="1">
        <f>IFERROR(__xludf.DUMMYFUNCTION("""COMPUTED_VALUE"""),34.81)</f>
        <v>34.81</v>
      </c>
      <c r="E263" s="1">
        <f>IFERROR(__xludf.DUMMYFUNCTION("""COMPUTED_VALUE"""),35.52)</f>
        <v>35.52</v>
      </c>
      <c r="F263" s="1">
        <f>IFERROR(__xludf.DUMMYFUNCTION("""COMPUTED_VALUE"""),1975500.0)</f>
        <v>1975500</v>
      </c>
    </row>
    <row r="264">
      <c r="A264" s="2">
        <f>IFERROR(__xludf.DUMMYFUNCTION("""COMPUTED_VALUE"""),36908.666666666664)</f>
        <v>36908.66667</v>
      </c>
      <c r="B264" s="1">
        <f>IFERROR(__xludf.DUMMYFUNCTION("""COMPUTED_VALUE"""),35.37)</f>
        <v>35.37</v>
      </c>
      <c r="C264" s="1">
        <f>IFERROR(__xludf.DUMMYFUNCTION("""COMPUTED_VALUE"""),35.43)</f>
        <v>35.43</v>
      </c>
      <c r="D264" s="1">
        <f>IFERROR(__xludf.DUMMYFUNCTION("""COMPUTED_VALUE"""),34.54)</f>
        <v>34.54</v>
      </c>
      <c r="E264" s="1">
        <f>IFERROR(__xludf.DUMMYFUNCTION("""COMPUTED_VALUE"""),34.66)</f>
        <v>34.66</v>
      </c>
      <c r="F264" s="1">
        <f>IFERROR(__xludf.DUMMYFUNCTION("""COMPUTED_VALUE"""),3063700.0)</f>
        <v>3063700</v>
      </c>
    </row>
    <row r="265">
      <c r="A265" s="2">
        <f>IFERROR(__xludf.DUMMYFUNCTION("""COMPUTED_VALUE"""),36909.666666666664)</f>
        <v>36909.66667</v>
      </c>
      <c r="B265" s="1">
        <f>IFERROR(__xludf.DUMMYFUNCTION("""COMPUTED_VALUE"""),34.63)</f>
        <v>34.63</v>
      </c>
      <c r="C265" s="1">
        <f>IFERROR(__xludf.DUMMYFUNCTION("""COMPUTED_VALUE"""),35.68)</f>
        <v>35.68</v>
      </c>
      <c r="D265" s="1">
        <f>IFERROR(__xludf.DUMMYFUNCTION("""COMPUTED_VALUE"""),34.44)</f>
        <v>34.44</v>
      </c>
      <c r="E265" s="1">
        <f>IFERROR(__xludf.DUMMYFUNCTION("""COMPUTED_VALUE"""),34.97)</f>
        <v>34.97</v>
      </c>
      <c r="F265" s="1">
        <f>IFERROR(__xludf.DUMMYFUNCTION("""COMPUTED_VALUE"""),2787600.0)</f>
        <v>2787600</v>
      </c>
    </row>
    <row r="266">
      <c r="A266" s="2">
        <f>IFERROR(__xludf.DUMMYFUNCTION("""COMPUTED_VALUE"""),36910.666666666664)</f>
        <v>36910.66667</v>
      </c>
      <c r="B266" s="1">
        <f>IFERROR(__xludf.DUMMYFUNCTION("""COMPUTED_VALUE"""),34.6)</f>
        <v>34.6</v>
      </c>
      <c r="C266" s="1">
        <f>IFERROR(__xludf.DUMMYFUNCTION("""COMPUTED_VALUE"""),34.88)</f>
        <v>34.88</v>
      </c>
      <c r="D266" s="1">
        <f>IFERROR(__xludf.DUMMYFUNCTION("""COMPUTED_VALUE"""),34.44)</f>
        <v>34.44</v>
      </c>
      <c r="E266" s="1">
        <f>IFERROR(__xludf.DUMMYFUNCTION("""COMPUTED_VALUE"""),34.54)</f>
        <v>34.54</v>
      </c>
      <c r="F266" s="1">
        <f>IFERROR(__xludf.DUMMYFUNCTION("""COMPUTED_VALUE"""),2462300.0)</f>
        <v>2462300</v>
      </c>
    </row>
    <row r="267">
      <c r="A267" s="2">
        <f>IFERROR(__xludf.DUMMYFUNCTION("""COMPUTED_VALUE"""),36913.666666666664)</f>
        <v>36913.66667</v>
      </c>
      <c r="B267" s="1">
        <f>IFERROR(__xludf.DUMMYFUNCTION("""COMPUTED_VALUE"""),33.92)</f>
        <v>33.92</v>
      </c>
      <c r="C267" s="1">
        <f>IFERROR(__xludf.DUMMYFUNCTION("""COMPUTED_VALUE"""),34.26)</f>
        <v>34.26</v>
      </c>
      <c r="D267" s="1">
        <f>IFERROR(__xludf.DUMMYFUNCTION("""COMPUTED_VALUE"""),33.92)</f>
        <v>33.92</v>
      </c>
      <c r="E267" s="1">
        <f>IFERROR(__xludf.DUMMYFUNCTION("""COMPUTED_VALUE"""),34.14)</f>
        <v>34.14</v>
      </c>
      <c r="F267" s="1">
        <f>IFERROR(__xludf.DUMMYFUNCTION("""COMPUTED_VALUE"""),2696500.0)</f>
        <v>2696500</v>
      </c>
    </row>
    <row r="268">
      <c r="A268" s="2">
        <f>IFERROR(__xludf.DUMMYFUNCTION("""COMPUTED_VALUE"""),36914.666666666664)</f>
        <v>36914.66667</v>
      </c>
      <c r="B268" s="1">
        <f>IFERROR(__xludf.DUMMYFUNCTION("""COMPUTED_VALUE"""),33.92)</f>
        <v>33.92</v>
      </c>
      <c r="C268" s="1">
        <f>IFERROR(__xludf.DUMMYFUNCTION("""COMPUTED_VALUE"""),34.94)</f>
        <v>34.94</v>
      </c>
      <c r="D268" s="1">
        <f>IFERROR(__xludf.DUMMYFUNCTION("""COMPUTED_VALUE"""),33.73)</f>
        <v>33.73</v>
      </c>
      <c r="E268" s="1">
        <f>IFERROR(__xludf.DUMMYFUNCTION("""COMPUTED_VALUE"""),34.29)</f>
        <v>34.29</v>
      </c>
      <c r="F268" s="1">
        <f>IFERROR(__xludf.DUMMYFUNCTION("""COMPUTED_VALUE"""),2217200.0)</f>
        <v>2217200</v>
      </c>
    </row>
    <row r="269">
      <c r="A269" s="2">
        <f>IFERROR(__xludf.DUMMYFUNCTION("""COMPUTED_VALUE"""),36915.666666666664)</f>
        <v>36915.66667</v>
      </c>
      <c r="B269" s="1">
        <f>IFERROR(__xludf.DUMMYFUNCTION("""COMPUTED_VALUE"""),34.51)</f>
        <v>34.51</v>
      </c>
      <c r="C269" s="1">
        <f>IFERROR(__xludf.DUMMYFUNCTION("""COMPUTED_VALUE"""),34.6)</f>
        <v>34.6</v>
      </c>
      <c r="D269" s="1">
        <f>IFERROR(__xludf.DUMMYFUNCTION("""COMPUTED_VALUE"""),33.64)</f>
        <v>33.64</v>
      </c>
      <c r="E269" s="1">
        <f>IFERROR(__xludf.DUMMYFUNCTION("""COMPUTED_VALUE"""),34.54)</f>
        <v>34.54</v>
      </c>
      <c r="F269" s="1">
        <f>IFERROR(__xludf.DUMMYFUNCTION("""COMPUTED_VALUE"""),1775600.0)</f>
        <v>1775600</v>
      </c>
    </row>
    <row r="270">
      <c r="A270" s="2">
        <f>IFERROR(__xludf.DUMMYFUNCTION("""COMPUTED_VALUE"""),36916.666666666664)</f>
        <v>36916.66667</v>
      </c>
      <c r="B270" s="1">
        <f>IFERROR(__xludf.DUMMYFUNCTION("""COMPUTED_VALUE"""),34.2)</f>
        <v>34.2</v>
      </c>
      <c r="C270" s="1">
        <f>IFERROR(__xludf.DUMMYFUNCTION("""COMPUTED_VALUE"""),34.91)</f>
        <v>34.91</v>
      </c>
      <c r="D270" s="1">
        <f>IFERROR(__xludf.DUMMYFUNCTION("""COMPUTED_VALUE"""),34.07)</f>
        <v>34.07</v>
      </c>
      <c r="E270" s="1">
        <f>IFERROR(__xludf.DUMMYFUNCTION("""COMPUTED_VALUE"""),34.54)</f>
        <v>34.54</v>
      </c>
      <c r="F270" s="1">
        <f>IFERROR(__xludf.DUMMYFUNCTION("""COMPUTED_VALUE"""),2180400.0)</f>
        <v>2180400</v>
      </c>
    </row>
    <row r="271">
      <c r="A271" s="2">
        <f>IFERROR(__xludf.DUMMYFUNCTION("""COMPUTED_VALUE"""),36917.666666666664)</f>
        <v>36917.66667</v>
      </c>
      <c r="B271" s="1">
        <f>IFERROR(__xludf.DUMMYFUNCTION("""COMPUTED_VALUE"""),34.88)</f>
        <v>34.88</v>
      </c>
      <c r="C271" s="1">
        <f>IFERROR(__xludf.DUMMYFUNCTION("""COMPUTED_VALUE"""),35.31)</f>
        <v>35.31</v>
      </c>
      <c r="D271" s="1">
        <f>IFERROR(__xludf.DUMMYFUNCTION("""COMPUTED_VALUE"""),33.95)</f>
        <v>33.95</v>
      </c>
      <c r="E271" s="1">
        <f>IFERROR(__xludf.DUMMYFUNCTION("""COMPUTED_VALUE"""),34.2)</f>
        <v>34.2</v>
      </c>
      <c r="F271" s="1">
        <f>IFERROR(__xludf.DUMMYFUNCTION("""COMPUTED_VALUE"""),2452500.0)</f>
        <v>2452500</v>
      </c>
    </row>
    <row r="272">
      <c r="A272" s="2">
        <f>IFERROR(__xludf.DUMMYFUNCTION("""COMPUTED_VALUE"""),36920.666666666664)</f>
        <v>36920.66667</v>
      </c>
      <c r="B272" s="1">
        <f>IFERROR(__xludf.DUMMYFUNCTION("""COMPUTED_VALUE"""),34.07)</f>
        <v>34.07</v>
      </c>
      <c r="C272" s="1">
        <f>IFERROR(__xludf.DUMMYFUNCTION("""COMPUTED_VALUE"""),34.08)</f>
        <v>34.08</v>
      </c>
      <c r="D272" s="1">
        <f>IFERROR(__xludf.DUMMYFUNCTION("""COMPUTED_VALUE"""),33.01)</f>
        <v>33.01</v>
      </c>
      <c r="E272" s="1">
        <f>IFERROR(__xludf.DUMMYFUNCTION("""COMPUTED_VALUE"""),33.01)</f>
        <v>33.01</v>
      </c>
      <c r="F272" s="1">
        <f>IFERROR(__xludf.DUMMYFUNCTION("""COMPUTED_VALUE"""),3892200.0)</f>
        <v>3892200</v>
      </c>
    </row>
    <row r="273">
      <c r="A273" s="2">
        <f>IFERROR(__xludf.DUMMYFUNCTION("""COMPUTED_VALUE"""),36921.666666666664)</f>
        <v>36921.66667</v>
      </c>
      <c r="B273" s="1">
        <f>IFERROR(__xludf.DUMMYFUNCTION("""COMPUTED_VALUE"""),34.32)</f>
        <v>34.32</v>
      </c>
      <c r="C273" s="1">
        <f>IFERROR(__xludf.DUMMYFUNCTION("""COMPUTED_VALUE"""),35.19)</f>
        <v>35.19</v>
      </c>
      <c r="D273" s="1">
        <f>IFERROR(__xludf.DUMMYFUNCTION("""COMPUTED_VALUE"""),34.2)</f>
        <v>34.2</v>
      </c>
      <c r="E273" s="1">
        <f>IFERROR(__xludf.DUMMYFUNCTION("""COMPUTED_VALUE"""),35.11)</f>
        <v>35.11</v>
      </c>
      <c r="F273" s="1">
        <f>IFERROR(__xludf.DUMMYFUNCTION("""COMPUTED_VALUE"""),4776700.0)</f>
        <v>4776700</v>
      </c>
    </row>
    <row r="274">
      <c r="A274" s="2">
        <f>IFERROR(__xludf.DUMMYFUNCTION("""COMPUTED_VALUE"""),36922.666666666664)</f>
        <v>36922.66667</v>
      </c>
      <c r="B274" s="1">
        <f>IFERROR(__xludf.DUMMYFUNCTION("""COMPUTED_VALUE"""),35.06)</f>
        <v>35.06</v>
      </c>
      <c r="C274" s="1">
        <f>IFERROR(__xludf.DUMMYFUNCTION("""COMPUTED_VALUE"""),35.56)</f>
        <v>35.56</v>
      </c>
      <c r="D274" s="1">
        <f>IFERROR(__xludf.DUMMYFUNCTION("""COMPUTED_VALUE"""),34.32)</f>
        <v>34.32</v>
      </c>
      <c r="E274" s="1">
        <f>IFERROR(__xludf.DUMMYFUNCTION("""COMPUTED_VALUE"""),35.48)</f>
        <v>35.48</v>
      </c>
      <c r="F274" s="1">
        <f>IFERROR(__xludf.DUMMYFUNCTION("""COMPUTED_VALUE"""),3639300.0)</f>
        <v>3639300</v>
      </c>
    </row>
    <row r="275">
      <c r="A275" s="2">
        <f>IFERROR(__xludf.DUMMYFUNCTION("""COMPUTED_VALUE"""),36923.666666666664)</f>
        <v>36923.66667</v>
      </c>
      <c r="B275" s="1">
        <f>IFERROR(__xludf.DUMMYFUNCTION("""COMPUTED_VALUE"""),35.56)</f>
        <v>35.56</v>
      </c>
      <c r="C275" s="1">
        <f>IFERROR(__xludf.DUMMYFUNCTION("""COMPUTED_VALUE"""),36.6)</f>
        <v>36.6</v>
      </c>
      <c r="D275" s="1">
        <f>IFERROR(__xludf.DUMMYFUNCTION("""COMPUTED_VALUE"""),35.48)</f>
        <v>35.48</v>
      </c>
      <c r="E275" s="1">
        <f>IFERROR(__xludf.DUMMYFUNCTION("""COMPUTED_VALUE"""),36.52)</f>
        <v>36.52</v>
      </c>
      <c r="F275" s="1">
        <f>IFERROR(__xludf.DUMMYFUNCTION("""COMPUTED_VALUE"""),2870200.0)</f>
        <v>2870200</v>
      </c>
    </row>
    <row r="276">
      <c r="A276" s="2">
        <f>IFERROR(__xludf.DUMMYFUNCTION("""COMPUTED_VALUE"""),36924.666666666664)</f>
        <v>36924.66667</v>
      </c>
      <c r="B276" s="1">
        <f>IFERROR(__xludf.DUMMYFUNCTION("""COMPUTED_VALUE"""),36.69)</f>
        <v>36.69</v>
      </c>
      <c r="C276" s="1">
        <f>IFERROR(__xludf.DUMMYFUNCTION("""COMPUTED_VALUE"""),36.8)</f>
        <v>36.8</v>
      </c>
      <c r="D276" s="1">
        <f>IFERROR(__xludf.DUMMYFUNCTION("""COMPUTED_VALUE"""),36.22)</f>
        <v>36.22</v>
      </c>
      <c r="E276" s="1">
        <f>IFERROR(__xludf.DUMMYFUNCTION("""COMPUTED_VALUE"""),36.42)</f>
        <v>36.42</v>
      </c>
      <c r="F276" s="1">
        <f>IFERROR(__xludf.DUMMYFUNCTION("""COMPUTED_VALUE"""),3098700.0)</f>
        <v>3098700</v>
      </c>
    </row>
    <row r="277">
      <c r="A277" s="2">
        <f>IFERROR(__xludf.DUMMYFUNCTION("""COMPUTED_VALUE"""),36927.666666666664)</f>
        <v>36927.66667</v>
      </c>
      <c r="B277" s="1">
        <f>IFERROR(__xludf.DUMMYFUNCTION("""COMPUTED_VALUE"""),36.54)</f>
        <v>36.54</v>
      </c>
      <c r="C277" s="1">
        <f>IFERROR(__xludf.DUMMYFUNCTION("""COMPUTED_VALUE"""),37.18)</f>
        <v>37.18</v>
      </c>
      <c r="D277" s="1">
        <f>IFERROR(__xludf.DUMMYFUNCTION("""COMPUTED_VALUE"""),36.43)</f>
        <v>36.43</v>
      </c>
      <c r="E277" s="1">
        <f>IFERROR(__xludf.DUMMYFUNCTION("""COMPUTED_VALUE"""),36.72)</f>
        <v>36.72</v>
      </c>
      <c r="F277" s="1">
        <f>IFERROR(__xludf.DUMMYFUNCTION("""COMPUTED_VALUE"""),2816600.0)</f>
        <v>2816600</v>
      </c>
    </row>
    <row r="278">
      <c r="A278" s="2">
        <f>IFERROR(__xludf.DUMMYFUNCTION("""COMPUTED_VALUE"""),36928.666666666664)</f>
        <v>36928.66667</v>
      </c>
      <c r="B278" s="1">
        <f>IFERROR(__xludf.DUMMYFUNCTION("""COMPUTED_VALUE"""),36.98)</f>
        <v>36.98</v>
      </c>
      <c r="C278" s="1">
        <f>IFERROR(__xludf.DUMMYFUNCTION("""COMPUTED_VALUE"""),37.01)</f>
        <v>37.01</v>
      </c>
      <c r="D278" s="1">
        <f>IFERROR(__xludf.DUMMYFUNCTION("""COMPUTED_VALUE"""),35.95)</f>
        <v>35.95</v>
      </c>
      <c r="E278" s="1">
        <f>IFERROR(__xludf.DUMMYFUNCTION("""COMPUTED_VALUE"""),36.6)</f>
        <v>36.6</v>
      </c>
      <c r="F278" s="1">
        <f>IFERROR(__xludf.DUMMYFUNCTION("""COMPUTED_VALUE"""),3134800.0)</f>
        <v>3134800</v>
      </c>
    </row>
    <row r="279">
      <c r="A279" s="2">
        <f>IFERROR(__xludf.DUMMYFUNCTION("""COMPUTED_VALUE"""),36929.666666666664)</f>
        <v>36929.66667</v>
      </c>
      <c r="B279" s="1">
        <f>IFERROR(__xludf.DUMMYFUNCTION("""COMPUTED_VALUE"""),36.47)</f>
        <v>36.47</v>
      </c>
      <c r="C279" s="1">
        <f>IFERROR(__xludf.DUMMYFUNCTION("""COMPUTED_VALUE"""),37.25)</f>
        <v>37.25</v>
      </c>
      <c r="D279" s="1">
        <f>IFERROR(__xludf.DUMMYFUNCTION("""COMPUTED_VALUE"""),35.7)</f>
        <v>35.7</v>
      </c>
      <c r="E279" s="1">
        <f>IFERROR(__xludf.DUMMYFUNCTION("""COMPUTED_VALUE"""),37.13)</f>
        <v>37.13</v>
      </c>
      <c r="F279" s="1">
        <f>IFERROR(__xludf.DUMMYFUNCTION("""COMPUTED_VALUE"""),2700800.0)</f>
        <v>2700800</v>
      </c>
    </row>
    <row r="280">
      <c r="A280" s="2">
        <f>IFERROR(__xludf.DUMMYFUNCTION("""COMPUTED_VALUE"""),36930.666666666664)</f>
        <v>36930.66667</v>
      </c>
      <c r="B280" s="1">
        <f>IFERROR(__xludf.DUMMYFUNCTION("""COMPUTED_VALUE"""),37.13)</f>
        <v>37.13</v>
      </c>
      <c r="C280" s="1">
        <f>IFERROR(__xludf.DUMMYFUNCTION("""COMPUTED_VALUE"""),37.21)</f>
        <v>37.21</v>
      </c>
      <c r="D280" s="1">
        <f>IFERROR(__xludf.DUMMYFUNCTION("""COMPUTED_VALUE"""),36.74)</f>
        <v>36.74</v>
      </c>
      <c r="E280" s="1">
        <f>IFERROR(__xludf.DUMMYFUNCTION("""COMPUTED_VALUE"""),36.99)</f>
        <v>36.99</v>
      </c>
      <c r="F280" s="1">
        <f>IFERROR(__xludf.DUMMYFUNCTION("""COMPUTED_VALUE"""),1586900.0)</f>
        <v>1586900</v>
      </c>
    </row>
    <row r="281">
      <c r="A281" s="2">
        <f>IFERROR(__xludf.DUMMYFUNCTION("""COMPUTED_VALUE"""),36931.666666666664)</f>
        <v>36931.66667</v>
      </c>
      <c r="B281" s="1">
        <f>IFERROR(__xludf.DUMMYFUNCTION("""COMPUTED_VALUE"""),37.08)</f>
        <v>37.08</v>
      </c>
      <c r="C281" s="1">
        <f>IFERROR(__xludf.DUMMYFUNCTION("""COMPUTED_VALUE"""),37.28)</f>
        <v>37.28</v>
      </c>
      <c r="D281" s="1">
        <f>IFERROR(__xludf.DUMMYFUNCTION("""COMPUTED_VALUE"""),36.79)</f>
        <v>36.79</v>
      </c>
      <c r="E281" s="1">
        <f>IFERROR(__xludf.DUMMYFUNCTION("""COMPUTED_VALUE"""),37.03)</f>
        <v>37.03</v>
      </c>
      <c r="F281" s="1">
        <f>IFERROR(__xludf.DUMMYFUNCTION("""COMPUTED_VALUE"""),1930600.0)</f>
        <v>1930600</v>
      </c>
    </row>
    <row r="282">
      <c r="A282" s="2">
        <f>IFERROR(__xludf.DUMMYFUNCTION("""COMPUTED_VALUE"""),36934.666666666664)</f>
        <v>36934.66667</v>
      </c>
      <c r="B282" s="1">
        <f>IFERROR(__xludf.DUMMYFUNCTION("""COMPUTED_VALUE"""),37.03)</f>
        <v>37.03</v>
      </c>
      <c r="C282" s="1">
        <f>IFERROR(__xludf.DUMMYFUNCTION("""COMPUTED_VALUE"""),37.25)</f>
        <v>37.25</v>
      </c>
      <c r="D282" s="1">
        <f>IFERROR(__xludf.DUMMYFUNCTION("""COMPUTED_VALUE"""),36.72)</f>
        <v>36.72</v>
      </c>
      <c r="E282" s="1">
        <f>IFERROR(__xludf.DUMMYFUNCTION("""COMPUTED_VALUE"""),37.09)</f>
        <v>37.09</v>
      </c>
      <c r="F282" s="1">
        <f>IFERROR(__xludf.DUMMYFUNCTION("""COMPUTED_VALUE"""),2158200.0)</f>
        <v>2158200</v>
      </c>
    </row>
    <row r="283">
      <c r="A283" s="2">
        <f>IFERROR(__xludf.DUMMYFUNCTION("""COMPUTED_VALUE"""),36935.666666666664)</f>
        <v>36935.66667</v>
      </c>
      <c r="B283" s="1">
        <f>IFERROR(__xludf.DUMMYFUNCTION("""COMPUTED_VALUE"""),36.99)</f>
        <v>36.99</v>
      </c>
      <c r="C283" s="1">
        <f>IFERROR(__xludf.DUMMYFUNCTION("""COMPUTED_VALUE"""),36.99)</f>
        <v>36.99</v>
      </c>
      <c r="D283" s="1">
        <f>IFERROR(__xludf.DUMMYFUNCTION("""COMPUTED_VALUE"""),36.33)</f>
        <v>36.33</v>
      </c>
      <c r="E283" s="1">
        <f>IFERROR(__xludf.DUMMYFUNCTION("""COMPUTED_VALUE"""),36.81)</f>
        <v>36.81</v>
      </c>
      <c r="F283" s="1">
        <f>IFERROR(__xludf.DUMMYFUNCTION("""COMPUTED_VALUE"""),2445300.0)</f>
        <v>2445300</v>
      </c>
    </row>
    <row r="284">
      <c r="A284" s="2">
        <f>IFERROR(__xludf.DUMMYFUNCTION("""COMPUTED_VALUE"""),36936.666666666664)</f>
        <v>36936.66667</v>
      </c>
      <c r="B284" s="1">
        <f>IFERROR(__xludf.DUMMYFUNCTION("""COMPUTED_VALUE"""),36.79)</f>
        <v>36.79</v>
      </c>
      <c r="C284" s="1">
        <f>IFERROR(__xludf.DUMMYFUNCTION("""COMPUTED_VALUE"""),36.79)</f>
        <v>36.79</v>
      </c>
      <c r="D284" s="1">
        <f>IFERROR(__xludf.DUMMYFUNCTION("""COMPUTED_VALUE"""),36.3)</f>
        <v>36.3</v>
      </c>
      <c r="E284" s="1">
        <f>IFERROR(__xludf.DUMMYFUNCTION("""COMPUTED_VALUE"""),36.39)</f>
        <v>36.39</v>
      </c>
      <c r="F284" s="1">
        <f>IFERROR(__xludf.DUMMYFUNCTION("""COMPUTED_VALUE"""),1983700.0)</f>
        <v>1983700</v>
      </c>
    </row>
    <row r="285">
      <c r="A285" s="2">
        <f>IFERROR(__xludf.DUMMYFUNCTION("""COMPUTED_VALUE"""),36937.666666666664)</f>
        <v>36937.66667</v>
      </c>
      <c r="B285" s="1">
        <f>IFERROR(__xludf.DUMMYFUNCTION("""COMPUTED_VALUE"""),36.12)</f>
        <v>36.12</v>
      </c>
      <c r="C285" s="1">
        <f>IFERROR(__xludf.DUMMYFUNCTION("""COMPUTED_VALUE"""),36.74)</f>
        <v>36.74</v>
      </c>
      <c r="D285" s="1">
        <f>IFERROR(__xludf.DUMMYFUNCTION("""COMPUTED_VALUE"""),36.12)</f>
        <v>36.12</v>
      </c>
      <c r="E285" s="1">
        <f>IFERROR(__xludf.DUMMYFUNCTION("""COMPUTED_VALUE"""),36.47)</f>
        <v>36.47</v>
      </c>
      <c r="F285" s="1">
        <f>IFERROR(__xludf.DUMMYFUNCTION("""COMPUTED_VALUE"""),2850200.0)</f>
        <v>2850200</v>
      </c>
    </row>
    <row r="286">
      <c r="A286" s="2">
        <f>IFERROR(__xludf.DUMMYFUNCTION("""COMPUTED_VALUE"""),36938.666666666664)</f>
        <v>36938.66667</v>
      </c>
      <c r="B286" s="1">
        <f>IFERROR(__xludf.DUMMYFUNCTION("""COMPUTED_VALUE"""),36.79)</f>
        <v>36.79</v>
      </c>
      <c r="C286" s="1">
        <f>IFERROR(__xludf.DUMMYFUNCTION("""COMPUTED_VALUE"""),37.08)</f>
        <v>37.08</v>
      </c>
      <c r="D286" s="1">
        <f>IFERROR(__xludf.DUMMYFUNCTION("""COMPUTED_VALUE"""),36.74)</f>
        <v>36.74</v>
      </c>
      <c r="E286" s="1">
        <f>IFERROR(__xludf.DUMMYFUNCTION("""COMPUTED_VALUE"""),36.96)</f>
        <v>36.96</v>
      </c>
      <c r="F286" s="1">
        <f>IFERROR(__xludf.DUMMYFUNCTION("""COMPUTED_VALUE"""),3009300.0)</f>
        <v>3009300</v>
      </c>
    </row>
    <row r="287">
      <c r="A287" s="2">
        <f>IFERROR(__xludf.DUMMYFUNCTION("""COMPUTED_VALUE"""),36942.666666666664)</f>
        <v>36942.66667</v>
      </c>
      <c r="B287" s="1">
        <f>IFERROR(__xludf.DUMMYFUNCTION("""COMPUTED_VALUE"""),37.26)</f>
        <v>37.26</v>
      </c>
      <c r="C287" s="1">
        <f>IFERROR(__xludf.DUMMYFUNCTION("""COMPUTED_VALUE"""),37.42)</f>
        <v>37.42</v>
      </c>
      <c r="D287" s="1">
        <f>IFERROR(__xludf.DUMMYFUNCTION("""COMPUTED_VALUE"""),36.95)</f>
        <v>36.95</v>
      </c>
      <c r="E287" s="1">
        <f>IFERROR(__xludf.DUMMYFUNCTION("""COMPUTED_VALUE"""),37.39)</f>
        <v>37.39</v>
      </c>
      <c r="F287" s="1">
        <f>IFERROR(__xludf.DUMMYFUNCTION("""COMPUTED_VALUE"""),2674100.0)</f>
        <v>2674100</v>
      </c>
    </row>
    <row r="288">
      <c r="A288" s="2">
        <f>IFERROR(__xludf.DUMMYFUNCTION("""COMPUTED_VALUE"""),36943.666666666664)</f>
        <v>36943.66667</v>
      </c>
      <c r="B288" s="1">
        <f>IFERROR(__xludf.DUMMYFUNCTION("""COMPUTED_VALUE"""),37.78)</f>
        <v>37.78</v>
      </c>
      <c r="C288" s="1">
        <f>IFERROR(__xludf.DUMMYFUNCTION("""COMPUTED_VALUE"""),38.04)</f>
        <v>38.04</v>
      </c>
      <c r="D288" s="1">
        <f>IFERROR(__xludf.DUMMYFUNCTION("""COMPUTED_VALUE"""),37.6)</f>
        <v>37.6</v>
      </c>
      <c r="E288" s="1">
        <f>IFERROR(__xludf.DUMMYFUNCTION("""COMPUTED_VALUE"""),37.93)</f>
        <v>37.93</v>
      </c>
      <c r="F288" s="1">
        <f>IFERROR(__xludf.DUMMYFUNCTION("""COMPUTED_VALUE"""),3322500.0)</f>
        <v>3322500</v>
      </c>
    </row>
    <row r="289">
      <c r="A289" s="2">
        <f>IFERROR(__xludf.DUMMYFUNCTION("""COMPUTED_VALUE"""),36944.666666666664)</f>
        <v>36944.66667</v>
      </c>
      <c r="B289" s="1">
        <f>IFERROR(__xludf.DUMMYFUNCTION("""COMPUTED_VALUE"""),38.02)</f>
        <v>38.02</v>
      </c>
      <c r="C289" s="1">
        <f>IFERROR(__xludf.DUMMYFUNCTION("""COMPUTED_VALUE"""),38.1)</f>
        <v>38.1</v>
      </c>
      <c r="D289" s="1">
        <f>IFERROR(__xludf.DUMMYFUNCTION("""COMPUTED_VALUE"""),36.92)</f>
        <v>36.92</v>
      </c>
      <c r="E289" s="1">
        <f>IFERROR(__xludf.DUMMYFUNCTION("""COMPUTED_VALUE"""),37.58)</f>
        <v>37.58</v>
      </c>
      <c r="F289" s="1">
        <f>IFERROR(__xludf.DUMMYFUNCTION("""COMPUTED_VALUE"""),2819600.0)</f>
        <v>2819600</v>
      </c>
    </row>
    <row r="290">
      <c r="A290" s="2">
        <f>IFERROR(__xludf.DUMMYFUNCTION("""COMPUTED_VALUE"""),36945.666666666664)</f>
        <v>36945.66667</v>
      </c>
      <c r="B290" s="1">
        <f>IFERROR(__xludf.DUMMYFUNCTION("""COMPUTED_VALUE"""),37.48)</f>
        <v>37.48</v>
      </c>
      <c r="C290" s="1">
        <f>IFERROR(__xludf.DUMMYFUNCTION("""COMPUTED_VALUE"""),37.48)</f>
        <v>37.48</v>
      </c>
      <c r="D290" s="1">
        <f>IFERROR(__xludf.DUMMYFUNCTION("""COMPUTED_VALUE"""),36.39)</f>
        <v>36.39</v>
      </c>
      <c r="E290" s="1">
        <f>IFERROR(__xludf.DUMMYFUNCTION("""COMPUTED_VALUE"""),37.05)</f>
        <v>37.05</v>
      </c>
      <c r="F290" s="1">
        <f>IFERROR(__xludf.DUMMYFUNCTION("""COMPUTED_VALUE"""),2254600.0)</f>
        <v>2254600</v>
      </c>
    </row>
    <row r="291">
      <c r="A291" s="2">
        <f>IFERROR(__xludf.DUMMYFUNCTION("""COMPUTED_VALUE"""),36948.666666666664)</f>
        <v>36948.66667</v>
      </c>
      <c r="B291" s="1">
        <f>IFERROR(__xludf.DUMMYFUNCTION("""COMPUTED_VALUE"""),35.68)</f>
        <v>35.68</v>
      </c>
      <c r="C291" s="1">
        <f>IFERROR(__xludf.DUMMYFUNCTION("""COMPUTED_VALUE"""),35.68)</f>
        <v>35.68</v>
      </c>
      <c r="D291" s="1">
        <f>IFERROR(__xludf.DUMMYFUNCTION("""COMPUTED_VALUE"""),34.65)</f>
        <v>34.65</v>
      </c>
      <c r="E291" s="1">
        <f>IFERROR(__xludf.DUMMYFUNCTION("""COMPUTED_VALUE"""),35.12)</f>
        <v>35.12</v>
      </c>
      <c r="F291" s="1">
        <f>IFERROR(__xludf.DUMMYFUNCTION("""COMPUTED_VALUE"""),5185600.0)</f>
        <v>5185600</v>
      </c>
    </row>
    <row r="292">
      <c r="A292" s="2">
        <f>IFERROR(__xludf.DUMMYFUNCTION("""COMPUTED_VALUE"""),36949.666666666664)</f>
        <v>36949.66667</v>
      </c>
      <c r="B292" s="1">
        <f>IFERROR(__xludf.DUMMYFUNCTION("""COMPUTED_VALUE"""),35.06)</f>
        <v>35.06</v>
      </c>
      <c r="C292" s="1">
        <f>IFERROR(__xludf.DUMMYFUNCTION("""COMPUTED_VALUE"""),35.3)</f>
        <v>35.3</v>
      </c>
      <c r="D292" s="1">
        <f>IFERROR(__xludf.DUMMYFUNCTION("""COMPUTED_VALUE"""),34.7)</f>
        <v>34.7</v>
      </c>
      <c r="E292" s="1">
        <f>IFERROR(__xludf.DUMMYFUNCTION("""COMPUTED_VALUE"""),34.91)</f>
        <v>34.91</v>
      </c>
      <c r="F292" s="1">
        <f>IFERROR(__xludf.DUMMYFUNCTION("""COMPUTED_VALUE"""),3939600.0)</f>
        <v>3939600</v>
      </c>
    </row>
    <row r="293">
      <c r="A293" s="2">
        <f>IFERROR(__xludf.DUMMYFUNCTION("""COMPUTED_VALUE"""),36950.666666666664)</f>
        <v>36950.66667</v>
      </c>
      <c r="B293" s="1">
        <f>IFERROR(__xludf.DUMMYFUNCTION("""COMPUTED_VALUE"""),34.91)</f>
        <v>34.91</v>
      </c>
      <c r="C293" s="1">
        <f>IFERROR(__xludf.DUMMYFUNCTION("""COMPUTED_VALUE"""),35.16)</f>
        <v>35.16</v>
      </c>
      <c r="D293" s="1">
        <f>IFERROR(__xludf.DUMMYFUNCTION("""COMPUTED_VALUE"""),34.49)</f>
        <v>34.49</v>
      </c>
      <c r="E293" s="1">
        <f>IFERROR(__xludf.DUMMYFUNCTION("""COMPUTED_VALUE"""),34.81)</f>
        <v>34.81</v>
      </c>
      <c r="F293" s="1">
        <f>IFERROR(__xludf.DUMMYFUNCTION("""COMPUTED_VALUE"""),3211300.0)</f>
        <v>3211300</v>
      </c>
    </row>
    <row r="294">
      <c r="A294" s="2">
        <f>IFERROR(__xludf.DUMMYFUNCTION("""COMPUTED_VALUE"""),36951.666666666664)</f>
        <v>36951.66667</v>
      </c>
      <c r="B294" s="1">
        <f>IFERROR(__xludf.DUMMYFUNCTION("""COMPUTED_VALUE"""),34.57)</f>
        <v>34.57</v>
      </c>
      <c r="C294" s="1">
        <f>IFERROR(__xludf.DUMMYFUNCTION("""COMPUTED_VALUE"""),34.89)</f>
        <v>34.89</v>
      </c>
      <c r="D294" s="1">
        <f>IFERROR(__xludf.DUMMYFUNCTION("""COMPUTED_VALUE"""),33.7)</f>
        <v>33.7</v>
      </c>
      <c r="E294" s="1">
        <f>IFERROR(__xludf.DUMMYFUNCTION("""COMPUTED_VALUE"""),33.9)</f>
        <v>33.9</v>
      </c>
      <c r="F294" s="1">
        <f>IFERROR(__xludf.DUMMYFUNCTION("""COMPUTED_VALUE"""),3835100.0)</f>
        <v>3835100</v>
      </c>
    </row>
    <row r="295">
      <c r="A295" s="2">
        <f>IFERROR(__xludf.DUMMYFUNCTION("""COMPUTED_VALUE"""),36952.666666666664)</f>
        <v>36952.66667</v>
      </c>
      <c r="B295" s="1">
        <f>IFERROR(__xludf.DUMMYFUNCTION("""COMPUTED_VALUE"""),33.48)</f>
        <v>33.48</v>
      </c>
      <c r="C295" s="1">
        <f>IFERROR(__xludf.DUMMYFUNCTION("""COMPUTED_VALUE"""),34.47)</f>
        <v>34.47</v>
      </c>
      <c r="D295" s="1">
        <f>IFERROR(__xludf.DUMMYFUNCTION("""COMPUTED_VALUE"""),33.46)</f>
        <v>33.46</v>
      </c>
      <c r="E295" s="1">
        <f>IFERROR(__xludf.DUMMYFUNCTION("""COMPUTED_VALUE"""),34.39)</f>
        <v>34.39</v>
      </c>
      <c r="F295" s="1">
        <f>IFERROR(__xludf.DUMMYFUNCTION("""COMPUTED_VALUE"""),2360100.0)</f>
        <v>2360100</v>
      </c>
    </row>
    <row r="296">
      <c r="A296" s="2">
        <f>IFERROR(__xludf.DUMMYFUNCTION("""COMPUTED_VALUE"""),36955.666666666664)</f>
        <v>36955.66667</v>
      </c>
      <c r="B296" s="1">
        <f>IFERROR(__xludf.DUMMYFUNCTION("""COMPUTED_VALUE"""),35.01)</f>
        <v>35.01</v>
      </c>
      <c r="C296" s="1">
        <f>IFERROR(__xludf.DUMMYFUNCTION("""COMPUTED_VALUE"""),35.26)</f>
        <v>35.26</v>
      </c>
      <c r="D296" s="1">
        <f>IFERROR(__xludf.DUMMYFUNCTION("""COMPUTED_VALUE"""),34.47)</f>
        <v>34.47</v>
      </c>
      <c r="E296" s="1">
        <f>IFERROR(__xludf.DUMMYFUNCTION("""COMPUTED_VALUE"""),34.65)</f>
        <v>34.65</v>
      </c>
      <c r="F296" s="1">
        <f>IFERROR(__xludf.DUMMYFUNCTION("""COMPUTED_VALUE"""),2394200.0)</f>
        <v>2394200</v>
      </c>
    </row>
    <row r="297">
      <c r="A297" s="2">
        <f>IFERROR(__xludf.DUMMYFUNCTION("""COMPUTED_VALUE"""),36956.666666666664)</f>
        <v>36956.66667</v>
      </c>
      <c r="B297" s="1">
        <f>IFERROR(__xludf.DUMMYFUNCTION("""COMPUTED_VALUE"""),34.39)</f>
        <v>34.39</v>
      </c>
      <c r="C297" s="1">
        <f>IFERROR(__xludf.DUMMYFUNCTION("""COMPUTED_VALUE"""),34.4)</f>
        <v>34.4</v>
      </c>
      <c r="D297" s="1">
        <f>IFERROR(__xludf.DUMMYFUNCTION("""COMPUTED_VALUE"""),33.93)</f>
        <v>33.93</v>
      </c>
      <c r="E297" s="1">
        <f>IFERROR(__xludf.DUMMYFUNCTION("""COMPUTED_VALUE"""),34.1)</f>
        <v>34.1</v>
      </c>
      <c r="F297" s="1">
        <f>IFERROR(__xludf.DUMMYFUNCTION("""COMPUTED_VALUE"""),2361600.0)</f>
        <v>2361600</v>
      </c>
    </row>
    <row r="298">
      <c r="A298" s="2">
        <f>IFERROR(__xludf.DUMMYFUNCTION("""COMPUTED_VALUE"""),36957.666666666664)</f>
        <v>36957.66667</v>
      </c>
      <c r="B298" s="1">
        <f>IFERROR(__xludf.DUMMYFUNCTION("""COMPUTED_VALUE"""),33.88)</f>
        <v>33.88</v>
      </c>
      <c r="C298" s="1">
        <f>IFERROR(__xludf.DUMMYFUNCTION("""COMPUTED_VALUE"""),34.3)</f>
        <v>34.3</v>
      </c>
      <c r="D298" s="1">
        <f>IFERROR(__xludf.DUMMYFUNCTION("""COMPUTED_VALUE"""),33.59)</f>
        <v>33.59</v>
      </c>
      <c r="E298" s="1">
        <f>IFERROR(__xludf.DUMMYFUNCTION("""COMPUTED_VALUE"""),33.84)</f>
        <v>33.84</v>
      </c>
      <c r="F298" s="1">
        <f>IFERROR(__xludf.DUMMYFUNCTION("""COMPUTED_VALUE"""),1645900.0)</f>
        <v>1645900</v>
      </c>
    </row>
    <row r="299">
      <c r="A299" s="2">
        <f>IFERROR(__xludf.DUMMYFUNCTION("""COMPUTED_VALUE"""),36958.666666666664)</f>
        <v>36958.66667</v>
      </c>
      <c r="B299" s="1">
        <f>IFERROR(__xludf.DUMMYFUNCTION("""COMPUTED_VALUE"""),34.02)</f>
        <v>34.02</v>
      </c>
      <c r="C299" s="1">
        <f>IFERROR(__xludf.DUMMYFUNCTION("""COMPUTED_VALUE"""),35.16)</f>
        <v>35.16</v>
      </c>
      <c r="D299" s="1">
        <f>IFERROR(__xludf.DUMMYFUNCTION("""COMPUTED_VALUE"""),33.73)</f>
        <v>33.73</v>
      </c>
      <c r="E299" s="1">
        <f>IFERROR(__xludf.DUMMYFUNCTION("""COMPUTED_VALUE"""),35.06)</f>
        <v>35.06</v>
      </c>
      <c r="F299" s="1">
        <f>IFERROR(__xludf.DUMMYFUNCTION("""COMPUTED_VALUE"""),2277800.0)</f>
        <v>2277800</v>
      </c>
    </row>
    <row r="300">
      <c r="A300" s="2">
        <f>IFERROR(__xludf.DUMMYFUNCTION("""COMPUTED_VALUE"""),36959.666666666664)</f>
        <v>36959.66667</v>
      </c>
      <c r="B300" s="1">
        <f>IFERROR(__xludf.DUMMYFUNCTION("""COMPUTED_VALUE"""),34.69)</f>
        <v>34.69</v>
      </c>
      <c r="C300" s="1">
        <f>IFERROR(__xludf.DUMMYFUNCTION("""COMPUTED_VALUE"""),34.77)</f>
        <v>34.77</v>
      </c>
      <c r="D300" s="1">
        <f>IFERROR(__xludf.DUMMYFUNCTION("""COMPUTED_VALUE"""),33.91)</f>
        <v>33.91</v>
      </c>
      <c r="E300" s="1">
        <f>IFERROR(__xludf.DUMMYFUNCTION("""COMPUTED_VALUE"""),34.14)</f>
        <v>34.14</v>
      </c>
      <c r="F300" s="1">
        <f>IFERROR(__xludf.DUMMYFUNCTION("""COMPUTED_VALUE"""),2083700.0)</f>
        <v>2083700</v>
      </c>
    </row>
    <row r="301">
      <c r="A301" s="2">
        <f>IFERROR(__xludf.DUMMYFUNCTION("""COMPUTED_VALUE"""),36962.666666666664)</f>
        <v>36962.66667</v>
      </c>
      <c r="B301" s="1">
        <f>IFERROR(__xludf.DUMMYFUNCTION("""COMPUTED_VALUE"""),33.95)</f>
        <v>33.95</v>
      </c>
      <c r="C301" s="1">
        <f>IFERROR(__xludf.DUMMYFUNCTION("""COMPUTED_VALUE"""),34.86)</f>
        <v>34.86</v>
      </c>
      <c r="D301" s="1">
        <f>IFERROR(__xludf.DUMMYFUNCTION("""COMPUTED_VALUE"""),33.58)</f>
        <v>33.58</v>
      </c>
      <c r="E301" s="1">
        <f>IFERROR(__xludf.DUMMYFUNCTION("""COMPUTED_VALUE"""),33.7)</f>
        <v>33.7</v>
      </c>
      <c r="F301" s="1">
        <f>IFERROR(__xludf.DUMMYFUNCTION("""COMPUTED_VALUE"""),2910600.0)</f>
        <v>2910600</v>
      </c>
    </row>
    <row r="302">
      <c r="A302" s="2">
        <f>IFERROR(__xludf.DUMMYFUNCTION("""COMPUTED_VALUE"""),36963.666666666664)</f>
        <v>36963.66667</v>
      </c>
      <c r="B302" s="1">
        <f>IFERROR(__xludf.DUMMYFUNCTION("""COMPUTED_VALUE"""),33.75)</f>
        <v>33.75</v>
      </c>
      <c r="C302" s="1">
        <f>IFERROR(__xludf.DUMMYFUNCTION("""COMPUTED_VALUE"""),34.05)</f>
        <v>34.05</v>
      </c>
      <c r="D302" s="1">
        <f>IFERROR(__xludf.DUMMYFUNCTION("""COMPUTED_VALUE"""),33.21)</f>
        <v>33.21</v>
      </c>
      <c r="E302" s="1">
        <f>IFERROR(__xludf.DUMMYFUNCTION("""COMPUTED_VALUE"""),33.65)</f>
        <v>33.65</v>
      </c>
      <c r="F302" s="1">
        <f>IFERROR(__xludf.DUMMYFUNCTION("""COMPUTED_VALUE"""),1828400.0)</f>
        <v>1828400</v>
      </c>
    </row>
    <row r="303">
      <c r="A303" s="2">
        <f>IFERROR(__xludf.DUMMYFUNCTION("""COMPUTED_VALUE"""),36964.666666666664)</f>
        <v>36964.66667</v>
      </c>
      <c r="B303" s="1">
        <f>IFERROR(__xludf.DUMMYFUNCTION("""COMPUTED_VALUE"""),33.09)</f>
        <v>33.09</v>
      </c>
      <c r="C303" s="1">
        <f>IFERROR(__xludf.DUMMYFUNCTION("""COMPUTED_VALUE"""),33.43)</f>
        <v>33.43</v>
      </c>
      <c r="D303" s="1">
        <f>IFERROR(__xludf.DUMMYFUNCTION("""COMPUTED_VALUE"""),32.78)</f>
        <v>32.78</v>
      </c>
      <c r="E303" s="1">
        <f>IFERROR(__xludf.DUMMYFUNCTION("""COMPUTED_VALUE"""),32.89)</f>
        <v>32.89</v>
      </c>
      <c r="F303" s="1">
        <f>IFERROR(__xludf.DUMMYFUNCTION("""COMPUTED_VALUE"""),2899900.0)</f>
        <v>2899900</v>
      </c>
    </row>
    <row r="304">
      <c r="A304" s="2">
        <f>IFERROR(__xludf.DUMMYFUNCTION("""COMPUTED_VALUE"""),36965.666666666664)</f>
        <v>36965.66667</v>
      </c>
      <c r="B304" s="1">
        <f>IFERROR(__xludf.DUMMYFUNCTION("""COMPUTED_VALUE"""),32.96)</f>
        <v>32.96</v>
      </c>
      <c r="C304" s="1">
        <f>IFERROR(__xludf.DUMMYFUNCTION("""COMPUTED_VALUE"""),33.06)</f>
        <v>33.06</v>
      </c>
      <c r="D304" s="1">
        <f>IFERROR(__xludf.DUMMYFUNCTION("""COMPUTED_VALUE"""),31.56)</f>
        <v>31.56</v>
      </c>
      <c r="E304" s="1">
        <f>IFERROR(__xludf.DUMMYFUNCTION("""COMPUTED_VALUE"""),32.07)</f>
        <v>32.07</v>
      </c>
      <c r="F304" s="1">
        <f>IFERROR(__xludf.DUMMYFUNCTION("""COMPUTED_VALUE"""),3854600.0)</f>
        <v>3854600</v>
      </c>
    </row>
    <row r="305">
      <c r="A305" s="2">
        <f>IFERROR(__xludf.DUMMYFUNCTION("""COMPUTED_VALUE"""),36966.666666666664)</f>
        <v>36966.66667</v>
      </c>
      <c r="B305" s="1">
        <f>IFERROR(__xludf.DUMMYFUNCTION("""COMPUTED_VALUE"""),31.88)</f>
        <v>31.88</v>
      </c>
      <c r="C305" s="1">
        <f>IFERROR(__xludf.DUMMYFUNCTION("""COMPUTED_VALUE"""),32.56)</f>
        <v>32.56</v>
      </c>
      <c r="D305" s="1">
        <f>IFERROR(__xludf.DUMMYFUNCTION("""COMPUTED_VALUE"""),31.55)</f>
        <v>31.55</v>
      </c>
      <c r="E305" s="1">
        <f>IFERROR(__xludf.DUMMYFUNCTION("""COMPUTED_VALUE"""),31.95)</f>
        <v>31.95</v>
      </c>
      <c r="F305" s="1">
        <f>IFERROR(__xludf.DUMMYFUNCTION("""COMPUTED_VALUE"""),4652500.0)</f>
        <v>4652500</v>
      </c>
    </row>
    <row r="306">
      <c r="A306" s="2">
        <f>IFERROR(__xludf.DUMMYFUNCTION("""COMPUTED_VALUE"""),36969.666666666664)</f>
        <v>36969.66667</v>
      </c>
      <c r="B306" s="1">
        <f>IFERROR(__xludf.DUMMYFUNCTION("""COMPUTED_VALUE"""),32.05)</f>
        <v>32.05</v>
      </c>
      <c r="C306" s="1">
        <f>IFERROR(__xludf.DUMMYFUNCTION("""COMPUTED_VALUE"""),33.16)</f>
        <v>33.16</v>
      </c>
      <c r="D306" s="1">
        <f>IFERROR(__xludf.DUMMYFUNCTION("""COMPUTED_VALUE"""),31.93)</f>
        <v>31.93</v>
      </c>
      <c r="E306" s="1">
        <f>IFERROR(__xludf.DUMMYFUNCTION("""COMPUTED_VALUE"""),32.54)</f>
        <v>32.54</v>
      </c>
      <c r="F306" s="1">
        <f>IFERROR(__xludf.DUMMYFUNCTION("""COMPUTED_VALUE"""),3229500.0)</f>
        <v>3229500</v>
      </c>
    </row>
    <row r="307">
      <c r="A307" s="2">
        <f>IFERROR(__xludf.DUMMYFUNCTION("""COMPUTED_VALUE"""),36970.666666666664)</f>
        <v>36970.66667</v>
      </c>
      <c r="B307" s="1">
        <f>IFERROR(__xludf.DUMMYFUNCTION("""COMPUTED_VALUE"""),32.54)</f>
        <v>32.54</v>
      </c>
      <c r="C307" s="1">
        <f>IFERROR(__xludf.DUMMYFUNCTION("""COMPUTED_VALUE"""),33.68)</f>
        <v>33.68</v>
      </c>
      <c r="D307" s="1">
        <f>IFERROR(__xludf.DUMMYFUNCTION("""COMPUTED_VALUE"""),32.39)</f>
        <v>32.39</v>
      </c>
      <c r="E307" s="1">
        <f>IFERROR(__xludf.DUMMYFUNCTION("""COMPUTED_VALUE"""),32.54)</f>
        <v>32.54</v>
      </c>
      <c r="F307" s="1">
        <f>IFERROR(__xludf.DUMMYFUNCTION("""COMPUTED_VALUE"""),2903900.0)</f>
        <v>2903900</v>
      </c>
    </row>
    <row r="308">
      <c r="A308" s="2">
        <f>IFERROR(__xludf.DUMMYFUNCTION("""COMPUTED_VALUE"""),36971.666666666664)</f>
        <v>36971.66667</v>
      </c>
      <c r="B308" s="1">
        <f>IFERROR(__xludf.DUMMYFUNCTION("""COMPUTED_VALUE"""),32.49)</f>
        <v>32.49</v>
      </c>
      <c r="C308" s="1">
        <f>IFERROR(__xludf.DUMMYFUNCTION("""COMPUTED_VALUE"""),32.49)</f>
        <v>32.49</v>
      </c>
      <c r="D308" s="1">
        <f>IFERROR(__xludf.DUMMYFUNCTION("""COMPUTED_VALUE"""),31.11)</f>
        <v>31.11</v>
      </c>
      <c r="E308" s="1">
        <f>IFERROR(__xludf.DUMMYFUNCTION("""COMPUTED_VALUE"""),31.21)</f>
        <v>31.21</v>
      </c>
      <c r="F308" s="1">
        <f>IFERROR(__xludf.DUMMYFUNCTION("""COMPUTED_VALUE"""),4553600.0)</f>
        <v>4553600</v>
      </c>
    </row>
    <row r="309">
      <c r="A309" s="2">
        <f>IFERROR(__xludf.DUMMYFUNCTION("""COMPUTED_VALUE"""),36972.666666666664)</f>
        <v>36972.66667</v>
      </c>
      <c r="B309" s="1">
        <f>IFERROR(__xludf.DUMMYFUNCTION("""COMPUTED_VALUE"""),31.01)</f>
        <v>31.01</v>
      </c>
      <c r="C309" s="1">
        <f>IFERROR(__xludf.DUMMYFUNCTION("""COMPUTED_VALUE"""),31.23)</f>
        <v>31.23</v>
      </c>
      <c r="D309" s="1">
        <f>IFERROR(__xludf.DUMMYFUNCTION("""COMPUTED_VALUE"""),29.78)</f>
        <v>29.78</v>
      </c>
      <c r="E309" s="1">
        <f>IFERROR(__xludf.DUMMYFUNCTION("""COMPUTED_VALUE"""),30.99)</f>
        <v>30.99</v>
      </c>
      <c r="F309" s="1">
        <f>IFERROR(__xludf.DUMMYFUNCTION("""COMPUTED_VALUE"""),4993400.0)</f>
        <v>4993400</v>
      </c>
    </row>
    <row r="310">
      <c r="A310" s="2">
        <f>IFERROR(__xludf.DUMMYFUNCTION("""COMPUTED_VALUE"""),36973.666666666664)</f>
        <v>36973.66667</v>
      </c>
      <c r="B310" s="1">
        <f>IFERROR(__xludf.DUMMYFUNCTION("""COMPUTED_VALUE"""),30.42)</f>
        <v>30.42</v>
      </c>
      <c r="C310" s="1">
        <f>IFERROR(__xludf.DUMMYFUNCTION("""COMPUTED_VALUE"""),30.59)</f>
        <v>30.59</v>
      </c>
      <c r="D310" s="1">
        <f>IFERROR(__xludf.DUMMYFUNCTION("""COMPUTED_VALUE"""),29.56)</f>
        <v>29.56</v>
      </c>
      <c r="E310" s="1">
        <f>IFERROR(__xludf.DUMMYFUNCTION("""COMPUTED_VALUE"""),29.73)</f>
        <v>29.73</v>
      </c>
      <c r="F310" s="1">
        <f>IFERROR(__xludf.DUMMYFUNCTION("""COMPUTED_VALUE"""),4567100.0)</f>
        <v>4567100</v>
      </c>
    </row>
    <row r="311">
      <c r="A311" s="2">
        <f>IFERROR(__xludf.DUMMYFUNCTION("""COMPUTED_VALUE"""),36976.666666666664)</f>
        <v>36976.66667</v>
      </c>
      <c r="B311" s="1">
        <f>IFERROR(__xludf.DUMMYFUNCTION("""COMPUTED_VALUE"""),30.12)</f>
        <v>30.12</v>
      </c>
      <c r="C311" s="1">
        <f>IFERROR(__xludf.DUMMYFUNCTION("""COMPUTED_VALUE"""),30.17)</f>
        <v>30.17</v>
      </c>
      <c r="D311" s="1">
        <f>IFERROR(__xludf.DUMMYFUNCTION("""COMPUTED_VALUE"""),29.26)</f>
        <v>29.26</v>
      </c>
      <c r="E311" s="1">
        <f>IFERROR(__xludf.DUMMYFUNCTION("""COMPUTED_VALUE"""),29.84)</f>
        <v>29.84</v>
      </c>
      <c r="F311" s="1">
        <f>IFERROR(__xludf.DUMMYFUNCTION("""COMPUTED_VALUE"""),4157100.0)</f>
        <v>4157100</v>
      </c>
    </row>
    <row r="312">
      <c r="A312" s="2">
        <f>IFERROR(__xludf.DUMMYFUNCTION("""COMPUTED_VALUE"""),36977.666666666664)</f>
        <v>36977.66667</v>
      </c>
      <c r="B312" s="1">
        <f>IFERROR(__xludf.DUMMYFUNCTION("""COMPUTED_VALUE"""),30.12)</f>
        <v>30.12</v>
      </c>
      <c r="C312" s="1">
        <f>IFERROR(__xludf.DUMMYFUNCTION("""COMPUTED_VALUE"""),31.01)</f>
        <v>31.01</v>
      </c>
      <c r="D312" s="1">
        <f>IFERROR(__xludf.DUMMYFUNCTION("""COMPUTED_VALUE"""),30.12)</f>
        <v>30.12</v>
      </c>
      <c r="E312" s="1">
        <f>IFERROR(__xludf.DUMMYFUNCTION("""COMPUTED_VALUE"""),30.71)</f>
        <v>30.71</v>
      </c>
      <c r="F312" s="1">
        <f>IFERROR(__xludf.DUMMYFUNCTION("""COMPUTED_VALUE"""),3548800.0)</f>
        <v>3548800</v>
      </c>
    </row>
    <row r="313">
      <c r="A313" s="2">
        <f>IFERROR(__xludf.DUMMYFUNCTION("""COMPUTED_VALUE"""),36978.666666666664)</f>
        <v>36978.66667</v>
      </c>
      <c r="B313" s="1">
        <f>IFERROR(__xludf.DUMMYFUNCTION("""COMPUTED_VALUE"""),30.52)</f>
        <v>30.52</v>
      </c>
      <c r="C313" s="1">
        <f>IFERROR(__xludf.DUMMYFUNCTION("""COMPUTED_VALUE"""),30.99)</f>
        <v>30.99</v>
      </c>
      <c r="D313" s="1">
        <f>IFERROR(__xludf.DUMMYFUNCTION("""COMPUTED_VALUE"""),29.98)</f>
        <v>29.98</v>
      </c>
      <c r="E313" s="1">
        <f>IFERROR(__xludf.DUMMYFUNCTION("""COMPUTED_VALUE"""),30.65)</f>
        <v>30.65</v>
      </c>
      <c r="F313" s="1">
        <f>IFERROR(__xludf.DUMMYFUNCTION("""COMPUTED_VALUE"""),2854700.0)</f>
        <v>2854700</v>
      </c>
    </row>
    <row r="314">
      <c r="A314" s="2">
        <f>IFERROR(__xludf.DUMMYFUNCTION("""COMPUTED_VALUE"""),36979.666666666664)</f>
        <v>36979.66667</v>
      </c>
      <c r="B314" s="1">
        <f>IFERROR(__xludf.DUMMYFUNCTION("""COMPUTED_VALUE"""),30.65)</f>
        <v>30.65</v>
      </c>
      <c r="C314" s="1">
        <f>IFERROR(__xludf.DUMMYFUNCTION("""COMPUTED_VALUE"""),31.14)</f>
        <v>31.14</v>
      </c>
      <c r="D314" s="1">
        <f>IFERROR(__xludf.DUMMYFUNCTION("""COMPUTED_VALUE"""),29.93)</f>
        <v>29.93</v>
      </c>
      <c r="E314" s="1">
        <f>IFERROR(__xludf.DUMMYFUNCTION("""COMPUTED_VALUE"""),30.25)</f>
        <v>30.25</v>
      </c>
      <c r="F314" s="1">
        <f>IFERROR(__xludf.DUMMYFUNCTION("""COMPUTED_VALUE"""),2924800.0)</f>
        <v>2924800</v>
      </c>
    </row>
    <row r="315">
      <c r="A315" s="2">
        <f>IFERROR(__xludf.DUMMYFUNCTION("""COMPUTED_VALUE"""),36980.666666666664)</f>
        <v>36980.66667</v>
      </c>
      <c r="B315" s="1">
        <f>IFERROR(__xludf.DUMMYFUNCTION("""COMPUTED_VALUE"""),30.37)</f>
        <v>30.37</v>
      </c>
      <c r="C315" s="1">
        <f>IFERROR(__xludf.DUMMYFUNCTION("""COMPUTED_VALUE"""),31.01)</f>
        <v>31.01</v>
      </c>
      <c r="D315" s="1">
        <f>IFERROR(__xludf.DUMMYFUNCTION("""COMPUTED_VALUE"""),29.9)</f>
        <v>29.9</v>
      </c>
      <c r="E315" s="1">
        <f>IFERROR(__xludf.DUMMYFUNCTION("""COMPUTED_VALUE"""),30.91)</f>
        <v>30.91</v>
      </c>
      <c r="F315" s="1">
        <f>IFERROR(__xludf.DUMMYFUNCTION("""COMPUTED_VALUE"""),2528700.0)</f>
        <v>2528700</v>
      </c>
    </row>
    <row r="316">
      <c r="A316" s="2">
        <f>IFERROR(__xludf.DUMMYFUNCTION("""COMPUTED_VALUE"""),36983.666666666664)</f>
        <v>36983.66667</v>
      </c>
      <c r="B316" s="1">
        <f>IFERROR(__xludf.DUMMYFUNCTION("""COMPUTED_VALUE"""),31.11)</f>
        <v>31.11</v>
      </c>
      <c r="C316" s="1">
        <f>IFERROR(__xludf.DUMMYFUNCTION("""COMPUTED_VALUE"""),31.43)</f>
        <v>31.43</v>
      </c>
      <c r="D316" s="1">
        <f>IFERROR(__xludf.DUMMYFUNCTION("""COMPUTED_VALUE"""),30.17)</f>
        <v>30.17</v>
      </c>
      <c r="E316" s="1">
        <f>IFERROR(__xludf.DUMMYFUNCTION("""COMPUTED_VALUE"""),30.42)</f>
        <v>30.42</v>
      </c>
      <c r="F316" s="1">
        <f>IFERROR(__xludf.DUMMYFUNCTION("""COMPUTED_VALUE"""),2685500.0)</f>
        <v>2685500</v>
      </c>
    </row>
    <row r="317">
      <c r="A317" s="2">
        <f>IFERROR(__xludf.DUMMYFUNCTION("""COMPUTED_VALUE"""),36984.666666666664)</f>
        <v>36984.66667</v>
      </c>
      <c r="B317" s="1">
        <f>IFERROR(__xludf.DUMMYFUNCTION("""COMPUTED_VALUE"""),30.15)</f>
        <v>30.15</v>
      </c>
      <c r="C317" s="1">
        <f>IFERROR(__xludf.DUMMYFUNCTION("""COMPUTED_VALUE"""),30.49)</f>
        <v>30.49</v>
      </c>
      <c r="D317" s="1">
        <f>IFERROR(__xludf.DUMMYFUNCTION("""COMPUTED_VALUE"""),29.66)</f>
        <v>29.66</v>
      </c>
      <c r="E317" s="1">
        <f>IFERROR(__xludf.DUMMYFUNCTION("""COMPUTED_VALUE"""),30.17)</f>
        <v>30.17</v>
      </c>
      <c r="F317" s="1">
        <f>IFERROR(__xludf.DUMMYFUNCTION("""COMPUTED_VALUE"""),2962900.0)</f>
        <v>2962900</v>
      </c>
    </row>
    <row r="318">
      <c r="A318" s="2">
        <f>IFERROR(__xludf.DUMMYFUNCTION("""COMPUTED_VALUE"""),36985.666666666664)</f>
        <v>36985.66667</v>
      </c>
      <c r="B318" s="1">
        <f>IFERROR(__xludf.DUMMYFUNCTION("""COMPUTED_VALUE"""),29.83)</f>
        <v>29.83</v>
      </c>
      <c r="C318" s="1">
        <f>IFERROR(__xludf.DUMMYFUNCTION("""COMPUTED_VALUE"""),30.12)</f>
        <v>30.12</v>
      </c>
      <c r="D318" s="1">
        <f>IFERROR(__xludf.DUMMYFUNCTION("""COMPUTED_VALUE"""),29.09)</f>
        <v>29.09</v>
      </c>
      <c r="E318" s="1">
        <f>IFERROR(__xludf.DUMMYFUNCTION("""COMPUTED_VALUE"""),30.06)</f>
        <v>30.06</v>
      </c>
      <c r="F318" s="1">
        <f>IFERROR(__xludf.DUMMYFUNCTION("""COMPUTED_VALUE"""),3344700.0)</f>
        <v>3344700</v>
      </c>
    </row>
    <row r="319">
      <c r="A319" s="2">
        <f>IFERROR(__xludf.DUMMYFUNCTION("""COMPUTED_VALUE"""),36986.666666666664)</f>
        <v>36986.66667</v>
      </c>
      <c r="B319" s="1">
        <f>IFERROR(__xludf.DUMMYFUNCTION("""COMPUTED_VALUE"""),30.12)</f>
        <v>30.12</v>
      </c>
      <c r="C319" s="1">
        <f>IFERROR(__xludf.DUMMYFUNCTION("""COMPUTED_VALUE"""),30.44)</f>
        <v>30.44</v>
      </c>
      <c r="D319" s="1">
        <f>IFERROR(__xludf.DUMMYFUNCTION("""COMPUTED_VALUE"""),29.63)</f>
        <v>29.63</v>
      </c>
      <c r="E319" s="1">
        <f>IFERROR(__xludf.DUMMYFUNCTION("""COMPUTED_VALUE"""),30.39)</f>
        <v>30.39</v>
      </c>
      <c r="F319" s="1">
        <f>IFERROR(__xludf.DUMMYFUNCTION("""COMPUTED_VALUE"""),2789000.0)</f>
        <v>2789000</v>
      </c>
    </row>
    <row r="320">
      <c r="A320" s="2">
        <f>IFERROR(__xludf.DUMMYFUNCTION("""COMPUTED_VALUE"""),36987.666666666664)</f>
        <v>36987.66667</v>
      </c>
      <c r="B320" s="1">
        <f>IFERROR(__xludf.DUMMYFUNCTION("""COMPUTED_VALUE"""),30.37)</f>
        <v>30.37</v>
      </c>
      <c r="C320" s="1">
        <f>IFERROR(__xludf.DUMMYFUNCTION("""COMPUTED_VALUE"""),30.77)</f>
        <v>30.77</v>
      </c>
      <c r="D320" s="1">
        <f>IFERROR(__xludf.DUMMYFUNCTION("""COMPUTED_VALUE"""),29.58)</f>
        <v>29.58</v>
      </c>
      <c r="E320" s="1">
        <f>IFERROR(__xludf.DUMMYFUNCTION("""COMPUTED_VALUE"""),30.46)</f>
        <v>30.46</v>
      </c>
      <c r="F320" s="1">
        <f>IFERROR(__xludf.DUMMYFUNCTION("""COMPUTED_VALUE"""),2279300.0)</f>
        <v>2279300</v>
      </c>
    </row>
    <row r="321">
      <c r="A321" s="2">
        <f>IFERROR(__xludf.DUMMYFUNCTION("""COMPUTED_VALUE"""),36990.666666666664)</f>
        <v>36990.66667</v>
      </c>
      <c r="B321" s="1">
        <f>IFERROR(__xludf.DUMMYFUNCTION("""COMPUTED_VALUE"""),30.62)</f>
        <v>30.62</v>
      </c>
      <c r="C321" s="1">
        <f>IFERROR(__xludf.DUMMYFUNCTION("""COMPUTED_VALUE"""),30.62)</f>
        <v>30.62</v>
      </c>
      <c r="D321" s="1">
        <f>IFERROR(__xludf.DUMMYFUNCTION("""COMPUTED_VALUE"""),29.6)</f>
        <v>29.6</v>
      </c>
      <c r="E321" s="1">
        <f>IFERROR(__xludf.DUMMYFUNCTION("""COMPUTED_VALUE"""),29.8)</f>
        <v>29.8</v>
      </c>
      <c r="F321" s="1">
        <f>IFERROR(__xludf.DUMMYFUNCTION("""COMPUTED_VALUE"""),2259500.0)</f>
        <v>2259500</v>
      </c>
    </row>
    <row r="322">
      <c r="A322" s="2">
        <f>IFERROR(__xludf.DUMMYFUNCTION("""COMPUTED_VALUE"""),36991.666666666664)</f>
        <v>36991.66667</v>
      </c>
      <c r="B322" s="1">
        <f>IFERROR(__xludf.DUMMYFUNCTION("""COMPUTED_VALUE"""),29.63)</f>
        <v>29.63</v>
      </c>
      <c r="C322" s="1">
        <f>IFERROR(__xludf.DUMMYFUNCTION("""COMPUTED_VALUE"""),29.73)</f>
        <v>29.73</v>
      </c>
      <c r="D322" s="1">
        <f>IFERROR(__xludf.DUMMYFUNCTION("""COMPUTED_VALUE"""),28.52)</f>
        <v>28.52</v>
      </c>
      <c r="E322" s="1">
        <f>IFERROR(__xludf.DUMMYFUNCTION("""COMPUTED_VALUE"""),28.99)</f>
        <v>28.99</v>
      </c>
      <c r="F322" s="1">
        <f>IFERROR(__xludf.DUMMYFUNCTION("""COMPUTED_VALUE"""),4429000.0)</f>
        <v>4429000</v>
      </c>
    </row>
    <row r="323">
      <c r="A323" s="2">
        <f>IFERROR(__xludf.DUMMYFUNCTION("""COMPUTED_VALUE"""),36992.666666666664)</f>
        <v>36992.66667</v>
      </c>
      <c r="B323" s="1">
        <f>IFERROR(__xludf.DUMMYFUNCTION("""COMPUTED_VALUE"""),28.64)</f>
        <v>28.64</v>
      </c>
      <c r="C323" s="1">
        <f>IFERROR(__xludf.DUMMYFUNCTION("""COMPUTED_VALUE"""),29.16)</f>
        <v>29.16</v>
      </c>
      <c r="D323" s="1">
        <f>IFERROR(__xludf.DUMMYFUNCTION("""COMPUTED_VALUE"""),28.38)</f>
        <v>28.38</v>
      </c>
      <c r="E323" s="1">
        <f>IFERROR(__xludf.DUMMYFUNCTION("""COMPUTED_VALUE"""),29.13)</f>
        <v>29.13</v>
      </c>
      <c r="F323" s="1">
        <f>IFERROR(__xludf.DUMMYFUNCTION("""COMPUTED_VALUE"""),3241300.0)</f>
        <v>3241300</v>
      </c>
    </row>
    <row r="324">
      <c r="A324" s="2">
        <f>IFERROR(__xludf.DUMMYFUNCTION("""COMPUTED_VALUE"""),36993.666666666664)</f>
        <v>36993.66667</v>
      </c>
      <c r="B324" s="1">
        <f>IFERROR(__xludf.DUMMYFUNCTION("""COMPUTED_VALUE"""),29.09)</f>
        <v>29.09</v>
      </c>
      <c r="C324" s="1">
        <f>IFERROR(__xludf.DUMMYFUNCTION("""COMPUTED_VALUE"""),29.35)</f>
        <v>29.35</v>
      </c>
      <c r="D324" s="1">
        <f>IFERROR(__xludf.DUMMYFUNCTION("""COMPUTED_VALUE"""),28.69)</f>
        <v>28.69</v>
      </c>
      <c r="E324" s="1">
        <f>IFERROR(__xludf.DUMMYFUNCTION("""COMPUTED_VALUE"""),29.04)</f>
        <v>29.04</v>
      </c>
      <c r="F324" s="1">
        <f>IFERROR(__xludf.DUMMYFUNCTION("""COMPUTED_VALUE"""),2331100.0)</f>
        <v>2331100</v>
      </c>
    </row>
    <row r="325">
      <c r="A325" s="2">
        <f>IFERROR(__xludf.DUMMYFUNCTION("""COMPUTED_VALUE"""),36997.666666666664)</f>
        <v>36997.66667</v>
      </c>
      <c r="B325" s="1">
        <f>IFERROR(__xludf.DUMMYFUNCTION("""COMPUTED_VALUE"""),29.24)</f>
        <v>29.24</v>
      </c>
      <c r="C325" s="1">
        <f>IFERROR(__xludf.DUMMYFUNCTION("""COMPUTED_VALUE"""),29.6)</f>
        <v>29.6</v>
      </c>
      <c r="D325" s="1">
        <f>IFERROR(__xludf.DUMMYFUNCTION("""COMPUTED_VALUE"""),28.67)</f>
        <v>28.67</v>
      </c>
      <c r="E325" s="1">
        <f>IFERROR(__xludf.DUMMYFUNCTION("""COMPUTED_VALUE"""),29.21)</f>
        <v>29.21</v>
      </c>
      <c r="F325" s="1">
        <f>IFERROR(__xludf.DUMMYFUNCTION("""COMPUTED_VALUE"""),2349300.0)</f>
        <v>2349300</v>
      </c>
    </row>
    <row r="326">
      <c r="A326" s="2">
        <f>IFERROR(__xludf.DUMMYFUNCTION("""COMPUTED_VALUE"""),36998.666666666664)</f>
        <v>36998.66667</v>
      </c>
      <c r="B326" s="1">
        <f>IFERROR(__xludf.DUMMYFUNCTION("""COMPUTED_VALUE"""),28.79)</f>
        <v>28.79</v>
      </c>
      <c r="C326" s="1">
        <f>IFERROR(__xludf.DUMMYFUNCTION("""COMPUTED_VALUE"""),28.96)</f>
        <v>28.96</v>
      </c>
      <c r="D326" s="1">
        <f>IFERROR(__xludf.DUMMYFUNCTION("""COMPUTED_VALUE"""),27.65)</f>
        <v>27.65</v>
      </c>
      <c r="E326" s="1">
        <f>IFERROR(__xludf.DUMMYFUNCTION("""COMPUTED_VALUE"""),28.35)</f>
        <v>28.35</v>
      </c>
      <c r="F326" s="1">
        <f>IFERROR(__xludf.DUMMYFUNCTION("""COMPUTED_VALUE"""),5663000.0)</f>
        <v>5663000</v>
      </c>
    </row>
    <row r="327">
      <c r="A327" s="2">
        <f>IFERROR(__xludf.DUMMYFUNCTION("""COMPUTED_VALUE"""),36999.666666666664)</f>
        <v>36999.66667</v>
      </c>
      <c r="B327" s="1">
        <f>IFERROR(__xludf.DUMMYFUNCTION("""COMPUTED_VALUE"""),28.52)</f>
        <v>28.52</v>
      </c>
      <c r="C327" s="1">
        <f>IFERROR(__xludf.DUMMYFUNCTION("""COMPUTED_VALUE"""),29.26)</f>
        <v>29.26</v>
      </c>
      <c r="D327" s="1">
        <f>IFERROR(__xludf.DUMMYFUNCTION("""COMPUTED_VALUE"""),28.02)</f>
        <v>28.02</v>
      </c>
      <c r="E327" s="1">
        <f>IFERROR(__xludf.DUMMYFUNCTION("""COMPUTED_VALUE"""),28.36)</f>
        <v>28.36</v>
      </c>
      <c r="F327" s="1">
        <f>IFERROR(__xludf.DUMMYFUNCTION("""COMPUTED_VALUE"""),4269100.0)</f>
        <v>4269100</v>
      </c>
    </row>
    <row r="328">
      <c r="A328" s="2">
        <f>IFERROR(__xludf.DUMMYFUNCTION("""COMPUTED_VALUE"""),37000.666666666664)</f>
        <v>37000.66667</v>
      </c>
      <c r="B328" s="1">
        <f>IFERROR(__xludf.DUMMYFUNCTION("""COMPUTED_VALUE"""),28.59)</f>
        <v>28.59</v>
      </c>
      <c r="C328" s="1">
        <f>IFERROR(__xludf.DUMMYFUNCTION("""COMPUTED_VALUE"""),29.13)</f>
        <v>29.13</v>
      </c>
      <c r="D328" s="1">
        <f>IFERROR(__xludf.DUMMYFUNCTION("""COMPUTED_VALUE"""),28.39)</f>
        <v>28.39</v>
      </c>
      <c r="E328" s="1">
        <f>IFERROR(__xludf.DUMMYFUNCTION("""COMPUTED_VALUE"""),29.12)</f>
        <v>29.12</v>
      </c>
      <c r="F328" s="1">
        <f>IFERROR(__xludf.DUMMYFUNCTION("""COMPUTED_VALUE"""),3478400.0)</f>
        <v>3478400</v>
      </c>
    </row>
    <row r="329">
      <c r="A329" s="2">
        <f>IFERROR(__xludf.DUMMYFUNCTION("""COMPUTED_VALUE"""),37001.666666666664)</f>
        <v>37001.66667</v>
      </c>
      <c r="B329" s="1">
        <f>IFERROR(__xludf.DUMMYFUNCTION("""COMPUTED_VALUE"""),28.99)</f>
        <v>28.99</v>
      </c>
      <c r="C329" s="1">
        <f>IFERROR(__xludf.DUMMYFUNCTION("""COMPUTED_VALUE"""),29.43)</f>
        <v>29.43</v>
      </c>
      <c r="D329" s="1">
        <f>IFERROR(__xludf.DUMMYFUNCTION("""COMPUTED_VALUE"""),28.48)</f>
        <v>28.48</v>
      </c>
      <c r="E329" s="1">
        <f>IFERROR(__xludf.DUMMYFUNCTION("""COMPUTED_VALUE"""),28.64)</f>
        <v>28.64</v>
      </c>
      <c r="F329" s="1">
        <f>IFERROR(__xludf.DUMMYFUNCTION("""COMPUTED_VALUE"""),3548400.0)</f>
        <v>3548400</v>
      </c>
    </row>
    <row r="330">
      <c r="A330" s="2">
        <f>IFERROR(__xludf.DUMMYFUNCTION("""COMPUTED_VALUE"""),37004.666666666664)</f>
        <v>37004.66667</v>
      </c>
      <c r="B330" s="1">
        <f>IFERROR(__xludf.DUMMYFUNCTION("""COMPUTED_VALUE"""),28.64)</f>
        <v>28.64</v>
      </c>
      <c r="C330" s="1">
        <f>IFERROR(__xludf.DUMMYFUNCTION("""COMPUTED_VALUE"""),28.84)</f>
        <v>28.84</v>
      </c>
      <c r="D330" s="1">
        <f>IFERROR(__xludf.DUMMYFUNCTION("""COMPUTED_VALUE"""),28.53)</f>
        <v>28.53</v>
      </c>
      <c r="E330" s="1">
        <f>IFERROR(__xludf.DUMMYFUNCTION("""COMPUTED_VALUE"""),28.67)</f>
        <v>28.67</v>
      </c>
      <c r="F330" s="1">
        <f>IFERROR(__xludf.DUMMYFUNCTION("""COMPUTED_VALUE"""),2648900.0)</f>
        <v>2648900</v>
      </c>
    </row>
    <row r="331">
      <c r="A331" s="2">
        <f>IFERROR(__xludf.DUMMYFUNCTION("""COMPUTED_VALUE"""),37005.666666666664)</f>
        <v>37005.66667</v>
      </c>
      <c r="B331" s="1">
        <f>IFERROR(__xludf.DUMMYFUNCTION("""COMPUTED_VALUE"""),28.15)</f>
        <v>28.15</v>
      </c>
      <c r="C331" s="1">
        <f>IFERROR(__xludf.DUMMYFUNCTION("""COMPUTED_VALUE"""),28.51)</f>
        <v>28.51</v>
      </c>
      <c r="D331" s="1">
        <f>IFERROR(__xludf.DUMMYFUNCTION("""COMPUTED_VALUE"""),27.75)</f>
        <v>27.75</v>
      </c>
      <c r="E331" s="1">
        <f>IFERROR(__xludf.DUMMYFUNCTION("""COMPUTED_VALUE"""),27.97)</f>
        <v>27.97</v>
      </c>
      <c r="F331" s="1">
        <f>IFERROR(__xludf.DUMMYFUNCTION("""COMPUTED_VALUE"""),4638700.0)</f>
        <v>4638700</v>
      </c>
    </row>
    <row r="332">
      <c r="A332" s="2">
        <f>IFERROR(__xludf.DUMMYFUNCTION("""COMPUTED_VALUE"""),37006.666666666664)</f>
        <v>37006.66667</v>
      </c>
      <c r="B332" s="1">
        <f>IFERROR(__xludf.DUMMYFUNCTION("""COMPUTED_VALUE"""),28.05)</f>
        <v>28.05</v>
      </c>
      <c r="C332" s="1">
        <f>IFERROR(__xludf.DUMMYFUNCTION("""COMPUTED_VALUE"""),28.54)</f>
        <v>28.54</v>
      </c>
      <c r="D332" s="1">
        <f>IFERROR(__xludf.DUMMYFUNCTION("""COMPUTED_VALUE"""),28.0)</f>
        <v>28</v>
      </c>
      <c r="E332" s="1">
        <f>IFERROR(__xludf.DUMMYFUNCTION("""COMPUTED_VALUE"""),28.42)</f>
        <v>28.42</v>
      </c>
      <c r="F332" s="1">
        <f>IFERROR(__xludf.DUMMYFUNCTION("""COMPUTED_VALUE"""),3264100.0)</f>
        <v>3264100</v>
      </c>
    </row>
    <row r="333">
      <c r="A333" s="2">
        <f>IFERROR(__xludf.DUMMYFUNCTION("""COMPUTED_VALUE"""),37007.666666666664)</f>
        <v>37007.66667</v>
      </c>
      <c r="B333" s="1">
        <f>IFERROR(__xludf.DUMMYFUNCTION("""COMPUTED_VALUE"""),28.69)</f>
        <v>28.69</v>
      </c>
      <c r="C333" s="1">
        <f>IFERROR(__xludf.DUMMYFUNCTION("""COMPUTED_VALUE"""),28.79)</f>
        <v>28.79</v>
      </c>
      <c r="D333" s="1">
        <f>IFERROR(__xludf.DUMMYFUNCTION("""COMPUTED_VALUE"""),28.54)</f>
        <v>28.54</v>
      </c>
      <c r="E333" s="1">
        <f>IFERROR(__xludf.DUMMYFUNCTION("""COMPUTED_VALUE"""),28.79)</f>
        <v>28.79</v>
      </c>
      <c r="F333" s="1">
        <f>IFERROR(__xludf.DUMMYFUNCTION("""COMPUTED_VALUE"""),3120400.0)</f>
        <v>3120400</v>
      </c>
    </row>
    <row r="334">
      <c r="A334" s="2">
        <f>IFERROR(__xludf.DUMMYFUNCTION("""COMPUTED_VALUE"""),37008.666666666664)</f>
        <v>37008.66667</v>
      </c>
      <c r="B334" s="1">
        <f>IFERROR(__xludf.DUMMYFUNCTION("""COMPUTED_VALUE"""),28.84)</f>
        <v>28.84</v>
      </c>
      <c r="C334" s="1">
        <f>IFERROR(__xludf.DUMMYFUNCTION("""COMPUTED_VALUE"""),29.55)</f>
        <v>29.55</v>
      </c>
      <c r="D334" s="1">
        <f>IFERROR(__xludf.DUMMYFUNCTION("""COMPUTED_VALUE"""),28.69)</f>
        <v>28.69</v>
      </c>
      <c r="E334" s="1">
        <f>IFERROR(__xludf.DUMMYFUNCTION("""COMPUTED_VALUE"""),29.55)</f>
        <v>29.55</v>
      </c>
      <c r="F334" s="1">
        <f>IFERROR(__xludf.DUMMYFUNCTION("""COMPUTED_VALUE"""),2104400.0)</f>
        <v>2104400</v>
      </c>
    </row>
    <row r="335">
      <c r="A335" s="2">
        <f>IFERROR(__xludf.DUMMYFUNCTION("""COMPUTED_VALUE"""),37011.666666666664)</f>
        <v>37011.66667</v>
      </c>
      <c r="B335" s="1">
        <f>IFERROR(__xludf.DUMMYFUNCTION("""COMPUTED_VALUE"""),29.65)</f>
        <v>29.65</v>
      </c>
      <c r="C335" s="1">
        <f>IFERROR(__xludf.DUMMYFUNCTION("""COMPUTED_VALUE"""),29.77)</f>
        <v>29.77</v>
      </c>
      <c r="D335" s="1">
        <f>IFERROR(__xludf.DUMMYFUNCTION("""COMPUTED_VALUE"""),29.26)</f>
        <v>29.26</v>
      </c>
      <c r="E335" s="1">
        <f>IFERROR(__xludf.DUMMYFUNCTION("""COMPUTED_VALUE"""),29.65)</f>
        <v>29.65</v>
      </c>
      <c r="F335" s="1">
        <f>IFERROR(__xludf.DUMMYFUNCTION("""COMPUTED_VALUE"""),3665100.0)</f>
        <v>3665100</v>
      </c>
    </row>
    <row r="336">
      <c r="A336" s="2">
        <f>IFERROR(__xludf.DUMMYFUNCTION("""COMPUTED_VALUE"""),37012.666666666664)</f>
        <v>37012.66667</v>
      </c>
      <c r="B336" s="1">
        <f>IFERROR(__xludf.DUMMYFUNCTION("""COMPUTED_VALUE"""),31.01)</f>
        <v>31.01</v>
      </c>
      <c r="C336" s="1">
        <f>IFERROR(__xludf.DUMMYFUNCTION("""COMPUTED_VALUE"""),32.02)</f>
        <v>32.02</v>
      </c>
      <c r="D336" s="1">
        <f>IFERROR(__xludf.DUMMYFUNCTION("""COMPUTED_VALUE"""),30.74)</f>
        <v>30.74</v>
      </c>
      <c r="E336" s="1">
        <f>IFERROR(__xludf.DUMMYFUNCTION("""COMPUTED_VALUE"""),31.69)</f>
        <v>31.69</v>
      </c>
      <c r="F336" s="1">
        <f>IFERROR(__xludf.DUMMYFUNCTION("""COMPUTED_VALUE"""),7129000.0)</f>
        <v>7129000</v>
      </c>
    </row>
    <row r="337">
      <c r="A337" s="2">
        <f>IFERROR(__xludf.DUMMYFUNCTION("""COMPUTED_VALUE"""),37013.666666666664)</f>
        <v>37013.66667</v>
      </c>
      <c r="B337" s="1">
        <f>IFERROR(__xludf.DUMMYFUNCTION("""COMPUTED_VALUE"""),32.02)</f>
        <v>32.02</v>
      </c>
      <c r="C337" s="1">
        <f>IFERROR(__xludf.DUMMYFUNCTION("""COMPUTED_VALUE"""),32.02)</f>
        <v>32.02</v>
      </c>
      <c r="D337" s="1">
        <f>IFERROR(__xludf.DUMMYFUNCTION("""COMPUTED_VALUE"""),31.36)</f>
        <v>31.36</v>
      </c>
      <c r="E337" s="1">
        <f>IFERROR(__xludf.DUMMYFUNCTION("""COMPUTED_VALUE"""),31.68)</f>
        <v>31.68</v>
      </c>
      <c r="F337" s="1">
        <f>IFERROR(__xludf.DUMMYFUNCTION("""COMPUTED_VALUE"""),5833100.0)</f>
        <v>5833100</v>
      </c>
    </row>
    <row r="338">
      <c r="A338" s="2">
        <f>IFERROR(__xludf.DUMMYFUNCTION("""COMPUTED_VALUE"""),37014.666666666664)</f>
        <v>37014.66667</v>
      </c>
      <c r="B338" s="1">
        <f>IFERROR(__xludf.DUMMYFUNCTION("""COMPUTED_VALUE"""),31.98)</f>
        <v>31.98</v>
      </c>
      <c r="C338" s="1">
        <f>IFERROR(__xludf.DUMMYFUNCTION("""COMPUTED_VALUE"""),31.98)</f>
        <v>31.98</v>
      </c>
      <c r="D338" s="1">
        <f>IFERROR(__xludf.DUMMYFUNCTION("""COMPUTED_VALUE"""),31.45)</f>
        <v>31.45</v>
      </c>
      <c r="E338" s="1">
        <f>IFERROR(__xludf.DUMMYFUNCTION("""COMPUTED_VALUE"""),31.74)</f>
        <v>31.74</v>
      </c>
      <c r="F338" s="1">
        <f>IFERROR(__xludf.DUMMYFUNCTION("""COMPUTED_VALUE"""),3653400.0)</f>
        <v>3653400</v>
      </c>
    </row>
    <row r="339">
      <c r="A339" s="2">
        <f>IFERROR(__xludf.DUMMYFUNCTION("""COMPUTED_VALUE"""),37015.666666666664)</f>
        <v>37015.66667</v>
      </c>
      <c r="B339" s="1">
        <f>IFERROR(__xludf.DUMMYFUNCTION("""COMPUTED_VALUE"""),31.48)</f>
        <v>31.48</v>
      </c>
      <c r="C339" s="1">
        <f>IFERROR(__xludf.DUMMYFUNCTION("""COMPUTED_VALUE"""),31.86)</f>
        <v>31.86</v>
      </c>
      <c r="D339" s="1">
        <f>IFERROR(__xludf.DUMMYFUNCTION("""COMPUTED_VALUE"""),31.23)</f>
        <v>31.23</v>
      </c>
      <c r="E339" s="1">
        <f>IFERROR(__xludf.DUMMYFUNCTION("""COMPUTED_VALUE"""),31.74)</f>
        <v>31.74</v>
      </c>
      <c r="F339" s="1">
        <f>IFERROR(__xludf.DUMMYFUNCTION("""COMPUTED_VALUE"""),2543500.0)</f>
        <v>2543500</v>
      </c>
    </row>
    <row r="340">
      <c r="A340" s="2">
        <f>IFERROR(__xludf.DUMMYFUNCTION("""COMPUTED_VALUE"""),37018.666666666664)</f>
        <v>37018.66667</v>
      </c>
      <c r="B340" s="1">
        <f>IFERROR(__xludf.DUMMYFUNCTION("""COMPUTED_VALUE"""),31.8)</f>
        <v>31.8</v>
      </c>
      <c r="C340" s="1">
        <f>IFERROR(__xludf.DUMMYFUNCTION("""COMPUTED_VALUE"""),32.05)</f>
        <v>32.05</v>
      </c>
      <c r="D340" s="1">
        <f>IFERROR(__xludf.DUMMYFUNCTION("""COMPUTED_VALUE"""),31.56)</f>
        <v>31.56</v>
      </c>
      <c r="E340" s="1">
        <f>IFERROR(__xludf.DUMMYFUNCTION("""COMPUTED_VALUE"""),31.93)</f>
        <v>31.93</v>
      </c>
      <c r="F340" s="1">
        <f>IFERROR(__xludf.DUMMYFUNCTION("""COMPUTED_VALUE"""),1486800.0)</f>
        <v>1486800</v>
      </c>
    </row>
    <row r="341">
      <c r="A341" s="2">
        <f>IFERROR(__xludf.DUMMYFUNCTION("""COMPUTED_VALUE"""),37019.666666666664)</f>
        <v>37019.66667</v>
      </c>
      <c r="B341" s="1">
        <f>IFERROR(__xludf.DUMMYFUNCTION("""COMPUTED_VALUE"""),31.85)</f>
        <v>31.85</v>
      </c>
      <c r="C341" s="1">
        <f>IFERROR(__xludf.DUMMYFUNCTION("""COMPUTED_VALUE"""),31.98)</f>
        <v>31.98</v>
      </c>
      <c r="D341" s="1">
        <f>IFERROR(__xludf.DUMMYFUNCTION("""COMPUTED_VALUE"""),31.38)</f>
        <v>31.38</v>
      </c>
      <c r="E341" s="1">
        <f>IFERROR(__xludf.DUMMYFUNCTION("""COMPUTED_VALUE"""),31.85)</f>
        <v>31.85</v>
      </c>
      <c r="F341" s="1">
        <f>IFERROR(__xludf.DUMMYFUNCTION("""COMPUTED_VALUE"""),1899900.0)</f>
        <v>1899900</v>
      </c>
    </row>
    <row r="342">
      <c r="A342" s="2">
        <f>IFERROR(__xludf.DUMMYFUNCTION("""COMPUTED_VALUE"""),37020.666666666664)</f>
        <v>37020.66667</v>
      </c>
      <c r="B342" s="1">
        <f>IFERROR(__xludf.DUMMYFUNCTION("""COMPUTED_VALUE"""),31.85)</f>
        <v>31.85</v>
      </c>
      <c r="C342" s="1">
        <f>IFERROR(__xludf.DUMMYFUNCTION("""COMPUTED_VALUE"""),32.71)</f>
        <v>32.71</v>
      </c>
      <c r="D342" s="1">
        <f>IFERROR(__xludf.DUMMYFUNCTION("""COMPUTED_VALUE"""),31.58)</f>
        <v>31.58</v>
      </c>
      <c r="E342" s="1">
        <f>IFERROR(__xludf.DUMMYFUNCTION("""COMPUTED_VALUE"""),32.69)</f>
        <v>32.69</v>
      </c>
      <c r="F342" s="1">
        <f>IFERROR(__xludf.DUMMYFUNCTION("""COMPUTED_VALUE"""),3470200.0)</f>
        <v>3470200</v>
      </c>
    </row>
    <row r="343">
      <c r="A343" s="2">
        <f>IFERROR(__xludf.DUMMYFUNCTION("""COMPUTED_VALUE"""),37021.666666666664)</f>
        <v>37021.66667</v>
      </c>
      <c r="B343" s="1">
        <f>IFERROR(__xludf.DUMMYFUNCTION("""COMPUTED_VALUE"""),32.81)</f>
        <v>32.81</v>
      </c>
      <c r="C343" s="1">
        <f>IFERROR(__xludf.DUMMYFUNCTION("""COMPUTED_VALUE"""),32.84)</f>
        <v>32.84</v>
      </c>
      <c r="D343" s="1">
        <f>IFERROR(__xludf.DUMMYFUNCTION("""COMPUTED_VALUE"""),32.15)</f>
        <v>32.15</v>
      </c>
      <c r="E343" s="1">
        <f>IFERROR(__xludf.DUMMYFUNCTION("""COMPUTED_VALUE"""),32.51)</f>
        <v>32.51</v>
      </c>
      <c r="F343" s="1">
        <f>IFERROR(__xludf.DUMMYFUNCTION("""COMPUTED_VALUE"""),2035400.0)</f>
        <v>2035400</v>
      </c>
    </row>
    <row r="344">
      <c r="A344" s="2">
        <f>IFERROR(__xludf.DUMMYFUNCTION("""COMPUTED_VALUE"""),37022.666666666664)</f>
        <v>37022.66667</v>
      </c>
      <c r="B344" s="1">
        <f>IFERROR(__xludf.DUMMYFUNCTION("""COMPUTED_VALUE"""),32.51)</f>
        <v>32.51</v>
      </c>
      <c r="C344" s="1">
        <f>IFERROR(__xludf.DUMMYFUNCTION("""COMPUTED_VALUE"""),32.73)</f>
        <v>32.73</v>
      </c>
      <c r="D344" s="1">
        <f>IFERROR(__xludf.DUMMYFUNCTION("""COMPUTED_VALUE"""),32.17)</f>
        <v>32.17</v>
      </c>
      <c r="E344" s="1">
        <f>IFERROR(__xludf.DUMMYFUNCTION("""COMPUTED_VALUE"""),32.35)</f>
        <v>32.35</v>
      </c>
      <c r="F344" s="1">
        <f>IFERROR(__xludf.DUMMYFUNCTION("""COMPUTED_VALUE"""),1392100.0)</f>
        <v>1392100</v>
      </c>
    </row>
    <row r="345">
      <c r="A345" s="2">
        <f>IFERROR(__xludf.DUMMYFUNCTION("""COMPUTED_VALUE"""),37025.666666666664)</f>
        <v>37025.66667</v>
      </c>
      <c r="B345" s="1">
        <f>IFERROR(__xludf.DUMMYFUNCTION("""COMPUTED_VALUE"""),32.59)</f>
        <v>32.59</v>
      </c>
      <c r="C345" s="1">
        <f>IFERROR(__xludf.DUMMYFUNCTION("""COMPUTED_VALUE"""),32.68)</f>
        <v>32.68</v>
      </c>
      <c r="D345" s="1">
        <f>IFERROR(__xludf.DUMMYFUNCTION("""COMPUTED_VALUE"""),32.25)</f>
        <v>32.25</v>
      </c>
      <c r="E345" s="1">
        <f>IFERROR(__xludf.DUMMYFUNCTION("""COMPUTED_VALUE"""),32.62)</f>
        <v>32.62</v>
      </c>
      <c r="F345" s="1">
        <f>IFERROR(__xludf.DUMMYFUNCTION("""COMPUTED_VALUE"""),1197000.0)</f>
        <v>1197000</v>
      </c>
    </row>
    <row r="346">
      <c r="A346" s="2">
        <f>IFERROR(__xludf.DUMMYFUNCTION("""COMPUTED_VALUE"""),37026.666666666664)</f>
        <v>37026.66667</v>
      </c>
      <c r="B346" s="1">
        <f>IFERROR(__xludf.DUMMYFUNCTION("""COMPUTED_VALUE"""),32.62)</f>
        <v>32.62</v>
      </c>
      <c r="C346" s="1">
        <f>IFERROR(__xludf.DUMMYFUNCTION("""COMPUTED_VALUE"""),32.71)</f>
        <v>32.71</v>
      </c>
      <c r="D346" s="1">
        <f>IFERROR(__xludf.DUMMYFUNCTION("""COMPUTED_VALUE"""),32.31)</f>
        <v>32.31</v>
      </c>
      <c r="E346" s="1">
        <f>IFERROR(__xludf.DUMMYFUNCTION("""COMPUTED_VALUE"""),32.58)</f>
        <v>32.58</v>
      </c>
      <c r="F346" s="1">
        <f>IFERROR(__xludf.DUMMYFUNCTION("""COMPUTED_VALUE"""),1881500.0)</f>
        <v>1881500</v>
      </c>
    </row>
    <row r="347">
      <c r="A347" s="2">
        <f>IFERROR(__xludf.DUMMYFUNCTION("""COMPUTED_VALUE"""),37027.666666666664)</f>
        <v>37027.66667</v>
      </c>
      <c r="B347" s="1">
        <f>IFERROR(__xludf.DUMMYFUNCTION("""COMPUTED_VALUE"""),32.74)</f>
        <v>32.74</v>
      </c>
      <c r="C347" s="1">
        <f>IFERROR(__xludf.DUMMYFUNCTION("""COMPUTED_VALUE"""),33.72)</f>
        <v>33.72</v>
      </c>
      <c r="D347" s="1">
        <f>IFERROR(__xludf.DUMMYFUNCTION("""COMPUTED_VALUE"""),32.67)</f>
        <v>32.67</v>
      </c>
      <c r="E347" s="1">
        <f>IFERROR(__xludf.DUMMYFUNCTION("""COMPUTED_VALUE"""),33.72)</f>
        <v>33.72</v>
      </c>
      <c r="F347" s="1">
        <f>IFERROR(__xludf.DUMMYFUNCTION("""COMPUTED_VALUE"""),3086700.0)</f>
        <v>3086700</v>
      </c>
    </row>
    <row r="348">
      <c r="A348" s="2">
        <f>IFERROR(__xludf.DUMMYFUNCTION("""COMPUTED_VALUE"""),37028.666666666664)</f>
        <v>37028.66667</v>
      </c>
      <c r="B348" s="1">
        <f>IFERROR(__xludf.DUMMYFUNCTION("""COMPUTED_VALUE"""),33.46)</f>
        <v>33.46</v>
      </c>
      <c r="C348" s="1">
        <f>IFERROR(__xludf.DUMMYFUNCTION("""COMPUTED_VALUE"""),33.73)</f>
        <v>33.73</v>
      </c>
      <c r="D348" s="1">
        <f>IFERROR(__xludf.DUMMYFUNCTION("""COMPUTED_VALUE"""),32.94)</f>
        <v>32.94</v>
      </c>
      <c r="E348" s="1">
        <f>IFERROR(__xludf.DUMMYFUNCTION("""COMPUTED_VALUE"""),33.16)</f>
        <v>33.16</v>
      </c>
      <c r="F348" s="1">
        <f>IFERROR(__xludf.DUMMYFUNCTION("""COMPUTED_VALUE"""),2625400.0)</f>
        <v>2625400</v>
      </c>
    </row>
    <row r="349">
      <c r="A349" s="2">
        <f>IFERROR(__xludf.DUMMYFUNCTION("""COMPUTED_VALUE"""),37029.666666666664)</f>
        <v>37029.66667</v>
      </c>
      <c r="B349" s="1">
        <f>IFERROR(__xludf.DUMMYFUNCTION("""COMPUTED_VALUE"""),33.17)</f>
        <v>33.17</v>
      </c>
      <c r="C349" s="1">
        <f>IFERROR(__xludf.DUMMYFUNCTION("""COMPUTED_VALUE"""),33.32)</f>
        <v>33.32</v>
      </c>
      <c r="D349" s="1">
        <f>IFERROR(__xludf.DUMMYFUNCTION("""COMPUTED_VALUE"""),32.8)</f>
        <v>32.8</v>
      </c>
      <c r="E349" s="1">
        <f>IFERROR(__xludf.DUMMYFUNCTION("""COMPUTED_VALUE"""),33.32)</f>
        <v>33.32</v>
      </c>
      <c r="F349" s="1">
        <f>IFERROR(__xludf.DUMMYFUNCTION("""COMPUTED_VALUE"""),2061100.0)</f>
        <v>2061100</v>
      </c>
    </row>
    <row r="350">
      <c r="A350" s="2">
        <f>IFERROR(__xludf.DUMMYFUNCTION("""COMPUTED_VALUE"""),37032.666666666664)</f>
        <v>37032.66667</v>
      </c>
      <c r="B350" s="1">
        <f>IFERROR(__xludf.DUMMYFUNCTION("""COMPUTED_VALUE"""),32.1)</f>
        <v>32.1</v>
      </c>
      <c r="C350" s="1">
        <f>IFERROR(__xludf.DUMMYFUNCTION("""COMPUTED_VALUE"""),32.67)</f>
        <v>32.67</v>
      </c>
      <c r="D350" s="1">
        <f>IFERROR(__xludf.DUMMYFUNCTION("""COMPUTED_VALUE"""),31.8)</f>
        <v>31.8</v>
      </c>
      <c r="E350" s="1">
        <f>IFERROR(__xludf.DUMMYFUNCTION("""COMPUTED_VALUE"""),32.22)</f>
        <v>32.22</v>
      </c>
      <c r="F350" s="1">
        <f>IFERROR(__xludf.DUMMYFUNCTION("""COMPUTED_VALUE"""),4963000.0)</f>
        <v>4963000</v>
      </c>
    </row>
    <row r="351">
      <c r="A351" s="2">
        <f>IFERROR(__xludf.DUMMYFUNCTION("""COMPUTED_VALUE"""),37033.666666666664)</f>
        <v>37033.66667</v>
      </c>
      <c r="B351" s="1">
        <f>IFERROR(__xludf.DUMMYFUNCTION("""COMPUTED_VALUE"""),32.35)</f>
        <v>32.35</v>
      </c>
      <c r="C351" s="1">
        <f>IFERROR(__xludf.DUMMYFUNCTION("""COMPUTED_VALUE"""),32.39)</f>
        <v>32.39</v>
      </c>
      <c r="D351" s="1">
        <f>IFERROR(__xludf.DUMMYFUNCTION("""COMPUTED_VALUE"""),31.58)</f>
        <v>31.58</v>
      </c>
      <c r="E351" s="1">
        <f>IFERROR(__xludf.DUMMYFUNCTION("""COMPUTED_VALUE"""),31.6)</f>
        <v>31.6</v>
      </c>
      <c r="F351" s="1">
        <f>IFERROR(__xludf.DUMMYFUNCTION("""COMPUTED_VALUE"""),3497600.0)</f>
        <v>3497600</v>
      </c>
    </row>
    <row r="352">
      <c r="A352" s="2">
        <f>IFERROR(__xludf.DUMMYFUNCTION("""COMPUTED_VALUE"""),37034.666666666664)</f>
        <v>37034.66667</v>
      </c>
      <c r="B352" s="1">
        <f>IFERROR(__xludf.DUMMYFUNCTION("""COMPUTED_VALUE"""),31.9)</f>
        <v>31.9</v>
      </c>
      <c r="C352" s="1">
        <f>IFERROR(__xludf.DUMMYFUNCTION("""COMPUTED_VALUE"""),32.06)</f>
        <v>32.06</v>
      </c>
      <c r="D352" s="1">
        <f>IFERROR(__xludf.DUMMYFUNCTION("""COMPUTED_VALUE"""),31.43)</f>
        <v>31.43</v>
      </c>
      <c r="E352" s="1">
        <f>IFERROR(__xludf.DUMMYFUNCTION("""COMPUTED_VALUE"""),31.7)</f>
        <v>31.7</v>
      </c>
      <c r="F352" s="1">
        <f>IFERROR(__xludf.DUMMYFUNCTION("""COMPUTED_VALUE"""),2946000.0)</f>
        <v>2946000</v>
      </c>
    </row>
    <row r="353">
      <c r="A353" s="2">
        <f>IFERROR(__xludf.DUMMYFUNCTION("""COMPUTED_VALUE"""),37035.666666666664)</f>
        <v>37035.66667</v>
      </c>
      <c r="B353" s="1">
        <f>IFERROR(__xludf.DUMMYFUNCTION("""COMPUTED_VALUE"""),31.6)</f>
        <v>31.6</v>
      </c>
      <c r="C353" s="1">
        <f>IFERROR(__xludf.DUMMYFUNCTION("""COMPUTED_VALUE"""),31.9)</f>
        <v>31.9</v>
      </c>
      <c r="D353" s="1">
        <f>IFERROR(__xludf.DUMMYFUNCTION("""COMPUTED_VALUE"""),31.38)</f>
        <v>31.38</v>
      </c>
      <c r="E353" s="1">
        <f>IFERROR(__xludf.DUMMYFUNCTION("""COMPUTED_VALUE"""),31.73)</f>
        <v>31.73</v>
      </c>
      <c r="F353" s="1">
        <f>IFERROR(__xludf.DUMMYFUNCTION("""COMPUTED_VALUE"""),2027700.0)</f>
        <v>2027700</v>
      </c>
    </row>
    <row r="354">
      <c r="A354" s="2">
        <f>IFERROR(__xludf.DUMMYFUNCTION("""COMPUTED_VALUE"""),37036.666666666664)</f>
        <v>37036.66667</v>
      </c>
      <c r="B354" s="1">
        <f>IFERROR(__xludf.DUMMYFUNCTION("""COMPUTED_VALUE"""),31.73)</f>
        <v>31.73</v>
      </c>
      <c r="C354" s="1">
        <f>IFERROR(__xludf.DUMMYFUNCTION("""COMPUTED_VALUE"""),31.73)</f>
        <v>31.73</v>
      </c>
      <c r="D354" s="1">
        <f>IFERROR(__xludf.DUMMYFUNCTION("""COMPUTED_VALUE"""),31.24)</f>
        <v>31.24</v>
      </c>
      <c r="E354" s="1">
        <f>IFERROR(__xludf.DUMMYFUNCTION("""COMPUTED_VALUE"""),31.36)</f>
        <v>31.36</v>
      </c>
      <c r="F354" s="1">
        <f>IFERROR(__xludf.DUMMYFUNCTION("""COMPUTED_VALUE"""),1899500.0)</f>
        <v>1899500</v>
      </c>
    </row>
    <row r="355">
      <c r="A355" s="2">
        <f>IFERROR(__xludf.DUMMYFUNCTION("""COMPUTED_VALUE"""),37040.666666666664)</f>
        <v>37040.66667</v>
      </c>
      <c r="B355" s="1">
        <f>IFERROR(__xludf.DUMMYFUNCTION("""COMPUTED_VALUE"""),31.51)</f>
        <v>31.51</v>
      </c>
      <c r="C355" s="1">
        <f>IFERROR(__xludf.DUMMYFUNCTION("""COMPUTED_VALUE"""),31.92)</f>
        <v>31.92</v>
      </c>
      <c r="D355" s="1">
        <f>IFERROR(__xludf.DUMMYFUNCTION("""COMPUTED_VALUE"""),31.38)</f>
        <v>31.38</v>
      </c>
      <c r="E355" s="1">
        <f>IFERROR(__xludf.DUMMYFUNCTION("""COMPUTED_VALUE"""),31.92)</f>
        <v>31.92</v>
      </c>
      <c r="F355" s="1">
        <f>IFERROR(__xludf.DUMMYFUNCTION("""COMPUTED_VALUE"""),2365300.0)</f>
        <v>2365300</v>
      </c>
    </row>
    <row r="356">
      <c r="A356" s="2">
        <f>IFERROR(__xludf.DUMMYFUNCTION("""COMPUTED_VALUE"""),37041.666666666664)</f>
        <v>37041.66667</v>
      </c>
      <c r="B356" s="1">
        <f>IFERROR(__xludf.DUMMYFUNCTION("""COMPUTED_VALUE"""),31.9)</f>
        <v>31.9</v>
      </c>
      <c r="C356" s="1">
        <f>IFERROR(__xludf.DUMMYFUNCTION("""COMPUTED_VALUE"""),32.08)</f>
        <v>32.08</v>
      </c>
      <c r="D356" s="1">
        <f>IFERROR(__xludf.DUMMYFUNCTION("""COMPUTED_VALUE"""),31.45)</f>
        <v>31.45</v>
      </c>
      <c r="E356" s="1">
        <f>IFERROR(__xludf.DUMMYFUNCTION("""COMPUTED_VALUE"""),31.79)</f>
        <v>31.79</v>
      </c>
      <c r="F356" s="1">
        <f>IFERROR(__xludf.DUMMYFUNCTION("""COMPUTED_VALUE"""),1998100.0)</f>
        <v>1998100</v>
      </c>
    </row>
    <row r="357">
      <c r="A357" s="2">
        <f>IFERROR(__xludf.DUMMYFUNCTION("""COMPUTED_VALUE"""),37042.666666666664)</f>
        <v>37042.66667</v>
      </c>
      <c r="B357" s="1">
        <f>IFERROR(__xludf.DUMMYFUNCTION("""COMPUTED_VALUE"""),31.6)</f>
        <v>31.6</v>
      </c>
      <c r="C357" s="1">
        <f>IFERROR(__xludf.DUMMYFUNCTION("""COMPUTED_VALUE"""),31.85)</f>
        <v>31.85</v>
      </c>
      <c r="D357" s="1">
        <f>IFERROR(__xludf.DUMMYFUNCTION("""COMPUTED_VALUE"""),31.51)</f>
        <v>31.51</v>
      </c>
      <c r="E357" s="1">
        <f>IFERROR(__xludf.DUMMYFUNCTION("""COMPUTED_VALUE"""),31.72)</f>
        <v>31.72</v>
      </c>
      <c r="F357" s="1">
        <f>IFERROR(__xludf.DUMMYFUNCTION("""COMPUTED_VALUE"""),1880500.0)</f>
        <v>1880500</v>
      </c>
    </row>
    <row r="358">
      <c r="A358" s="2">
        <f>IFERROR(__xludf.DUMMYFUNCTION("""COMPUTED_VALUE"""),37043.666666666664)</f>
        <v>37043.66667</v>
      </c>
      <c r="B358" s="1">
        <f>IFERROR(__xludf.DUMMYFUNCTION("""COMPUTED_VALUE"""),31.72)</f>
        <v>31.72</v>
      </c>
      <c r="C358" s="1">
        <f>IFERROR(__xludf.DUMMYFUNCTION("""COMPUTED_VALUE"""),31.72)</f>
        <v>31.72</v>
      </c>
      <c r="D358" s="1">
        <f>IFERROR(__xludf.DUMMYFUNCTION("""COMPUTED_VALUE"""),31.23)</f>
        <v>31.23</v>
      </c>
      <c r="E358" s="1">
        <f>IFERROR(__xludf.DUMMYFUNCTION("""COMPUTED_VALUE"""),31.36)</f>
        <v>31.36</v>
      </c>
      <c r="F358" s="1">
        <f>IFERROR(__xludf.DUMMYFUNCTION("""COMPUTED_VALUE"""),1641400.0)</f>
        <v>1641400</v>
      </c>
    </row>
    <row r="359">
      <c r="A359" s="2">
        <f>IFERROR(__xludf.DUMMYFUNCTION("""COMPUTED_VALUE"""),37046.666666666664)</f>
        <v>37046.66667</v>
      </c>
      <c r="B359" s="1">
        <f>IFERROR(__xludf.DUMMYFUNCTION("""COMPUTED_VALUE"""),31.36)</f>
        <v>31.36</v>
      </c>
      <c r="C359" s="1">
        <f>IFERROR(__xludf.DUMMYFUNCTION("""COMPUTED_VALUE"""),31.48)</f>
        <v>31.48</v>
      </c>
      <c r="D359" s="1">
        <f>IFERROR(__xludf.DUMMYFUNCTION("""COMPUTED_VALUE"""),31.13)</f>
        <v>31.13</v>
      </c>
      <c r="E359" s="1">
        <f>IFERROR(__xludf.DUMMYFUNCTION("""COMPUTED_VALUE"""),31.41)</f>
        <v>31.41</v>
      </c>
      <c r="F359" s="1">
        <f>IFERROR(__xludf.DUMMYFUNCTION("""COMPUTED_VALUE"""),2270900.0)</f>
        <v>2270900</v>
      </c>
    </row>
    <row r="360">
      <c r="A360" s="2">
        <f>IFERROR(__xludf.DUMMYFUNCTION("""COMPUTED_VALUE"""),37047.666666666664)</f>
        <v>37047.66667</v>
      </c>
      <c r="B360" s="1">
        <f>IFERROR(__xludf.DUMMYFUNCTION("""COMPUTED_VALUE"""),31.41)</f>
        <v>31.41</v>
      </c>
      <c r="C360" s="1">
        <f>IFERROR(__xludf.DUMMYFUNCTION("""COMPUTED_VALUE"""),31.66)</f>
        <v>31.66</v>
      </c>
      <c r="D360" s="1">
        <f>IFERROR(__xludf.DUMMYFUNCTION("""COMPUTED_VALUE"""),31.23)</f>
        <v>31.23</v>
      </c>
      <c r="E360" s="1">
        <f>IFERROR(__xludf.DUMMYFUNCTION("""COMPUTED_VALUE"""),31.64)</f>
        <v>31.64</v>
      </c>
      <c r="F360" s="1">
        <f>IFERROR(__xludf.DUMMYFUNCTION("""COMPUTED_VALUE"""),2310600.0)</f>
        <v>2310600</v>
      </c>
    </row>
    <row r="361">
      <c r="A361" s="2">
        <f>IFERROR(__xludf.DUMMYFUNCTION("""COMPUTED_VALUE"""),37048.666666666664)</f>
        <v>37048.66667</v>
      </c>
      <c r="B361" s="1">
        <f>IFERROR(__xludf.DUMMYFUNCTION("""COMPUTED_VALUE"""),32.22)</f>
        <v>32.22</v>
      </c>
      <c r="C361" s="1">
        <f>IFERROR(__xludf.DUMMYFUNCTION("""COMPUTED_VALUE"""),32.72)</f>
        <v>32.72</v>
      </c>
      <c r="D361" s="1">
        <f>IFERROR(__xludf.DUMMYFUNCTION("""COMPUTED_VALUE"""),31.86)</f>
        <v>31.86</v>
      </c>
      <c r="E361" s="1">
        <f>IFERROR(__xludf.DUMMYFUNCTION("""COMPUTED_VALUE"""),31.94)</f>
        <v>31.94</v>
      </c>
      <c r="F361" s="1">
        <f>IFERROR(__xludf.DUMMYFUNCTION("""COMPUTED_VALUE"""),3355900.0)</f>
        <v>3355900</v>
      </c>
    </row>
    <row r="362">
      <c r="A362" s="2">
        <f>IFERROR(__xludf.DUMMYFUNCTION("""COMPUTED_VALUE"""),37049.666666666664)</f>
        <v>37049.66667</v>
      </c>
      <c r="B362" s="1">
        <f>IFERROR(__xludf.DUMMYFUNCTION("""COMPUTED_VALUE"""),31.98)</f>
        <v>31.98</v>
      </c>
      <c r="C362" s="1">
        <f>IFERROR(__xludf.DUMMYFUNCTION("""COMPUTED_VALUE"""),32.39)</f>
        <v>32.39</v>
      </c>
      <c r="D362" s="1">
        <f>IFERROR(__xludf.DUMMYFUNCTION("""COMPUTED_VALUE"""),31.95)</f>
        <v>31.95</v>
      </c>
      <c r="E362" s="1">
        <f>IFERROR(__xludf.DUMMYFUNCTION("""COMPUTED_VALUE"""),32.06)</f>
        <v>32.06</v>
      </c>
      <c r="F362" s="1">
        <f>IFERROR(__xludf.DUMMYFUNCTION("""COMPUTED_VALUE"""),2029800.0)</f>
        <v>2029800</v>
      </c>
    </row>
    <row r="363">
      <c r="A363" s="2">
        <f>IFERROR(__xludf.DUMMYFUNCTION("""COMPUTED_VALUE"""),37050.666666666664)</f>
        <v>37050.66667</v>
      </c>
      <c r="B363" s="1">
        <f>IFERROR(__xludf.DUMMYFUNCTION("""COMPUTED_VALUE"""),32.17)</f>
        <v>32.17</v>
      </c>
      <c r="C363" s="1">
        <f>IFERROR(__xludf.DUMMYFUNCTION("""COMPUTED_VALUE"""),32.19)</f>
        <v>32.19</v>
      </c>
      <c r="D363" s="1">
        <f>IFERROR(__xludf.DUMMYFUNCTION("""COMPUTED_VALUE"""),31.61)</f>
        <v>31.61</v>
      </c>
      <c r="E363" s="1">
        <f>IFERROR(__xludf.DUMMYFUNCTION("""COMPUTED_VALUE"""),31.74)</f>
        <v>31.74</v>
      </c>
      <c r="F363" s="1">
        <f>IFERROR(__xludf.DUMMYFUNCTION("""COMPUTED_VALUE"""),1846800.0)</f>
        <v>1846800</v>
      </c>
    </row>
    <row r="364">
      <c r="A364" s="2">
        <f>IFERROR(__xludf.DUMMYFUNCTION("""COMPUTED_VALUE"""),37053.666666666664)</f>
        <v>37053.66667</v>
      </c>
      <c r="B364" s="1">
        <f>IFERROR(__xludf.DUMMYFUNCTION("""COMPUTED_VALUE"""),31.85)</f>
        <v>31.85</v>
      </c>
      <c r="C364" s="1">
        <f>IFERROR(__xludf.DUMMYFUNCTION("""COMPUTED_VALUE"""),31.99)</f>
        <v>31.99</v>
      </c>
      <c r="D364" s="1">
        <f>IFERROR(__xludf.DUMMYFUNCTION("""COMPUTED_VALUE"""),31.63)</f>
        <v>31.63</v>
      </c>
      <c r="E364" s="1">
        <f>IFERROR(__xludf.DUMMYFUNCTION("""COMPUTED_VALUE"""),31.78)</f>
        <v>31.78</v>
      </c>
      <c r="F364" s="1">
        <f>IFERROR(__xludf.DUMMYFUNCTION("""COMPUTED_VALUE"""),1098100.0)</f>
        <v>1098100</v>
      </c>
    </row>
    <row r="365">
      <c r="A365" s="2">
        <f>IFERROR(__xludf.DUMMYFUNCTION("""COMPUTED_VALUE"""),37054.666666666664)</f>
        <v>37054.66667</v>
      </c>
      <c r="B365" s="1">
        <f>IFERROR(__xludf.DUMMYFUNCTION("""COMPUTED_VALUE"""),32.22)</f>
        <v>32.22</v>
      </c>
      <c r="C365" s="1">
        <f>IFERROR(__xludf.DUMMYFUNCTION("""COMPUTED_VALUE"""),32.39)</f>
        <v>32.39</v>
      </c>
      <c r="D365" s="1">
        <f>IFERROR(__xludf.DUMMYFUNCTION("""COMPUTED_VALUE"""),32.06)</f>
        <v>32.06</v>
      </c>
      <c r="E365" s="1">
        <f>IFERROR(__xludf.DUMMYFUNCTION("""COMPUTED_VALUE"""),32.35)</f>
        <v>32.35</v>
      </c>
      <c r="F365" s="1">
        <f>IFERROR(__xludf.DUMMYFUNCTION("""COMPUTED_VALUE"""),3220800.0)</f>
        <v>3220800</v>
      </c>
    </row>
    <row r="366">
      <c r="A366" s="2">
        <f>IFERROR(__xludf.DUMMYFUNCTION("""COMPUTED_VALUE"""),37055.666666666664)</f>
        <v>37055.66667</v>
      </c>
      <c r="B366" s="1">
        <f>IFERROR(__xludf.DUMMYFUNCTION("""COMPUTED_VALUE"""),32.57)</f>
        <v>32.57</v>
      </c>
      <c r="C366" s="1">
        <f>IFERROR(__xludf.DUMMYFUNCTION("""COMPUTED_VALUE"""),32.57)</f>
        <v>32.57</v>
      </c>
      <c r="D366" s="1">
        <f>IFERROR(__xludf.DUMMYFUNCTION("""COMPUTED_VALUE"""),32.04)</f>
        <v>32.04</v>
      </c>
      <c r="E366" s="1">
        <f>IFERROR(__xludf.DUMMYFUNCTION("""COMPUTED_VALUE"""),32.07)</f>
        <v>32.07</v>
      </c>
      <c r="F366" s="1">
        <f>IFERROR(__xludf.DUMMYFUNCTION("""COMPUTED_VALUE"""),1980600.0)</f>
        <v>1980600</v>
      </c>
    </row>
    <row r="367">
      <c r="A367" s="2">
        <f>IFERROR(__xludf.DUMMYFUNCTION("""COMPUTED_VALUE"""),37056.666666666664)</f>
        <v>37056.66667</v>
      </c>
      <c r="B367" s="1">
        <f>IFERROR(__xludf.DUMMYFUNCTION("""COMPUTED_VALUE"""),32.07)</f>
        <v>32.07</v>
      </c>
      <c r="C367" s="1">
        <f>IFERROR(__xludf.DUMMYFUNCTION("""COMPUTED_VALUE"""),32.39)</f>
        <v>32.39</v>
      </c>
      <c r="D367" s="1">
        <f>IFERROR(__xludf.DUMMYFUNCTION("""COMPUTED_VALUE"""),31.87)</f>
        <v>31.87</v>
      </c>
      <c r="E367" s="1">
        <f>IFERROR(__xludf.DUMMYFUNCTION("""COMPUTED_VALUE"""),32.03)</f>
        <v>32.03</v>
      </c>
      <c r="F367" s="1">
        <f>IFERROR(__xludf.DUMMYFUNCTION("""COMPUTED_VALUE"""),1868300.0)</f>
        <v>1868300</v>
      </c>
    </row>
    <row r="368">
      <c r="A368" s="2">
        <f>IFERROR(__xludf.DUMMYFUNCTION("""COMPUTED_VALUE"""),37057.666666666664)</f>
        <v>37057.66667</v>
      </c>
      <c r="B368" s="1">
        <f>IFERROR(__xludf.DUMMYFUNCTION("""COMPUTED_VALUE"""),31.8)</f>
        <v>31.8</v>
      </c>
      <c r="C368" s="1">
        <f>IFERROR(__xludf.DUMMYFUNCTION("""COMPUTED_VALUE"""),32.0)</f>
        <v>32</v>
      </c>
      <c r="D368" s="1">
        <f>IFERROR(__xludf.DUMMYFUNCTION("""COMPUTED_VALUE"""),30.85)</f>
        <v>30.85</v>
      </c>
      <c r="E368" s="1">
        <f>IFERROR(__xludf.DUMMYFUNCTION("""COMPUTED_VALUE"""),30.91)</f>
        <v>30.91</v>
      </c>
      <c r="F368" s="1">
        <f>IFERROR(__xludf.DUMMYFUNCTION("""COMPUTED_VALUE"""),6335600.0)</f>
        <v>6335600</v>
      </c>
    </row>
    <row r="369">
      <c r="A369" s="2">
        <f>IFERROR(__xludf.DUMMYFUNCTION("""COMPUTED_VALUE"""),37060.666666666664)</f>
        <v>37060.66667</v>
      </c>
      <c r="B369" s="1">
        <f>IFERROR(__xludf.DUMMYFUNCTION("""COMPUTED_VALUE"""),30.81)</f>
        <v>30.81</v>
      </c>
      <c r="C369" s="1">
        <f>IFERROR(__xludf.DUMMYFUNCTION("""COMPUTED_VALUE"""),30.81)</f>
        <v>30.81</v>
      </c>
      <c r="D369" s="1">
        <f>IFERROR(__xludf.DUMMYFUNCTION("""COMPUTED_VALUE"""),30.46)</f>
        <v>30.46</v>
      </c>
      <c r="E369" s="1">
        <f>IFERROR(__xludf.DUMMYFUNCTION("""COMPUTED_VALUE"""),30.69)</f>
        <v>30.69</v>
      </c>
      <c r="F369" s="1">
        <f>IFERROR(__xludf.DUMMYFUNCTION("""COMPUTED_VALUE"""),3065300.0)</f>
        <v>3065300</v>
      </c>
    </row>
    <row r="370">
      <c r="A370" s="2">
        <f>IFERROR(__xludf.DUMMYFUNCTION("""COMPUTED_VALUE"""),37061.666666666664)</f>
        <v>37061.66667</v>
      </c>
      <c r="B370" s="1">
        <f>IFERROR(__xludf.DUMMYFUNCTION("""COMPUTED_VALUE"""),30.74)</f>
        <v>30.74</v>
      </c>
      <c r="C370" s="1">
        <f>IFERROR(__xludf.DUMMYFUNCTION("""COMPUTED_VALUE"""),30.99)</f>
        <v>30.99</v>
      </c>
      <c r="D370" s="1">
        <f>IFERROR(__xludf.DUMMYFUNCTION("""COMPUTED_VALUE"""),30.57)</f>
        <v>30.57</v>
      </c>
      <c r="E370" s="1">
        <f>IFERROR(__xludf.DUMMYFUNCTION("""COMPUTED_VALUE"""),30.82)</f>
        <v>30.82</v>
      </c>
      <c r="F370" s="1">
        <f>IFERROR(__xludf.DUMMYFUNCTION("""COMPUTED_VALUE"""),3199800.0)</f>
        <v>3199800</v>
      </c>
    </row>
    <row r="371">
      <c r="A371" s="2">
        <f>IFERROR(__xludf.DUMMYFUNCTION("""COMPUTED_VALUE"""),37062.666666666664)</f>
        <v>37062.66667</v>
      </c>
      <c r="B371" s="1">
        <f>IFERROR(__xludf.DUMMYFUNCTION("""COMPUTED_VALUE"""),31.02)</f>
        <v>31.02</v>
      </c>
      <c r="C371" s="1">
        <f>IFERROR(__xludf.DUMMYFUNCTION("""COMPUTED_VALUE"""),31.22)</f>
        <v>31.22</v>
      </c>
      <c r="D371" s="1">
        <f>IFERROR(__xludf.DUMMYFUNCTION("""COMPUTED_VALUE"""),30.77)</f>
        <v>30.77</v>
      </c>
      <c r="E371" s="1">
        <f>IFERROR(__xludf.DUMMYFUNCTION("""COMPUTED_VALUE"""),31.04)</f>
        <v>31.04</v>
      </c>
      <c r="F371" s="1">
        <f>IFERROR(__xludf.DUMMYFUNCTION("""COMPUTED_VALUE"""),573375.0)</f>
        <v>573375</v>
      </c>
    </row>
    <row r="372">
      <c r="A372" s="2">
        <f>IFERROR(__xludf.DUMMYFUNCTION("""COMPUTED_VALUE"""),37063.666666666664)</f>
        <v>37063.66667</v>
      </c>
      <c r="B372" s="1">
        <f>IFERROR(__xludf.DUMMYFUNCTION("""COMPUTED_VALUE"""),30.62)</f>
        <v>30.62</v>
      </c>
      <c r="C372" s="1">
        <f>IFERROR(__xludf.DUMMYFUNCTION("""COMPUTED_VALUE"""),31.28)</f>
        <v>31.28</v>
      </c>
      <c r="D372" s="1">
        <f>IFERROR(__xludf.DUMMYFUNCTION("""COMPUTED_VALUE"""),30.6)</f>
        <v>30.6</v>
      </c>
      <c r="E372" s="1">
        <f>IFERROR(__xludf.DUMMYFUNCTION("""COMPUTED_VALUE"""),30.79)</f>
        <v>30.79</v>
      </c>
      <c r="F372" s="1">
        <f>IFERROR(__xludf.DUMMYFUNCTION("""COMPUTED_VALUE"""),2809200.0)</f>
        <v>2809200</v>
      </c>
    </row>
    <row r="373">
      <c r="A373" s="2">
        <f>IFERROR(__xludf.DUMMYFUNCTION("""COMPUTED_VALUE"""),37064.666666666664)</f>
        <v>37064.66667</v>
      </c>
      <c r="B373" s="1">
        <f>IFERROR(__xludf.DUMMYFUNCTION("""COMPUTED_VALUE"""),30.81)</f>
        <v>30.81</v>
      </c>
      <c r="C373" s="1">
        <f>IFERROR(__xludf.DUMMYFUNCTION("""COMPUTED_VALUE"""),31.35)</f>
        <v>31.35</v>
      </c>
      <c r="D373" s="1">
        <f>IFERROR(__xludf.DUMMYFUNCTION("""COMPUTED_VALUE"""),30.77)</f>
        <v>30.77</v>
      </c>
      <c r="E373" s="1">
        <f>IFERROR(__xludf.DUMMYFUNCTION("""COMPUTED_VALUE"""),31.25)</f>
        <v>31.25</v>
      </c>
      <c r="F373" s="1">
        <f>IFERROR(__xludf.DUMMYFUNCTION("""COMPUTED_VALUE"""),2146400.0)</f>
        <v>2146400</v>
      </c>
    </row>
    <row r="374">
      <c r="A374" s="2">
        <f>IFERROR(__xludf.DUMMYFUNCTION("""COMPUTED_VALUE"""),37067.666666666664)</f>
        <v>37067.66667</v>
      </c>
      <c r="B374" s="1">
        <f>IFERROR(__xludf.DUMMYFUNCTION("""COMPUTED_VALUE"""),31.23)</f>
        <v>31.23</v>
      </c>
      <c r="C374" s="1">
        <f>IFERROR(__xludf.DUMMYFUNCTION("""COMPUTED_VALUE"""),31.51)</f>
        <v>31.51</v>
      </c>
      <c r="D374" s="1">
        <f>IFERROR(__xludf.DUMMYFUNCTION("""COMPUTED_VALUE"""),30.96)</f>
        <v>30.96</v>
      </c>
      <c r="E374" s="1">
        <f>IFERROR(__xludf.DUMMYFUNCTION("""COMPUTED_VALUE"""),31.01)</f>
        <v>31.01</v>
      </c>
      <c r="F374" s="1">
        <f>IFERROR(__xludf.DUMMYFUNCTION("""COMPUTED_VALUE"""),1329400.0)</f>
        <v>1329400</v>
      </c>
    </row>
    <row r="375">
      <c r="A375" s="2">
        <f>IFERROR(__xludf.DUMMYFUNCTION("""COMPUTED_VALUE"""),37068.666666666664)</f>
        <v>37068.66667</v>
      </c>
      <c r="B375" s="1">
        <f>IFERROR(__xludf.DUMMYFUNCTION("""COMPUTED_VALUE"""),31.01)</f>
        <v>31.01</v>
      </c>
      <c r="C375" s="1">
        <f>IFERROR(__xludf.DUMMYFUNCTION("""COMPUTED_VALUE"""),31.68)</f>
        <v>31.68</v>
      </c>
      <c r="D375" s="1">
        <f>IFERROR(__xludf.DUMMYFUNCTION("""COMPUTED_VALUE"""),31.01)</f>
        <v>31.01</v>
      </c>
      <c r="E375" s="1">
        <f>IFERROR(__xludf.DUMMYFUNCTION("""COMPUTED_VALUE"""),31.54)</f>
        <v>31.54</v>
      </c>
      <c r="F375" s="1">
        <f>IFERROR(__xludf.DUMMYFUNCTION("""COMPUTED_VALUE"""),2297200.0)</f>
        <v>2297200</v>
      </c>
    </row>
    <row r="376">
      <c r="A376" s="2">
        <f>IFERROR(__xludf.DUMMYFUNCTION("""COMPUTED_VALUE"""),37069.666666666664)</f>
        <v>37069.66667</v>
      </c>
      <c r="B376" s="1">
        <f>IFERROR(__xludf.DUMMYFUNCTION("""COMPUTED_VALUE"""),31.46)</f>
        <v>31.46</v>
      </c>
      <c r="C376" s="1">
        <f>IFERROR(__xludf.DUMMYFUNCTION("""COMPUTED_VALUE"""),31.77)</f>
        <v>31.77</v>
      </c>
      <c r="D376" s="1">
        <f>IFERROR(__xludf.DUMMYFUNCTION("""COMPUTED_VALUE"""),31.29)</f>
        <v>31.29</v>
      </c>
      <c r="E376" s="1">
        <f>IFERROR(__xludf.DUMMYFUNCTION("""COMPUTED_VALUE"""),31.31)</f>
        <v>31.31</v>
      </c>
      <c r="F376" s="1">
        <f>IFERROR(__xludf.DUMMYFUNCTION("""COMPUTED_VALUE"""),1927700.0)</f>
        <v>1927700</v>
      </c>
    </row>
    <row r="377">
      <c r="A377" s="2">
        <f>IFERROR(__xludf.DUMMYFUNCTION("""COMPUTED_VALUE"""),37070.666666666664)</f>
        <v>37070.66667</v>
      </c>
      <c r="B377" s="1">
        <f>IFERROR(__xludf.DUMMYFUNCTION("""COMPUTED_VALUE"""),31.31)</f>
        <v>31.31</v>
      </c>
      <c r="C377" s="1">
        <f>IFERROR(__xludf.DUMMYFUNCTION("""COMPUTED_VALUE"""),31.72)</f>
        <v>31.72</v>
      </c>
      <c r="D377" s="1">
        <f>IFERROR(__xludf.DUMMYFUNCTION("""COMPUTED_VALUE"""),31.19)</f>
        <v>31.19</v>
      </c>
      <c r="E377" s="1">
        <f>IFERROR(__xludf.DUMMYFUNCTION("""COMPUTED_VALUE"""),31.43)</f>
        <v>31.43</v>
      </c>
      <c r="F377" s="1">
        <f>IFERROR(__xludf.DUMMYFUNCTION("""COMPUTED_VALUE"""),2192000.0)</f>
        <v>2192000</v>
      </c>
    </row>
    <row r="378">
      <c r="A378" s="2">
        <f>IFERROR(__xludf.DUMMYFUNCTION("""COMPUTED_VALUE"""),37071.666666666664)</f>
        <v>37071.66667</v>
      </c>
      <c r="B378" s="1">
        <f>IFERROR(__xludf.DUMMYFUNCTION("""COMPUTED_VALUE"""),31.62)</f>
        <v>31.62</v>
      </c>
      <c r="C378" s="1">
        <f>IFERROR(__xludf.DUMMYFUNCTION("""COMPUTED_VALUE"""),32.59)</f>
        <v>32.59</v>
      </c>
      <c r="D378" s="1">
        <f>IFERROR(__xludf.DUMMYFUNCTION("""COMPUTED_VALUE"""),31.51)</f>
        <v>31.51</v>
      </c>
      <c r="E378" s="1">
        <f>IFERROR(__xludf.DUMMYFUNCTION("""COMPUTED_VALUE"""),31.51)</f>
        <v>31.51</v>
      </c>
      <c r="F378" s="1">
        <f>IFERROR(__xludf.DUMMYFUNCTION("""COMPUTED_VALUE"""),4144600.0)</f>
        <v>4144600</v>
      </c>
    </row>
    <row r="379">
      <c r="A379" s="2">
        <f>IFERROR(__xludf.DUMMYFUNCTION("""COMPUTED_VALUE"""),37074.666666666664)</f>
        <v>37074.66667</v>
      </c>
      <c r="B379" s="1">
        <f>IFERROR(__xludf.DUMMYFUNCTION("""COMPUTED_VALUE"""),31.6)</f>
        <v>31.6</v>
      </c>
      <c r="C379" s="1">
        <f>IFERROR(__xludf.DUMMYFUNCTION("""COMPUTED_VALUE"""),32.01)</f>
        <v>32.01</v>
      </c>
      <c r="D379" s="1">
        <f>IFERROR(__xludf.DUMMYFUNCTION("""COMPUTED_VALUE"""),31.51)</f>
        <v>31.51</v>
      </c>
      <c r="E379" s="1">
        <f>IFERROR(__xludf.DUMMYFUNCTION("""COMPUTED_VALUE"""),31.84)</f>
        <v>31.84</v>
      </c>
      <c r="F379" s="1">
        <f>IFERROR(__xludf.DUMMYFUNCTION("""COMPUTED_VALUE"""),1970400.0)</f>
        <v>1970400</v>
      </c>
    </row>
    <row r="380">
      <c r="A380" s="2">
        <f>IFERROR(__xludf.DUMMYFUNCTION("""COMPUTED_VALUE"""),37075.666666666664)</f>
        <v>37075.66667</v>
      </c>
      <c r="B380" s="1">
        <f>IFERROR(__xludf.DUMMYFUNCTION("""COMPUTED_VALUE"""),31.61)</f>
        <v>31.61</v>
      </c>
      <c r="C380" s="1">
        <f>IFERROR(__xludf.DUMMYFUNCTION("""COMPUTED_VALUE"""),31.95)</f>
        <v>31.95</v>
      </c>
      <c r="D380" s="1">
        <f>IFERROR(__xludf.DUMMYFUNCTION("""COMPUTED_VALUE"""),31.48)</f>
        <v>31.48</v>
      </c>
      <c r="E380" s="1">
        <f>IFERROR(__xludf.DUMMYFUNCTION("""COMPUTED_VALUE"""),31.9)</f>
        <v>31.9</v>
      </c>
      <c r="F380" s="1">
        <f>IFERROR(__xludf.DUMMYFUNCTION("""COMPUTED_VALUE"""),1256000.0)</f>
        <v>1256000</v>
      </c>
    </row>
    <row r="381">
      <c r="A381" s="2">
        <f>IFERROR(__xludf.DUMMYFUNCTION("""COMPUTED_VALUE"""),37077.666666666664)</f>
        <v>37077.66667</v>
      </c>
      <c r="B381" s="1">
        <f>IFERROR(__xludf.DUMMYFUNCTION("""COMPUTED_VALUE"""),31.75)</f>
        <v>31.75</v>
      </c>
      <c r="C381" s="1">
        <f>IFERROR(__xludf.DUMMYFUNCTION("""COMPUTED_VALUE"""),31.9)</f>
        <v>31.9</v>
      </c>
      <c r="D381" s="1">
        <f>IFERROR(__xludf.DUMMYFUNCTION("""COMPUTED_VALUE"""),31.49)</f>
        <v>31.49</v>
      </c>
      <c r="E381" s="1">
        <f>IFERROR(__xludf.DUMMYFUNCTION("""COMPUTED_VALUE"""),31.87)</f>
        <v>31.87</v>
      </c>
      <c r="F381" s="1">
        <f>IFERROR(__xludf.DUMMYFUNCTION("""COMPUTED_VALUE"""),2006300.0)</f>
        <v>2006300</v>
      </c>
    </row>
    <row r="382">
      <c r="A382" s="2">
        <f>IFERROR(__xludf.DUMMYFUNCTION("""COMPUTED_VALUE"""),37078.666666666664)</f>
        <v>37078.66667</v>
      </c>
      <c r="B382" s="1">
        <f>IFERROR(__xludf.DUMMYFUNCTION("""COMPUTED_VALUE"""),31.74)</f>
        <v>31.74</v>
      </c>
      <c r="C382" s="1">
        <f>IFERROR(__xludf.DUMMYFUNCTION("""COMPUTED_VALUE"""),32.12)</f>
        <v>32.12</v>
      </c>
      <c r="D382" s="1">
        <f>IFERROR(__xludf.DUMMYFUNCTION("""COMPUTED_VALUE"""),31.66)</f>
        <v>31.66</v>
      </c>
      <c r="E382" s="1">
        <f>IFERROR(__xludf.DUMMYFUNCTION("""COMPUTED_VALUE"""),32.1)</f>
        <v>32.1</v>
      </c>
      <c r="F382" s="1">
        <f>IFERROR(__xludf.DUMMYFUNCTION("""COMPUTED_VALUE"""),2413400.0)</f>
        <v>2413400</v>
      </c>
    </row>
    <row r="383">
      <c r="A383" s="2">
        <f>IFERROR(__xludf.DUMMYFUNCTION("""COMPUTED_VALUE"""),37081.666666666664)</f>
        <v>37081.66667</v>
      </c>
      <c r="B383" s="1">
        <f>IFERROR(__xludf.DUMMYFUNCTION("""COMPUTED_VALUE"""),32.1)</f>
        <v>32.1</v>
      </c>
      <c r="C383" s="1">
        <f>IFERROR(__xludf.DUMMYFUNCTION("""COMPUTED_VALUE"""),32.66)</f>
        <v>32.66</v>
      </c>
      <c r="D383" s="1">
        <f>IFERROR(__xludf.DUMMYFUNCTION("""COMPUTED_VALUE"""),32.1)</f>
        <v>32.1</v>
      </c>
      <c r="E383" s="1">
        <f>IFERROR(__xludf.DUMMYFUNCTION("""COMPUTED_VALUE"""),32.66)</f>
        <v>32.66</v>
      </c>
      <c r="F383" s="1">
        <f>IFERROR(__xludf.DUMMYFUNCTION("""COMPUTED_VALUE"""),3538200.0)</f>
        <v>3538200</v>
      </c>
    </row>
    <row r="384">
      <c r="A384" s="2">
        <f>IFERROR(__xludf.DUMMYFUNCTION("""COMPUTED_VALUE"""),37082.666666666664)</f>
        <v>37082.66667</v>
      </c>
      <c r="B384" s="1">
        <f>IFERROR(__xludf.DUMMYFUNCTION("""COMPUTED_VALUE"""),32.64)</f>
        <v>32.64</v>
      </c>
      <c r="C384" s="1">
        <f>IFERROR(__xludf.DUMMYFUNCTION("""COMPUTED_VALUE"""),33.14)</f>
        <v>33.14</v>
      </c>
      <c r="D384" s="1">
        <f>IFERROR(__xludf.DUMMYFUNCTION("""COMPUTED_VALUE"""),32.23)</f>
        <v>32.23</v>
      </c>
      <c r="E384" s="1">
        <f>IFERROR(__xludf.DUMMYFUNCTION("""COMPUTED_VALUE"""),33.09)</f>
        <v>33.09</v>
      </c>
      <c r="F384" s="1">
        <f>IFERROR(__xludf.DUMMYFUNCTION("""COMPUTED_VALUE"""),4108500.0)</f>
        <v>4108500</v>
      </c>
    </row>
    <row r="385">
      <c r="A385" s="2">
        <f>IFERROR(__xludf.DUMMYFUNCTION("""COMPUTED_VALUE"""),37083.666666666664)</f>
        <v>37083.66667</v>
      </c>
      <c r="B385" s="1">
        <f>IFERROR(__xludf.DUMMYFUNCTION("""COMPUTED_VALUE"""),33.43)</f>
        <v>33.43</v>
      </c>
      <c r="C385" s="1">
        <f>IFERROR(__xludf.DUMMYFUNCTION("""COMPUTED_VALUE"""),34.07)</f>
        <v>34.07</v>
      </c>
      <c r="D385" s="1">
        <f>IFERROR(__xludf.DUMMYFUNCTION("""COMPUTED_VALUE"""),33.14)</f>
        <v>33.14</v>
      </c>
      <c r="E385" s="1">
        <f>IFERROR(__xludf.DUMMYFUNCTION("""COMPUTED_VALUE"""),33.95)</f>
        <v>33.95</v>
      </c>
      <c r="F385" s="1">
        <f>IFERROR(__xludf.DUMMYFUNCTION("""COMPUTED_VALUE"""),4578000.0)</f>
        <v>4578000</v>
      </c>
    </row>
    <row r="386">
      <c r="A386" s="2">
        <f>IFERROR(__xludf.DUMMYFUNCTION("""COMPUTED_VALUE"""),37084.666666666664)</f>
        <v>37084.66667</v>
      </c>
      <c r="B386" s="1">
        <f>IFERROR(__xludf.DUMMYFUNCTION("""COMPUTED_VALUE"""),33.96)</f>
        <v>33.96</v>
      </c>
      <c r="C386" s="1">
        <f>IFERROR(__xludf.DUMMYFUNCTION("""COMPUTED_VALUE"""),33.98)</f>
        <v>33.98</v>
      </c>
      <c r="D386" s="1">
        <f>IFERROR(__xludf.DUMMYFUNCTION("""COMPUTED_VALUE"""),33.53)</f>
        <v>33.53</v>
      </c>
      <c r="E386" s="1">
        <f>IFERROR(__xludf.DUMMYFUNCTION("""COMPUTED_VALUE"""),33.95)</f>
        <v>33.95</v>
      </c>
      <c r="F386" s="1">
        <f>IFERROR(__xludf.DUMMYFUNCTION("""COMPUTED_VALUE"""),3177300.0)</f>
        <v>3177300</v>
      </c>
    </row>
    <row r="387">
      <c r="A387" s="2">
        <f>IFERROR(__xludf.DUMMYFUNCTION("""COMPUTED_VALUE"""),37085.666666666664)</f>
        <v>37085.66667</v>
      </c>
      <c r="B387" s="1">
        <f>IFERROR(__xludf.DUMMYFUNCTION("""COMPUTED_VALUE"""),33.73)</f>
        <v>33.73</v>
      </c>
      <c r="C387" s="1">
        <f>IFERROR(__xludf.DUMMYFUNCTION("""COMPUTED_VALUE"""),33.78)</f>
        <v>33.78</v>
      </c>
      <c r="D387" s="1">
        <f>IFERROR(__xludf.DUMMYFUNCTION("""COMPUTED_VALUE"""),33.41)</f>
        <v>33.41</v>
      </c>
      <c r="E387" s="1">
        <f>IFERROR(__xludf.DUMMYFUNCTION("""COMPUTED_VALUE"""),33.65)</f>
        <v>33.65</v>
      </c>
      <c r="F387" s="1">
        <f>IFERROR(__xludf.DUMMYFUNCTION("""COMPUTED_VALUE"""),2644600.0)</f>
        <v>2644600</v>
      </c>
    </row>
    <row r="388">
      <c r="A388" s="2">
        <f>IFERROR(__xludf.DUMMYFUNCTION("""COMPUTED_VALUE"""),37088.666666666664)</f>
        <v>37088.66667</v>
      </c>
      <c r="B388" s="1">
        <f>IFERROR(__xludf.DUMMYFUNCTION("""COMPUTED_VALUE"""),33.65)</f>
        <v>33.65</v>
      </c>
      <c r="C388" s="1">
        <f>IFERROR(__xludf.DUMMYFUNCTION("""COMPUTED_VALUE"""),34.3)</f>
        <v>34.3</v>
      </c>
      <c r="D388" s="1">
        <f>IFERROR(__xludf.DUMMYFUNCTION("""COMPUTED_VALUE"""),33.6)</f>
        <v>33.6</v>
      </c>
      <c r="E388" s="1">
        <f>IFERROR(__xludf.DUMMYFUNCTION("""COMPUTED_VALUE"""),34.15)</f>
        <v>34.15</v>
      </c>
      <c r="F388" s="1">
        <f>IFERROR(__xludf.DUMMYFUNCTION("""COMPUTED_VALUE"""),1907800.0)</f>
        <v>1907800</v>
      </c>
    </row>
    <row r="389">
      <c r="A389" s="2">
        <f>IFERROR(__xludf.DUMMYFUNCTION("""COMPUTED_VALUE"""),37089.666666666664)</f>
        <v>37089.66667</v>
      </c>
      <c r="B389" s="1">
        <f>IFERROR(__xludf.DUMMYFUNCTION("""COMPUTED_VALUE"""),34.26)</f>
        <v>34.26</v>
      </c>
      <c r="C389" s="1">
        <f>IFERROR(__xludf.DUMMYFUNCTION("""COMPUTED_VALUE"""),34.56)</f>
        <v>34.56</v>
      </c>
      <c r="D389" s="1">
        <f>IFERROR(__xludf.DUMMYFUNCTION("""COMPUTED_VALUE"""),33.95)</f>
        <v>33.95</v>
      </c>
      <c r="E389" s="1">
        <f>IFERROR(__xludf.DUMMYFUNCTION("""COMPUTED_VALUE"""),34.53)</f>
        <v>34.53</v>
      </c>
      <c r="F389" s="1">
        <f>IFERROR(__xludf.DUMMYFUNCTION("""COMPUTED_VALUE"""),2699200.0)</f>
        <v>2699200</v>
      </c>
    </row>
    <row r="390">
      <c r="A390" s="2">
        <f>IFERROR(__xludf.DUMMYFUNCTION("""COMPUTED_VALUE"""),37090.666666666664)</f>
        <v>37090.66667</v>
      </c>
      <c r="B390" s="1">
        <f>IFERROR(__xludf.DUMMYFUNCTION("""COMPUTED_VALUE"""),34.51)</f>
        <v>34.51</v>
      </c>
      <c r="C390" s="1">
        <f>IFERROR(__xludf.DUMMYFUNCTION("""COMPUTED_VALUE"""),34.52)</f>
        <v>34.52</v>
      </c>
      <c r="D390" s="1">
        <f>IFERROR(__xludf.DUMMYFUNCTION("""COMPUTED_VALUE"""),33.94)</f>
        <v>33.94</v>
      </c>
      <c r="E390" s="1">
        <f>IFERROR(__xludf.DUMMYFUNCTION("""COMPUTED_VALUE"""),34.17)</f>
        <v>34.17</v>
      </c>
      <c r="F390" s="1">
        <f>IFERROR(__xludf.DUMMYFUNCTION("""COMPUTED_VALUE"""),3015600.0)</f>
        <v>3015600</v>
      </c>
    </row>
    <row r="391">
      <c r="A391" s="2">
        <f>IFERROR(__xludf.DUMMYFUNCTION("""COMPUTED_VALUE"""),37091.666666666664)</f>
        <v>37091.66667</v>
      </c>
      <c r="B391" s="1">
        <f>IFERROR(__xludf.DUMMYFUNCTION("""COMPUTED_VALUE"""),34.17)</f>
        <v>34.17</v>
      </c>
      <c r="C391" s="1">
        <f>IFERROR(__xludf.DUMMYFUNCTION("""COMPUTED_VALUE"""),34.43)</f>
        <v>34.43</v>
      </c>
      <c r="D391" s="1">
        <f>IFERROR(__xludf.DUMMYFUNCTION("""COMPUTED_VALUE"""),33.43)</f>
        <v>33.43</v>
      </c>
      <c r="E391" s="1">
        <f>IFERROR(__xludf.DUMMYFUNCTION("""COMPUTED_VALUE"""),33.77)</f>
        <v>33.77</v>
      </c>
      <c r="F391" s="1">
        <f>IFERROR(__xludf.DUMMYFUNCTION("""COMPUTED_VALUE"""),2984700.0)</f>
        <v>2984700</v>
      </c>
    </row>
    <row r="392">
      <c r="A392" s="2">
        <f>IFERROR(__xludf.DUMMYFUNCTION("""COMPUTED_VALUE"""),37092.666666666664)</f>
        <v>37092.66667</v>
      </c>
      <c r="B392" s="1">
        <f>IFERROR(__xludf.DUMMYFUNCTION("""COMPUTED_VALUE"""),34.12)</f>
        <v>34.12</v>
      </c>
      <c r="C392" s="1">
        <f>IFERROR(__xludf.DUMMYFUNCTION("""COMPUTED_VALUE"""),34.12)</f>
        <v>34.12</v>
      </c>
      <c r="D392" s="1">
        <f>IFERROR(__xludf.DUMMYFUNCTION("""COMPUTED_VALUE"""),33.38)</f>
        <v>33.38</v>
      </c>
      <c r="E392" s="1">
        <f>IFERROR(__xludf.DUMMYFUNCTION("""COMPUTED_VALUE"""),33.62)</f>
        <v>33.62</v>
      </c>
      <c r="F392" s="1">
        <f>IFERROR(__xludf.DUMMYFUNCTION("""COMPUTED_VALUE"""),2257300.0)</f>
        <v>2257300</v>
      </c>
    </row>
    <row r="393">
      <c r="A393" s="2">
        <f>IFERROR(__xludf.DUMMYFUNCTION("""COMPUTED_VALUE"""),37095.666666666664)</f>
        <v>37095.66667</v>
      </c>
      <c r="B393" s="1">
        <f>IFERROR(__xludf.DUMMYFUNCTION("""COMPUTED_VALUE"""),33.65)</f>
        <v>33.65</v>
      </c>
      <c r="C393" s="1">
        <f>IFERROR(__xludf.DUMMYFUNCTION("""COMPUTED_VALUE"""),33.73)</f>
        <v>33.73</v>
      </c>
      <c r="D393" s="1">
        <f>IFERROR(__xludf.DUMMYFUNCTION("""COMPUTED_VALUE"""),33.19)</f>
        <v>33.19</v>
      </c>
      <c r="E393" s="1">
        <f>IFERROR(__xludf.DUMMYFUNCTION("""COMPUTED_VALUE"""),33.48)</f>
        <v>33.48</v>
      </c>
      <c r="F393" s="1">
        <f>IFERROR(__xludf.DUMMYFUNCTION("""COMPUTED_VALUE"""),2277300.0)</f>
        <v>2277300</v>
      </c>
    </row>
    <row r="394">
      <c r="A394" s="2">
        <f>IFERROR(__xludf.DUMMYFUNCTION("""COMPUTED_VALUE"""),37096.666666666664)</f>
        <v>37096.66667</v>
      </c>
      <c r="B394" s="1">
        <f>IFERROR(__xludf.DUMMYFUNCTION("""COMPUTED_VALUE"""),33.46)</f>
        <v>33.46</v>
      </c>
      <c r="C394" s="1">
        <f>IFERROR(__xludf.DUMMYFUNCTION("""COMPUTED_VALUE"""),33.88)</f>
        <v>33.88</v>
      </c>
      <c r="D394" s="1">
        <f>IFERROR(__xludf.DUMMYFUNCTION("""COMPUTED_VALUE"""),33.29)</f>
        <v>33.29</v>
      </c>
      <c r="E394" s="1">
        <f>IFERROR(__xludf.DUMMYFUNCTION("""COMPUTED_VALUE"""),33.62)</f>
        <v>33.62</v>
      </c>
      <c r="F394" s="1">
        <f>IFERROR(__xludf.DUMMYFUNCTION("""COMPUTED_VALUE"""),2008400.0)</f>
        <v>2008400</v>
      </c>
    </row>
    <row r="395">
      <c r="A395" s="2">
        <f>IFERROR(__xludf.DUMMYFUNCTION("""COMPUTED_VALUE"""),37097.666666666664)</f>
        <v>37097.66667</v>
      </c>
      <c r="B395" s="1">
        <f>IFERROR(__xludf.DUMMYFUNCTION("""COMPUTED_VALUE"""),33.62)</f>
        <v>33.62</v>
      </c>
      <c r="C395" s="1">
        <f>IFERROR(__xludf.DUMMYFUNCTION("""COMPUTED_VALUE"""),34.57)</f>
        <v>34.57</v>
      </c>
      <c r="D395" s="1">
        <f>IFERROR(__xludf.DUMMYFUNCTION("""COMPUTED_VALUE"""),33.51)</f>
        <v>33.51</v>
      </c>
      <c r="E395" s="1">
        <f>IFERROR(__xludf.DUMMYFUNCTION("""COMPUTED_VALUE"""),34.57)</f>
        <v>34.57</v>
      </c>
      <c r="F395" s="1">
        <f>IFERROR(__xludf.DUMMYFUNCTION("""COMPUTED_VALUE"""),2112900.0)</f>
        <v>2112900</v>
      </c>
    </row>
    <row r="396">
      <c r="A396" s="2">
        <f>IFERROR(__xludf.DUMMYFUNCTION("""COMPUTED_VALUE"""),37098.666666666664)</f>
        <v>37098.66667</v>
      </c>
      <c r="B396" s="1">
        <f>IFERROR(__xludf.DUMMYFUNCTION("""COMPUTED_VALUE"""),34.27)</f>
        <v>34.27</v>
      </c>
      <c r="C396" s="1">
        <f>IFERROR(__xludf.DUMMYFUNCTION("""COMPUTED_VALUE"""),35.06)</f>
        <v>35.06</v>
      </c>
      <c r="D396" s="1">
        <f>IFERROR(__xludf.DUMMYFUNCTION("""COMPUTED_VALUE"""),34.08)</f>
        <v>34.08</v>
      </c>
      <c r="E396" s="1">
        <f>IFERROR(__xludf.DUMMYFUNCTION("""COMPUTED_VALUE"""),35.06)</f>
        <v>35.06</v>
      </c>
      <c r="F396" s="1">
        <f>IFERROR(__xludf.DUMMYFUNCTION("""COMPUTED_VALUE"""),4155800.0)</f>
        <v>4155800</v>
      </c>
    </row>
    <row r="397">
      <c r="A397" s="2">
        <f>IFERROR(__xludf.DUMMYFUNCTION("""COMPUTED_VALUE"""),37099.666666666664)</f>
        <v>37099.66667</v>
      </c>
      <c r="B397" s="1">
        <f>IFERROR(__xludf.DUMMYFUNCTION("""COMPUTED_VALUE"""),34.81)</f>
        <v>34.81</v>
      </c>
      <c r="C397" s="1">
        <f>IFERROR(__xludf.DUMMYFUNCTION("""COMPUTED_VALUE"""),34.98)</f>
        <v>34.98</v>
      </c>
      <c r="D397" s="1">
        <f>IFERROR(__xludf.DUMMYFUNCTION("""COMPUTED_VALUE"""),34.62)</f>
        <v>34.62</v>
      </c>
      <c r="E397" s="1">
        <f>IFERROR(__xludf.DUMMYFUNCTION("""COMPUTED_VALUE"""),34.8)</f>
        <v>34.8</v>
      </c>
      <c r="F397" s="1">
        <f>IFERROR(__xludf.DUMMYFUNCTION("""COMPUTED_VALUE"""),2068600.0)</f>
        <v>2068600</v>
      </c>
    </row>
    <row r="398">
      <c r="A398" s="2">
        <f>IFERROR(__xludf.DUMMYFUNCTION("""COMPUTED_VALUE"""),37102.666666666664)</f>
        <v>37102.66667</v>
      </c>
      <c r="B398" s="1">
        <f>IFERROR(__xludf.DUMMYFUNCTION("""COMPUTED_VALUE"""),34.59)</f>
        <v>34.59</v>
      </c>
      <c r="C398" s="1">
        <f>IFERROR(__xludf.DUMMYFUNCTION("""COMPUTED_VALUE"""),35.11)</f>
        <v>35.11</v>
      </c>
      <c r="D398" s="1">
        <f>IFERROR(__xludf.DUMMYFUNCTION("""COMPUTED_VALUE"""),34.59)</f>
        <v>34.59</v>
      </c>
      <c r="E398" s="1">
        <f>IFERROR(__xludf.DUMMYFUNCTION("""COMPUTED_VALUE"""),35.11)</f>
        <v>35.11</v>
      </c>
      <c r="F398" s="1">
        <f>IFERROR(__xludf.DUMMYFUNCTION("""COMPUTED_VALUE"""),1953000.0)</f>
        <v>1953000</v>
      </c>
    </row>
    <row r="399">
      <c r="A399" s="2">
        <f>IFERROR(__xludf.DUMMYFUNCTION("""COMPUTED_VALUE"""),37103.666666666664)</f>
        <v>37103.66667</v>
      </c>
      <c r="B399" s="1">
        <f>IFERROR(__xludf.DUMMYFUNCTION("""COMPUTED_VALUE"""),35.11)</f>
        <v>35.11</v>
      </c>
      <c r="C399" s="1">
        <f>IFERROR(__xludf.DUMMYFUNCTION("""COMPUTED_VALUE"""),35.35)</f>
        <v>35.35</v>
      </c>
      <c r="D399" s="1">
        <f>IFERROR(__xludf.DUMMYFUNCTION("""COMPUTED_VALUE"""),34.86)</f>
        <v>34.86</v>
      </c>
      <c r="E399" s="1">
        <f>IFERROR(__xludf.DUMMYFUNCTION("""COMPUTED_VALUE"""),35.07)</f>
        <v>35.07</v>
      </c>
      <c r="F399" s="1">
        <f>IFERROR(__xludf.DUMMYFUNCTION("""COMPUTED_VALUE"""),2879000.0)</f>
        <v>2879000</v>
      </c>
    </row>
    <row r="400">
      <c r="A400" s="2">
        <f>IFERROR(__xludf.DUMMYFUNCTION("""COMPUTED_VALUE"""),37104.666666666664)</f>
        <v>37104.66667</v>
      </c>
      <c r="B400" s="1">
        <f>IFERROR(__xludf.DUMMYFUNCTION("""COMPUTED_VALUE"""),35.08)</f>
        <v>35.08</v>
      </c>
      <c r="C400" s="1">
        <f>IFERROR(__xludf.DUMMYFUNCTION("""COMPUTED_VALUE"""),35.52)</f>
        <v>35.52</v>
      </c>
      <c r="D400" s="1">
        <f>IFERROR(__xludf.DUMMYFUNCTION("""COMPUTED_VALUE"""),35.08)</f>
        <v>35.08</v>
      </c>
      <c r="E400" s="1">
        <f>IFERROR(__xludf.DUMMYFUNCTION("""COMPUTED_VALUE"""),35.31)</f>
        <v>35.31</v>
      </c>
      <c r="F400" s="1">
        <f>IFERROR(__xludf.DUMMYFUNCTION("""COMPUTED_VALUE"""),2220000.0)</f>
        <v>2220000</v>
      </c>
    </row>
    <row r="401">
      <c r="A401" s="2">
        <f>IFERROR(__xludf.DUMMYFUNCTION("""COMPUTED_VALUE"""),37105.666666666664)</f>
        <v>37105.66667</v>
      </c>
      <c r="B401" s="1">
        <f>IFERROR(__xludf.DUMMYFUNCTION("""COMPUTED_VALUE"""),35.44)</f>
        <v>35.44</v>
      </c>
      <c r="C401" s="1">
        <f>IFERROR(__xludf.DUMMYFUNCTION("""COMPUTED_VALUE"""),35.53)</f>
        <v>35.53</v>
      </c>
      <c r="D401" s="1">
        <f>IFERROR(__xludf.DUMMYFUNCTION("""COMPUTED_VALUE"""),34.91)</f>
        <v>34.91</v>
      </c>
      <c r="E401" s="1">
        <f>IFERROR(__xludf.DUMMYFUNCTION("""COMPUTED_VALUE"""),35.29)</f>
        <v>35.29</v>
      </c>
      <c r="F401" s="1">
        <f>IFERROR(__xludf.DUMMYFUNCTION("""COMPUTED_VALUE"""),1706300.0)</f>
        <v>1706300</v>
      </c>
    </row>
    <row r="402">
      <c r="A402" s="2">
        <f>IFERROR(__xludf.DUMMYFUNCTION("""COMPUTED_VALUE"""),37106.666666666664)</f>
        <v>37106.66667</v>
      </c>
      <c r="B402" s="1">
        <f>IFERROR(__xludf.DUMMYFUNCTION("""COMPUTED_VALUE"""),35.29)</f>
        <v>35.29</v>
      </c>
      <c r="C402" s="1">
        <f>IFERROR(__xludf.DUMMYFUNCTION("""COMPUTED_VALUE"""),35.31)</f>
        <v>35.31</v>
      </c>
      <c r="D402" s="1">
        <f>IFERROR(__xludf.DUMMYFUNCTION("""COMPUTED_VALUE"""),34.33)</f>
        <v>34.33</v>
      </c>
      <c r="E402" s="1">
        <f>IFERROR(__xludf.DUMMYFUNCTION("""COMPUTED_VALUE"""),34.68)</f>
        <v>34.68</v>
      </c>
      <c r="F402" s="1">
        <f>IFERROR(__xludf.DUMMYFUNCTION("""COMPUTED_VALUE"""),2212200.0)</f>
        <v>2212200</v>
      </c>
    </row>
    <row r="403">
      <c r="A403" s="2">
        <f>IFERROR(__xludf.DUMMYFUNCTION("""COMPUTED_VALUE"""),37109.666666666664)</f>
        <v>37109.66667</v>
      </c>
      <c r="B403" s="1">
        <f>IFERROR(__xludf.DUMMYFUNCTION("""COMPUTED_VALUE"""),34.77)</f>
        <v>34.77</v>
      </c>
      <c r="C403" s="1">
        <f>IFERROR(__xludf.DUMMYFUNCTION("""COMPUTED_VALUE"""),34.94)</f>
        <v>34.94</v>
      </c>
      <c r="D403" s="1">
        <f>IFERROR(__xludf.DUMMYFUNCTION("""COMPUTED_VALUE"""),34.45)</f>
        <v>34.45</v>
      </c>
      <c r="E403" s="1">
        <f>IFERROR(__xludf.DUMMYFUNCTION("""COMPUTED_VALUE"""),34.94)</f>
        <v>34.94</v>
      </c>
      <c r="F403" s="1">
        <f>IFERROR(__xludf.DUMMYFUNCTION("""COMPUTED_VALUE"""),2186300.0)</f>
        <v>2186300</v>
      </c>
    </row>
    <row r="404">
      <c r="A404" s="2">
        <f>IFERROR(__xludf.DUMMYFUNCTION("""COMPUTED_VALUE"""),37110.666666666664)</f>
        <v>37110.66667</v>
      </c>
      <c r="B404" s="1">
        <f>IFERROR(__xludf.DUMMYFUNCTION("""COMPUTED_VALUE"""),34.44)</f>
        <v>34.44</v>
      </c>
      <c r="C404" s="1">
        <f>IFERROR(__xludf.DUMMYFUNCTION("""COMPUTED_VALUE"""),35.48)</f>
        <v>35.48</v>
      </c>
      <c r="D404" s="1">
        <f>IFERROR(__xludf.DUMMYFUNCTION("""COMPUTED_VALUE"""),34.35)</f>
        <v>34.35</v>
      </c>
      <c r="E404" s="1">
        <f>IFERROR(__xludf.DUMMYFUNCTION("""COMPUTED_VALUE"""),34.87)</f>
        <v>34.87</v>
      </c>
      <c r="F404" s="1">
        <f>IFERROR(__xludf.DUMMYFUNCTION("""COMPUTED_VALUE"""),3215200.0)</f>
        <v>3215200</v>
      </c>
    </row>
    <row r="405">
      <c r="A405" s="2">
        <f>IFERROR(__xludf.DUMMYFUNCTION("""COMPUTED_VALUE"""),37111.666666666664)</f>
        <v>37111.66667</v>
      </c>
      <c r="B405" s="1">
        <f>IFERROR(__xludf.DUMMYFUNCTION("""COMPUTED_VALUE"""),34.32)</f>
        <v>34.32</v>
      </c>
      <c r="C405" s="1">
        <f>IFERROR(__xludf.DUMMYFUNCTION("""COMPUTED_VALUE"""),34.78)</f>
        <v>34.78</v>
      </c>
      <c r="D405" s="1">
        <f>IFERROR(__xludf.DUMMYFUNCTION("""COMPUTED_VALUE"""),34.32)</f>
        <v>34.32</v>
      </c>
      <c r="E405" s="1">
        <f>IFERROR(__xludf.DUMMYFUNCTION("""COMPUTED_VALUE"""),34.49)</f>
        <v>34.49</v>
      </c>
      <c r="F405" s="1">
        <f>IFERROR(__xludf.DUMMYFUNCTION("""COMPUTED_VALUE"""),2201500.0)</f>
        <v>2201500</v>
      </c>
    </row>
    <row r="406">
      <c r="A406" s="2">
        <f>IFERROR(__xludf.DUMMYFUNCTION("""COMPUTED_VALUE"""),37112.666666666664)</f>
        <v>37112.66667</v>
      </c>
      <c r="B406" s="1">
        <f>IFERROR(__xludf.DUMMYFUNCTION("""COMPUTED_VALUE"""),34.33)</f>
        <v>34.33</v>
      </c>
      <c r="C406" s="1">
        <f>IFERROR(__xludf.DUMMYFUNCTION("""COMPUTED_VALUE"""),35.01)</f>
        <v>35.01</v>
      </c>
      <c r="D406" s="1">
        <f>IFERROR(__xludf.DUMMYFUNCTION("""COMPUTED_VALUE"""),34.25)</f>
        <v>34.25</v>
      </c>
      <c r="E406" s="1">
        <f>IFERROR(__xludf.DUMMYFUNCTION("""COMPUTED_VALUE"""),34.91)</f>
        <v>34.91</v>
      </c>
      <c r="F406" s="1">
        <f>IFERROR(__xludf.DUMMYFUNCTION("""COMPUTED_VALUE"""),1819000.0)</f>
        <v>1819000</v>
      </c>
    </row>
    <row r="407">
      <c r="A407" s="2">
        <f>IFERROR(__xludf.DUMMYFUNCTION("""COMPUTED_VALUE"""),37113.666666666664)</f>
        <v>37113.66667</v>
      </c>
      <c r="B407" s="1">
        <f>IFERROR(__xludf.DUMMYFUNCTION("""COMPUTED_VALUE"""),35.16)</f>
        <v>35.16</v>
      </c>
      <c r="C407" s="1">
        <f>IFERROR(__xludf.DUMMYFUNCTION("""COMPUTED_VALUE"""),35.82)</f>
        <v>35.82</v>
      </c>
      <c r="D407" s="1">
        <f>IFERROR(__xludf.DUMMYFUNCTION("""COMPUTED_VALUE"""),34.99)</f>
        <v>34.99</v>
      </c>
      <c r="E407" s="1">
        <f>IFERROR(__xludf.DUMMYFUNCTION("""COMPUTED_VALUE"""),35.49)</f>
        <v>35.49</v>
      </c>
      <c r="F407" s="1">
        <f>IFERROR(__xludf.DUMMYFUNCTION("""COMPUTED_VALUE"""),3642100.0)</f>
        <v>3642100</v>
      </c>
    </row>
    <row r="408">
      <c r="A408" s="2">
        <f>IFERROR(__xludf.DUMMYFUNCTION("""COMPUTED_VALUE"""),37116.666666666664)</f>
        <v>37116.66667</v>
      </c>
      <c r="B408" s="1">
        <f>IFERROR(__xludf.DUMMYFUNCTION("""COMPUTED_VALUE"""),35.51)</f>
        <v>35.51</v>
      </c>
      <c r="C408" s="1">
        <f>IFERROR(__xludf.DUMMYFUNCTION("""COMPUTED_VALUE"""),35.7)</f>
        <v>35.7</v>
      </c>
      <c r="D408" s="1">
        <f>IFERROR(__xludf.DUMMYFUNCTION("""COMPUTED_VALUE"""),35.42)</f>
        <v>35.42</v>
      </c>
      <c r="E408" s="1">
        <f>IFERROR(__xludf.DUMMYFUNCTION("""COMPUTED_VALUE"""),35.61)</f>
        <v>35.61</v>
      </c>
      <c r="F408" s="1">
        <f>IFERROR(__xludf.DUMMYFUNCTION("""COMPUTED_VALUE"""),2464400.0)</f>
        <v>2464400</v>
      </c>
    </row>
    <row r="409">
      <c r="A409" s="2">
        <f>IFERROR(__xludf.DUMMYFUNCTION("""COMPUTED_VALUE"""),37117.666666666664)</f>
        <v>37117.66667</v>
      </c>
      <c r="B409" s="1">
        <f>IFERROR(__xludf.DUMMYFUNCTION("""COMPUTED_VALUE"""),35.73)</f>
        <v>35.73</v>
      </c>
      <c r="C409" s="1">
        <f>IFERROR(__xludf.DUMMYFUNCTION("""COMPUTED_VALUE"""),35.86)</f>
        <v>35.86</v>
      </c>
      <c r="D409" s="1">
        <f>IFERROR(__xludf.DUMMYFUNCTION("""COMPUTED_VALUE"""),35.56)</f>
        <v>35.56</v>
      </c>
      <c r="E409" s="1">
        <f>IFERROR(__xludf.DUMMYFUNCTION("""COMPUTED_VALUE"""),35.8)</f>
        <v>35.8</v>
      </c>
      <c r="F409" s="1">
        <f>IFERROR(__xludf.DUMMYFUNCTION("""COMPUTED_VALUE"""),2755300.0)</f>
        <v>2755300</v>
      </c>
    </row>
    <row r="410">
      <c r="A410" s="2">
        <f>IFERROR(__xludf.DUMMYFUNCTION("""COMPUTED_VALUE"""),37118.666666666664)</f>
        <v>37118.66667</v>
      </c>
      <c r="B410" s="1">
        <f>IFERROR(__xludf.DUMMYFUNCTION("""COMPUTED_VALUE"""),35.69)</f>
        <v>35.69</v>
      </c>
      <c r="C410" s="1">
        <f>IFERROR(__xludf.DUMMYFUNCTION("""COMPUTED_VALUE"""),36.04)</f>
        <v>36.04</v>
      </c>
      <c r="D410" s="1">
        <f>IFERROR(__xludf.DUMMYFUNCTION("""COMPUTED_VALUE"""),35.6)</f>
        <v>35.6</v>
      </c>
      <c r="E410" s="1">
        <f>IFERROR(__xludf.DUMMYFUNCTION("""COMPUTED_VALUE"""),35.64)</f>
        <v>35.64</v>
      </c>
      <c r="F410" s="1">
        <f>IFERROR(__xludf.DUMMYFUNCTION("""COMPUTED_VALUE"""),2485200.0)</f>
        <v>2485200</v>
      </c>
    </row>
    <row r="411">
      <c r="A411" s="2">
        <f>IFERROR(__xludf.DUMMYFUNCTION("""COMPUTED_VALUE"""),37119.666666666664)</f>
        <v>37119.66667</v>
      </c>
      <c r="B411" s="1">
        <f>IFERROR(__xludf.DUMMYFUNCTION("""COMPUTED_VALUE"""),36.12)</f>
        <v>36.12</v>
      </c>
      <c r="C411" s="1">
        <f>IFERROR(__xludf.DUMMYFUNCTION("""COMPUTED_VALUE"""),36.74)</f>
        <v>36.74</v>
      </c>
      <c r="D411" s="1">
        <f>IFERROR(__xludf.DUMMYFUNCTION("""COMPUTED_VALUE"""),36.02)</f>
        <v>36.02</v>
      </c>
      <c r="E411" s="1">
        <f>IFERROR(__xludf.DUMMYFUNCTION("""COMPUTED_VALUE"""),36.64)</f>
        <v>36.64</v>
      </c>
      <c r="F411" s="1">
        <f>IFERROR(__xludf.DUMMYFUNCTION("""COMPUTED_VALUE"""),3755100.0)</f>
        <v>3755100</v>
      </c>
    </row>
    <row r="412">
      <c r="A412" s="2">
        <f>IFERROR(__xludf.DUMMYFUNCTION("""COMPUTED_VALUE"""),37120.666666666664)</f>
        <v>37120.66667</v>
      </c>
      <c r="B412" s="1">
        <f>IFERROR(__xludf.DUMMYFUNCTION("""COMPUTED_VALUE"""),36.49)</f>
        <v>36.49</v>
      </c>
      <c r="C412" s="1">
        <f>IFERROR(__xludf.DUMMYFUNCTION("""COMPUTED_VALUE"""),36.91)</f>
        <v>36.91</v>
      </c>
      <c r="D412" s="1">
        <f>IFERROR(__xludf.DUMMYFUNCTION("""COMPUTED_VALUE"""),36.45)</f>
        <v>36.45</v>
      </c>
      <c r="E412" s="1">
        <f>IFERROR(__xludf.DUMMYFUNCTION("""COMPUTED_VALUE"""),36.91)</f>
        <v>36.91</v>
      </c>
      <c r="F412" s="1">
        <f>IFERROR(__xludf.DUMMYFUNCTION("""COMPUTED_VALUE"""),3764100.0)</f>
        <v>3764100</v>
      </c>
    </row>
    <row r="413">
      <c r="A413" s="2">
        <f>IFERROR(__xludf.DUMMYFUNCTION("""COMPUTED_VALUE"""),37123.666666666664)</f>
        <v>37123.66667</v>
      </c>
      <c r="B413" s="1">
        <f>IFERROR(__xludf.DUMMYFUNCTION("""COMPUTED_VALUE"""),36.99)</f>
        <v>36.99</v>
      </c>
      <c r="C413" s="1">
        <f>IFERROR(__xludf.DUMMYFUNCTION("""COMPUTED_VALUE"""),37.57)</f>
        <v>37.57</v>
      </c>
      <c r="D413" s="1">
        <f>IFERROR(__xludf.DUMMYFUNCTION("""COMPUTED_VALUE"""),36.68)</f>
        <v>36.68</v>
      </c>
      <c r="E413" s="1">
        <f>IFERROR(__xludf.DUMMYFUNCTION("""COMPUTED_VALUE"""),37.37)</f>
        <v>37.37</v>
      </c>
      <c r="F413" s="1">
        <f>IFERROR(__xludf.DUMMYFUNCTION("""COMPUTED_VALUE"""),4825900.0)</f>
        <v>4825900</v>
      </c>
    </row>
    <row r="414">
      <c r="A414" s="2">
        <f>IFERROR(__xludf.DUMMYFUNCTION("""COMPUTED_VALUE"""),37124.666666666664)</f>
        <v>37124.66667</v>
      </c>
      <c r="B414" s="1">
        <f>IFERROR(__xludf.DUMMYFUNCTION("""COMPUTED_VALUE"""),37.14)</f>
        <v>37.14</v>
      </c>
      <c r="C414" s="1">
        <f>IFERROR(__xludf.DUMMYFUNCTION("""COMPUTED_VALUE"""),37.3)</f>
        <v>37.3</v>
      </c>
      <c r="D414" s="1">
        <f>IFERROR(__xludf.DUMMYFUNCTION("""COMPUTED_VALUE"""),36.79)</f>
        <v>36.79</v>
      </c>
      <c r="E414" s="1">
        <f>IFERROR(__xludf.DUMMYFUNCTION("""COMPUTED_VALUE"""),36.93)</f>
        <v>36.93</v>
      </c>
      <c r="F414" s="1">
        <f>IFERROR(__xludf.DUMMYFUNCTION("""COMPUTED_VALUE"""),3138000.0)</f>
        <v>3138000</v>
      </c>
    </row>
    <row r="415">
      <c r="A415" s="2">
        <f>IFERROR(__xludf.DUMMYFUNCTION("""COMPUTED_VALUE"""),37125.666666666664)</f>
        <v>37125.66667</v>
      </c>
      <c r="B415" s="1">
        <f>IFERROR(__xludf.DUMMYFUNCTION("""COMPUTED_VALUE"""),37.14)</f>
        <v>37.14</v>
      </c>
      <c r="C415" s="1">
        <f>IFERROR(__xludf.DUMMYFUNCTION("""COMPUTED_VALUE"""),37.36)</f>
        <v>37.36</v>
      </c>
      <c r="D415" s="1">
        <f>IFERROR(__xludf.DUMMYFUNCTION("""COMPUTED_VALUE"""),36.69)</f>
        <v>36.69</v>
      </c>
      <c r="E415" s="1">
        <f>IFERROR(__xludf.DUMMYFUNCTION("""COMPUTED_VALUE"""),37.36)</f>
        <v>37.36</v>
      </c>
      <c r="F415" s="1">
        <f>IFERROR(__xludf.DUMMYFUNCTION("""COMPUTED_VALUE"""),3337900.0)</f>
        <v>3337900</v>
      </c>
    </row>
    <row r="416">
      <c r="A416" s="2">
        <f>IFERROR(__xludf.DUMMYFUNCTION("""COMPUTED_VALUE"""),37126.666666666664)</f>
        <v>37126.66667</v>
      </c>
      <c r="B416" s="1">
        <f>IFERROR(__xludf.DUMMYFUNCTION("""COMPUTED_VALUE"""),37.26)</f>
        <v>37.26</v>
      </c>
      <c r="C416" s="1">
        <f>IFERROR(__xludf.DUMMYFUNCTION("""COMPUTED_VALUE"""),38.02)</f>
        <v>38.02</v>
      </c>
      <c r="D416" s="1">
        <f>IFERROR(__xludf.DUMMYFUNCTION("""COMPUTED_VALUE"""),37.21)</f>
        <v>37.21</v>
      </c>
      <c r="E416" s="1">
        <f>IFERROR(__xludf.DUMMYFUNCTION("""COMPUTED_VALUE"""),37.99)</f>
        <v>37.99</v>
      </c>
      <c r="F416" s="1">
        <f>IFERROR(__xludf.DUMMYFUNCTION("""COMPUTED_VALUE"""),4018800.0)</f>
        <v>4018800</v>
      </c>
    </row>
    <row r="417">
      <c r="A417" s="2">
        <f>IFERROR(__xludf.DUMMYFUNCTION("""COMPUTED_VALUE"""),37127.666666666664)</f>
        <v>37127.66667</v>
      </c>
      <c r="B417" s="1">
        <f>IFERROR(__xludf.DUMMYFUNCTION("""COMPUTED_VALUE"""),37.95)</f>
        <v>37.95</v>
      </c>
      <c r="C417" s="1">
        <f>IFERROR(__xludf.DUMMYFUNCTION("""COMPUTED_VALUE"""),38.16)</f>
        <v>38.16</v>
      </c>
      <c r="D417" s="1">
        <f>IFERROR(__xludf.DUMMYFUNCTION("""COMPUTED_VALUE"""),37.63)</f>
        <v>37.63</v>
      </c>
      <c r="E417" s="1">
        <f>IFERROR(__xludf.DUMMYFUNCTION("""COMPUTED_VALUE"""),38.02)</f>
        <v>38.02</v>
      </c>
      <c r="F417" s="1">
        <f>IFERROR(__xludf.DUMMYFUNCTION("""COMPUTED_VALUE"""),3539000.0)</f>
        <v>3539000</v>
      </c>
    </row>
    <row r="418">
      <c r="A418" s="2">
        <f>IFERROR(__xludf.DUMMYFUNCTION("""COMPUTED_VALUE"""),37130.666666666664)</f>
        <v>37130.66667</v>
      </c>
      <c r="B418" s="1">
        <f>IFERROR(__xludf.DUMMYFUNCTION("""COMPUTED_VALUE"""),38.02)</f>
        <v>38.02</v>
      </c>
      <c r="C418" s="1">
        <f>IFERROR(__xludf.DUMMYFUNCTION("""COMPUTED_VALUE"""),38.04)</f>
        <v>38.04</v>
      </c>
      <c r="D418" s="1">
        <f>IFERROR(__xludf.DUMMYFUNCTION("""COMPUTED_VALUE"""),37.78)</f>
        <v>37.78</v>
      </c>
      <c r="E418" s="1">
        <f>IFERROR(__xludf.DUMMYFUNCTION("""COMPUTED_VALUE"""),37.95)</f>
        <v>37.95</v>
      </c>
      <c r="F418" s="1">
        <f>IFERROR(__xludf.DUMMYFUNCTION("""COMPUTED_VALUE"""),2650300.0)</f>
        <v>2650300</v>
      </c>
    </row>
    <row r="419">
      <c r="A419" s="2">
        <f>IFERROR(__xludf.DUMMYFUNCTION("""COMPUTED_VALUE"""),37131.666666666664)</f>
        <v>37131.66667</v>
      </c>
      <c r="B419" s="1">
        <f>IFERROR(__xludf.DUMMYFUNCTION("""COMPUTED_VALUE"""),37.65)</f>
        <v>37.65</v>
      </c>
      <c r="C419" s="1">
        <f>IFERROR(__xludf.DUMMYFUNCTION("""COMPUTED_VALUE"""),37.77)</f>
        <v>37.77</v>
      </c>
      <c r="D419" s="1">
        <f>IFERROR(__xludf.DUMMYFUNCTION("""COMPUTED_VALUE"""),36.94)</f>
        <v>36.94</v>
      </c>
      <c r="E419" s="1">
        <f>IFERROR(__xludf.DUMMYFUNCTION("""COMPUTED_VALUE"""),37.03)</f>
        <v>37.03</v>
      </c>
      <c r="F419" s="1">
        <f>IFERROR(__xludf.DUMMYFUNCTION("""COMPUTED_VALUE"""),2867200.0)</f>
        <v>2867200</v>
      </c>
    </row>
    <row r="420">
      <c r="A420" s="2">
        <f>IFERROR(__xludf.DUMMYFUNCTION("""COMPUTED_VALUE"""),37132.666666666664)</f>
        <v>37132.66667</v>
      </c>
      <c r="B420" s="1">
        <f>IFERROR(__xludf.DUMMYFUNCTION("""COMPUTED_VALUE"""),37.33)</f>
        <v>37.33</v>
      </c>
      <c r="C420" s="1">
        <f>IFERROR(__xludf.DUMMYFUNCTION("""COMPUTED_VALUE"""),37.33)</f>
        <v>37.33</v>
      </c>
      <c r="D420" s="1">
        <f>IFERROR(__xludf.DUMMYFUNCTION("""COMPUTED_VALUE"""),36.47)</f>
        <v>36.47</v>
      </c>
      <c r="E420" s="1">
        <f>IFERROR(__xludf.DUMMYFUNCTION("""COMPUTED_VALUE"""),36.55)</f>
        <v>36.55</v>
      </c>
      <c r="F420" s="1">
        <f>IFERROR(__xludf.DUMMYFUNCTION("""COMPUTED_VALUE"""),2139200.0)</f>
        <v>2139200</v>
      </c>
    </row>
    <row r="421">
      <c r="A421" s="2">
        <f>IFERROR(__xludf.DUMMYFUNCTION("""COMPUTED_VALUE"""),37133.666666666664)</f>
        <v>37133.66667</v>
      </c>
      <c r="B421" s="1">
        <f>IFERROR(__xludf.DUMMYFUNCTION("""COMPUTED_VALUE"""),36.62)</f>
        <v>36.62</v>
      </c>
      <c r="C421" s="1">
        <f>IFERROR(__xludf.DUMMYFUNCTION("""COMPUTED_VALUE"""),37.09)</f>
        <v>37.09</v>
      </c>
      <c r="D421" s="1">
        <f>IFERROR(__xludf.DUMMYFUNCTION("""COMPUTED_VALUE"""),36.52)</f>
        <v>36.52</v>
      </c>
      <c r="E421" s="1">
        <f>IFERROR(__xludf.DUMMYFUNCTION("""COMPUTED_VALUE"""),36.83)</f>
        <v>36.83</v>
      </c>
      <c r="F421" s="1">
        <f>IFERROR(__xludf.DUMMYFUNCTION("""COMPUTED_VALUE"""),3317800.0)</f>
        <v>3317800</v>
      </c>
    </row>
    <row r="422">
      <c r="A422" s="2">
        <f>IFERROR(__xludf.DUMMYFUNCTION("""COMPUTED_VALUE"""),37134.666666666664)</f>
        <v>37134.66667</v>
      </c>
      <c r="B422" s="1">
        <f>IFERROR(__xludf.DUMMYFUNCTION("""COMPUTED_VALUE"""),36.44)</f>
        <v>36.44</v>
      </c>
      <c r="C422" s="1">
        <f>IFERROR(__xludf.DUMMYFUNCTION("""COMPUTED_VALUE"""),36.72)</f>
        <v>36.72</v>
      </c>
      <c r="D422" s="1">
        <f>IFERROR(__xludf.DUMMYFUNCTION("""COMPUTED_VALUE"""),36.37)</f>
        <v>36.37</v>
      </c>
      <c r="E422" s="1">
        <f>IFERROR(__xludf.DUMMYFUNCTION("""COMPUTED_VALUE"""),36.62)</f>
        <v>36.62</v>
      </c>
      <c r="F422" s="1">
        <f>IFERROR(__xludf.DUMMYFUNCTION("""COMPUTED_VALUE"""),2081800.0)</f>
        <v>2081800</v>
      </c>
    </row>
    <row r="423">
      <c r="A423" s="2">
        <f>IFERROR(__xludf.DUMMYFUNCTION("""COMPUTED_VALUE"""),37138.666666666664)</f>
        <v>37138.66667</v>
      </c>
      <c r="B423" s="1">
        <f>IFERROR(__xludf.DUMMYFUNCTION("""COMPUTED_VALUE"""),36.39)</f>
        <v>36.39</v>
      </c>
      <c r="C423" s="1">
        <f>IFERROR(__xludf.DUMMYFUNCTION("""COMPUTED_VALUE"""),37.57)</f>
        <v>37.57</v>
      </c>
      <c r="D423" s="1">
        <f>IFERROR(__xludf.DUMMYFUNCTION("""COMPUTED_VALUE"""),36.39)</f>
        <v>36.39</v>
      </c>
      <c r="E423" s="1">
        <f>IFERROR(__xludf.DUMMYFUNCTION("""COMPUTED_VALUE"""),37.29)</f>
        <v>37.29</v>
      </c>
      <c r="F423" s="1">
        <f>IFERROR(__xludf.DUMMYFUNCTION("""COMPUTED_VALUE"""),3185000.0)</f>
        <v>3185000</v>
      </c>
    </row>
    <row r="424">
      <c r="A424" s="2">
        <f>IFERROR(__xludf.DUMMYFUNCTION("""COMPUTED_VALUE"""),37139.666666666664)</f>
        <v>37139.66667</v>
      </c>
      <c r="B424" s="1">
        <f>IFERROR(__xludf.DUMMYFUNCTION("""COMPUTED_VALUE"""),37.29)</f>
        <v>37.29</v>
      </c>
      <c r="C424" s="1">
        <f>IFERROR(__xludf.DUMMYFUNCTION("""COMPUTED_VALUE"""),37.65)</f>
        <v>37.65</v>
      </c>
      <c r="D424" s="1">
        <f>IFERROR(__xludf.DUMMYFUNCTION("""COMPUTED_VALUE"""),36.99)</f>
        <v>36.99</v>
      </c>
      <c r="E424" s="1">
        <f>IFERROR(__xludf.DUMMYFUNCTION("""COMPUTED_VALUE"""),37.47)</f>
        <v>37.47</v>
      </c>
      <c r="F424" s="1">
        <f>IFERROR(__xludf.DUMMYFUNCTION("""COMPUTED_VALUE"""),3453100.0)</f>
        <v>3453100</v>
      </c>
    </row>
    <row r="425">
      <c r="A425" s="2">
        <f>IFERROR(__xludf.DUMMYFUNCTION("""COMPUTED_VALUE"""),37140.666666666664)</f>
        <v>37140.66667</v>
      </c>
      <c r="B425" s="1">
        <f>IFERROR(__xludf.DUMMYFUNCTION("""COMPUTED_VALUE"""),37.47)</f>
        <v>37.47</v>
      </c>
      <c r="C425" s="1">
        <f>IFERROR(__xludf.DUMMYFUNCTION("""COMPUTED_VALUE"""),37.53)</f>
        <v>37.53</v>
      </c>
      <c r="D425" s="1">
        <f>IFERROR(__xludf.DUMMYFUNCTION("""COMPUTED_VALUE"""),36.89)</f>
        <v>36.89</v>
      </c>
      <c r="E425" s="1">
        <f>IFERROR(__xludf.DUMMYFUNCTION("""COMPUTED_VALUE"""),37.28)</f>
        <v>37.28</v>
      </c>
      <c r="F425" s="1">
        <f>IFERROR(__xludf.DUMMYFUNCTION("""COMPUTED_VALUE"""),3660400.0)</f>
        <v>3660400</v>
      </c>
    </row>
    <row r="426">
      <c r="A426" s="2">
        <f>IFERROR(__xludf.DUMMYFUNCTION("""COMPUTED_VALUE"""),37141.666666666664)</f>
        <v>37141.66667</v>
      </c>
      <c r="B426" s="1">
        <f>IFERROR(__xludf.DUMMYFUNCTION("""COMPUTED_VALUE"""),36.99)</f>
        <v>36.99</v>
      </c>
      <c r="C426" s="1">
        <f>IFERROR(__xludf.DUMMYFUNCTION("""COMPUTED_VALUE"""),37.14)</f>
        <v>37.14</v>
      </c>
      <c r="D426" s="1">
        <f>IFERROR(__xludf.DUMMYFUNCTION("""COMPUTED_VALUE"""),36.25)</f>
        <v>36.25</v>
      </c>
      <c r="E426" s="1">
        <f>IFERROR(__xludf.DUMMYFUNCTION("""COMPUTED_VALUE"""),36.72)</f>
        <v>36.72</v>
      </c>
      <c r="F426" s="1">
        <f>IFERROR(__xludf.DUMMYFUNCTION("""COMPUTED_VALUE"""),2648500.0)</f>
        <v>2648500</v>
      </c>
    </row>
    <row r="427">
      <c r="A427" s="2">
        <f>IFERROR(__xludf.DUMMYFUNCTION("""COMPUTED_VALUE"""),37144.666666666664)</f>
        <v>37144.66667</v>
      </c>
      <c r="B427" s="1">
        <f>IFERROR(__xludf.DUMMYFUNCTION("""COMPUTED_VALUE"""),36.27)</f>
        <v>36.27</v>
      </c>
      <c r="C427" s="1">
        <f>IFERROR(__xludf.DUMMYFUNCTION("""COMPUTED_VALUE"""),36.74)</f>
        <v>36.74</v>
      </c>
      <c r="D427" s="1">
        <f>IFERROR(__xludf.DUMMYFUNCTION("""COMPUTED_VALUE"""),36.24)</f>
        <v>36.24</v>
      </c>
      <c r="E427" s="1">
        <f>IFERROR(__xludf.DUMMYFUNCTION("""COMPUTED_VALUE"""),36.64)</f>
        <v>36.64</v>
      </c>
      <c r="F427" s="1">
        <f>IFERROR(__xludf.DUMMYFUNCTION("""COMPUTED_VALUE"""),3165500.0)</f>
        <v>3165500</v>
      </c>
    </row>
    <row r="428">
      <c r="A428" s="2">
        <f>IFERROR(__xludf.DUMMYFUNCTION("""COMPUTED_VALUE"""),37151.666666666664)</f>
        <v>37151.66667</v>
      </c>
      <c r="B428" s="1">
        <f>IFERROR(__xludf.DUMMYFUNCTION("""COMPUTED_VALUE"""),36.35)</f>
        <v>36.35</v>
      </c>
      <c r="C428" s="1">
        <f>IFERROR(__xludf.DUMMYFUNCTION("""COMPUTED_VALUE"""),36.99)</f>
        <v>36.99</v>
      </c>
      <c r="D428" s="1">
        <f>IFERROR(__xludf.DUMMYFUNCTION("""COMPUTED_VALUE"""),35.7)</f>
        <v>35.7</v>
      </c>
      <c r="E428" s="1">
        <f>IFERROR(__xludf.DUMMYFUNCTION("""COMPUTED_VALUE"""),36.53)</f>
        <v>36.53</v>
      </c>
      <c r="F428" s="1">
        <f>IFERROR(__xludf.DUMMYFUNCTION("""COMPUTED_VALUE"""),6269900.0)</f>
        <v>6269900</v>
      </c>
    </row>
    <row r="429">
      <c r="A429" s="2">
        <f>IFERROR(__xludf.DUMMYFUNCTION("""COMPUTED_VALUE"""),37152.666666666664)</f>
        <v>37152.66667</v>
      </c>
      <c r="B429" s="1">
        <f>IFERROR(__xludf.DUMMYFUNCTION("""COMPUTED_VALUE"""),36.35)</f>
        <v>36.35</v>
      </c>
      <c r="C429" s="1">
        <f>IFERROR(__xludf.DUMMYFUNCTION("""COMPUTED_VALUE"""),36.67)</f>
        <v>36.67</v>
      </c>
      <c r="D429" s="1">
        <f>IFERROR(__xludf.DUMMYFUNCTION("""COMPUTED_VALUE"""),36.1)</f>
        <v>36.1</v>
      </c>
      <c r="E429" s="1">
        <f>IFERROR(__xludf.DUMMYFUNCTION("""COMPUTED_VALUE"""),36.64)</f>
        <v>36.64</v>
      </c>
      <c r="F429" s="1">
        <f>IFERROR(__xludf.DUMMYFUNCTION("""COMPUTED_VALUE"""),4605600.0)</f>
        <v>4605600</v>
      </c>
    </row>
    <row r="430">
      <c r="A430" s="2">
        <f>IFERROR(__xludf.DUMMYFUNCTION("""COMPUTED_VALUE"""),37153.666666666664)</f>
        <v>37153.66667</v>
      </c>
      <c r="B430" s="1">
        <f>IFERROR(__xludf.DUMMYFUNCTION("""COMPUTED_VALUE"""),36.86)</f>
        <v>36.86</v>
      </c>
      <c r="C430" s="1">
        <f>IFERROR(__xludf.DUMMYFUNCTION("""COMPUTED_VALUE"""),37.05)</f>
        <v>37.05</v>
      </c>
      <c r="D430" s="1">
        <f>IFERROR(__xludf.DUMMYFUNCTION("""COMPUTED_VALUE"""),36.16)</f>
        <v>36.16</v>
      </c>
      <c r="E430" s="1">
        <f>IFERROR(__xludf.DUMMYFUNCTION("""COMPUTED_VALUE"""),36.81)</f>
        <v>36.81</v>
      </c>
      <c r="F430" s="1">
        <f>IFERROR(__xludf.DUMMYFUNCTION("""COMPUTED_VALUE"""),5546800.0)</f>
        <v>5546800</v>
      </c>
    </row>
    <row r="431">
      <c r="A431" s="2">
        <f>IFERROR(__xludf.DUMMYFUNCTION("""COMPUTED_VALUE"""),37154.666666666664)</f>
        <v>37154.66667</v>
      </c>
      <c r="B431" s="1">
        <f>IFERROR(__xludf.DUMMYFUNCTION("""COMPUTED_VALUE"""),36.54)</f>
        <v>36.54</v>
      </c>
      <c r="C431" s="1">
        <f>IFERROR(__xludf.DUMMYFUNCTION("""COMPUTED_VALUE"""),36.54)</f>
        <v>36.54</v>
      </c>
      <c r="D431" s="1">
        <f>IFERROR(__xludf.DUMMYFUNCTION("""COMPUTED_VALUE"""),35.83)</f>
        <v>35.83</v>
      </c>
      <c r="E431" s="1">
        <f>IFERROR(__xludf.DUMMYFUNCTION("""COMPUTED_VALUE"""),35.96)</f>
        <v>35.96</v>
      </c>
      <c r="F431" s="1">
        <f>IFERROR(__xludf.DUMMYFUNCTION("""COMPUTED_VALUE"""),4889800.0)</f>
        <v>4889800</v>
      </c>
    </row>
    <row r="432">
      <c r="A432" s="2">
        <f>IFERROR(__xludf.DUMMYFUNCTION("""COMPUTED_VALUE"""),37155.666666666664)</f>
        <v>37155.66667</v>
      </c>
      <c r="B432" s="1">
        <f>IFERROR(__xludf.DUMMYFUNCTION("""COMPUTED_VALUE"""),34.89)</f>
        <v>34.89</v>
      </c>
      <c r="C432" s="1">
        <f>IFERROR(__xludf.DUMMYFUNCTION("""COMPUTED_VALUE"""),35.38)</f>
        <v>35.38</v>
      </c>
      <c r="D432" s="1">
        <f>IFERROR(__xludf.DUMMYFUNCTION("""COMPUTED_VALUE"""),33.09)</f>
        <v>33.09</v>
      </c>
      <c r="E432" s="1">
        <f>IFERROR(__xludf.DUMMYFUNCTION("""COMPUTED_VALUE"""),33.53)</f>
        <v>33.53</v>
      </c>
      <c r="F432" s="1">
        <f>IFERROR(__xludf.DUMMYFUNCTION("""COMPUTED_VALUE"""),1.00616E7)</f>
        <v>10061600</v>
      </c>
    </row>
    <row r="433">
      <c r="A433" s="2">
        <f>IFERROR(__xludf.DUMMYFUNCTION("""COMPUTED_VALUE"""),37158.666666666664)</f>
        <v>37158.66667</v>
      </c>
      <c r="B433" s="1">
        <f>IFERROR(__xludf.DUMMYFUNCTION("""COMPUTED_VALUE"""),34.07)</f>
        <v>34.07</v>
      </c>
      <c r="C433" s="1">
        <f>IFERROR(__xludf.DUMMYFUNCTION("""COMPUTED_VALUE"""),34.79)</f>
        <v>34.79</v>
      </c>
      <c r="D433" s="1">
        <f>IFERROR(__xludf.DUMMYFUNCTION("""COMPUTED_VALUE"""),34.02)</f>
        <v>34.02</v>
      </c>
      <c r="E433" s="1">
        <f>IFERROR(__xludf.DUMMYFUNCTION("""COMPUTED_VALUE"""),34.3)</f>
        <v>34.3</v>
      </c>
      <c r="F433" s="1">
        <f>IFERROR(__xludf.DUMMYFUNCTION("""COMPUTED_VALUE"""),5177400.0)</f>
        <v>5177400</v>
      </c>
    </row>
    <row r="434">
      <c r="A434" s="2">
        <f>IFERROR(__xludf.DUMMYFUNCTION("""COMPUTED_VALUE"""),37159.666666666664)</f>
        <v>37159.66667</v>
      </c>
      <c r="B434" s="1">
        <f>IFERROR(__xludf.DUMMYFUNCTION("""COMPUTED_VALUE"""),34.3)</f>
        <v>34.3</v>
      </c>
      <c r="C434" s="1">
        <f>IFERROR(__xludf.DUMMYFUNCTION("""COMPUTED_VALUE"""),35.16)</f>
        <v>35.16</v>
      </c>
      <c r="D434" s="1">
        <f>IFERROR(__xludf.DUMMYFUNCTION("""COMPUTED_VALUE"""),34.3)</f>
        <v>34.3</v>
      </c>
      <c r="E434" s="1">
        <f>IFERROR(__xludf.DUMMYFUNCTION("""COMPUTED_VALUE"""),34.77)</f>
        <v>34.77</v>
      </c>
      <c r="F434" s="1">
        <f>IFERROR(__xludf.DUMMYFUNCTION("""COMPUTED_VALUE"""),3994400.0)</f>
        <v>3994400</v>
      </c>
    </row>
    <row r="435">
      <c r="A435" s="2">
        <f>IFERROR(__xludf.DUMMYFUNCTION("""COMPUTED_VALUE"""),37160.666666666664)</f>
        <v>37160.66667</v>
      </c>
      <c r="B435" s="1">
        <f>IFERROR(__xludf.DUMMYFUNCTION("""COMPUTED_VALUE"""),35.41)</f>
        <v>35.41</v>
      </c>
      <c r="C435" s="1">
        <f>IFERROR(__xludf.DUMMYFUNCTION("""COMPUTED_VALUE"""),35.67)</f>
        <v>35.67</v>
      </c>
      <c r="D435" s="1">
        <f>IFERROR(__xludf.DUMMYFUNCTION("""COMPUTED_VALUE"""),34.96)</f>
        <v>34.96</v>
      </c>
      <c r="E435" s="1">
        <f>IFERROR(__xludf.DUMMYFUNCTION("""COMPUTED_VALUE"""),35.13)</f>
        <v>35.13</v>
      </c>
      <c r="F435" s="1">
        <f>IFERROR(__xludf.DUMMYFUNCTION("""COMPUTED_VALUE"""),3453300.0)</f>
        <v>3453300</v>
      </c>
    </row>
    <row r="436">
      <c r="A436" s="2">
        <f>IFERROR(__xludf.DUMMYFUNCTION("""COMPUTED_VALUE"""),37161.666666666664)</f>
        <v>37161.66667</v>
      </c>
      <c r="B436" s="1">
        <f>IFERROR(__xludf.DUMMYFUNCTION("""COMPUTED_VALUE"""),35.31)</f>
        <v>35.31</v>
      </c>
      <c r="C436" s="1">
        <f>IFERROR(__xludf.DUMMYFUNCTION("""COMPUTED_VALUE"""),35.75)</f>
        <v>35.75</v>
      </c>
      <c r="D436" s="1">
        <f>IFERROR(__xludf.DUMMYFUNCTION("""COMPUTED_VALUE"""),35.09)</f>
        <v>35.09</v>
      </c>
      <c r="E436" s="1">
        <f>IFERROR(__xludf.DUMMYFUNCTION("""COMPUTED_VALUE"""),35.75)</f>
        <v>35.75</v>
      </c>
      <c r="F436" s="1">
        <f>IFERROR(__xludf.DUMMYFUNCTION("""COMPUTED_VALUE"""),3569800.0)</f>
        <v>3569800</v>
      </c>
    </row>
    <row r="437">
      <c r="A437" s="2">
        <f>IFERROR(__xludf.DUMMYFUNCTION("""COMPUTED_VALUE"""),37162.666666666664)</f>
        <v>37162.66667</v>
      </c>
      <c r="B437" s="1">
        <f>IFERROR(__xludf.DUMMYFUNCTION("""COMPUTED_VALUE"""),35.92)</f>
        <v>35.92</v>
      </c>
      <c r="C437" s="1">
        <f>IFERROR(__xludf.DUMMYFUNCTION("""COMPUTED_VALUE"""),36.12)</f>
        <v>36.12</v>
      </c>
      <c r="D437" s="1">
        <f>IFERROR(__xludf.DUMMYFUNCTION("""COMPUTED_VALUE"""),35.57)</f>
        <v>35.57</v>
      </c>
      <c r="E437" s="1">
        <f>IFERROR(__xludf.DUMMYFUNCTION("""COMPUTED_VALUE"""),35.95)</f>
        <v>35.95</v>
      </c>
      <c r="F437" s="1">
        <f>IFERROR(__xludf.DUMMYFUNCTION("""COMPUTED_VALUE"""),4972500.0)</f>
        <v>4972500</v>
      </c>
    </row>
    <row r="438">
      <c r="A438" s="2">
        <f>IFERROR(__xludf.DUMMYFUNCTION("""COMPUTED_VALUE"""),37165.666666666664)</f>
        <v>37165.66667</v>
      </c>
      <c r="B438" s="1">
        <f>IFERROR(__xludf.DUMMYFUNCTION("""COMPUTED_VALUE"""),35.8)</f>
        <v>35.8</v>
      </c>
      <c r="C438" s="1">
        <f>IFERROR(__xludf.DUMMYFUNCTION("""COMPUTED_VALUE"""),36.05)</f>
        <v>36.05</v>
      </c>
      <c r="D438" s="1">
        <f>IFERROR(__xludf.DUMMYFUNCTION("""COMPUTED_VALUE"""),35.42)</f>
        <v>35.42</v>
      </c>
      <c r="E438" s="1">
        <f>IFERROR(__xludf.DUMMYFUNCTION("""COMPUTED_VALUE"""),35.75)</f>
        <v>35.75</v>
      </c>
      <c r="F438" s="1">
        <f>IFERROR(__xludf.DUMMYFUNCTION("""COMPUTED_VALUE"""),3493600.0)</f>
        <v>3493600</v>
      </c>
    </row>
    <row r="439">
      <c r="A439" s="2">
        <f>IFERROR(__xludf.DUMMYFUNCTION("""COMPUTED_VALUE"""),37166.666666666664)</f>
        <v>37166.66667</v>
      </c>
      <c r="B439" s="1">
        <f>IFERROR(__xludf.DUMMYFUNCTION("""COMPUTED_VALUE"""),35.75)</f>
        <v>35.75</v>
      </c>
      <c r="C439" s="1">
        <f>IFERROR(__xludf.DUMMYFUNCTION("""COMPUTED_VALUE"""),36.27)</f>
        <v>36.27</v>
      </c>
      <c r="D439" s="1">
        <f>IFERROR(__xludf.DUMMYFUNCTION("""COMPUTED_VALUE"""),35.68)</f>
        <v>35.68</v>
      </c>
      <c r="E439" s="1">
        <f>IFERROR(__xludf.DUMMYFUNCTION("""COMPUTED_VALUE"""),36.19)</f>
        <v>36.19</v>
      </c>
      <c r="F439" s="1">
        <f>IFERROR(__xludf.DUMMYFUNCTION("""COMPUTED_VALUE"""),2853200.0)</f>
        <v>2853200</v>
      </c>
    </row>
    <row r="440">
      <c r="A440" s="2">
        <f>IFERROR(__xludf.DUMMYFUNCTION("""COMPUTED_VALUE"""),37167.666666666664)</f>
        <v>37167.66667</v>
      </c>
      <c r="B440" s="1">
        <f>IFERROR(__xludf.DUMMYFUNCTION("""COMPUTED_VALUE"""),35.96)</f>
        <v>35.96</v>
      </c>
      <c r="C440" s="1">
        <f>IFERROR(__xludf.DUMMYFUNCTION("""COMPUTED_VALUE"""),36.24)</f>
        <v>36.24</v>
      </c>
      <c r="D440" s="1">
        <f>IFERROR(__xludf.DUMMYFUNCTION("""COMPUTED_VALUE"""),35.51)</f>
        <v>35.51</v>
      </c>
      <c r="E440" s="1">
        <f>IFERROR(__xludf.DUMMYFUNCTION("""COMPUTED_VALUE"""),35.83)</f>
        <v>35.83</v>
      </c>
      <c r="F440" s="1">
        <f>IFERROR(__xludf.DUMMYFUNCTION("""COMPUTED_VALUE"""),4141600.0)</f>
        <v>4141600</v>
      </c>
    </row>
    <row r="441">
      <c r="A441" s="2">
        <f>IFERROR(__xludf.DUMMYFUNCTION("""COMPUTED_VALUE"""),37168.666666666664)</f>
        <v>37168.66667</v>
      </c>
      <c r="B441" s="1">
        <f>IFERROR(__xludf.DUMMYFUNCTION("""COMPUTED_VALUE"""),36.07)</f>
        <v>36.07</v>
      </c>
      <c r="C441" s="1">
        <f>IFERROR(__xludf.DUMMYFUNCTION("""COMPUTED_VALUE"""),36.1)</f>
        <v>36.1</v>
      </c>
      <c r="D441" s="1">
        <f>IFERROR(__xludf.DUMMYFUNCTION("""COMPUTED_VALUE"""),35.14)</f>
        <v>35.14</v>
      </c>
      <c r="E441" s="1">
        <f>IFERROR(__xludf.DUMMYFUNCTION("""COMPUTED_VALUE"""),35.16)</f>
        <v>35.16</v>
      </c>
      <c r="F441" s="1">
        <f>IFERROR(__xludf.DUMMYFUNCTION("""COMPUTED_VALUE"""),3992100.0)</f>
        <v>3992100</v>
      </c>
    </row>
    <row r="442">
      <c r="A442" s="2">
        <f>IFERROR(__xludf.DUMMYFUNCTION("""COMPUTED_VALUE"""),37169.666666666664)</f>
        <v>37169.66667</v>
      </c>
      <c r="B442" s="1">
        <f>IFERROR(__xludf.DUMMYFUNCTION("""COMPUTED_VALUE"""),35.21)</f>
        <v>35.21</v>
      </c>
      <c r="C442" s="1">
        <f>IFERROR(__xludf.DUMMYFUNCTION("""COMPUTED_VALUE"""),36.05)</f>
        <v>36.05</v>
      </c>
      <c r="D442" s="1">
        <f>IFERROR(__xludf.DUMMYFUNCTION("""COMPUTED_VALUE"""),35.21)</f>
        <v>35.21</v>
      </c>
      <c r="E442" s="1">
        <f>IFERROR(__xludf.DUMMYFUNCTION("""COMPUTED_VALUE"""),35.9)</f>
        <v>35.9</v>
      </c>
      <c r="F442" s="1">
        <f>IFERROR(__xludf.DUMMYFUNCTION("""COMPUTED_VALUE"""),3018500.0)</f>
        <v>3018500</v>
      </c>
    </row>
    <row r="443">
      <c r="A443" s="2">
        <f>IFERROR(__xludf.DUMMYFUNCTION("""COMPUTED_VALUE"""),37172.666666666664)</f>
        <v>37172.66667</v>
      </c>
      <c r="B443" s="1">
        <f>IFERROR(__xludf.DUMMYFUNCTION("""COMPUTED_VALUE"""),35.56)</f>
        <v>35.56</v>
      </c>
      <c r="C443" s="1">
        <f>IFERROR(__xludf.DUMMYFUNCTION("""COMPUTED_VALUE"""),36.1)</f>
        <v>36.1</v>
      </c>
      <c r="D443" s="1">
        <f>IFERROR(__xludf.DUMMYFUNCTION("""COMPUTED_VALUE"""),35.44)</f>
        <v>35.44</v>
      </c>
      <c r="E443" s="1">
        <f>IFERROR(__xludf.DUMMYFUNCTION("""COMPUTED_VALUE"""),35.68)</f>
        <v>35.68</v>
      </c>
      <c r="F443" s="1">
        <f>IFERROR(__xludf.DUMMYFUNCTION("""COMPUTED_VALUE"""),2119400.0)</f>
        <v>2119400</v>
      </c>
    </row>
    <row r="444">
      <c r="A444" s="2">
        <f>IFERROR(__xludf.DUMMYFUNCTION("""COMPUTED_VALUE"""),37173.666666666664)</f>
        <v>37173.66667</v>
      </c>
      <c r="B444" s="1">
        <f>IFERROR(__xludf.DUMMYFUNCTION("""COMPUTED_VALUE"""),35.68)</f>
        <v>35.68</v>
      </c>
      <c r="C444" s="1">
        <f>IFERROR(__xludf.DUMMYFUNCTION("""COMPUTED_VALUE"""),36.43)</f>
        <v>36.43</v>
      </c>
      <c r="D444" s="1">
        <f>IFERROR(__xludf.DUMMYFUNCTION("""COMPUTED_VALUE"""),35.6)</f>
        <v>35.6</v>
      </c>
      <c r="E444" s="1">
        <f>IFERROR(__xludf.DUMMYFUNCTION("""COMPUTED_VALUE"""),35.82)</f>
        <v>35.82</v>
      </c>
      <c r="F444" s="1">
        <f>IFERROR(__xludf.DUMMYFUNCTION("""COMPUTED_VALUE"""),2703900.0)</f>
        <v>2703900</v>
      </c>
    </row>
    <row r="445">
      <c r="A445" s="2">
        <f>IFERROR(__xludf.DUMMYFUNCTION("""COMPUTED_VALUE"""),37174.666666666664)</f>
        <v>37174.66667</v>
      </c>
      <c r="B445" s="1">
        <f>IFERROR(__xludf.DUMMYFUNCTION("""COMPUTED_VALUE"""),35.58)</f>
        <v>35.58</v>
      </c>
      <c r="C445" s="1">
        <f>IFERROR(__xludf.DUMMYFUNCTION("""COMPUTED_VALUE"""),36.61)</f>
        <v>36.61</v>
      </c>
      <c r="D445" s="1">
        <f>IFERROR(__xludf.DUMMYFUNCTION("""COMPUTED_VALUE"""),35.58)</f>
        <v>35.58</v>
      </c>
      <c r="E445" s="1">
        <f>IFERROR(__xludf.DUMMYFUNCTION("""COMPUTED_VALUE"""),36.22)</f>
        <v>36.22</v>
      </c>
      <c r="F445" s="1">
        <f>IFERROR(__xludf.DUMMYFUNCTION("""COMPUTED_VALUE"""),2785000.0)</f>
        <v>2785000</v>
      </c>
    </row>
    <row r="446">
      <c r="A446" s="2">
        <f>IFERROR(__xludf.DUMMYFUNCTION("""COMPUTED_VALUE"""),37175.666666666664)</f>
        <v>37175.66667</v>
      </c>
      <c r="B446" s="1">
        <f>IFERROR(__xludf.DUMMYFUNCTION("""COMPUTED_VALUE"""),36.06)</f>
        <v>36.06</v>
      </c>
      <c r="C446" s="1">
        <f>IFERROR(__xludf.DUMMYFUNCTION("""COMPUTED_VALUE"""),36.3)</f>
        <v>36.3</v>
      </c>
      <c r="D446" s="1">
        <f>IFERROR(__xludf.DUMMYFUNCTION("""COMPUTED_VALUE"""),35.46)</f>
        <v>35.46</v>
      </c>
      <c r="E446" s="1">
        <f>IFERROR(__xludf.DUMMYFUNCTION("""COMPUTED_VALUE"""),35.85)</f>
        <v>35.85</v>
      </c>
      <c r="F446" s="1">
        <f>IFERROR(__xludf.DUMMYFUNCTION("""COMPUTED_VALUE"""),3185200.0)</f>
        <v>3185200</v>
      </c>
    </row>
    <row r="447">
      <c r="A447" s="2">
        <f>IFERROR(__xludf.DUMMYFUNCTION("""COMPUTED_VALUE"""),37176.666666666664)</f>
        <v>37176.66667</v>
      </c>
      <c r="B447" s="1">
        <f>IFERROR(__xludf.DUMMYFUNCTION("""COMPUTED_VALUE"""),35.33)</f>
        <v>35.33</v>
      </c>
      <c r="C447" s="1">
        <f>IFERROR(__xludf.DUMMYFUNCTION("""COMPUTED_VALUE"""),35.65)</f>
        <v>35.65</v>
      </c>
      <c r="D447" s="1">
        <f>IFERROR(__xludf.DUMMYFUNCTION("""COMPUTED_VALUE"""),35.31)</f>
        <v>35.31</v>
      </c>
      <c r="E447" s="1">
        <f>IFERROR(__xludf.DUMMYFUNCTION("""COMPUTED_VALUE"""),35.53)</f>
        <v>35.53</v>
      </c>
      <c r="F447" s="1">
        <f>IFERROR(__xludf.DUMMYFUNCTION("""COMPUTED_VALUE"""),2944900.0)</f>
        <v>2944900</v>
      </c>
    </row>
    <row r="448">
      <c r="A448" s="2">
        <f>IFERROR(__xludf.DUMMYFUNCTION("""COMPUTED_VALUE"""),37179.666666666664)</f>
        <v>37179.66667</v>
      </c>
      <c r="B448" s="1">
        <f>IFERROR(__xludf.DUMMYFUNCTION("""COMPUTED_VALUE"""),35.31)</f>
        <v>35.31</v>
      </c>
      <c r="C448" s="1">
        <f>IFERROR(__xludf.DUMMYFUNCTION("""COMPUTED_VALUE"""),35.31)</f>
        <v>35.31</v>
      </c>
      <c r="D448" s="1">
        <f>IFERROR(__xludf.DUMMYFUNCTION("""COMPUTED_VALUE"""),34.87)</f>
        <v>34.87</v>
      </c>
      <c r="E448" s="1">
        <f>IFERROR(__xludf.DUMMYFUNCTION("""COMPUTED_VALUE"""),35.12)</f>
        <v>35.12</v>
      </c>
      <c r="F448" s="1">
        <f>IFERROR(__xludf.DUMMYFUNCTION("""COMPUTED_VALUE"""),2958100.0)</f>
        <v>2958100</v>
      </c>
    </row>
    <row r="449">
      <c r="A449" s="2">
        <f>IFERROR(__xludf.DUMMYFUNCTION("""COMPUTED_VALUE"""),37180.666666666664)</f>
        <v>37180.66667</v>
      </c>
      <c r="B449" s="1">
        <f>IFERROR(__xludf.DUMMYFUNCTION("""COMPUTED_VALUE"""),34.93)</f>
        <v>34.93</v>
      </c>
      <c r="C449" s="1">
        <f>IFERROR(__xludf.DUMMYFUNCTION("""COMPUTED_VALUE"""),35.09)</f>
        <v>35.09</v>
      </c>
      <c r="D449" s="1">
        <f>IFERROR(__xludf.DUMMYFUNCTION("""COMPUTED_VALUE"""),34.62)</f>
        <v>34.62</v>
      </c>
      <c r="E449" s="1">
        <f>IFERROR(__xludf.DUMMYFUNCTION("""COMPUTED_VALUE"""),34.8)</f>
        <v>34.8</v>
      </c>
      <c r="F449" s="1">
        <f>IFERROR(__xludf.DUMMYFUNCTION("""COMPUTED_VALUE"""),4224700.0)</f>
        <v>4224700</v>
      </c>
    </row>
    <row r="450">
      <c r="A450" s="2">
        <f>IFERROR(__xludf.DUMMYFUNCTION("""COMPUTED_VALUE"""),37181.666666666664)</f>
        <v>37181.66667</v>
      </c>
      <c r="B450" s="1">
        <f>IFERROR(__xludf.DUMMYFUNCTION("""COMPUTED_VALUE"""),34.84)</f>
        <v>34.84</v>
      </c>
      <c r="C450" s="1">
        <f>IFERROR(__xludf.DUMMYFUNCTION("""COMPUTED_VALUE"""),35.16)</f>
        <v>35.16</v>
      </c>
      <c r="D450" s="1">
        <f>IFERROR(__xludf.DUMMYFUNCTION("""COMPUTED_VALUE"""),34.43)</f>
        <v>34.43</v>
      </c>
      <c r="E450" s="1">
        <f>IFERROR(__xludf.DUMMYFUNCTION("""COMPUTED_VALUE"""),34.47)</f>
        <v>34.47</v>
      </c>
      <c r="F450" s="1">
        <f>IFERROR(__xludf.DUMMYFUNCTION("""COMPUTED_VALUE"""),3643900.0)</f>
        <v>3643900</v>
      </c>
    </row>
    <row r="451">
      <c r="A451" s="2">
        <f>IFERROR(__xludf.DUMMYFUNCTION("""COMPUTED_VALUE"""),37182.666666666664)</f>
        <v>37182.66667</v>
      </c>
      <c r="B451" s="1">
        <f>IFERROR(__xludf.DUMMYFUNCTION("""COMPUTED_VALUE"""),34.67)</f>
        <v>34.67</v>
      </c>
      <c r="C451" s="1">
        <f>IFERROR(__xludf.DUMMYFUNCTION("""COMPUTED_VALUE"""),35.46)</f>
        <v>35.46</v>
      </c>
      <c r="D451" s="1">
        <f>IFERROR(__xludf.DUMMYFUNCTION("""COMPUTED_VALUE"""),34.57)</f>
        <v>34.57</v>
      </c>
      <c r="E451" s="1">
        <f>IFERROR(__xludf.DUMMYFUNCTION("""COMPUTED_VALUE"""),34.72)</f>
        <v>34.72</v>
      </c>
      <c r="F451" s="1">
        <f>IFERROR(__xludf.DUMMYFUNCTION("""COMPUTED_VALUE"""),3353100.0)</f>
        <v>3353100</v>
      </c>
    </row>
    <row r="452">
      <c r="A452" s="2">
        <f>IFERROR(__xludf.DUMMYFUNCTION("""COMPUTED_VALUE"""),37183.666666666664)</f>
        <v>37183.66667</v>
      </c>
      <c r="B452" s="1">
        <f>IFERROR(__xludf.DUMMYFUNCTION("""COMPUTED_VALUE"""),35.04)</f>
        <v>35.04</v>
      </c>
      <c r="C452" s="1">
        <f>IFERROR(__xludf.DUMMYFUNCTION("""COMPUTED_VALUE"""),35.65)</f>
        <v>35.65</v>
      </c>
      <c r="D452" s="1">
        <f>IFERROR(__xludf.DUMMYFUNCTION("""COMPUTED_VALUE"""),34.95)</f>
        <v>34.95</v>
      </c>
      <c r="E452" s="1">
        <f>IFERROR(__xludf.DUMMYFUNCTION("""COMPUTED_VALUE"""),35.43)</f>
        <v>35.43</v>
      </c>
      <c r="F452" s="1">
        <f>IFERROR(__xludf.DUMMYFUNCTION("""COMPUTED_VALUE"""),2970300.0)</f>
        <v>2970300</v>
      </c>
    </row>
    <row r="453">
      <c r="A453" s="2">
        <f>IFERROR(__xludf.DUMMYFUNCTION("""COMPUTED_VALUE"""),37186.666666666664)</f>
        <v>37186.66667</v>
      </c>
      <c r="B453" s="1">
        <f>IFERROR(__xludf.DUMMYFUNCTION("""COMPUTED_VALUE"""),35.43)</f>
        <v>35.43</v>
      </c>
      <c r="C453" s="1">
        <f>IFERROR(__xludf.DUMMYFUNCTION("""COMPUTED_VALUE"""),36.0)</f>
        <v>36</v>
      </c>
      <c r="D453" s="1">
        <f>IFERROR(__xludf.DUMMYFUNCTION("""COMPUTED_VALUE"""),35.36)</f>
        <v>35.36</v>
      </c>
      <c r="E453" s="1">
        <f>IFERROR(__xludf.DUMMYFUNCTION("""COMPUTED_VALUE"""),35.72)</f>
        <v>35.72</v>
      </c>
      <c r="F453" s="1">
        <f>IFERROR(__xludf.DUMMYFUNCTION("""COMPUTED_VALUE"""),2084100.0)</f>
        <v>2084100</v>
      </c>
    </row>
    <row r="454">
      <c r="A454" s="2">
        <f>IFERROR(__xludf.DUMMYFUNCTION("""COMPUTED_VALUE"""),37187.666666666664)</f>
        <v>37187.66667</v>
      </c>
      <c r="B454" s="1">
        <f>IFERROR(__xludf.DUMMYFUNCTION("""COMPUTED_VALUE"""),35.43)</f>
        <v>35.43</v>
      </c>
      <c r="C454" s="1">
        <f>IFERROR(__xludf.DUMMYFUNCTION("""COMPUTED_VALUE"""),35.97)</f>
        <v>35.97</v>
      </c>
      <c r="D454" s="1">
        <f>IFERROR(__xludf.DUMMYFUNCTION("""COMPUTED_VALUE"""),35.09)</f>
        <v>35.09</v>
      </c>
      <c r="E454" s="1">
        <f>IFERROR(__xludf.DUMMYFUNCTION("""COMPUTED_VALUE"""),35.31)</f>
        <v>35.31</v>
      </c>
      <c r="F454" s="1">
        <f>IFERROR(__xludf.DUMMYFUNCTION("""COMPUTED_VALUE"""),2072300.0)</f>
        <v>2072300</v>
      </c>
    </row>
    <row r="455">
      <c r="A455" s="2">
        <f>IFERROR(__xludf.DUMMYFUNCTION("""COMPUTED_VALUE"""),37188.666666666664)</f>
        <v>37188.66667</v>
      </c>
      <c r="B455" s="1">
        <f>IFERROR(__xludf.DUMMYFUNCTION("""COMPUTED_VALUE"""),35.43)</f>
        <v>35.43</v>
      </c>
      <c r="C455" s="1">
        <f>IFERROR(__xludf.DUMMYFUNCTION("""COMPUTED_VALUE"""),35.63)</f>
        <v>35.63</v>
      </c>
      <c r="D455" s="1">
        <f>IFERROR(__xludf.DUMMYFUNCTION("""COMPUTED_VALUE"""),35.24)</f>
        <v>35.24</v>
      </c>
      <c r="E455" s="1">
        <f>IFERROR(__xludf.DUMMYFUNCTION("""COMPUTED_VALUE"""),35.26)</f>
        <v>35.26</v>
      </c>
      <c r="F455" s="1">
        <f>IFERROR(__xludf.DUMMYFUNCTION("""COMPUTED_VALUE"""),2426800.0)</f>
        <v>2426800</v>
      </c>
    </row>
    <row r="456">
      <c r="A456" s="2">
        <f>IFERROR(__xludf.DUMMYFUNCTION("""COMPUTED_VALUE"""),37189.666666666664)</f>
        <v>37189.66667</v>
      </c>
      <c r="B456" s="1">
        <f>IFERROR(__xludf.DUMMYFUNCTION("""COMPUTED_VALUE"""),34.91)</f>
        <v>34.91</v>
      </c>
      <c r="C456" s="1">
        <f>IFERROR(__xludf.DUMMYFUNCTION("""COMPUTED_VALUE"""),35.79)</f>
        <v>35.79</v>
      </c>
      <c r="D456" s="1">
        <f>IFERROR(__xludf.DUMMYFUNCTION("""COMPUTED_VALUE"""),34.82)</f>
        <v>34.82</v>
      </c>
      <c r="E456" s="1">
        <f>IFERROR(__xludf.DUMMYFUNCTION("""COMPUTED_VALUE"""),35.28)</f>
        <v>35.28</v>
      </c>
      <c r="F456" s="1">
        <f>IFERROR(__xludf.DUMMYFUNCTION("""COMPUTED_VALUE"""),2315500.0)</f>
        <v>2315500</v>
      </c>
    </row>
    <row r="457">
      <c r="A457" s="2">
        <f>IFERROR(__xludf.DUMMYFUNCTION("""COMPUTED_VALUE"""),37190.666666666664)</f>
        <v>37190.66667</v>
      </c>
      <c r="B457" s="1">
        <f>IFERROR(__xludf.DUMMYFUNCTION("""COMPUTED_VALUE"""),35.68)</f>
        <v>35.68</v>
      </c>
      <c r="C457" s="1">
        <f>IFERROR(__xludf.DUMMYFUNCTION("""COMPUTED_VALUE"""),36.32)</f>
        <v>36.32</v>
      </c>
      <c r="D457" s="1">
        <f>IFERROR(__xludf.DUMMYFUNCTION("""COMPUTED_VALUE"""),35.5)</f>
        <v>35.5</v>
      </c>
      <c r="E457" s="1">
        <f>IFERROR(__xludf.DUMMYFUNCTION("""COMPUTED_VALUE"""),35.99)</f>
        <v>35.99</v>
      </c>
      <c r="F457" s="1">
        <f>IFERROR(__xludf.DUMMYFUNCTION("""COMPUTED_VALUE"""),2377400.0)</f>
        <v>2377400</v>
      </c>
    </row>
    <row r="458">
      <c r="A458" s="2">
        <f>IFERROR(__xludf.DUMMYFUNCTION("""COMPUTED_VALUE"""),37193.666666666664)</f>
        <v>37193.66667</v>
      </c>
      <c r="B458" s="1">
        <f>IFERROR(__xludf.DUMMYFUNCTION("""COMPUTED_VALUE"""),36.05)</f>
        <v>36.05</v>
      </c>
      <c r="C458" s="1">
        <f>IFERROR(__xludf.DUMMYFUNCTION("""COMPUTED_VALUE"""),36.17)</f>
        <v>36.17</v>
      </c>
      <c r="D458" s="1">
        <f>IFERROR(__xludf.DUMMYFUNCTION("""COMPUTED_VALUE"""),35.21)</f>
        <v>35.21</v>
      </c>
      <c r="E458" s="1">
        <f>IFERROR(__xludf.DUMMYFUNCTION("""COMPUTED_VALUE"""),35.21)</f>
        <v>35.21</v>
      </c>
      <c r="F458" s="1">
        <f>IFERROR(__xludf.DUMMYFUNCTION("""COMPUTED_VALUE"""),2726100.0)</f>
        <v>2726100</v>
      </c>
    </row>
    <row r="459">
      <c r="A459" s="2">
        <f>IFERROR(__xludf.DUMMYFUNCTION("""COMPUTED_VALUE"""),37194.666666666664)</f>
        <v>37194.66667</v>
      </c>
      <c r="B459" s="1">
        <f>IFERROR(__xludf.DUMMYFUNCTION("""COMPUTED_VALUE"""),35.55)</f>
        <v>35.55</v>
      </c>
      <c r="C459" s="1">
        <f>IFERROR(__xludf.DUMMYFUNCTION("""COMPUTED_VALUE"""),36.67)</f>
        <v>36.67</v>
      </c>
      <c r="D459" s="1">
        <f>IFERROR(__xludf.DUMMYFUNCTION("""COMPUTED_VALUE"""),35.43)</f>
        <v>35.43</v>
      </c>
      <c r="E459" s="1">
        <f>IFERROR(__xludf.DUMMYFUNCTION("""COMPUTED_VALUE"""),36.64)</f>
        <v>36.64</v>
      </c>
      <c r="F459" s="1">
        <f>IFERROR(__xludf.DUMMYFUNCTION("""COMPUTED_VALUE"""),5319800.0)</f>
        <v>5319800</v>
      </c>
    </row>
    <row r="460">
      <c r="A460" s="2">
        <f>IFERROR(__xludf.DUMMYFUNCTION("""COMPUTED_VALUE"""),37195.666666666664)</f>
        <v>37195.66667</v>
      </c>
      <c r="B460" s="1">
        <f>IFERROR(__xludf.DUMMYFUNCTION("""COMPUTED_VALUE"""),36.64)</f>
        <v>36.64</v>
      </c>
      <c r="C460" s="1">
        <f>IFERROR(__xludf.DUMMYFUNCTION("""COMPUTED_VALUE"""),36.75)</f>
        <v>36.75</v>
      </c>
      <c r="D460" s="1">
        <f>IFERROR(__xludf.DUMMYFUNCTION("""COMPUTED_VALUE"""),36.27)</f>
        <v>36.27</v>
      </c>
      <c r="E460" s="1">
        <f>IFERROR(__xludf.DUMMYFUNCTION("""COMPUTED_VALUE"""),36.43)</f>
        <v>36.43</v>
      </c>
      <c r="F460" s="1">
        <f>IFERROR(__xludf.DUMMYFUNCTION("""COMPUTED_VALUE"""),3779600.0)</f>
        <v>3779600</v>
      </c>
    </row>
    <row r="461">
      <c r="A461" s="2">
        <f>IFERROR(__xludf.DUMMYFUNCTION("""COMPUTED_VALUE"""),37196.666666666664)</f>
        <v>37196.66667</v>
      </c>
      <c r="B461" s="1">
        <f>IFERROR(__xludf.DUMMYFUNCTION("""COMPUTED_VALUE"""),36.44)</f>
        <v>36.44</v>
      </c>
      <c r="C461" s="1">
        <f>IFERROR(__xludf.DUMMYFUNCTION("""COMPUTED_VALUE"""),37.53)</f>
        <v>37.53</v>
      </c>
      <c r="D461" s="1">
        <f>IFERROR(__xludf.DUMMYFUNCTION("""COMPUTED_VALUE"""),36.37)</f>
        <v>36.37</v>
      </c>
      <c r="E461" s="1">
        <f>IFERROR(__xludf.DUMMYFUNCTION("""COMPUTED_VALUE"""),37.12)</f>
        <v>37.12</v>
      </c>
      <c r="F461" s="1">
        <f>IFERROR(__xludf.DUMMYFUNCTION("""COMPUTED_VALUE"""),4877100.0)</f>
        <v>4877100</v>
      </c>
    </row>
    <row r="462">
      <c r="A462" s="2">
        <f>IFERROR(__xludf.DUMMYFUNCTION("""COMPUTED_VALUE"""),37197.666666666664)</f>
        <v>37197.66667</v>
      </c>
      <c r="B462" s="1">
        <f>IFERROR(__xludf.DUMMYFUNCTION("""COMPUTED_VALUE"""),37.43)</f>
        <v>37.43</v>
      </c>
      <c r="C462" s="1">
        <f>IFERROR(__xludf.DUMMYFUNCTION("""COMPUTED_VALUE"""),37.83)</f>
        <v>37.83</v>
      </c>
      <c r="D462" s="1">
        <f>IFERROR(__xludf.DUMMYFUNCTION("""COMPUTED_VALUE"""),37.14)</f>
        <v>37.14</v>
      </c>
      <c r="E462" s="1">
        <f>IFERROR(__xludf.DUMMYFUNCTION("""COMPUTED_VALUE"""),37.53)</f>
        <v>37.53</v>
      </c>
      <c r="F462" s="1">
        <f>IFERROR(__xludf.DUMMYFUNCTION("""COMPUTED_VALUE"""),2893900.0)</f>
        <v>2893900</v>
      </c>
    </row>
    <row r="463">
      <c r="A463" s="2">
        <f>IFERROR(__xludf.DUMMYFUNCTION("""COMPUTED_VALUE"""),37200.666666666664)</f>
        <v>37200.66667</v>
      </c>
      <c r="B463" s="1">
        <f>IFERROR(__xludf.DUMMYFUNCTION("""COMPUTED_VALUE"""),37.58)</f>
        <v>37.58</v>
      </c>
      <c r="C463" s="1">
        <f>IFERROR(__xludf.DUMMYFUNCTION("""COMPUTED_VALUE"""),38.01)</f>
        <v>38.01</v>
      </c>
      <c r="D463" s="1">
        <f>IFERROR(__xludf.DUMMYFUNCTION("""COMPUTED_VALUE"""),37.5)</f>
        <v>37.5</v>
      </c>
      <c r="E463" s="1">
        <f>IFERROR(__xludf.DUMMYFUNCTION("""COMPUTED_VALUE"""),37.99)</f>
        <v>37.99</v>
      </c>
      <c r="F463" s="1">
        <f>IFERROR(__xludf.DUMMYFUNCTION("""COMPUTED_VALUE"""),3122300.0)</f>
        <v>3122300</v>
      </c>
    </row>
    <row r="464">
      <c r="A464" s="2">
        <f>IFERROR(__xludf.DUMMYFUNCTION("""COMPUTED_VALUE"""),37201.666666666664)</f>
        <v>37201.66667</v>
      </c>
      <c r="B464" s="1">
        <f>IFERROR(__xludf.DUMMYFUNCTION("""COMPUTED_VALUE"""),37.99)</f>
        <v>37.99</v>
      </c>
      <c r="C464" s="1">
        <f>IFERROR(__xludf.DUMMYFUNCTION("""COMPUTED_VALUE"""),38.52)</f>
        <v>38.52</v>
      </c>
      <c r="D464" s="1">
        <f>IFERROR(__xludf.DUMMYFUNCTION("""COMPUTED_VALUE"""),37.7)</f>
        <v>37.7</v>
      </c>
      <c r="E464" s="1">
        <f>IFERROR(__xludf.DUMMYFUNCTION("""COMPUTED_VALUE"""),38.21)</f>
        <v>38.21</v>
      </c>
      <c r="F464" s="1">
        <f>IFERROR(__xludf.DUMMYFUNCTION("""COMPUTED_VALUE"""),2752700.0)</f>
        <v>2752700</v>
      </c>
    </row>
    <row r="465">
      <c r="A465" s="2">
        <f>IFERROR(__xludf.DUMMYFUNCTION("""COMPUTED_VALUE"""),37202.666666666664)</f>
        <v>37202.66667</v>
      </c>
      <c r="B465" s="1">
        <f>IFERROR(__xludf.DUMMYFUNCTION("""COMPUTED_VALUE"""),38.25)</f>
        <v>38.25</v>
      </c>
      <c r="C465" s="1">
        <f>IFERROR(__xludf.DUMMYFUNCTION("""COMPUTED_VALUE"""),38.62)</f>
        <v>38.62</v>
      </c>
      <c r="D465" s="1">
        <f>IFERROR(__xludf.DUMMYFUNCTION("""COMPUTED_VALUE"""),38.21)</f>
        <v>38.21</v>
      </c>
      <c r="E465" s="1">
        <f>IFERROR(__xludf.DUMMYFUNCTION("""COMPUTED_VALUE"""),38.57)</f>
        <v>38.57</v>
      </c>
      <c r="F465" s="1">
        <f>IFERROR(__xludf.DUMMYFUNCTION("""COMPUTED_VALUE"""),2896600.0)</f>
        <v>2896600</v>
      </c>
    </row>
    <row r="466">
      <c r="A466" s="2">
        <f>IFERROR(__xludf.DUMMYFUNCTION("""COMPUTED_VALUE"""),37203.666666666664)</f>
        <v>37203.66667</v>
      </c>
      <c r="B466" s="1">
        <f>IFERROR(__xludf.DUMMYFUNCTION("""COMPUTED_VALUE"""),38.52)</f>
        <v>38.52</v>
      </c>
      <c r="C466" s="1">
        <f>IFERROR(__xludf.DUMMYFUNCTION("""COMPUTED_VALUE"""),38.52)</f>
        <v>38.52</v>
      </c>
      <c r="D466" s="1">
        <f>IFERROR(__xludf.DUMMYFUNCTION("""COMPUTED_VALUE"""),37.63)</f>
        <v>37.63</v>
      </c>
      <c r="E466" s="1">
        <f>IFERROR(__xludf.DUMMYFUNCTION("""COMPUTED_VALUE"""),37.93)</f>
        <v>37.93</v>
      </c>
      <c r="F466" s="1">
        <f>IFERROR(__xludf.DUMMYFUNCTION("""COMPUTED_VALUE"""),3106600.0)</f>
        <v>3106600</v>
      </c>
    </row>
    <row r="467">
      <c r="A467" s="2">
        <f>IFERROR(__xludf.DUMMYFUNCTION("""COMPUTED_VALUE"""),37204.666666666664)</f>
        <v>37204.66667</v>
      </c>
      <c r="B467" s="1">
        <f>IFERROR(__xludf.DUMMYFUNCTION("""COMPUTED_VALUE"""),37.73)</f>
        <v>37.73</v>
      </c>
      <c r="C467" s="1">
        <f>IFERROR(__xludf.DUMMYFUNCTION("""COMPUTED_VALUE"""),38.28)</f>
        <v>38.28</v>
      </c>
      <c r="D467" s="1">
        <f>IFERROR(__xludf.DUMMYFUNCTION("""COMPUTED_VALUE"""),37.68)</f>
        <v>37.68</v>
      </c>
      <c r="E467" s="1">
        <f>IFERROR(__xludf.DUMMYFUNCTION("""COMPUTED_VALUE"""),38.18)</f>
        <v>38.18</v>
      </c>
      <c r="F467" s="1">
        <f>IFERROR(__xludf.DUMMYFUNCTION("""COMPUTED_VALUE"""),2324300.0)</f>
        <v>2324300</v>
      </c>
    </row>
    <row r="468">
      <c r="A468" s="2">
        <f>IFERROR(__xludf.DUMMYFUNCTION("""COMPUTED_VALUE"""),37207.666666666664)</f>
        <v>37207.66667</v>
      </c>
      <c r="B468" s="1">
        <f>IFERROR(__xludf.DUMMYFUNCTION("""COMPUTED_VALUE"""),37.85)</f>
        <v>37.85</v>
      </c>
      <c r="C468" s="1">
        <f>IFERROR(__xludf.DUMMYFUNCTION("""COMPUTED_VALUE"""),38.24)</f>
        <v>38.24</v>
      </c>
      <c r="D468" s="1">
        <f>IFERROR(__xludf.DUMMYFUNCTION("""COMPUTED_VALUE"""),37.76)</f>
        <v>37.76</v>
      </c>
      <c r="E468" s="1">
        <f>IFERROR(__xludf.DUMMYFUNCTION("""COMPUTED_VALUE"""),38.05)</f>
        <v>38.05</v>
      </c>
      <c r="F468" s="1">
        <f>IFERROR(__xludf.DUMMYFUNCTION("""COMPUTED_VALUE"""),1929100.0)</f>
        <v>1929100</v>
      </c>
    </row>
    <row r="469">
      <c r="A469" s="2">
        <f>IFERROR(__xludf.DUMMYFUNCTION("""COMPUTED_VALUE"""),37208.666666666664)</f>
        <v>37208.66667</v>
      </c>
      <c r="B469" s="1">
        <f>IFERROR(__xludf.DUMMYFUNCTION("""COMPUTED_VALUE"""),38.25)</f>
        <v>38.25</v>
      </c>
      <c r="C469" s="1">
        <f>IFERROR(__xludf.DUMMYFUNCTION("""COMPUTED_VALUE"""),38.46)</f>
        <v>38.46</v>
      </c>
      <c r="D469" s="1">
        <f>IFERROR(__xludf.DUMMYFUNCTION("""COMPUTED_VALUE"""),37.77)</f>
        <v>37.77</v>
      </c>
      <c r="E469" s="1">
        <f>IFERROR(__xludf.DUMMYFUNCTION("""COMPUTED_VALUE"""),38.19)</f>
        <v>38.19</v>
      </c>
      <c r="F469" s="1">
        <f>IFERROR(__xludf.DUMMYFUNCTION("""COMPUTED_VALUE"""),2631800.0)</f>
        <v>2631800</v>
      </c>
    </row>
    <row r="470">
      <c r="A470" s="2">
        <f>IFERROR(__xludf.DUMMYFUNCTION("""COMPUTED_VALUE"""),37209.666666666664)</f>
        <v>37209.66667</v>
      </c>
      <c r="B470" s="1">
        <f>IFERROR(__xludf.DUMMYFUNCTION("""COMPUTED_VALUE"""),38.51)</f>
        <v>38.51</v>
      </c>
      <c r="C470" s="1">
        <f>IFERROR(__xludf.DUMMYFUNCTION("""COMPUTED_VALUE"""),38.64)</f>
        <v>38.64</v>
      </c>
      <c r="D470" s="1">
        <f>IFERROR(__xludf.DUMMYFUNCTION("""COMPUTED_VALUE"""),38.14)</f>
        <v>38.14</v>
      </c>
      <c r="E470" s="1">
        <f>IFERROR(__xludf.DUMMYFUNCTION("""COMPUTED_VALUE"""),38.63)</f>
        <v>38.63</v>
      </c>
      <c r="F470" s="1">
        <f>IFERROR(__xludf.DUMMYFUNCTION("""COMPUTED_VALUE"""),3186200.0)</f>
        <v>3186200</v>
      </c>
    </row>
    <row r="471">
      <c r="A471" s="2">
        <f>IFERROR(__xludf.DUMMYFUNCTION("""COMPUTED_VALUE"""),37210.666666666664)</f>
        <v>37210.66667</v>
      </c>
      <c r="B471" s="1">
        <f>IFERROR(__xludf.DUMMYFUNCTION("""COMPUTED_VALUE"""),38.63)</f>
        <v>38.63</v>
      </c>
      <c r="C471" s="1">
        <f>IFERROR(__xludf.DUMMYFUNCTION("""COMPUTED_VALUE"""),38.94)</f>
        <v>38.94</v>
      </c>
      <c r="D471" s="1">
        <f>IFERROR(__xludf.DUMMYFUNCTION("""COMPUTED_VALUE"""),38.5)</f>
        <v>38.5</v>
      </c>
      <c r="E471" s="1">
        <f>IFERROR(__xludf.DUMMYFUNCTION("""COMPUTED_VALUE"""),38.73)</f>
        <v>38.73</v>
      </c>
      <c r="F471" s="1">
        <f>IFERROR(__xludf.DUMMYFUNCTION("""COMPUTED_VALUE"""),2919100.0)</f>
        <v>2919100</v>
      </c>
    </row>
    <row r="472">
      <c r="A472" s="2">
        <f>IFERROR(__xludf.DUMMYFUNCTION("""COMPUTED_VALUE"""),37211.666666666664)</f>
        <v>37211.66667</v>
      </c>
      <c r="B472" s="1">
        <f>IFERROR(__xludf.DUMMYFUNCTION("""COMPUTED_VALUE"""),38.85)</f>
        <v>38.85</v>
      </c>
      <c r="C472" s="1">
        <f>IFERROR(__xludf.DUMMYFUNCTION("""COMPUTED_VALUE"""),38.88)</f>
        <v>38.88</v>
      </c>
      <c r="D472" s="1">
        <f>IFERROR(__xludf.DUMMYFUNCTION("""COMPUTED_VALUE"""),38.4)</f>
        <v>38.4</v>
      </c>
      <c r="E472" s="1">
        <f>IFERROR(__xludf.DUMMYFUNCTION("""COMPUTED_VALUE"""),38.88)</f>
        <v>38.88</v>
      </c>
      <c r="F472" s="1">
        <f>IFERROR(__xludf.DUMMYFUNCTION("""COMPUTED_VALUE"""),2716800.0)</f>
        <v>2716800</v>
      </c>
    </row>
    <row r="473">
      <c r="A473" s="2">
        <f>IFERROR(__xludf.DUMMYFUNCTION("""COMPUTED_VALUE"""),37214.666666666664)</f>
        <v>37214.66667</v>
      </c>
      <c r="B473" s="1">
        <f>IFERROR(__xludf.DUMMYFUNCTION("""COMPUTED_VALUE"""),38.94)</f>
        <v>38.94</v>
      </c>
      <c r="C473" s="1">
        <f>IFERROR(__xludf.DUMMYFUNCTION("""COMPUTED_VALUE"""),39.01)</f>
        <v>39.01</v>
      </c>
      <c r="D473" s="1">
        <f>IFERROR(__xludf.DUMMYFUNCTION("""COMPUTED_VALUE"""),38.52)</f>
        <v>38.52</v>
      </c>
      <c r="E473" s="1">
        <f>IFERROR(__xludf.DUMMYFUNCTION("""COMPUTED_VALUE"""),38.85)</f>
        <v>38.85</v>
      </c>
      <c r="F473" s="1">
        <f>IFERROR(__xludf.DUMMYFUNCTION("""COMPUTED_VALUE"""),2726300.0)</f>
        <v>2726300</v>
      </c>
    </row>
    <row r="474">
      <c r="A474" s="2">
        <f>IFERROR(__xludf.DUMMYFUNCTION("""COMPUTED_VALUE"""),37215.666666666664)</f>
        <v>37215.66667</v>
      </c>
      <c r="B474" s="1">
        <f>IFERROR(__xludf.DUMMYFUNCTION("""COMPUTED_VALUE"""),38.62)</f>
        <v>38.62</v>
      </c>
      <c r="C474" s="1">
        <f>IFERROR(__xludf.DUMMYFUNCTION("""COMPUTED_VALUE"""),38.85)</f>
        <v>38.85</v>
      </c>
      <c r="D474" s="1">
        <f>IFERROR(__xludf.DUMMYFUNCTION("""COMPUTED_VALUE"""),38.38)</f>
        <v>38.38</v>
      </c>
      <c r="E474" s="1">
        <f>IFERROR(__xludf.DUMMYFUNCTION("""COMPUTED_VALUE"""),38.77)</f>
        <v>38.77</v>
      </c>
      <c r="F474" s="1">
        <f>IFERROR(__xludf.DUMMYFUNCTION("""COMPUTED_VALUE"""),2672400.0)</f>
        <v>2672400</v>
      </c>
    </row>
    <row r="475">
      <c r="A475" s="2">
        <f>IFERROR(__xludf.DUMMYFUNCTION("""COMPUTED_VALUE"""),37216.666666666664)</f>
        <v>37216.66667</v>
      </c>
      <c r="B475" s="1">
        <f>IFERROR(__xludf.DUMMYFUNCTION("""COMPUTED_VALUE"""),38.52)</f>
        <v>38.52</v>
      </c>
      <c r="C475" s="1">
        <f>IFERROR(__xludf.DUMMYFUNCTION("""COMPUTED_VALUE"""),38.79)</f>
        <v>38.79</v>
      </c>
      <c r="D475" s="1">
        <f>IFERROR(__xludf.DUMMYFUNCTION("""COMPUTED_VALUE"""),38.39)</f>
        <v>38.39</v>
      </c>
      <c r="E475" s="1">
        <f>IFERROR(__xludf.DUMMYFUNCTION("""COMPUTED_VALUE"""),38.47)</f>
        <v>38.47</v>
      </c>
      <c r="F475" s="1">
        <f>IFERROR(__xludf.DUMMYFUNCTION("""COMPUTED_VALUE"""),2052000.0)</f>
        <v>2052000</v>
      </c>
    </row>
    <row r="476">
      <c r="A476" s="2">
        <f>IFERROR(__xludf.DUMMYFUNCTION("""COMPUTED_VALUE"""),37218.666666666664)</f>
        <v>37218.66667</v>
      </c>
      <c r="B476" s="1">
        <f>IFERROR(__xludf.DUMMYFUNCTION("""COMPUTED_VALUE"""),38.47)</f>
        <v>38.47</v>
      </c>
      <c r="C476" s="1">
        <f>IFERROR(__xludf.DUMMYFUNCTION("""COMPUTED_VALUE"""),38.77)</f>
        <v>38.77</v>
      </c>
      <c r="D476" s="1">
        <f>IFERROR(__xludf.DUMMYFUNCTION("""COMPUTED_VALUE"""),38.42)</f>
        <v>38.42</v>
      </c>
      <c r="E476" s="1">
        <f>IFERROR(__xludf.DUMMYFUNCTION("""COMPUTED_VALUE"""),38.74)</f>
        <v>38.74</v>
      </c>
      <c r="F476" s="1">
        <f>IFERROR(__xludf.DUMMYFUNCTION("""COMPUTED_VALUE"""),840100.0)</f>
        <v>840100</v>
      </c>
    </row>
    <row r="477">
      <c r="A477" s="2">
        <f>IFERROR(__xludf.DUMMYFUNCTION("""COMPUTED_VALUE"""),37221.666666666664)</f>
        <v>37221.66667</v>
      </c>
      <c r="B477" s="1">
        <f>IFERROR(__xludf.DUMMYFUNCTION("""COMPUTED_VALUE"""),38.54)</f>
        <v>38.54</v>
      </c>
      <c r="C477" s="1">
        <f>IFERROR(__xludf.DUMMYFUNCTION("""COMPUTED_VALUE"""),38.71)</f>
        <v>38.71</v>
      </c>
      <c r="D477" s="1">
        <f>IFERROR(__xludf.DUMMYFUNCTION("""COMPUTED_VALUE"""),38.27)</f>
        <v>38.27</v>
      </c>
      <c r="E477" s="1">
        <f>IFERROR(__xludf.DUMMYFUNCTION("""COMPUTED_VALUE"""),38.59)</f>
        <v>38.59</v>
      </c>
      <c r="F477" s="1">
        <f>IFERROR(__xludf.DUMMYFUNCTION("""COMPUTED_VALUE"""),2268100.0)</f>
        <v>2268100</v>
      </c>
    </row>
    <row r="478">
      <c r="A478" s="2">
        <f>IFERROR(__xludf.DUMMYFUNCTION("""COMPUTED_VALUE"""),37222.666666666664)</f>
        <v>37222.66667</v>
      </c>
      <c r="B478" s="1">
        <f>IFERROR(__xludf.DUMMYFUNCTION("""COMPUTED_VALUE"""),38.37)</f>
        <v>38.37</v>
      </c>
      <c r="C478" s="1">
        <f>IFERROR(__xludf.DUMMYFUNCTION("""COMPUTED_VALUE"""),38.64)</f>
        <v>38.64</v>
      </c>
      <c r="D478" s="1">
        <f>IFERROR(__xludf.DUMMYFUNCTION("""COMPUTED_VALUE"""),37.98)</f>
        <v>37.98</v>
      </c>
      <c r="E478" s="1">
        <f>IFERROR(__xludf.DUMMYFUNCTION("""COMPUTED_VALUE"""),38.08)</f>
        <v>38.08</v>
      </c>
      <c r="F478" s="1">
        <f>IFERROR(__xludf.DUMMYFUNCTION("""COMPUTED_VALUE"""),3237800.0)</f>
        <v>3237800</v>
      </c>
    </row>
    <row r="479">
      <c r="A479" s="2">
        <f>IFERROR(__xludf.DUMMYFUNCTION("""COMPUTED_VALUE"""),37223.666666666664)</f>
        <v>37223.66667</v>
      </c>
      <c r="B479" s="1">
        <f>IFERROR(__xludf.DUMMYFUNCTION("""COMPUTED_VALUE"""),37.95)</f>
        <v>37.95</v>
      </c>
      <c r="C479" s="1">
        <f>IFERROR(__xludf.DUMMYFUNCTION("""COMPUTED_VALUE"""),38.15)</f>
        <v>38.15</v>
      </c>
      <c r="D479" s="1">
        <f>IFERROR(__xludf.DUMMYFUNCTION("""COMPUTED_VALUE"""),37.51)</f>
        <v>37.51</v>
      </c>
      <c r="E479" s="1">
        <f>IFERROR(__xludf.DUMMYFUNCTION("""COMPUTED_VALUE"""),37.53)</f>
        <v>37.53</v>
      </c>
      <c r="F479" s="1">
        <f>IFERROR(__xludf.DUMMYFUNCTION("""COMPUTED_VALUE"""),2696700.0)</f>
        <v>2696700</v>
      </c>
    </row>
    <row r="480">
      <c r="A480" s="2">
        <f>IFERROR(__xludf.DUMMYFUNCTION("""COMPUTED_VALUE"""),37224.666666666664)</f>
        <v>37224.66667</v>
      </c>
      <c r="B480" s="1">
        <f>IFERROR(__xludf.DUMMYFUNCTION("""COMPUTED_VALUE"""),37.58)</f>
        <v>37.58</v>
      </c>
      <c r="C480" s="1">
        <f>IFERROR(__xludf.DUMMYFUNCTION("""COMPUTED_VALUE"""),38.32)</f>
        <v>38.32</v>
      </c>
      <c r="D480" s="1">
        <f>IFERROR(__xludf.DUMMYFUNCTION("""COMPUTED_VALUE"""),37.16)</f>
        <v>37.16</v>
      </c>
      <c r="E480" s="1">
        <f>IFERROR(__xludf.DUMMYFUNCTION("""COMPUTED_VALUE"""),38.24)</f>
        <v>38.24</v>
      </c>
      <c r="F480" s="1">
        <f>IFERROR(__xludf.DUMMYFUNCTION("""COMPUTED_VALUE"""),3638400.0)</f>
        <v>3638400</v>
      </c>
    </row>
    <row r="481">
      <c r="A481" s="2">
        <f>IFERROR(__xludf.DUMMYFUNCTION("""COMPUTED_VALUE"""),37225.666666666664)</f>
        <v>37225.66667</v>
      </c>
      <c r="B481" s="1">
        <f>IFERROR(__xludf.DUMMYFUNCTION("""COMPUTED_VALUE"""),38.02)</f>
        <v>38.02</v>
      </c>
      <c r="C481" s="1">
        <f>IFERROR(__xludf.DUMMYFUNCTION("""COMPUTED_VALUE"""),38.58)</f>
        <v>38.58</v>
      </c>
      <c r="D481" s="1">
        <f>IFERROR(__xludf.DUMMYFUNCTION("""COMPUTED_VALUE"""),38.01)</f>
        <v>38.01</v>
      </c>
      <c r="E481" s="1">
        <f>IFERROR(__xludf.DUMMYFUNCTION("""COMPUTED_VALUE"""),38.25)</f>
        <v>38.25</v>
      </c>
      <c r="F481" s="1">
        <f>IFERROR(__xludf.DUMMYFUNCTION("""COMPUTED_VALUE"""),2796800.0)</f>
        <v>2796800</v>
      </c>
    </row>
    <row r="482">
      <c r="A482" s="2">
        <f>IFERROR(__xludf.DUMMYFUNCTION("""COMPUTED_VALUE"""),37228.666666666664)</f>
        <v>37228.66667</v>
      </c>
      <c r="B482" s="1">
        <f>IFERROR(__xludf.DUMMYFUNCTION("""COMPUTED_VALUE"""),38.43)</f>
        <v>38.43</v>
      </c>
      <c r="C482" s="1">
        <f>IFERROR(__xludf.DUMMYFUNCTION("""COMPUTED_VALUE"""),38.44)</f>
        <v>38.44</v>
      </c>
      <c r="D482" s="1">
        <f>IFERROR(__xludf.DUMMYFUNCTION("""COMPUTED_VALUE"""),37.74)</f>
        <v>37.74</v>
      </c>
      <c r="E482" s="1">
        <f>IFERROR(__xludf.DUMMYFUNCTION("""COMPUTED_VALUE"""),37.87)</f>
        <v>37.87</v>
      </c>
      <c r="F482" s="1">
        <f>IFERROR(__xludf.DUMMYFUNCTION("""COMPUTED_VALUE"""),685275.0)</f>
        <v>685275</v>
      </c>
    </row>
    <row r="483">
      <c r="A483" s="2">
        <f>IFERROR(__xludf.DUMMYFUNCTION("""COMPUTED_VALUE"""),37229.666666666664)</f>
        <v>37229.66667</v>
      </c>
      <c r="B483" s="1">
        <f>IFERROR(__xludf.DUMMYFUNCTION("""COMPUTED_VALUE"""),37.78)</f>
        <v>37.78</v>
      </c>
      <c r="C483" s="1">
        <f>IFERROR(__xludf.DUMMYFUNCTION("""COMPUTED_VALUE"""),38.06)</f>
        <v>38.06</v>
      </c>
      <c r="D483" s="1">
        <f>IFERROR(__xludf.DUMMYFUNCTION("""COMPUTED_VALUE"""),37.4)</f>
        <v>37.4</v>
      </c>
      <c r="E483" s="1">
        <f>IFERROR(__xludf.DUMMYFUNCTION("""COMPUTED_VALUE"""),37.7)</f>
        <v>37.7</v>
      </c>
      <c r="F483" s="1">
        <f>IFERROR(__xludf.DUMMYFUNCTION("""COMPUTED_VALUE"""),2416600.0)</f>
        <v>2416600</v>
      </c>
    </row>
    <row r="484">
      <c r="A484" s="2">
        <f>IFERROR(__xludf.DUMMYFUNCTION("""COMPUTED_VALUE"""),37230.666666666664)</f>
        <v>37230.66667</v>
      </c>
      <c r="B484" s="1">
        <f>IFERROR(__xludf.DUMMYFUNCTION("""COMPUTED_VALUE"""),37.78)</f>
        <v>37.78</v>
      </c>
      <c r="C484" s="1">
        <f>IFERROR(__xludf.DUMMYFUNCTION("""COMPUTED_VALUE"""),38.38)</f>
        <v>38.38</v>
      </c>
      <c r="D484" s="1">
        <f>IFERROR(__xludf.DUMMYFUNCTION("""COMPUTED_VALUE"""),37.64)</f>
        <v>37.64</v>
      </c>
      <c r="E484" s="1">
        <f>IFERROR(__xludf.DUMMYFUNCTION("""COMPUTED_VALUE"""),37.88)</f>
        <v>37.88</v>
      </c>
      <c r="F484" s="1">
        <f>IFERROR(__xludf.DUMMYFUNCTION("""COMPUTED_VALUE"""),3184200.0)</f>
        <v>3184200</v>
      </c>
    </row>
    <row r="485">
      <c r="A485" s="2">
        <f>IFERROR(__xludf.DUMMYFUNCTION("""COMPUTED_VALUE"""),37231.666666666664)</f>
        <v>37231.66667</v>
      </c>
      <c r="B485" s="1">
        <f>IFERROR(__xludf.DUMMYFUNCTION("""COMPUTED_VALUE"""),37.75)</f>
        <v>37.75</v>
      </c>
      <c r="C485" s="1">
        <f>IFERROR(__xludf.DUMMYFUNCTION("""COMPUTED_VALUE"""),38.06)</f>
        <v>38.06</v>
      </c>
      <c r="D485" s="1">
        <f>IFERROR(__xludf.DUMMYFUNCTION("""COMPUTED_VALUE"""),37.28)</f>
        <v>37.28</v>
      </c>
      <c r="E485" s="1">
        <f>IFERROR(__xludf.DUMMYFUNCTION("""COMPUTED_VALUE"""),37.38)</f>
        <v>37.38</v>
      </c>
      <c r="F485" s="1">
        <f>IFERROR(__xludf.DUMMYFUNCTION("""COMPUTED_VALUE"""),2594100.0)</f>
        <v>2594100</v>
      </c>
    </row>
    <row r="486">
      <c r="A486" s="2">
        <f>IFERROR(__xludf.DUMMYFUNCTION("""COMPUTED_VALUE"""),37232.666666666664)</f>
        <v>37232.66667</v>
      </c>
      <c r="B486" s="1">
        <f>IFERROR(__xludf.DUMMYFUNCTION("""COMPUTED_VALUE"""),37.32)</f>
        <v>37.32</v>
      </c>
      <c r="C486" s="1">
        <f>IFERROR(__xludf.DUMMYFUNCTION("""COMPUTED_VALUE"""),37.41)</f>
        <v>37.41</v>
      </c>
      <c r="D486" s="1">
        <f>IFERROR(__xludf.DUMMYFUNCTION("""COMPUTED_VALUE"""),36.92)</f>
        <v>36.92</v>
      </c>
      <c r="E486" s="1">
        <f>IFERROR(__xludf.DUMMYFUNCTION("""COMPUTED_VALUE"""),37.25)</f>
        <v>37.25</v>
      </c>
      <c r="F486" s="1">
        <f>IFERROR(__xludf.DUMMYFUNCTION("""COMPUTED_VALUE"""),2183000.0)</f>
        <v>2183000</v>
      </c>
    </row>
    <row r="487">
      <c r="A487" s="2">
        <f>IFERROR(__xludf.DUMMYFUNCTION("""COMPUTED_VALUE"""),37235.666666666664)</f>
        <v>37235.66667</v>
      </c>
      <c r="B487" s="1">
        <f>IFERROR(__xludf.DUMMYFUNCTION("""COMPUTED_VALUE"""),37.27)</f>
        <v>37.27</v>
      </c>
      <c r="C487" s="1">
        <f>IFERROR(__xludf.DUMMYFUNCTION("""COMPUTED_VALUE"""),38.23)</f>
        <v>38.23</v>
      </c>
      <c r="D487" s="1">
        <f>IFERROR(__xludf.DUMMYFUNCTION("""COMPUTED_VALUE"""),37.17)</f>
        <v>37.17</v>
      </c>
      <c r="E487" s="1">
        <f>IFERROR(__xludf.DUMMYFUNCTION("""COMPUTED_VALUE"""),38.05)</f>
        <v>38.05</v>
      </c>
      <c r="F487" s="1">
        <f>IFERROR(__xludf.DUMMYFUNCTION("""COMPUTED_VALUE"""),3861800.0)</f>
        <v>3861800</v>
      </c>
    </row>
    <row r="488">
      <c r="A488" s="2">
        <f>IFERROR(__xludf.DUMMYFUNCTION("""COMPUTED_VALUE"""),37236.666666666664)</f>
        <v>37236.66667</v>
      </c>
      <c r="B488" s="1">
        <f>IFERROR(__xludf.DUMMYFUNCTION("""COMPUTED_VALUE"""),37.27)</f>
        <v>37.27</v>
      </c>
      <c r="C488" s="1">
        <f>IFERROR(__xludf.DUMMYFUNCTION("""COMPUTED_VALUE"""),38.37)</f>
        <v>38.37</v>
      </c>
      <c r="D488" s="1">
        <f>IFERROR(__xludf.DUMMYFUNCTION("""COMPUTED_VALUE"""),37.17)</f>
        <v>37.17</v>
      </c>
      <c r="E488" s="1">
        <f>IFERROR(__xludf.DUMMYFUNCTION("""COMPUTED_VALUE"""),38.05)</f>
        <v>38.05</v>
      </c>
      <c r="F488" s="1">
        <f>IFERROR(__xludf.DUMMYFUNCTION("""COMPUTED_VALUE"""),7357800.0)</f>
        <v>7357800</v>
      </c>
    </row>
    <row r="489">
      <c r="A489" s="2">
        <f>IFERROR(__xludf.DUMMYFUNCTION("""COMPUTED_VALUE"""),37237.666666666664)</f>
        <v>37237.66667</v>
      </c>
      <c r="B489" s="1">
        <f>IFERROR(__xludf.DUMMYFUNCTION("""COMPUTED_VALUE"""),39.14)</f>
        <v>39.14</v>
      </c>
      <c r="C489" s="1">
        <f>IFERROR(__xludf.DUMMYFUNCTION("""COMPUTED_VALUE"""),39.51)</f>
        <v>39.51</v>
      </c>
      <c r="D489" s="1">
        <f>IFERROR(__xludf.DUMMYFUNCTION("""COMPUTED_VALUE"""),38.96)</f>
        <v>38.96</v>
      </c>
      <c r="E489" s="1">
        <f>IFERROR(__xludf.DUMMYFUNCTION("""COMPUTED_VALUE"""),39.48)</f>
        <v>39.48</v>
      </c>
      <c r="F489" s="1">
        <f>IFERROR(__xludf.DUMMYFUNCTION("""COMPUTED_VALUE"""),8330800.0)</f>
        <v>8330800</v>
      </c>
    </row>
    <row r="490">
      <c r="A490" s="2">
        <f>IFERROR(__xludf.DUMMYFUNCTION("""COMPUTED_VALUE"""),37238.666666666664)</f>
        <v>37238.66667</v>
      </c>
      <c r="B490" s="1">
        <f>IFERROR(__xludf.DUMMYFUNCTION("""COMPUTED_VALUE"""),39.48)</f>
        <v>39.48</v>
      </c>
      <c r="C490" s="1">
        <f>IFERROR(__xludf.DUMMYFUNCTION("""COMPUTED_VALUE"""),40.05)</f>
        <v>40.05</v>
      </c>
      <c r="D490" s="1">
        <f>IFERROR(__xludf.DUMMYFUNCTION("""COMPUTED_VALUE"""),39.01)</f>
        <v>39.01</v>
      </c>
      <c r="E490" s="1">
        <f>IFERROR(__xludf.DUMMYFUNCTION("""COMPUTED_VALUE"""),39.74)</f>
        <v>39.74</v>
      </c>
      <c r="F490" s="1">
        <f>IFERROR(__xludf.DUMMYFUNCTION("""COMPUTED_VALUE"""),6357000.0)</f>
        <v>6357000</v>
      </c>
    </row>
    <row r="491">
      <c r="A491" s="2">
        <f>IFERROR(__xludf.DUMMYFUNCTION("""COMPUTED_VALUE"""),37239.666666666664)</f>
        <v>37239.66667</v>
      </c>
      <c r="B491" s="1">
        <f>IFERROR(__xludf.DUMMYFUNCTION("""COMPUTED_VALUE"""),39.65)</f>
        <v>39.65</v>
      </c>
      <c r="C491" s="1">
        <f>IFERROR(__xludf.DUMMYFUNCTION("""COMPUTED_VALUE"""),39.89)</f>
        <v>39.89</v>
      </c>
      <c r="D491" s="1">
        <f>IFERROR(__xludf.DUMMYFUNCTION("""COMPUTED_VALUE"""),39.29)</f>
        <v>39.29</v>
      </c>
      <c r="E491" s="1">
        <f>IFERROR(__xludf.DUMMYFUNCTION("""COMPUTED_VALUE"""),39.52)</f>
        <v>39.52</v>
      </c>
      <c r="F491" s="1">
        <f>IFERROR(__xludf.DUMMYFUNCTION("""COMPUTED_VALUE"""),3247500.0)</f>
        <v>3247500</v>
      </c>
    </row>
    <row r="492">
      <c r="A492" s="2">
        <f>IFERROR(__xludf.DUMMYFUNCTION("""COMPUTED_VALUE"""),37242.666666666664)</f>
        <v>37242.66667</v>
      </c>
      <c r="B492" s="1">
        <f>IFERROR(__xludf.DUMMYFUNCTION("""COMPUTED_VALUE"""),39.56)</f>
        <v>39.56</v>
      </c>
      <c r="C492" s="1">
        <f>IFERROR(__xludf.DUMMYFUNCTION("""COMPUTED_VALUE"""),40.05)</f>
        <v>40.05</v>
      </c>
      <c r="D492" s="1">
        <f>IFERROR(__xludf.DUMMYFUNCTION("""COMPUTED_VALUE"""),39.41)</f>
        <v>39.41</v>
      </c>
      <c r="E492" s="1">
        <f>IFERROR(__xludf.DUMMYFUNCTION("""COMPUTED_VALUE"""),39.83)</f>
        <v>39.83</v>
      </c>
      <c r="F492" s="1">
        <f>IFERROR(__xludf.DUMMYFUNCTION("""COMPUTED_VALUE"""),3574000.0)</f>
        <v>3574000</v>
      </c>
    </row>
    <row r="493">
      <c r="A493" s="2">
        <f>IFERROR(__xludf.DUMMYFUNCTION("""COMPUTED_VALUE"""),37243.666666666664)</f>
        <v>37243.66667</v>
      </c>
      <c r="B493" s="1">
        <f>IFERROR(__xludf.DUMMYFUNCTION("""COMPUTED_VALUE"""),39.63)</f>
        <v>39.63</v>
      </c>
      <c r="C493" s="1">
        <f>IFERROR(__xludf.DUMMYFUNCTION("""COMPUTED_VALUE"""),40.36)</f>
        <v>40.36</v>
      </c>
      <c r="D493" s="1">
        <f>IFERROR(__xludf.DUMMYFUNCTION("""COMPUTED_VALUE"""),39.51)</f>
        <v>39.51</v>
      </c>
      <c r="E493" s="1">
        <f>IFERROR(__xludf.DUMMYFUNCTION("""COMPUTED_VALUE"""),40.19)</f>
        <v>40.19</v>
      </c>
      <c r="F493" s="1">
        <f>IFERROR(__xludf.DUMMYFUNCTION("""COMPUTED_VALUE"""),3291700.0)</f>
        <v>3291700</v>
      </c>
    </row>
    <row r="494">
      <c r="A494" s="2">
        <f>IFERROR(__xludf.DUMMYFUNCTION("""COMPUTED_VALUE"""),37244.666666666664)</f>
        <v>37244.66667</v>
      </c>
      <c r="B494" s="1">
        <f>IFERROR(__xludf.DUMMYFUNCTION("""COMPUTED_VALUE"""),39.85)</f>
        <v>39.85</v>
      </c>
      <c r="C494" s="1">
        <f>IFERROR(__xludf.DUMMYFUNCTION("""COMPUTED_VALUE"""),40.32)</f>
        <v>40.32</v>
      </c>
      <c r="D494" s="1">
        <f>IFERROR(__xludf.DUMMYFUNCTION("""COMPUTED_VALUE"""),39.71)</f>
        <v>39.71</v>
      </c>
      <c r="E494" s="1">
        <f>IFERROR(__xludf.DUMMYFUNCTION("""COMPUTED_VALUE"""),40.23)</f>
        <v>40.23</v>
      </c>
      <c r="F494" s="1">
        <f>IFERROR(__xludf.DUMMYFUNCTION("""COMPUTED_VALUE"""),3975900.0)</f>
        <v>3975900</v>
      </c>
    </row>
    <row r="495">
      <c r="A495" s="2">
        <f>IFERROR(__xludf.DUMMYFUNCTION("""COMPUTED_VALUE"""),37245.666666666664)</f>
        <v>37245.66667</v>
      </c>
      <c r="B495" s="1">
        <f>IFERROR(__xludf.DUMMYFUNCTION("""COMPUTED_VALUE"""),40.05)</f>
        <v>40.05</v>
      </c>
      <c r="C495" s="1">
        <f>IFERROR(__xludf.DUMMYFUNCTION("""COMPUTED_VALUE"""),40.24)</f>
        <v>40.24</v>
      </c>
      <c r="D495" s="1">
        <f>IFERROR(__xludf.DUMMYFUNCTION("""COMPUTED_VALUE"""),39.87)</f>
        <v>39.87</v>
      </c>
      <c r="E495" s="1">
        <f>IFERROR(__xludf.DUMMYFUNCTION("""COMPUTED_VALUE"""),39.99)</f>
        <v>39.99</v>
      </c>
      <c r="F495" s="1">
        <f>IFERROR(__xludf.DUMMYFUNCTION("""COMPUTED_VALUE"""),2844100.0)</f>
        <v>2844100</v>
      </c>
    </row>
    <row r="496">
      <c r="A496" s="2">
        <f>IFERROR(__xludf.DUMMYFUNCTION("""COMPUTED_VALUE"""),37246.666666666664)</f>
        <v>37246.66667</v>
      </c>
      <c r="B496" s="1">
        <f>IFERROR(__xludf.DUMMYFUNCTION("""COMPUTED_VALUE"""),40.12)</f>
        <v>40.12</v>
      </c>
      <c r="C496" s="1">
        <f>IFERROR(__xludf.DUMMYFUNCTION("""COMPUTED_VALUE"""),40.18)</f>
        <v>40.18</v>
      </c>
      <c r="D496" s="1">
        <f>IFERROR(__xludf.DUMMYFUNCTION("""COMPUTED_VALUE"""),39.46)</f>
        <v>39.46</v>
      </c>
      <c r="E496" s="1">
        <f>IFERROR(__xludf.DUMMYFUNCTION("""COMPUTED_VALUE"""),39.82)</f>
        <v>39.82</v>
      </c>
      <c r="F496" s="1">
        <f>IFERROR(__xludf.DUMMYFUNCTION("""COMPUTED_VALUE"""),4424500.0)</f>
        <v>4424500</v>
      </c>
    </row>
    <row r="497">
      <c r="A497" s="2">
        <f>IFERROR(__xludf.DUMMYFUNCTION("""COMPUTED_VALUE"""),37249.666666666664)</f>
        <v>37249.66667</v>
      </c>
      <c r="B497" s="1">
        <f>IFERROR(__xludf.DUMMYFUNCTION("""COMPUTED_VALUE"""),39.82)</f>
        <v>39.82</v>
      </c>
      <c r="C497" s="1">
        <f>IFERROR(__xludf.DUMMYFUNCTION("""COMPUTED_VALUE"""),39.97)</f>
        <v>39.97</v>
      </c>
      <c r="D497" s="1">
        <f>IFERROR(__xludf.DUMMYFUNCTION("""COMPUTED_VALUE"""),39.53)</f>
        <v>39.53</v>
      </c>
      <c r="E497" s="1">
        <f>IFERROR(__xludf.DUMMYFUNCTION("""COMPUTED_VALUE"""),39.75)</f>
        <v>39.75</v>
      </c>
      <c r="F497" s="1">
        <f>IFERROR(__xludf.DUMMYFUNCTION("""COMPUTED_VALUE"""),1089300.0)</f>
        <v>1089300</v>
      </c>
    </row>
    <row r="498">
      <c r="A498" s="2">
        <f>IFERROR(__xludf.DUMMYFUNCTION("""COMPUTED_VALUE"""),37251.666666666664)</f>
        <v>37251.66667</v>
      </c>
      <c r="B498" s="1">
        <f>IFERROR(__xludf.DUMMYFUNCTION("""COMPUTED_VALUE"""),39.63)</f>
        <v>39.63</v>
      </c>
      <c r="C498" s="1">
        <f>IFERROR(__xludf.DUMMYFUNCTION("""COMPUTED_VALUE"""),40.09)</f>
        <v>40.09</v>
      </c>
      <c r="D498" s="1">
        <f>IFERROR(__xludf.DUMMYFUNCTION("""COMPUTED_VALUE"""),39.61)</f>
        <v>39.61</v>
      </c>
      <c r="E498" s="1">
        <f>IFERROR(__xludf.DUMMYFUNCTION("""COMPUTED_VALUE"""),39.75)</f>
        <v>39.75</v>
      </c>
      <c r="F498" s="1">
        <f>IFERROR(__xludf.DUMMYFUNCTION("""COMPUTED_VALUE"""),1864100.0)</f>
        <v>1864100</v>
      </c>
    </row>
    <row r="499">
      <c r="A499" s="2">
        <f>IFERROR(__xludf.DUMMYFUNCTION("""COMPUTED_VALUE"""),37252.666666666664)</f>
        <v>37252.66667</v>
      </c>
      <c r="B499" s="1">
        <f>IFERROR(__xludf.DUMMYFUNCTION("""COMPUTED_VALUE"""),39.73)</f>
        <v>39.73</v>
      </c>
      <c r="C499" s="1">
        <f>IFERROR(__xludf.DUMMYFUNCTION("""COMPUTED_VALUE"""),39.8)</f>
        <v>39.8</v>
      </c>
      <c r="D499" s="1">
        <f>IFERROR(__xludf.DUMMYFUNCTION("""COMPUTED_VALUE"""),39.38)</f>
        <v>39.38</v>
      </c>
      <c r="E499" s="1">
        <f>IFERROR(__xludf.DUMMYFUNCTION("""COMPUTED_VALUE"""),39.58)</f>
        <v>39.58</v>
      </c>
      <c r="F499" s="1">
        <f>IFERROR(__xludf.DUMMYFUNCTION("""COMPUTED_VALUE"""),2135500.0)</f>
        <v>2135500</v>
      </c>
    </row>
    <row r="500">
      <c r="A500" s="2">
        <f>IFERROR(__xludf.DUMMYFUNCTION("""COMPUTED_VALUE"""),37253.666666666664)</f>
        <v>37253.66667</v>
      </c>
      <c r="B500" s="1">
        <f>IFERROR(__xludf.DUMMYFUNCTION("""COMPUTED_VALUE"""),39.65)</f>
        <v>39.65</v>
      </c>
      <c r="C500" s="1">
        <f>IFERROR(__xludf.DUMMYFUNCTION("""COMPUTED_VALUE"""),39.65)</f>
        <v>39.65</v>
      </c>
      <c r="D500" s="1">
        <f>IFERROR(__xludf.DUMMYFUNCTION("""COMPUTED_VALUE"""),39.04)</f>
        <v>39.04</v>
      </c>
      <c r="E500" s="1">
        <f>IFERROR(__xludf.DUMMYFUNCTION("""COMPUTED_VALUE"""),39.26)</f>
        <v>39.26</v>
      </c>
      <c r="F500" s="1">
        <f>IFERROR(__xludf.DUMMYFUNCTION("""COMPUTED_VALUE"""),1764900.0)</f>
        <v>1764900</v>
      </c>
    </row>
    <row r="501">
      <c r="A501" s="2">
        <f>IFERROR(__xludf.DUMMYFUNCTION("""COMPUTED_VALUE"""),37256.666666666664)</f>
        <v>37256.66667</v>
      </c>
      <c r="B501" s="1">
        <f>IFERROR(__xludf.DUMMYFUNCTION("""COMPUTED_VALUE"""),38.96)</f>
        <v>38.96</v>
      </c>
      <c r="C501" s="1">
        <f>IFERROR(__xludf.DUMMYFUNCTION("""COMPUTED_VALUE"""),39.38)</f>
        <v>39.38</v>
      </c>
      <c r="D501" s="1">
        <f>IFERROR(__xludf.DUMMYFUNCTION("""COMPUTED_VALUE"""),38.87)</f>
        <v>38.87</v>
      </c>
      <c r="E501" s="1">
        <f>IFERROR(__xludf.DUMMYFUNCTION("""COMPUTED_VALUE"""),39.08)</f>
        <v>39.08</v>
      </c>
      <c r="F501" s="1">
        <f>IFERROR(__xludf.DUMMYFUNCTION("""COMPUTED_VALUE"""),1976500.0)</f>
        <v>1976500</v>
      </c>
    </row>
    <row r="502">
      <c r="A502" s="2">
        <f>IFERROR(__xludf.DUMMYFUNCTION("""COMPUTED_VALUE"""),37258.666666666664)</f>
        <v>37258.66667</v>
      </c>
      <c r="B502" s="1">
        <f>IFERROR(__xludf.DUMMYFUNCTION("""COMPUTED_VALUE"""),38.96)</f>
        <v>38.96</v>
      </c>
      <c r="C502" s="1">
        <f>IFERROR(__xludf.DUMMYFUNCTION("""COMPUTED_VALUE"""),39.51)</f>
        <v>39.51</v>
      </c>
      <c r="D502" s="1">
        <f>IFERROR(__xludf.DUMMYFUNCTION("""COMPUTED_VALUE"""),38.53)</f>
        <v>38.53</v>
      </c>
      <c r="E502" s="1">
        <f>IFERROR(__xludf.DUMMYFUNCTION("""COMPUTED_VALUE"""),39.51)</f>
        <v>39.51</v>
      </c>
      <c r="F502" s="1">
        <f>IFERROR(__xludf.DUMMYFUNCTION("""COMPUTED_VALUE"""),3130800.0)</f>
        <v>3130800</v>
      </c>
    </row>
    <row r="503">
      <c r="A503" s="2">
        <f>IFERROR(__xludf.DUMMYFUNCTION("""COMPUTED_VALUE"""),37259.666666666664)</f>
        <v>37259.66667</v>
      </c>
      <c r="B503" s="1">
        <f>IFERROR(__xludf.DUMMYFUNCTION("""COMPUTED_VALUE"""),39.17)</f>
        <v>39.17</v>
      </c>
      <c r="C503" s="1">
        <f>IFERROR(__xludf.DUMMYFUNCTION("""COMPUTED_VALUE"""),39.3)</f>
        <v>39.3</v>
      </c>
      <c r="D503" s="1">
        <f>IFERROR(__xludf.DUMMYFUNCTION("""COMPUTED_VALUE"""),38.82)</f>
        <v>38.82</v>
      </c>
      <c r="E503" s="1">
        <f>IFERROR(__xludf.DUMMYFUNCTION("""COMPUTED_VALUE"""),39.13)</f>
        <v>39.13</v>
      </c>
      <c r="F503" s="1">
        <f>IFERROR(__xludf.DUMMYFUNCTION("""COMPUTED_VALUE"""),2607800.0)</f>
        <v>2607800</v>
      </c>
    </row>
    <row r="504">
      <c r="A504" s="2">
        <f>IFERROR(__xludf.DUMMYFUNCTION("""COMPUTED_VALUE"""),37260.666666666664)</f>
        <v>37260.66667</v>
      </c>
      <c r="B504" s="1">
        <f>IFERROR(__xludf.DUMMYFUNCTION("""COMPUTED_VALUE"""),39.13)</f>
        <v>39.13</v>
      </c>
      <c r="C504" s="1">
        <f>IFERROR(__xludf.DUMMYFUNCTION("""COMPUTED_VALUE"""),39.26)</f>
        <v>39.26</v>
      </c>
      <c r="D504" s="1">
        <f>IFERROR(__xludf.DUMMYFUNCTION("""COMPUTED_VALUE"""),38.62)</f>
        <v>38.62</v>
      </c>
      <c r="E504" s="1">
        <f>IFERROR(__xludf.DUMMYFUNCTION("""COMPUTED_VALUE"""),38.74)</f>
        <v>38.74</v>
      </c>
      <c r="F504" s="1">
        <f>IFERROR(__xludf.DUMMYFUNCTION("""COMPUTED_VALUE"""),3090700.0)</f>
        <v>3090700</v>
      </c>
    </row>
    <row r="505">
      <c r="A505" s="2">
        <f>IFERROR(__xludf.DUMMYFUNCTION("""COMPUTED_VALUE"""),37263.666666666664)</f>
        <v>37263.66667</v>
      </c>
      <c r="B505" s="1">
        <f>IFERROR(__xludf.DUMMYFUNCTION("""COMPUTED_VALUE"""),38.63)</f>
        <v>38.63</v>
      </c>
      <c r="C505" s="1">
        <f>IFERROR(__xludf.DUMMYFUNCTION("""COMPUTED_VALUE"""),38.76)</f>
        <v>38.76</v>
      </c>
      <c r="D505" s="1">
        <f>IFERROR(__xludf.DUMMYFUNCTION("""COMPUTED_VALUE"""),38.07)</f>
        <v>38.07</v>
      </c>
      <c r="E505" s="1">
        <f>IFERROR(__xludf.DUMMYFUNCTION("""COMPUTED_VALUE"""),38.3)</f>
        <v>38.3</v>
      </c>
      <c r="F505" s="1">
        <f>IFERROR(__xludf.DUMMYFUNCTION("""COMPUTED_VALUE"""),3206100.0)</f>
        <v>3206100</v>
      </c>
    </row>
    <row r="506">
      <c r="A506" s="2">
        <f>IFERROR(__xludf.DUMMYFUNCTION("""COMPUTED_VALUE"""),37264.666666666664)</f>
        <v>37264.66667</v>
      </c>
      <c r="B506" s="1">
        <f>IFERROR(__xludf.DUMMYFUNCTION("""COMPUTED_VALUE"""),38.3)</f>
        <v>38.3</v>
      </c>
      <c r="C506" s="1">
        <f>IFERROR(__xludf.DUMMYFUNCTION("""COMPUTED_VALUE"""),38.57)</f>
        <v>38.57</v>
      </c>
      <c r="D506" s="1">
        <f>IFERROR(__xludf.DUMMYFUNCTION("""COMPUTED_VALUE"""),38.16)</f>
        <v>38.16</v>
      </c>
      <c r="E506" s="1">
        <f>IFERROR(__xludf.DUMMYFUNCTION("""COMPUTED_VALUE"""),38.4)</f>
        <v>38.4</v>
      </c>
      <c r="F506" s="1">
        <f>IFERROR(__xludf.DUMMYFUNCTION("""COMPUTED_VALUE"""),2004900.0)</f>
        <v>2004900</v>
      </c>
    </row>
    <row r="507">
      <c r="A507" s="2">
        <f>IFERROR(__xludf.DUMMYFUNCTION("""COMPUTED_VALUE"""),37265.666666666664)</f>
        <v>37265.66667</v>
      </c>
      <c r="B507" s="1">
        <f>IFERROR(__xludf.DUMMYFUNCTION("""COMPUTED_VALUE"""),38.4)</f>
        <v>38.4</v>
      </c>
      <c r="C507" s="1">
        <f>IFERROR(__xludf.DUMMYFUNCTION("""COMPUTED_VALUE"""),38.69)</f>
        <v>38.69</v>
      </c>
      <c r="D507" s="1">
        <f>IFERROR(__xludf.DUMMYFUNCTION("""COMPUTED_VALUE"""),38.1)</f>
        <v>38.1</v>
      </c>
      <c r="E507" s="1">
        <f>IFERROR(__xludf.DUMMYFUNCTION("""COMPUTED_VALUE"""),38.12)</f>
        <v>38.12</v>
      </c>
      <c r="F507" s="1">
        <f>IFERROR(__xludf.DUMMYFUNCTION("""COMPUTED_VALUE"""),2763500.0)</f>
        <v>2763500</v>
      </c>
    </row>
    <row r="508">
      <c r="A508" s="2">
        <f>IFERROR(__xludf.DUMMYFUNCTION("""COMPUTED_VALUE"""),37266.666666666664)</f>
        <v>37266.66667</v>
      </c>
      <c r="B508" s="1">
        <f>IFERROR(__xludf.DUMMYFUNCTION("""COMPUTED_VALUE"""),37.83)</f>
        <v>37.83</v>
      </c>
      <c r="C508" s="1">
        <f>IFERROR(__xludf.DUMMYFUNCTION("""COMPUTED_VALUE"""),38.17)</f>
        <v>38.17</v>
      </c>
      <c r="D508" s="1">
        <f>IFERROR(__xludf.DUMMYFUNCTION("""COMPUTED_VALUE"""),37.72)</f>
        <v>37.72</v>
      </c>
      <c r="E508" s="1">
        <f>IFERROR(__xludf.DUMMYFUNCTION("""COMPUTED_VALUE"""),37.99)</f>
        <v>37.99</v>
      </c>
      <c r="F508" s="1">
        <f>IFERROR(__xludf.DUMMYFUNCTION("""COMPUTED_VALUE"""),3591900.0)</f>
        <v>3591900</v>
      </c>
    </row>
    <row r="509">
      <c r="A509" s="2">
        <f>IFERROR(__xludf.DUMMYFUNCTION("""COMPUTED_VALUE"""),37267.666666666664)</f>
        <v>37267.66667</v>
      </c>
      <c r="B509" s="1">
        <f>IFERROR(__xludf.DUMMYFUNCTION("""COMPUTED_VALUE"""),38.37)</f>
        <v>38.37</v>
      </c>
      <c r="C509" s="1">
        <f>IFERROR(__xludf.DUMMYFUNCTION("""COMPUTED_VALUE"""),38.66)</f>
        <v>38.66</v>
      </c>
      <c r="D509" s="1">
        <f>IFERROR(__xludf.DUMMYFUNCTION("""COMPUTED_VALUE"""),38.08)</f>
        <v>38.08</v>
      </c>
      <c r="E509" s="1">
        <f>IFERROR(__xludf.DUMMYFUNCTION("""COMPUTED_VALUE"""),38.13)</f>
        <v>38.13</v>
      </c>
      <c r="F509" s="1">
        <f>IFERROR(__xludf.DUMMYFUNCTION("""COMPUTED_VALUE"""),2729600.0)</f>
        <v>2729600</v>
      </c>
    </row>
    <row r="510">
      <c r="A510" s="2">
        <f>IFERROR(__xludf.DUMMYFUNCTION("""COMPUTED_VALUE"""),37270.666666666664)</f>
        <v>37270.66667</v>
      </c>
      <c r="B510" s="1">
        <f>IFERROR(__xludf.DUMMYFUNCTION("""COMPUTED_VALUE"""),38.35)</f>
        <v>38.35</v>
      </c>
      <c r="C510" s="1">
        <f>IFERROR(__xludf.DUMMYFUNCTION("""COMPUTED_VALUE"""),39.23)</f>
        <v>39.23</v>
      </c>
      <c r="D510" s="1">
        <f>IFERROR(__xludf.DUMMYFUNCTION("""COMPUTED_VALUE"""),38.15)</f>
        <v>38.15</v>
      </c>
      <c r="E510" s="1">
        <f>IFERROR(__xludf.DUMMYFUNCTION("""COMPUTED_VALUE"""),38.86)</f>
        <v>38.86</v>
      </c>
      <c r="F510" s="1">
        <f>IFERROR(__xludf.DUMMYFUNCTION("""COMPUTED_VALUE"""),3040400.0)</f>
        <v>3040400</v>
      </c>
    </row>
    <row r="511">
      <c r="A511" s="2">
        <f>IFERROR(__xludf.DUMMYFUNCTION("""COMPUTED_VALUE"""),37271.666666666664)</f>
        <v>37271.66667</v>
      </c>
      <c r="B511" s="1">
        <f>IFERROR(__xludf.DUMMYFUNCTION("""COMPUTED_VALUE"""),38.79)</f>
        <v>38.79</v>
      </c>
      <c r="C511" s="1">
        <f>IFERROR(__xludf.DUMMYFUNCTION("""COMPUTED_VALUE"""),39.45)</f>
        <v>39.45</v>
      </c>
      <c r="D511" s="1">
        <f>IFERROR(__xludf.DUMMYFUNCTION("""COMPUTED_VALUE"""),38.77)</f>
        <v>38.77</v>
      </c>
      <c r="E511" s="1">
        <f>IFERROR(__xludf.DUMMYFUNCTION("""COMPUTED_VALUE"""),39.33)</f>
        <v>39.33</v>
      </c>
      <c r="F511" s="1">
        <f>IFERROR(__xludf.DUMMYFUNCTION("""COMPUTED_VALUE"""),2696400.0)</f>
        <v>2696400</v>
      </c>
    </row>
    <row r="512">
      <c r="A512" s="2">
        <f>IFERROR(__xludf.DUMMYFUNCTION("""COMPUTED_VALUE"""),37272.666666666664)</f>
        <v>37272.66667</v>
      </c>
      <c r="B512" s="1">
        <f>IFERROR(__xludf.DUMMYFUNCTION("""COMPUTED_VALUE"""),39.09)</f>
        <v>39.09</v>
      </c>
      <c r="C512" s="1">
        <f>IFERROR(__xludf.DUMMYFUNCTION("""COMPUTED_VALUE"""),39.32)</f>
        <v>39.32</v>
      </c>
      <c r="D512" s="1">
        <f>IFERROR(__xludf.DUMMYFUNCTION("""COMPUTED_VALUE"""),38.69)</f>
        <v>38.69</v>
      </c>
      <c r="E512" s="1">
        <f>IFERROR(__xludf.DUMMYFUNCTION("""COMPUTED_VALUE"""),39.25)</f>
        <v>39.25</v>
      </c>
      <c r="F512" s="1">
        <f>IFERROR(__xludf.DUMMYFUNCTION("""COMPUTED_VALUE"""),3016100.0)</f>
        <v>3016100</v>
      </c>
    </row>
    <row r="513">
      <c r="A513" s="2">
        <f>IFERROR(__xludf.DUMMYFUNCTION("""COMPUTED_VALUE"""),37273.666666666664)</f>
        <v>37273.66667</v>
      </c>
      <c r="B513" s="1">
        <f>IFERROR(__xludf.DUMMYFUNCTION("""COMPUTED_VALUE"""),39.25)</f>
        <v>39.25</v>
      </c>
      <c r="C513" s="1">
        <f>IFERROR(__xludf.DUMMYFUNCTION("""COMPUTED_VALUE"""),39.45)</f>
        <v>39.45</v>
      </c>
      <c r="D513" s="1">
        <f>IFERROR(__xludf.DUMMYFUNCTION("""COMPUTED_VALUE"""),39.11)</f>
        <v>39.11</v>
      </c>
      <c r="E513" s="1">
        <f>IFERROR(__xludf.DUMMYFUNCTION("""COMPUTED_VALUE"""),39.35)</f>
        <v>39.35</v>
      </c>
      <c r="F513" s="1">
        <f>IFERROR(__xludf.DUMMYFUNCTION("""COMPUTED_VALUE"""),2260000.0)</f>
        <v>2260000</v>
      </c>
    </row>
    <row r="514">
      <c r="A514" s="2">
        <f>IFERROR(__xludf.DUMMYFUNCTION("""COMPUTED_VALUE"""),37274.666666666664)</f>
        <v>37274.66667</v>
      </c>
      <c r="B514" s="1">
        <f>IFERROR(__xludf.DUMMYFUNCTION("""COMPUTED_VALUE"""),39.35)</f>
        <v>39.35</v>
      </c>
      <c r="C514" s="1">
        <f>IFERROR(__xludf.DUMMYFUNCTION("""COMPUTED_VALUE"""),39.51)</f>
        <v>39.51</v>
      </c>
      <c r="D514" s="1">
        <f>IFERROR(__xludf.DUMMYFUNCTION("""COMPUTED_VALUE"""),39.18)</f>
        <v>39.18</v>
      </c>
      <c r="E514" s="1">
        <f>IFERROR(__xludf.DUMMYFUNCTION("""COMPUTED_VALUE"""),39.41)</f>
        <v>39.41</v>
      </c>
      <c r="F514" s="1">
        <f>IFERROR(__xludf.DUMMYFUNCTION("""COMPUTED_VALUE"""),2694500.0)</f>
        <v>2694500</v>
      </c>
    </row>
    <row r="515">
      <c r="A515" s="2">
        <f>IFERROR(__xludf.DUMMYFUNCTION("""COMPUTED_VALUE"""),37278.666666666664)</f>
        <v>37278.66667</v>
      </c>
      <c r="B515" s="1">
        <f>IFERROR(__xludf.DUMMYFUNCTION("""COMPUTED_VALUE"""),39.41)</f>
        <v>39.41</v>
      </c>
      <c r="C515" s="1">
        <f>IFERROR(__xludf.DUMMYFUNCTION("""COMPUTED_VALUE"""),39.43)</f>
        <v>39.43</v>
      </c>
      <c r="D515" s="1">
        <f>IFERROR(__xludf.DUMMYFUNCTION("""COMPUTED_VALUE"""),38.81)</f>
        <v>38.81</v>
      </c>
      <c r="E515" s="1">
        <f>IFERROR(__xludf.DUMMYFUNCTION("""COMPUTED_VALUE"""),39.22)</f>
        <v>39.22</v>
      </c>
      <c r="F515" s="1">
        <f>IFERROR(__xludf.DUMMYFUNCTION("""COMPUTED_VALUE"""),2530700.0)</f>
        <v>2530700</v>
      </c>
    </row>
    <row r="516">
      <c r="A516" s="2">
        <f>IFERROR(__xludf.DUMMYFUNCTION("""COMPUTED_VALUE"""),37279.666666666664)</f>
        <v>37279.66667</v>
      </c>
      <c r="B516" s="1">
        <f>IFERROR(__xludf.DUMMYFUNCTION("""COMPUTED_VALUE"""),39.09)</f>
        <v>39.09</v>
      </c>
      <c r="C516" s="1">
        <f>IFERROR(__xludf.DUMMYFUNCTION("""COMPUTED_VALUE"""),39.29)</f>
        <v>39.29</v>
      </c>
      <c r="D516" s="1">
        <f>IFERROR(__xludf.DUMMYFUNCTION("""COMPUTED_VALUE"""),38.81)</f>
        <v>38.81</v>
      </c>
      <c r="E516" s="1">
        <f>IFERROR(__xludf.DUMMYFUNCTION("""COMPUTED_VALUE"""),38.96)</f>
        <v>38.96</v>
      </c>
      <c r="F516" s="1">
        <f>IFERROR(__xludf.DUMMYFUNCTION("""COMPUTED_VALUE"""),2575700.0)</f>
        <v>2575700</v>
      </c>
    </row>
    <row r="517">
      <c r="A517" s="2">
        <f>IFERROR(__xludf.DUMMYFUNCTION("""COMPUTED_VALUE"""),37280.666666666664)</f>
        <v>37280.66667</v>
      </c>
      <c r="B517" s="1">
        <f>IFERROR(__xludf.DUMMYFUNCTION("""COMPUTED_VALUE"""),39.11)</f>
        <v>39.11</v>
      </c>
      <c r="C517" s="1">
        <f>IFERROR(__xludf.DUMMYFUNCTION("""COMPUTED_VALUE"""),39.11)</f>
        <v>39.11</v>
      </c>
      <c r="D517" s="1">
        <f>IFERROR(__xludf.DUMMYFUNCTION("""COMPUTED_VALUE"""),38.12)</f>
        <v>38.12</v>
      </c>
      <c r="E517" s="1">
        <f>IFERROR(__xludf.DUMMYFUNCTION("""COMPUTED_VALUE"""),38.41)</f>
        <v>38.41</v>
      </c>
      <c r="F517" s="1">
        <f>IFERROR(__xludf.DUMMYFUNCTION("""COMPUTED_VALUE"""),3134300.0)</f>
        <v>3134300</v>
      </c>
    </row>
    <row r="518">
      <c r="A518" s="2">
        <f>IFERROR(__xludf.DUMMYFUNCTION("""COMPUTED_VALUE"""),37281.666666666664)</f>
        <v>37281.66667</v>
      </c>
      <c r="B518" s="1">
        <f>IFERROR(__xludf.DUMMYFUNCTION("""COMPUTED_VALUE"""),38.14)</f>
        <v>38.14</v>
      </c>
      <c r="C518" s="1">
        <f>IFERROR(__xludf.DUMMYFUNCTION("""COMPUTED_VALUE"""),39.36)</f>
        <v>39.36</v>
      </c>
      <c r="D518" s="1">
        <f>IFERROR(__xludf.DUMMYFUNCTION("""COMPUTED_VALUE"""),38.13)</f>
        <v>38.13</v>
      </c>
      <c r="E518" s="1">
        <f>IFERROR(__xludf.DUMMYFUNCTION("""COMPUTED_VALUE"""),39.08)</f>
        <v>39.08</v>
      </c>
      <c r="F518" s="1">
        <f>IFERROR(__xludf.DUMMYFUNCTION("""COMPUTED_VALUE"""),2651200.0)</f>
        <v>2651200</v>
      </c>
    </row>
    <row r="519">
      <c r="A519" s="2">
        <f>IFERROR(__xludf.DUMMYFUNCTION("""COMPUTED_VALUE"""),37284.666666666664)</f>
        <v>37284.66667</v>
      </c>
      <c r="B519" s="1">
        <f>IFERROR(__xludf.DUMMYFUNCTION("""COMPUTED_VALUE"""),38.81)</f>
        <v>38.81</v>
      </c>
      <c r="C519" s="1">
        <f>IFERROR(__xludf.DUMMYFUNCTION("""COMPUTED_VALUE"""),39.22)</f>
        <v>39.22</v>
      </c>
      <c r="D519" s="1">
        <f>IFERROR(__xludf.DUMMYFUNCTION("""COMPUTED_VALUE"""),38.79)</f>
        <v>38.79</v>
      </c>
      <c r="E519" s="1">
        <f>IFERROR(__xludf.DUMMYFUNCTION("""COMPUTED_VALUE"""),39.09)</f>
        <v>39.09</v>
      </c>
      <c r="F519" s="1">
        <f>IFERROR(__xludf.DUMMYFUNCTION("""COMPUTED_VALUE"""),2256800.0)</f>
        <v>2256800</v>
      </c>
    </row>
    <row r="520">
      <c r="A520" s="2">
        <f>IFERROR(__xludf.DUMMYFUNCTION("""COMPUTED_VALUE"""),37285.666666666664)</f>
        <v>37285.66667</v>
      </c>
      <c r="B520" s="1">
        <f>IFERROR(__xludf.DUMMYFUNCTION("""COMPUTED_VALUE"""),39.09)</f>
        <v>39.09</v>
      </c>
      <c r="C520" s="1">
        <f>IFERROR(__xludf.DUMMYFUNCTION("""COMPUTED_VALUE"""),39.09)</f>
        <v>39.09</v>
      </c>
      <c r="D520" s="1">
        <f>IFERROR(__xludf.DUMMYFUNCTION("""COMPUTED_VALUE"""),38.25)</f>
        <v>38.25</v>
      </c>
      <c r="E520" s="1">
        <f>IFERROR(__xludf.DUMMYFUNCTION("""COMPUTED_VALUE"""),38.28)</f>
        <v>38.28</v>
      </c>
      <c r="F520" s="1">
        <f>IFERROR(__xludf.DUMMYFUNCTION("""COMPUTED_VALUE"""),2935100.0)</f>
        <v>2935100</v>
      </c>
    </row>
    <row r="521">
      <c r="A521" s="2">
        <f>IFERROR(__xludf.DUMMYFUNCTION("""COMPUTED_VALUE"""),37286.666666666664)</f>
        <v>37286.66667</v>
      </c>
      <c r="B521" s="1">
        <f>IFERROR(__xludf.DUMMYFUNCTION("""COMPUTED_VALUE"""),38.27)</f>
        <v>38.27</v>
      </c>
      <c r="C521" s="1">
        <f>IFERROR(__xludf.DUMMYFUNCTION("""COMPUTED_VALUE"""),39.14)</f>
        <v>39.14</v>
      </c>
      <c r="D521" s="1">
        <f>IFERROR(__xludf.DUMMYFUNCTION("""COMPUTED_VALUE"""),38.15)</f>
        <v>38.15</v>
      </c>
      <c r="E521" s="1">
        <f>IFERROR(__xludf.DUMMYFUNCTION("""COMPUTED_VALUE"""),38.66)</f>
        <v>38.66</v>
      </c>
      <c r="F521" s="1">
        <f>IFERROR(__xludf.DUMMYFUNCTION("""COMPUTED_VALUE"""),3821700.0)</f>
        <v>3821700</v>
      </c>
    </row>
    <row r="522">
      <c r="A522" s="2">
        <f>IFERROR(__xludf.DUMMYFUNCTION("""COMPUTED_VALUE"""),37287.666666666664)</f>
        <v>37287.66667</v>
      </c>
      <c r="B522" s="1">
        <f>IFERROR(__xludf.DUMMYFUNCTION("""COMPUTED_VALUE"""),39.75)</f>
        <v>39.75</v>
      </c>
      <c r="C522" s="1">
        <f>IFERROR(__xludf.DUMMYFUNCTION("""COMPUTED_VALUE"""),40.55)</f>
        <v>40.55</v>
      </c>
      <c r="D522" s="1">
        <f>IFERROR(__xludf.DUMMYFUNCTION("""COMPUTED_VALUE"""),39.7)</f>
        <v>39.7</v>
      </c>
      <c r="E522" s="1">
        <f>IFERROR(__xludf.DUMMYFUNCTION("""COMPUTED_VALUE"""),40.33)</f>
        <v>40.33</v>
      </c>
      <c r="F522" s="1">
        <f>IFERROR(__xludf.DUMMYFUNCTION("""COMPUTED_VALUE"""),7334200.0)</f>
        <v>7334200</v>
      </c>
    </row>
    <row r="523">
      <c r="A523" s="2">
        <f>IFERROR(__xludf.DUMMYFUNCTION("""COMPUTED_VALUE"""),37288.666666666664)</f>
        <v>37288.66667</v>
      </c>
      <c r="B523" s="1">
        <f>IFERROR(__xludf.DUMMYFUNCTION("""COMPUTED_VALUE"""),40.34)</f>
        <v>40.34</v>
      </c>
      <c r="C523" s="1">
        <f>IFERROR(__xludf.DUMMYFUNCTION("""COMPUTED_VALUE"""),41.14)</f>
        <v>41.14</v>
      </c>
      <c r="D523" s="1">
        <f>IFERROR(__xludf.DUMMYFUNCTION("""COMPUTED_VALUE"""),40.2)</f>
        <v>40.2</v>
      </c>
      <c r="E523" s="1">
        <f>IFERROR(__xludf.DUMMYFUNCTION("""COMPUTED_VALUE"""),40.88)</f>
        <v>40.88</v>
      </c>
      <c r="F523" s="1">
        <f>IFERROR(__xludf.DUMMYFUNCTION("""COMPUTED_VALUE"""),5166300.0)</f>
        <v>5166300</v>
      </c>
    </row>
    <row r="524">
      <c r="A524" s="2">
        <f>IFERROR(__xludf.DUMMYFUNCTION("""COMPUTED_VALUE"""),37291.666666666664)</f>
        <v>37291.66667</v>
      </c>
      <c r="B524" s="1">
        <f>IFERROR(__xludf.DUMMYFUNCTION("""COMPUTED_VALUE"""),40.78)</f>
        <v>40.78</v>
      </c>
      <c r="C524" s="1">
        <f>IFERROR(__xludf.DUMMYFUNCTION("""COMPUTED_VALUE"""),41.59)</f>
        <v>41.59</v>
      </c>
      <c r="D524" s="1">
        <f>IFERROR(__xludf.DUMMYFUNCTION("""COMPUTED_VALUE"""),40.71)</f>
        <v>40.71</v>
      </c>
      <c r="E524" s="1">
        <f>IFERROR(__xludf.DUMMYFUNCTION("""COMPUTED_VALUE"""),40.84)</f>
        <v>40.84</v>
      </c>
      <c r="F524" s="1">
        <f>IFERROR(__xludf.DUMMYFUNCTION("""COMPUTED_VALUE"""),4604800.0)</f>
        <v>4604800</v>
      </c>
    </row>
    <row r="525">
      <c r="A525" s="2">
        <f>IFERROR(__xludf.DUMMYFUNCTION("""COMPUTED_VALUE"""),37292.666666666664)</f>
        <v>37292.66667</v>
      </c>
      <c r="B525" s="1">
        <f>IFERROR(__xludf.DUMMYFUNCTION("""COMPUTED_VALUE"""),40.72)</f>
        <v>40.72</v>
      </c>
      <c r="C525" s="1">
        <f>IFERROR(__xludf.DUMMYFUNCTION("""COMPUTED_VALUE"""),41.02)</f>
        <v>41.02</v>
      </c>
      <c r="D525" s="1">
        <f>IFERROR(__xludf.DUMMYFUNCTION("""COMPUTED_VALUE"""),40.36)</f>
        <v>40.36</v>
      </c>
      <c r="E525" s="1">
        <f>IFERROR(__xludf.DUMMYFUNCTION("""COMPUTED_VALUE"""),40.8)</f>
        <v>40.8</v>
      </c>
      <c r="F525" s="1">
        <f>IFERROR(__xludf.DUMMYFUNCTION("""COMPUTED_VALUE"""),3448100.0)</f>
        <v>3448100</v>
      </c>
    </row>
    <row r="526">
      <c r="A526" s="2">
        <f>IFERROR(__xludf.DUMMYFUNCTION("""COMPUTED_VALUE"""),37293.666666666664)</f>
        <v>37293.66667</v>
      </c>
      <c r="B526" s="1">
        <f>IFERROR(__xludf.DUMMYFUNCTION("""COMPUTED_VALUE"""),40.48)</f>
        <v>40.48</v>
      </c>
      <c r="C526" s="1">
        <f>IFERROR(__xludf.DUMMYFUNCTION("""COMPUTED_VALUE"""),41.08)</f>
        <v>41.08</v>
      </c>
      <c r="D526" s="1">
        <f>IFERROR(__xludf.DUMMYFUNCTION("""COMPUTED_VALUE"""),40.36)</f>
        <v>40.36</v>
      </c>
      <c r="E526" s="1">
        <f>IFERROR(__xludf.DUMMYFUNCTION("""COMPUTED_VALUE"""),40.74)</f>
        <v>40.74</v>
      </c>
      <c r="F526" s="1">
        <f>IFERROR(__xludf.DUMMYFUNCTION("""COMPUTED_VALUE"""),3620500.0)</f>
        <v>3620500</v>
      </c>
    </row>
    <row r="527">
      <c r="A527" s="2">
        <f>IFERROR(__xludf.DUMMYFUNCTION("""COMPUTED_VALUE"""),37294.666666666664)</f>
        <v>37294.66667</v>
      </c>
      <c r="B527" s="1">
        <f>IFERROR(__xludf.DUMMYFUNCTION("""COMPUTED_VALUE"""),40.62)</f>
        <v>40.62</v>
      </c>
      <c r="C527" s="1">
        <f>IFERROR(__xludf.DUMMYFUNCTION("""COMPUTED_VALUE"""),40.98)</f>
        <v>40.98</v>
      </c>
      <c r="D527" s="1">
        <f>IFERROR(__xludf.DUMMYFUNCTION("""COMPUTED_VALUE"""),40.24)</f>
        <v>40.24</v>
      </c>
      <c r="E527" s="1">
        <f>IFERROR(__xludf.DUMMYFUNCTION("""COMPUTED_VALUE"""),40.56)</f>
        <v>40.56</v>
      </c>
      <c r="F527" s="1">
        <f>IFERROR(__xludf.DUMMYFUNCTION("""COMPUTED_VALUE"""),2632700.0)</f>
        <v>2632700</v>
      </c>
    </row>
    <row r="528">
      <c r="A528" s="2">
        <f>IFERROR(__xludf.DUMMYFUNCTION("""COMPUTED_VALUE"""),37295.666666666664)</f>
        <v>37295.66667</v>
      </c>
      <c r="B528" s="1">
        <f>IFERROR(__xludf.DUMMYFUNCTION("""COMPUTED_VALUE"""),40.52)</f>
        <v>40.52</v>
      </c>
      <c r="C528" s="1">
        <f>IFERROR(__xludf.DUMMYFUNCTION("""COMPUTED_VALUE"""),40.59)</f>
        <v>40.59</v>
      </c>
      <c r="D528" s="1">
        <f>IFERROR(__xludf.DUMMYFUNCTION("""COMPUTED_VALUE"""),39.88)</f>
        <v>39.88</v>
      </c>
      <c r="E528" s="1">
        <f>IFERROR(__xludf.DUMMYFUNCTION("""COMPUTED_VALUE"""),40.54)</f>
        <v>40.54</v>
      </c>
      <c r="F528" s="1">
        <f>IFERROR(__xludf.DUMMYFUNCTION("""COMPUTED_VALUE"""),2686900.0)</f>
        <v>2686900</v>
      </c>
    </row>
    <row r="529">
      <c r="A529" s="2">
        <f>IFERROR(__xludf.DUMMYFUNCTION("""COMPUTED_VALUE"""),37298.666666666664)</f>
        <v>37298.66667</v>
      </c>
      <c r="B529" s="1">
        <f>IFERROR(__xludf.DUMMYFUNCTION("""COMPUTED_VALUE"""),40.54)</f>
        <v>40.54</v>
      </c>
      <c r="C529" s="1">
        <f>IFERROR(__xludf.DUMMYFUNCTION("""COMPUTED_VALUE"""),40.79)</f>
        <v>40.79</v>
      </c>
      <c r="D529" s="1">
        <f>IFERROR(__xludf.DUMMYFUNCTION("""COMPUTED_VALUE"""),40.13)</f>
        <v>40.13</v>
      </c>
      <c r="E529" s="1">
        <f>IFERROR(__xludf.DUMMYFUNCTION("""COMPUTED_VALUE"""),40.35)</f>
        <v>40.35</v>
      </c>
      <c r="F529" s="1">
        <f>IFERROR(__xludf.DUMMYFUNCTION("""COMPUTED_VALUE"""),2659000.0)</f>
        <v>2659000</v>
      </c>
    </row>
    <row r="530">
      <c r="A530" s="2">
        <f>IFERROR(__xludf.DUMMYFUNCTION("""COMPUTED_VALUE"""),37299.666666666664)</f>
        <v>37299.66667</v>
      </c>
      <c r="B530" s="1">
        <f>IFERROR(__xludf.DUMMYFUNCTION("""COMPUTED_VALUE"""),40.44)</f>
        <v>40.44</v>
      </c>
      <c r="C530" s="1">
        <f>IFERROR(__xludf.DUMMYFUNCTION("""COMPUTED_VALUE"""),41.36)</f>
        <v>41.36</v>
      </c>
      <c r="D530" s="1">
        <f>IFERROR(__xludf.DUMMYFUNCTION("""COMPUTED_VALUE"""),40.43)</f>
        <v>40.43</v>
      </c>
      <c r="E530" s="1">
        <f>IFERROR(__xludf.DUMMYFUNCTION("""COMPUTED_VALUE"""),41.26)</f>
        <v>41.26</v>
      </c>
      <c r="F530" s="1">
        <f>IFERROR(__xludf.DUMMYFUNCTION("""COMPUTED_VALUE"""),3832200.0)</f>
        <v>3832200</v>
      </c>
    </row>
    <row r="531">
      <c r="A531" s="2">
        <f>IFERROR(__xludf.DUMMYFUNCTION("""COMPUTED_VALUE"""),37300.666666666664)</f>
        <v>37300.66667</v>
      </c>
      <c r="B531" s="1">
        <f>IFERROR(__xludf.DUMMYFUNCTION("""COMPUTED_VALUE"""),41.0)</f>
        <v>41</v>
      </c>
      <c r="C531" s="1">
        <f>IFERROR(__xludf.DUMMYFUNCTION("""COMPUTED_VALUE"""),41.35)</f>
        <v>41.35</v>
      </c>
      <c r="D531" s="1">
        <f>IFERROR(__xludf.DUMMYFUNCTION("""COMPUTED_VALUE"""),41.0)</f>
        <v>41</v>
      </c>
      <c r="E531" s="1">
        <f>IFERROR(__xludf.DUMMYFUNCTION("""COMPUTED_VALUE"""),41.35)</f>
        <v>41.35</v>
      </c>
      <c r="F531" s="1">
        <f>IFERROR(__xludf.DUMMYFUNCTION("""COMPUTED_VALUE"""),2581800.0)</f>
        <v>2581800</v>
      </c>
    </row>
    <row r="532">
      <c r="A532" s="2">
        <f>IFERROR(__xludf.DUMMYFUNCTION("""COMPUTED_VALUE"""),37301.666666666664)</f>
        <v>37301.66667</v>
      </c>
      <c r="B532" s="1">
        <f>IFERROR(__xludf.DUMMYFUNCTION("""COMPUTED_VALUE"""),41.19)</f>
        <v>41.19</v>
      </c>
      <c r="C532" s="1">
        <f>IFERROR(__xludf.DUMMYFUNCTION("""COMPUTED_VALUE"""),41.6)</f>
        <v>41.6</v>
      </c>
      <c r="D532" s="1">
        <f>IFERROR(__xludf.DUMMYFUNCTION("""COMPUTED_VALUE"""),41.19)</f>
        <v>41.19</v>
      </c>
      <c r="E532" s="1">
        <f>IFERROR(__xludf.DUMMYFUNCTION("""COMPUTED_VALUE"""),41.5)</f>
        <v>41.5</v>
      </c>
      <c r="F532" s="1">
        <f>IFERROR(__xludf.DUMMYFUNCTION("""COMPUTED_VALUE"""),2347400.0)</f>
        <v>2347400</v>
      </c>
    </row>
    <row r="533">
      <c r="A533" s="2">
        <f>IFERROR(__xludf.DUMMYFUNCTION("""COMPUTED_VALUE"""),37302.666666666664)</f>
        <v>37302.66667</v>
      </c>
      <c r="B533" s="1">
        <f>IFERROR(__xludf.DUMMYFUNCTION("""COMPUTED_VALUE"""),41.73)</f>
        <v>41.73</v>
      </c>
      <c r="C533" s="1">
        <f>IFERROR(__xludf.DUMMYFUNCTION("""COMPUTED_VALUE"""),41.98)</f>
        <v>41.98</v>
      </c>
      <c r="D533" s="1">
        <f>IFERROR(__xludf.DUMMYFUNCTION("""COMPUTED_VALUE"""),41.64)</f>
        <v>41.64</v>
      </c>
      <c r="E533" s="1">
        <f>IFERROR(__xludf.DUMMYFUNCTION("""COMPUTED_VALUE"""),41.97)</f>
        <v>41.97</v>
      </c>
      <c r="F533" s="1">
        <f>IFERROR(__xludf.DUMMYFUNCTION("""COMPUTED_VALUE"""),4457400.0)</f>
        <v>4457400</v>
      </c>
    </row>
    <row r="534">
      <c r="A534" s="2">
        <f>IFERROR(__xludf.DUMMYFUNCTION("""COMPUTED_VALUE"""),37306.666666666664)</f>
        <v>37306.66667</v>
      </c>
      <c r="B534" s="1">
        <f>IFERROR(__xludf.DUMMYFUNCTION("""COMPUTED_VALUE"""),41.53)</f>
        <v>41.53</v>
      </c>
      <c r="C534" s="1">
        <f>IFERROR(__xludf.DUMMYFUNCTION("""COMPUTED_VALUE"""),41.78)</f>
        <v>41.78</v>
      </c>
      <c r="D534" s="1">
        <f>IFERROR(__xludf.DUMMYFUNCTION("""COMPUTED_VALUE"""),41.37)</f>
        <v>41.37</v>
      </c>
      <c r="E534" s="1">
        <f>IFERROR(__xludf.DUMMYFUNCTION("""COMPUTED_VALUE"""),41.48)</f>
        <v>41.48</v>
      </c>
      <c r="F534" s="1">
        <f>IFERROR(__xludf.DUMMYFUNCTION("""COMPUTED_VALUE"""),2848500.0)</f>
        <v>2848500</v>
      </c>
    </row>
    <row r="535">
      <c r="A535" s="2">
        <f>IFERROR(__xludf.DUMMYFUNCTION("""COMPUTED_VALUE"""),37307.666666666664)</f>
        <v>37307.66667</v>
      </c>
      <c r="B535" s="1">
        <f>IFERROR(__xludf.DUMMYFUNCTION("""COMPUTED_VALUE"""),41.6)</f>
        <v>41.6</v>
      </c>
      <c r="C535" s="1">
        <f>IFERROR(__xludf.DUMMYFUNCTION("""COMPUTED_VALUE"""),41.98)</f>
        <v>41.98</v>
      </c>
      <c r="D535" s="1">
        <f>IFERROR(__xludf.DUMMYFUNCTION("""COMPUTED_VALUE"""),41.21)</f>
        <v>41.21</v>
      </c>
      <c r="E535" s="1">
        <f>IFERROR(__xludf.DUMMYFUNCTION("""COMPUTED_VALUE"""),41.98)</f>
        <v>41.98</v>
      </c>
      <c r="F535" s="1">
        <f>IFERROR(__xludf.DUMMYFUNCTION("""COMPUTED_VALUE"""),3366100.0)</f>
        <v>3366100</v>
      </c>
    </row>
    <row r="536">
      <c r="A536" s="2">
        <f>IFERROR(__xludf.DUMMYFUNCTION("""COMPUTED_VALUE"""),37308.666666666664)</f>
        <v>37308.66667</v>
      </c>
      <c r="B536" s="1">
        <f>IFERROR(__xludf.DUMMYFUNCTION("""COMPUTED_VALUE"""),41.88)</f>
        <v>41.88</v>
      </c>
      <c r="C536" s="1">
        <f>IFERROR(__xludf.DUMMYFUNCTION("""COMPUTED_VALUE"""),42.32)</f>
        <v>42.32</v>
      </c>
      <c r="D536" s="1">
        <f>IFERROR(__xludf.DUMMYFUNCTION("""COMPUTED_VALUE"""),41.04)</f>
        <v>41.04</v>
      </c>
      <c r="E536" s="1">
        <f>IFERROR(__xludf.DUMMYFUNCTION("""COMPUTED_VALUE"""),41.04)</f>
        <v>41.04</v>
      </c>
      <c r="F536" s="1">
        <f>IFERROR(__xludf.DUMMYFUNCTION("""COMPUTED_VALUE"""),3888500.0)</f>
        <v>3888500</v>
      </c>
    </row>
    <row r="537">
      <c r="A537" s="2">
        <f>IFERROR(__xludf.DUMMYFUNCTION("""COMPUTED_VALUE"""),37309.666666666664)</f>
        <v>37309.66667</v>
      </c>
      <c r="B537" s="1">
        <f>IFERROR(__xludf.DUMMYFUNCTION("""COMPUTED_VALUE"""),41.23)</f>
        <v>41.23</v>
      </c>
      <c r="C537" s="1">
        <f>IFERROR(__xludf.DUMMYFUNCTION("""COMPUTED_VALUE"""),42.46)</f>
        <v>42.46</v>
      </c>
      <c r="D537" s="1">
        <f>IFERROR(__xludf.DUMMYFUNCTION("""COMPUTED_VALUE"""),41.06)</f>
        <v>41.06</v>
      </c>
      <c r="E537" s="1">
        <f>IFERROR(__xludf.DUMMYFUNCTION("""COMPUTED_VALUE"""),42.27)</f>
        <v>42.27</v>
      </c>
      <c r="F537" s="1">
        <f>IFERROR(__xludf.DUMMYFUNCTION("""COMPUTED_VALUE"""),3609600.0)</f>
        <v>3609600</v>
      </c>
    </row>
    <row r="538">
      <c r="A538" s="2">
        <f>IFERROR(__xludf.DUMMYFUNCTION("""COMPUTED_VALUE"""),37312.666666666664)</f>
        <v>37312.66667</v>
      </c>
      <c r="B538" s="1">
        <f>IFERROR(__xludf.DUMMYFUNCTION("""COMPUTED_VALUE"""),42.2)</f>
        <v>42.2</v>
      </c>
      <c r="C538" s="1">
        <f>IFERROR(__xludf.DUMMYFUNCTION("""COMPUTED_VALUE"""),43.38)</f>
        <v>43.38</v>
      </c>
      <c r="D538" s="1">
        <f>IFERROR(__xludf.DUMMYFUNCTION("""COMPUTED_VALUE"""),42.12)</f>
        <v>42.12</v>
      </c>
      <c r="E538" s="1">
        <f>IFERROR(__xludf.DUMMYFUNCTION("""COMPUTED_VALUE"""),43.15)</f>
        <v>43.15</v>
      </c>
      <c r="F538" s="1">
        <f>IFERROR(__xludf.DUMMYFUNCTION("""COMPUTED_VALUE"""),5048600.0)</f>
        <v>5048600</v>
      </c>
    </row>
    <row r="539">
      <c r="A539" s="2">
        <f>IFERROR(__xludf.DUMMYFUNCTION("""COMPUTED_VALUE"""),37313.666666666664)</f>
        <v>37313.66667</v>
      </c>
      <c r="B539" s="1">
        <f>IFERROR(__xludf.DUMMYFUNCTION("""COMPUTED_VALUE"""),42.91)</f>
        <v>42.91</v>
      </c>
      <c r="C539" s="1">
        <f>IFERROR(__xludf.DUMMYFUNCTION("""COMPUTED_VALUE"""),42.91)</f>
        <v>42.91</v>
      </c>
      <c r="D539" s="1">
        <f>IFERROR(__xludf.DUMMYFUNCTION("""COMPUTED_VALUE"""),42.31)</f>
        <v>42.31</v>
      </c>
      <c r="E539" s="1">
        <f>IFERROR(__xludf.DUMMYFUNCTION("""COMPUTED_VALUE"""),42.72)</f>
        <v>42.72</v>
      </c>
      <c r="F539" s="1">
        <f>IFERROR(__xludf.DUMMYFUNCTION("""COMPUTED_VALUE"""),3857600.0)</f>
        <v>3857600</v>
      </c>
    </row>
    <row r="540">
      <c r="A540" s="2">
        <f>IFERROR(__xludf.DUMMYFUNCTION("""COMPUTED_VALUE"""),37314.666666666664)</f>
        <v>37314.66667</v>
      </c>
      <c r="B540" s="1">
        <f>IFERROR(__xludf.DUMMYFUNCTION("""COMPUTED_VALUE"""),42.64)</f>
        <v>42.64</v>
      </c>
      <c r="C540" s="1">
        <f>IFERROR(__xludf.DUMMYFUNCTION("""COMPUTED_VALUE"""),42.82)</f>
        <v>42.82</v>
      </c>
      <c r="D540" s="1">
        <f>IFERROR(__xludf.DUMMYFUNCTION("""COMPUTED_VALUE"""),41.83)</f>
        <v>41.83</v>
      </c>
      <c r="E540" s="1">
        <f>IFERROR(__xludf.DUMMYFUNCTION("""COMPUTED_VALUE"""),42.22)</f>
        <v>42.22</v>
      </c>
      <c r="F540" s="1">
        <f>IFERROR(__xludf.DUMMYFUNCTION("""COMPUTED_VALUE"""),3420000.0)</f>
        <v>3420000</v>
      </c>
    </row>
    <row r="541">
      <c r="A541" s="2">
        <f>IFERROR(__xludf.DUMMYFUNCTION("""COMPUTED_VALUE"""),37315.666666666664)</f>
        <v>37315.66667</v>
      </c>
      <c r="B541" s="1">
        <f>IFERROR(__xludf.DUMMYFUNCTION("""COMPUTED_VALUE"""),41.98)</f>
        <v>41.98</v>
      </c>
      <c r="C541" s="1">
        <f>IFERROR(__xludf.DUMMYFUNCTION("""COMPUTED_VALUE"""),42.32)</f>
        <v>42.32</v>
      </c>
      <c r="D541" s="1">
        <f>IFERROR(__xludf.DUMMYFUNCTION("""COMPUTED_VALUE"""),41.73)</f>
        <v>41.73</v>
      </c>
      <c r="E541" s="1">
        <f>IFERROR(__xludf.DUMMYFUNCTION("""COMPUTED_VALUE"""),41.87)</f>
        <v>41.87</v>
      </c>
      <c r="F541" s="1">
        <f>IFERROR(__xludf.DUMMYFUNCTION("""COMPUTED_VALUE"""),3542600.0)</f>
        <v>3542600</v>
      </c>
    </row>
    <row r="542">
      <c r="A542" s="2">
        <f>IFERROR(__xludf.DUMMYFUNCTION("""COMPUTED_VALUE"""),37316.666666666664)</f>
        <v>37316.66667</v>
      </c>
      <c r="B542" s="1">
        <f>IFERROR(__xludf.DUMMYFUNCTION("""COMPUTED_VALUE"""),41.98)</f>
        <v>41.98</v>
      </c>
      <c r="C542" s="1">
        <f>IFERROR(__xludf.DUMMYFUNCTION("""COMPUTED_VALUE"""),43.23)</f>
        <v>43.23</v>
      </c>
      <c r="D542" s="1">
        <f>IFERROR(__xludf.DUMMYFUNCTION("""COMPUTED_VALUE"""),41.9)</f>
        <v>41.9</v>
      </c>
      <c r="E542" s="1">
        <f>IFERROR(__xludf.DUMMYFUNCTION("""COMPUTED_VALUE"""),43.23)</f>
        <v>43.23</v>
      </c>
      <c r="F542" s="1">
        <f>IFERROR(__xludf.DUMMYFUNCTION("""COMPUTED_VALUE"""),3335700.0)</f>
        <v>3335700</v>
      </c>
    </row>
    <row r="543">
      <c r="A543" s="2">
        <f>IFERROR(__xludf.DUMMYFUNCTION("""COMPUTED_VALUE"""),37319.666666666664)</f>
        <v>37319.66667</v>
      </c>
      <c r="B543" s="1">
        <f>IFERROR(__xludf.DUMMYFUNCTION("""COMPUTED_VALUE"""),42.96)</f>
        <v>42.96</v>
      </c>
      <c r="C543" s="1">
        <f>IFERROR(__xludf.DUMMYFUNCTION("""COMPUTED_VALUE"""),43.14)</f>
        <v>43.14</v>
      </c>
      <c r="D543" s="1">
        <f>IFERROR(__xludf.DUMMYFUNCTION("""COMPUTED_VALUE"""),42.63)</f>
        <v>42.63</v>
      </c>
      <c r="E543" s="1">
        <f>IFERROR(__xludf.DUMMYFUNCTION("""COMPUTED_VALUE"""),42.95)</f>
        <v>42.95</v>
      </c>
      <c r="F543" s="1">
        <f>IFERROR(__xludf.DUMMYFUNCTION("""COMPUTED_VALUE"""),4307900.0)</f>
        <v>4307900</v>
      </c>
    </row>
    <row r="544">
      <c r="A544" s="2">
        <f>IFERROR(__xludf.DUMMYFUNCTION("""COMPUTED_VALUE"""),37320.666666666664)</f>
        <v>37320.66667</v>
      </c>
      <c r="B544" s="1">
        <f>IFERROR(__xludf.DUMMYFUNCTION("""COMPUTED_VALUE"""),42.58)</f>
        <v>42.58</v>
      </c>
      <c r="C544" s="1">
        <f>IFERROR(__xludf.DUMMYFUNCTION("""COMPUTED_VALUE"""),42.93)</f>
        <v>42.93</v>
      </c>
      <c r="D544" s="1">
        <f>IFERROR(__xludf.DUMMYFUNCTION("""COMPUTED_VALUE"""),41.74)</f>
        <v>41.74</v>
      </c>
      <c r="E544" s="1">
        <f>IFERROR(__xludf.DUMMYFUNCTION("""COMPUTED_VALUE"""),42.21)</f>
        <v>42.21</v>
      </c>
      <c r="F544" s="1">
        <f>IFERROR(__xludf.DUMMYFUNCTION("""COMPUTED_VALUE"""),904750.0)</f>
        <v>904750</v>
      </c>
    </row>
    <row r="545">
      <c r="A545" s="2">
        <f>IFERROR(__xludf.DUMMYFUNCTION("""COMPUTED_VALUE"""),37321.666666666664)</f>
        <v>37321.66667</v>
      </c>
      <c r="B545" s="1">
        <f>IFERROR(__xludf.DUMMYFUNCTION("""COMPUTED_VALUE"""),42.0)</f>
        <v>42</v>
      </c>
      <c r="C545" s="1">
        <f>IFERROR(__xludf.DUMMYFUNCTION("""COMPUTED_VALUE"""),42.42)</f>
        <v>42.42</v>
      </c>
      <c r="D545" s="1">
        <f>IFERROR(__xludf.DUMMYFUNCTION("""COMPUTED_VALUE"""),41.86)</f>
        <v>41.86</v>
      </c>
      <c r="E545" s="1">
        <f>IFERROR(__xludf.DUMMYFUNCTION("""COMPUTED_VALUE"""),42.0)</f>
        <v>42</v>
      </c>
      <c r="F545" s="1">
        <f>IFERROR(__xludf.DUMMYFUNCTION("""COMPUTED_VALUE"""),3126800.0)</f>
        <v>3126800</v>
      </c>
    </row>
    <row r="546">
      <c r="A546" s="2">
        <f>IFERROR(__xludf.DUMMYFUNCTION("""COMPUTED_VALUE"""),37322.666666666664)</f>
        <v>37322.66667</v>
      </c>
      <c r="B546" s="1">
        <f>IFERROR(__xludf.DUMMYFUNCTION("""COMPUTED_VALUE"""),41.94)</f>
        <v>41.94</v>
      </c>
      <c r="C546" s="1">
        <f>IFERROR(__xludf.DUMMYFUNCTION("""COMPUTED_VALUE"""),41.94)</f>
        <v>41.94</v>
      </c>
      <c r="D546" s="1">
        <f>IFERROR(__xludf.DUMMYFUNCTION("""COMPUTED_VALUE"""),41.12)</f>
        <v>41.12</v>
      </c>
      <c r="E546" s="1">
        <f>IFERROR(__xludf.DUMMYFUNCTION("""COMPUTED_VALUE"""),41.45)</f>
        <v>41.45</v>
      </c>
      <c r="F546" s="1">
        <f>IFERROR(__xludf.DUMMYFUNCTION("""COMPUTED_VALUE"""),4357700.0)</f>
        <v>4357700</v>
      </c>
    </row>
    <row r="547">
      <c r="A547" s="2">
        <f>IFERROR(__xludf.DUMMYFUNCTION("""COMPUTED_VALUE"""),37323.666666666664)</f>
        <v>37323.66667</v>
      </c>
      <c r="B547" s="1">
        <f>IFERROR(__xludf.DUMMYFUNCTION("""COMPUTED_VALUE"""),41.72)</f>
        <v>41.72</v>
      </c>
      <c r="C547" s="1">
        <f>IFERROR(__xludf.DUMMYFUNCTION("""COMPUTED_VALUE"""),41.78)</f>
        <v>41.78</v>
      </c>
      <c r="D547" s="1">
        <f>IFERROR(__xludf.DUMMYFUNCTION("""COMPUTED_VALUE"""),41.09)</f>
        <v>41.09</v>
      </c>
      <c r="E547" s="1">
        <f>IFERROR(__xludf.DUMMYFUNCTION("""COMPUTED_VALUE"""),41.44)</f>
        <v>41.44</v>
      </c>
      <c r="F547" s="1">
        <f>IFERROR(__xludf.DUMMYFUNCTION("""COMPUTED_VALUE"""),2729700.0)</f>
        <v>2729700</v>
      </c>
    </row>
    <row r="548">
      <c r="A548" s="2">
        <f>IFERROR(__xludf.DUMMYFUNCTION("""COMPUTED_VALUE"""),37326.666666666664)</f>
        <v>37326.66667</v>
      </c>
      <c r="B548" s="1">
        <f>IFERROR(__xludf.DUMMYFUNCTION("""COMPUTED_VALUE"""),41.41)</f>
        <v>41.41</v>
      </c>
      <c r="C548" s="1">
        <f>IFERROR(__xludf.DUMMYFUNCTION("""COMPUTED_VALUE"""),41.58)</f>
        <v>41.58</v>
      </c>
      <c r="D548" s="1">
        <f>IFERROR(__xludf.DUMMYFUNCTION("""COMPUTED_VALUE"""),40.8)</f>
        <v>40.8</v>
      </c>
      <c r="E548" s="1">
        <f>IFERROR(__xludf.DUMMYFUNCTION("""COMPUTED_VALUE"""),41.53)</f>
        <v>41.53</v>
      </c>
      <c r="F548" s="1">
        <f>IFERROR(__xludf.DUMMYFUNCTION("""COMPUTED_VALUE"""),2566900.0)</f>
        <v>2566900</v>
      </c>
    </row>
    <row r="549">
      <c r="A549" s="2">
        <f>IFERROR(__xludf.DUMMYFUNCTION("""COMPUTED_VALUE"""),37327.666666666664)</f>
        <v>37327.66667</v>
      </c>
      <c r="B549" s="1">
        <f>IFERROR(__xludf.DUMMYFUNCTION("""COMPUTED_VALUE"""),41.28)</f>
        <v>41.28</v>
      </c>
      <c r="C549" s="1">
        <f>IFERROR(__xludf.DUMMYFUNCTION("""COMPUTED_VALUE"""),42.11)</f>
        <v>42.11</v>
      </c>
      <c r="D549" s="1">
        <f>IFERROR(__xludf.DUMMYFUNCTION("""COMPUTED_VALUE"""),41.24)</f>
        <v>41.24</v>
      </c>
      <c r="E549" s="1">
        <f>IFERROR(__xludf.DUMMYFUNCTION("""COMPUTED_VALUE"""),42.11)</f>
        <v>42.11</v>
      </c>
      <c r="F549" s="1">
        <f>IFERROR(__xludf.DUMMYFUNCTION("""COMPUTED_VALUE"""),2330800.0)</f>
        <v>2330800</v>
      </c>
    </row>
    <row r="550">
      <c r="A550" s="2">
        <f>IFERROR(__xludf.DUMMYFUNCTION("""COMPUTED_VALUE"""),37328.666666666664)</f>
        <v>37328.66667</v>
      </c>
      <c r="B550" s="1">
        <f>IFERROR(__xludf.DUMMYFUNCTION("""COMPUTED_VALUE"""),42.11)</f>
        <v>42.11</v>
      </c>
      <c r="C550" s="1">
        <f>IFERROR(__xludf.DUMMYFUNCTION("""COMPUTED_VALUE"""),42.23)</f>
        <v>42.23</v>
      </c>
      <c r="D550" s="1">
        <f>IFERROR(__xludf.DUMMYFUNCTION("""COMPUTED_VALUE"""),41.58)</f>
        <v>41.58</v>
      </c>
      <c r="E550" s="1">
        <f>IFERROR(__xludf.DUMMYFUNCTION("""COMPUTED_VALUE"""),42.08)</f>
        <v>42.08</v>
      </c>
      <c r="F550" s="1">
        <f>IFERROR(__xludf.DUMMYFUNCTION("""COMPUTED_VALUE"""),2380400.0)</f>
        <v>2380400</v>
      </c>
    </row>
    <row r="551">
      <c r="A551" s="2">
        <f>IFERROR(__xludf.DUMMYFUNCTION("""COMPUTED_VALUE"""),37329.666666666664)</f>
        <v>37329.66667</v>
      </c>
      <c r="B551" s="1">
        <f>IFERROR(__xludf.DUMMYFUNCTION("""COMPUTED_VALUE"""),41.85)</f>
        <v>41.85</v>
      </c>
      <c r="C551" s="1">
        <f>IFERROR(__xludf.DUMMYFUNCTION("""COMPUTED_VALUE"""),42.12)</f>
        <v>42.12</v>
      </c>
      <c r="D551" s="1">
        <f>IFERROR(__xludf.DUMMYFUNCTION("""COMPUTED_VALUE"""),41.51)</f>
        <v>41.51</v>
      </c>
      <c r="E551" s="1">
        <f>IFERROR(__xludf.DUMMYFUNCTION("""COMPUTED_VALUE"""),41.97)</f>
        <v>41.97</v>
      </c>
      <c r="F551" s="1">
        <f>IFERROR(__xludf.DUMMYFUNCTION("""COMPUTED_VALUE"""),2498200.0)</f>
        <v>2498200</v>
      </c>
    </row>
    <row r="552">
      <c r="A552" s="2">
        <f>IFERROR(__xludf.DUMMYFUNCTION("""COMPUTED_VALUE"""),37330.666666666664)</f>
        <v>37330.66667</v>
      </c>
      <c r="B552" s="1">
        <f>IFERROR(__xludf.DUMMYFUNCTION("""COMPUTED_VALUE"""),42.16)</f>
        <v>42.16</v>
      </c>
      <c r="C552" s="1">
        <f>IFERROR(__xludf.DUMMYFUNCTION("""COMPUTED_VALUE"""),43.01)</f>
        <v>43.01</v>
      </c>
      <c r="D552" s="1">
        <f>IFERROR(__xludf.DUMMYFUNCTION("""COMPUTED_VALUE"""),42.03)</f>
        <v>42.03</v>
      </c>
      <c r="E552" s="1">
        <f>IFERROR(__xludf.DUMMYFUNCTION("""COMPUTED_VALUE"""),43.0)</f>
        <v>43</v>
      </c>
      <c r="F552" s="1">
        <f>IFERROR(__xludf.DUMMYFUNCTION("""COMPUTED_VALUE"""),5940700.0)</f>
        <v>5940700</v>
      </c>
    </row>
    <row r="553">
      <c r="A553" s="2">
        <f>IFERROR(__xludf.DUMMYFUNCTION("""COMPUTED_VALUE"""),37333.666666666664)</f>
        <v>37333.66667</v>
      </c>
      <c r="B553" s="1">
        <f>IFERROR(__xludf.DUMMYFUNCTION("""COMPUTED_VALUE"""),43.21)</f>
        <v>43.21</v>
      </c>
      <c r="C553" s="1">
        <f>IFERROR(__xludf.DUMMYFUNCTION("""COMPUTED_VALUE"""),43.43)</f>
        <v>43.43</v>
      </c>
      <c r="D553" s="1">
        <f>IFERROR(__xludf.DUMMYFUNCTION("""COMPUTED_VALUE"""),43.05)</f>
        <v>43.05</v>
      </c>
      <c r="E553" s="1">
        <f>IFERROR(__xludf.DUMMYFUNCTION("""COMPUTED_VALUE"""),43.29)</f>
        <v>43.29</v>
      </c>
      <c r="F553" s="1">
        <f>IFERROR(__xludf.DUMMYFUNCTION("""COMPUTED_VALUE"""),3273300.0)</f>
        <v>3273300</v>
      </c>
    </row>
    <row r="554">
      <c r="A554" s="2">
        <f>IFERROR(__xludf.DUMMYFUNCTION("""COMPUTED_VALUE"""),37334.666666666664)</f>
        <v>37334.66667</v>
      </c>
      <c r="B554" s="1">
        <f>IFERROR(__xludf.DUMMYFUNCTION("""COMPUTED_VALUE"""),43.53)</f>
        <v>43.53</v>
      </c>
      <c r="C554" s="1">
        <f>IFERROR(__xludf.DUMMYFUNCTION("""COMPUTED_VALUE"""),44.44)</f>
        <v>44.44</v>
      </c>
      <c r="D554" s="1">
        <f>IFERROR(__xludf.DUMMYFUNCTION("""COMPUTED_VALUE"""),43.52)</f>
        <v>43.52</v>
      </c>
      <c r="E554" s="1">
        <f>IFERROR(__xludf.DUMMYFUNCTION("""COMPUTED_VALUE"""),44.41)</f>
        <v>44.41</v>
      </c>
      <c r="F554" s="1">
        <f>IFERROR(__xludf.DUMMYFUNCTION("""COMPUTED_VALUE"""),6302500.0)</f>
        <v>6302500</v>
      </c>
    </row>
    <row r="555">
      <c r="A555" s="2">
        <f>IFERROR(__xludf.DUMMYFUNCTION("""COMPUTED_VALUE"""),37335.666666666664)</f>
        <v>37335.66667</v>
      </c>
      <c r="B555" s="1">
        <f>IFERROR(__xludf.DUMMYFUNCTION("""COMPUTED_VALUE"""),44.35)</f>
        <v>44.35</v>
      </c>
      <c r="C555" s="1">
        <f>IFERROR(__xludf.DUMMYFUNCTION("""COMPUTED_VALUE"""),44.39)</f>
        <v>44.39</v>
      </c>
      <c r="D555" s="1">
        <f>IFERROR(__xludf.DUMMYFUNCTION("""COMPUTED_VALUE"""),43.99)</f>
        <v>43.99</v>
      </c>
      <c r="E555" s="1">
        <f>IFERROR(__xludf.DUMMYFUNCTION("""COMPUTED_VALUE"""),44.25)</f>
        <v>44.25</v>
      </c>
      <c r="F555" s="1">
        <f>IFERROR(__xludf.DUMMYFUNCTION("""COMPUTED_VALUE"""),3605800.0)</f>
        <v>3605800</v>
      </c>
    </row>
    <row r="556">
      <c r="A556" s="2">
        <f>IFERROR(__xludf.DUMMYFUNCTION("""COMPUTED_VALUE"""),37336.666666666664)</f>
        <v>37336.66667</v>
      </c>
      <c r="B556" s="1">
        <f>IFERROR(__xludf.DUMMYFUNCTION("""COMPUTED_VALUE"""),44.08)</f>
        <v>44.08</v>
      </c>
      <c r="C556" s="1">
        <f>IFERROR(__xludf.DUMMYFUNCTION("""COMPUTED_VALUE"""),44.66)</f>
        <v>44.66</v>
      </c>
      <c r="D556" s="1">
        <f>IFERROR(__xludf.DUMMYFUNCTION("""COMPUTED_VALUE"""),44.05)</f>
        <v>44.05</v>
      </c>
      <c r="E556" s="1">
        <f>IFERROR(__xludf.DUMMYFUNCTION("""COMPUTED_VALUE"""),44.64)</f>
        <v>44.64</v>
      </c>
      <c r="F556" s="1">
        <f>IFERROR(__xludf.DUMMYFUNCTION("""COMPUTED_VALUE"""),4120300.0)</f>
        <v>4120300</v>
      </c>
    </row>
    <row r="557">
      <c r="A557" s="2">
        <f>IFERROR(__xludf.DUMMYFUNCTION("""COMPUTED_VALUE"""),37337.666666666664)</f>
        <v>37337.66667</v>
      </c>
      <c r="B557" s="1">
        <f>IFERROR(__xludf.DUMMYFUNCTION("""COMPUTED_VALUE"""),44.44)</f>
        <v>44.44</v>
      </c>
      <c r="C557" s="1">
        <f>IFERROR(__xludf.DUMMYFUNCTION("""COMPUTED_VALUE"""),44.8)</f>
        <v>44.8</v>
      </c>
      <c r="D557" s="1">
        <f>IFERROR(__xludf.DUMMYFUNCTION("""COMPUTED_VALUE"""),44.26)</f>
        <v>44.26</v>
      </c>
      <c r="E557" s="1">
        <f>IFERROR(__xludf.DUMMYFUNCTION("""COMPUTED_VALUE"""),44.49)</f>
        <v>44.49</v>
      </c>
      <c r="F557" s="1">
        <f>IFERROR(__xludf.DUMMYFUNCTION("""COMPUTED_VALUE"""),3601300.0)</f>
        <v>3601300</v>
      </c>
    </row>
    <row r="558">
      <c r="A558" s="2">
        <f>IFERROR(__xludf.DUMMYFUNCTION("""COMPUTED_VALUE"""),37340.666666666664)</f>
        <v>37340.66667</v>
      </c>
      <c r="B558" s="1">
        <f>IFERROR(__xludf.DUMMYFUNCTION("""COMPUTED_VALUE"""),44.32)</f>
        <v>44.32</v>
      </c>
      <c r="C558" s="1">
        <f>IFERROR(__xludf.DUMMYFUNCTION("""COMPUTED_VALUE"""),44.57)</f>
        <v>44.57</v>
      </c>
      <c r="D558" s="1">
        <f>IFERROR(__xludf.DUMMYFUNCTION("""COMPUTED_VALUE"""),44.1)</f>
        <v>44.1</v>
      </c>
      <c r="E558" s="1">
        <f>IFERROR(__xludf.DUMMYFUNCTION("""COMPUTED_VALUE"""),44.3)</f>
        <v>44.3</v>
      </c>
      <c r="F558" s="1">
        <f>IFERROR(__xludf.DUMMYFUNCTION("""COMPUTED_VALUE"""),2114500.0)</f>
        <v>2114500</v>
      </c>
    </row>
    <row r="559">
      <c r="A559" s="2">
        <f>IFERROR(__xludf.DUMMYFUNCTION("""COMPUTED_VALUE"""),37341.666666666664)</f>
        <v>37341.66667</v>
      </c>
      <c r="B559" s="1">
        <f>IFERROR(__xludf.DUMMYFUNCTION("""COMPUTED_VALUE"""),44.12)</f>
        <v>44.12</v>
      </c>
      <c r="C559" s="1">
        <f>IFERROR(__xludf.DUMMYFUNCTION("""COMPUTED_VALUE"""),44.42)</f>
        <v>44.42</v>
      </c>
      <c r="D559" s="1">
        <f>IFERROR(__xludf.DUMMYFUNCTION("""COMPUTED_VALUE"""),43.89)</f>
        <v>43.89</v>
      </c>
      <c r="E559" s="1">
        <f>IFERROR(__xludf.DUMMYFUNCTION("""COMPUTED_VALUE"""),44.17)</f>
        <v>44.17</v>
      </c>
      <c r="F559" s="1">
        <f>IFERROR(__xludf.DUMMYFUNCTION("""COMPUTED_VALUE"""),2875200.0)</f>
        <v>2875200</v>
      </c>
    </row>
    <row r="560">
      <c r="A560" s="2">
        <f>IFERROR(__xludf.DUMMYFUNCTION("""COMPUTED_VALUE"""),37342.666666666664)</f>
        <v>37342.66667</v>
      </c>
      <c r="B560" s="1">
        <f>IFERROR(__xludf.DUMMYFUNCTION("""COMPUTED_VALUE"""),43.88)</f>
        <v>43.88</v>
      </c>
      <c r="C560" s="1">
        <f>IFERROR(__xludf.DUMMYFUNCTION("""COMPUTED_VALUE"""),44.63)</f>
        <v>44.63</v>
      </c>
      <c r="D560" s="1">
        <f>IFERROR(__xludf.DUMMYFUNCTION("""COMPUTED_VALUE"""),43.88)</f>
        <v>43.88</v>
      </c>
      <c r="E560" s="1">
        <f>IFERROR(__xludf.DUMMYFUNCTION("""COMPUTED_VALUE"""),44.45)</f>
        <v>44.45</v>
      </c>
      <c r="F560" s="1">
        <f>IFERROR(__xludf.DUMMYFUNCTION("""COMPUTED_VALUE"""),2773200.0)</f>
        <v>2773200</v>
      </c>
    </row>
    <row r="561">
      <c r="A561" s="2">
        <f>IFERROR(__xludf.DUMMYFUNCTION("""COMPUTED_VALUE"""),37343.666666666664)</f>
        <v>37343.66667</v>
      </c>
      <c r="B561" s="1">
        <f>IFERROR(__xludf.DUMMYFUNCTION("""COMPUTED_VALUE"""),44.44)</f>
        <v>44.44</v>
      </c>
      <c r="C561" s="1">
        <f>IFERROR(__xludf.DUMMYFUNCTION("""COMPUTED_VALUE"""),44.59)</f>
        <v>44.59</v>
      </c>
      <c r="D561" s="1">
        <f>IFERROR(__xludf.DUMMYFUNCTION("""COMPUTED_VALUE"""),44.06)</f>
        <v>44.06</v>
      </c>
      <c r="E561" s="1">
        <f>IFERROR(__xludf.DUMMYFUNCTION("""COMPUTED_VALUE"""),44.49)</f>
        <v>44.49</v>
      </c>
      <c r="F561" s="1">
        <f>IFERROR(__xludf.DUMMYFUNCTION("""COMPUTED_VALUE"""),2322000.0)</f>
        <v>2322000</v>
      </c>
    </row>
    <row r="562">
      <c r="A562" s="2">
        <f>IFERROR(__xludf.DUMMYFUNCTION("""COMPUTED_VALUE"""),37347.666666666664)</f>
        <v>37347.66667</v>
      </c>
      <c r="B562" s="1">
        <f>IFERROR(__xludf.DUMMYFUNCTION("""COMPUTED_VALUE"""),44.12)</f>
        <v>44.12</v>
      </c>
      <c r="C562" s="1">
        <f>IFERROR(__xludf.DUMMYFUNCTION("""COMPUTED_VALUE"""),44.44)</f>
        <v>44.44</v>
      </c>
      <c r="D562" s="1">
        <f>IFERROR(__xludf.DUMMYFUNCTION("""COMPUTED_VALUE"""),43.92)</f>
        <v>43.92</v>
      </c>
      <c r="E562" s="1">
        <f>IFERROR(__xludf.DUMMYFUNCTION("""COMPUTED_VALUE"""),44.44)</f>
        <v>44.44</v>
      </c>
      <c r="F562" s="1">
        <f>IFERROR(__xludf.DUMMYFUNCTION("""COMPUTED_VALUE"""),2612800.0)</f>
        <v>2612800</v>
      </c>
    </row>
    <row r="563">
      <c r="A563" s="2">
        <f>IFERROR(__xludf.DUMMYFUNCTION("""COMPUTED_VALUE"""),37348.666666666664)</f>
        <v>37348.66667</v>
      </c>
      <c r="B563" s="1">
        <f>IFERROR(__xludf.DUMMYFUNCTION("""COMPUTED_VALUE"""),44.44)</f>
        <v>44.44</v>
      </c>
      <c r="C563" s="1">
        <f>IFERROR(__xludf.DUMMYFUNCTION("""COMPUTED_VALUE"""),44.74)</f>
        <v>44.74</v>
      </c>
      <c r="D563" s="1">
        <f>IFERROR(__xludf.DUMMYFUNCTION("""COMPUTED_VALUE"""),44.0)</f>
        <v>44</v>
      </c>
      <c r="E563" s="1">
        <f>IFERROR(__xludf.DUMMYFUNCTION("""COMPUTED_VALUE"""),44.74)</f>
        <v>44.74</v>
      </c>
      <c r="F563" s="1">
        <f>IFERROR(__xludf.DUMMYFUNCTION("""COMPUTED_VALUE"""),4695100.0)</f>
        <v>4695100</v>
      </c>
    </row>
    <row r="564">
      <c r="A564" s="2">
        <f>IFERROR(__xludf.DUMMYFUNCTION("""COMPUTED_VALUE"""),37349.666666666664)</f>
        <v>37349.66667</v>
      </c>
      <c r="B564" s="1">
        <f>IFERROR(__xludf.DUMMYFUNCTION("""COMPUTED_VALUE"""),44.74)</f>
        <v>44.74</v>
      </c>
      <c r="C564" s="1">
        <f>IFERROR(__xludf.DUMMYFUNCTION("""COMPUTED_VALUE"""),44.75)</f>
        <v>44.75</v>
      </c>
      <c r="D564" s="1">
        <f>IFERROR(__xludf.DUMMYFUNCTION("""COMPUTED_VALUE"""),43.65)</f>
        <v>43.65</v>
      </c>
      <c r="E564" s="1">
        <f>IFERROR(__xludf.DUMMYFUNCTION("""COMPUTED_VALUE"""),44.08)</f>
        <v>44.08</v>
      </c>
      <c r="F564" s="1">
        <f>IFERROR(__xludf.DUMMYFUNCTION("""COMPUTED_VALUE"""),3319900.0)</f>
        <v>3319900</v>
      </c>
    </row>
    <row r="565">
      <c r="A565" s="2">
        <f>IFERROR(__xludf.DUMMYFUNCTION("""COMPUTED_VALUE"""),37350.666666666664)</f>
        <v>37350.66667</v>
      </c>
      <c r="B565" s="1">
        <f>IFERROR(__xludf.DUMMYFUNCTION("""COMPUTED_VALUE"""),44.0)</f>
        <v>44</v>
      </c>
      <c r="C565" s="1">
        <f>IFERROR(__xludf.DUMMYFUNCTION("""COMPUTED_VALUE"""),44.53)</f>
        <v>44.53</v>
      </c>
      <c r="D565" s="1">
        <f>IFERROR(__xludf.DUMMYFUNCTION("""COMPUTED_VALUE"""),44.0)</f>
        <v>44</v>
      </c>
      <c r="E565" s="1">
        <f>IFERROR(__xludf.DUMMYFUNCTION("""COMPUTED_VALUE"""),44.43)</f>
        <v>44.43</v>
      </c>
      <c r="F565" s="1">
        <f>IFERROR(__xludf.DUMMYFUNCTION("""COMPUTED_VALUE"""),3587700.0)</f>
        <v>3587700</v>
      </c>
    </row>
    <row r="566">
      <c r="A566" s="2">
        <f>IFERROR(__xludf.DUMMYFUNCTION("""COMPUTED_VALUE"""),37351.666666666664)</f>
        <v>37351.66667</v>
      </c>
      <c r="B566" s="1">
        <f>IFERROR(__xludf.DUMMYFUNCTION("""COMPUTED_VALUE"""),44.32)</f>
        <v>44.32</v>
      </c>
      <c r="C566" s="1">
        <f>IFERROR(__xludf.DUMMYFUNCTION("""COMPUTED_VALUE"""),44.39)</f>
        <v>44.39</v>
      </c>
      <c r="D566" s="1">
        <f>IFERROR(__xludf.DUMMYFUNCTION("""COMPUTED_VALUE"""),43.9)</f>
        <v>43.9</v>
      </c>
      <c r="E566" s="1">
        <f>IFERROR(__xludf.DUMMYFUNCTION("""COMPUTED_VALUE"""),44.35)</f>
        <v>44.35</v>
      </c>
      <c r="F566" s="1">
        <f>IFERROR(__xludf.DUMMYFUNCTION("""COMPUTED_VALUE"""),2765300.0)</f>
        <v>2765300</v>
      </c>
    </row>
    <row r="567">
      <c r="A567" s="2">
        <f>IFERROR(__xludf.DUMMYFUNCTION("""COMPUTED_VALUE"""),37354.666666666664)</f>
        <v>37354.66667</v>
      </c>
      <c r="B567" s="1">
        <f>IFERROR(__xludf.DUMMYFUNCTION("""COMPUTED_VALUE"""),44.15)</f>
        <v>44.15</v>
      </c>
      <c r="C567" s="1">
        <f>IFERROR(__xludf.DUMMYFUNCTION("""COMPUTED_VALUE"""),44.59)</f>
        <v>44.59</v>
      </c>
      <c r="D567" s="1">
        <f>IFERROR(__xludf.DUMMYFUNCTION("""COMPUTED_VALUE"""),44.07)</f>
        <v>44.07</v>
      </c>
      <c r="E567" s="1">
        <f>IFERROR(__xludf.DUMMYFUNCTION("""COMPUTED_VALUE"""),44.57)</f>
        <v>44.57</v>
      </c>
      <c r="F567" s="1">
        <f>IFERROR(__xludf.DUMMYFUNCTION("""COMPUTED_VALUE"""),3040800.0)</f>
        <v>3040800</v>
      </c>
    </row>
    <row r="568">
      <c r="A568" s="2">
        <f>IFERROR(__xludf.DUMMYFUNCTION("""COMPUTED_VALUE"""),37355.666666666664)</f>
        <v>37355.66667</v>
      </c>
      <c r="B568" s="1">
        <f>IFERROR(__xludf.DUMMYFUNCTION("""COMPUTED_VALUE"""),44.59)</f>
        <v>44.59</v>
      </c>
      <c r="C568" s="1">
        <f>IFERROR(__xludf.DUMMYFUNCTION("""COMPUTED_VALUE"""),44.91)</f>
        <v>44.91</v>
      </c>
      <c r="D568" s="1">
        <f>IFERROR(__xludf.DUMMYFUNCTION("""COMPUTED_VALUE"""),44.44)</f>
        <v>44.44</v>
      </c>
      <c r="E568" s="1">
        <f>IFERROR(__xludf.DUMMYFUNCTION("""COMPUTED_VALUE"""),44.51)</f>
        <v>44.51</v>
      </c>
      <c r="F568" s="1">
        <f>IFERROR(__xludf.DUMMYFUNCTION("""COMPUTED_VALUE"""),2651800.0)</f>
        <v>2651800</v>
      </c>
    </row>
    <row r="569">
      <c r="A569" s="2">
        <f>IFERROR(__xludf.DUMMYFUNCTION("""COMPUTED_VALUE"""),37356.666666666664)</f>
        <v>37356.66667</v>
      </c>
      <c r="B569" s="1">
        <f>IFERROR(__xludf.DUMMYFUNCTION("""COMPUTED_VALUE"""),44.59)</f>
        <v>44.59</v>
      </c>
      <c r="C569" s="1">
        <f>IFERROR(__xludf.DUMMYFUNCTION("""COMPUTED_VALUE"""),45.73)</f>
        <v>45.73</v>
      </c>
      <c r="D569" s="1">
        <f>IFERROR(__xludf.DUMMYFUNCTION("""COMPUTED_VALUE"""),44.55)</f>
        <v>44.55</v>
      </c>
      <c r="E569" s="1">
        <f>IFERROR(__xludf.DUMMYFUNCTION("""COMPUTED_VALUE"""),45.6)</f>
        <v>45.6</v>
      </c>
      <c r="F569" s="1">
        <f>IFERROR(__xludf.DUMMYFUNCTION("""COMPUTED_VALUE"""),4110000.0)</f>
        <v>4110000</v>
      </c>
    </row>
    <row r="570">
      <c r="A570" s="2">
        <f>IFERROR(__xludf.DUMMYFUNCTION("""COMPUTED_VALUE"""),37357.666666666664)</f>
        <v>37357.66667</v>
      </c>
      <c r="B570" s="1">
        <f>IFERROR(__xludf.DUMMYFUNCTION("""COMPUTED_VALUE"""),45.44)</f>
        <v>45.44</v>
      </c>
      <c r="C570" s="1">
        <f>IFERROR(__xludf.DUMMYFUNCTION("""COMPUTED_VALUE"""),45.8)</f>
        <v>45.8</v>
      </c>
      <c r="D570" s="1">
        <f>IFERROR(__xludf.DUMMYFUNCTION("""COMPUTED_VALUE"""),45.04)</f>
        <v>45.04</v>
      </c>
      <c r="E570" s="1">
        <f>IFERROR(__xludf.DUMMYFUNCTION("""COMPUTED_VALUE"""),45.09)</f>
        <v>45.09</v>
      </c>
      <c r="F570" s="1">
        <f>IFERROR(__xludf.DUMMYFUNCTION("""COMPUTED_VALUE"""),3310200.0)</f>
        <v>3310200</v>
      </c>
    </row>
    <row r="571">
      <c r="A571" s="2">
        <f>IFERROR(__xludf.DUMMYFUNCTION("""COMPUTED_VALUE"""),37358.666666666664)</f>
        <v>37358.66667</v>
      </c>
      <c r="B571" s="1">
        <f>IFERROR(__xludf.DUMMYFUNCTION("""COMPUTED_VALUE"""),44.82)</f>
        <v>44.82</v>
      </c>
      <c r="C571" s="1">
        <f>IFERROR(__xludf.DUMMYFUNCTION("""COMPUTED_VALUE"""),45.53)</f>
        <v>45.53</v>
      </c>
      <c r="D571" s="1">
        <f>IFERROR(__xludf.DUMMYFUNCTION("""COMPUTED_VALUE"""),44.69)</f>
        <v>44.69</v>
      </c>
      <c r="E571" s="1">
        <f>IFERROR(__xludf.DUMMYFUNCTION("""COMPUTED_VALUE"""),45.4)</f>
        <v>45.4</v>
      </c>
      <c r="F571" s="1">
        <f>IFERROR(__xludf.DUMMYFUNCTION("""COMPUTED_VALUE"""),3217200.0)</f>
        <v>3217200</v>
      </c>
    </row>
    <row r="572">
      <c r="A572" s="2">
        <f>IFERROR(__xludf.DUMMYFUNCTION("""COMPUTED_VALUE"""),37361.666666666664)</f>
        <v>37361.66667</v>
      </c>
      <c r="B572" s="1">
        <f>IFERROR(__xludf.DUMMYFUNCTION("""COMPUTED_VALUE"""),45.23)</f>
        <v>45.23</v>
      </c>
      <c r="C572" s="1">
        <f>IFERROR(__xludf.DUMMYFUNCTION("""COMPUTED_VALUE"""),45.36)</f>
        <v>45.36</v>
      </c>
      <c r="D572" s="1">
        <f>IFERROR(__xludf.DUMMYFUNCTION("""COMPUTED_VALUE"""),44.57)</f>
        <v>44.57</v>
      </c>
      <c r="E572" s="1">
        <f>IFERROR(__xludf.DUMMYFUNCTION("""COMPUTED_VALUE"""),44.72)</f>
        <v>44.72</v>
      </c>
      <c r="F572" s="1">
        <f>IFERROR(__xludf.DUMMYFUNCTION("""COMPUTED_VALUE"""),2499900.0)</f>
        <v>2499900</v>
      </c>
    </row>
    <row r="573">
      <c r="A573" s="2">
        <f>IFERROR(__xludf.DUMMYFUNCTION("""COMPUTED_VALUE"""),37362.666666666664)</f>
        <v>37362.66667</v>
      </c>
      <c r="B573" s="1">
        <f>IFERROR(__xludf.DUMMYFUNCTION("""COMPUTED_VALUE"""),44.79)</f>
        <v>44.79</v>
      </c>
      <c r="C573" s="1">
        <f>IFERROR(__xludf.DUMMYFUNCTION("""COMPUTED_VALUE"""),45.17)</f>
        <v>45.17</v>
      </c>
      <c r="D573" s="1">
        <f>IFERROR(__xludf.DUMMYFUNCTION("""COMPUTED_VALUE"""),44.74)</f>
        <v>44.74</v>
      </c>
      <c r="E573" s="1">
        <f>IFERROR(__xludf.DUMMYFUNCTION("""COMPUTED_VALUE"""),45.04)</f>
        <v>45.04</v>
      </c>
      <c r="F573" s="1">
        <f>IFERROR(__xludf.DUMMYFUNCTION("""COMPUTED_VALUE"""),3098600.0)</f>
        <v>3098600</v>
      </c>
    </row>
    <row r="574">
      <c r="A574" s="2">
        <f>IFERROR(__xludf.DUMMYFUNCTION("""COMPUTED_VALUE"""),37363.666666666664)</f>
        <v>37363.66667</v>
      </c>
      <c r="B574" s="1">
        <f>IFERROR(__xludf.DUMMYFUNCTION("""COMPUTED_VALUE"""),44.85)</f>
        <v>44.85</v>
      </c>
      <c r="C574" s="1">
        <f>IFERROR(__xludf.DUMMYFUNCTION("""COMPUTED_VALUE"""),44.96)</f>
        <v>44.96</v>
      </c>
      <c r="D574" s="1">
        <f>IFERROR(__xludf.DUMMYFUNCTION("""COMPUTED_VALUE"""),44.4)</f>
        <v>44.4</v>
      </c>
      <c r="E574" s="1">
        <f>IFERROR(__xludf.DUMMYFUNCTION("""COMPUTED_VALUE"""),44.5)</f>
        <v>44.5</v>
      </c>
      <c r="F574" s="1">
        <f>IFERROR(__xludf.DUMMYFUNCTION("""COMPUTED_VALUE"""),2954100.0)</f>
        <v>2954100</v>
      </c>
    </row>
    <row r="575">
      <c r="A575" s="2">
        <f>IFERROR(__xludf.DUMMYFUNCTION("""COMPUTED_VALUE"""),37364.666666666664)</f>
        <v>37364.66667</v>
      </c>
      <c r="B575" s="1">
        <f>IFERROR(__xludf.DUMMYFUNCTION("""COMPUTED_VALUE"""),44.32)</f>
        <v>44.32</v>
      </c>
      <c r="C575" s="1">
        <f>IFERROR(__xludf.DUMMYFUNCTION("""COMPUTED_VALUE"""),44.44)</f>
        <v>44.44</v>
      </c>
      <c r="D575" s="1">
        <f>IFERROR(__xludf.DUMMYFUNCTION("""COMPUTED_VALUE"""),43.38)</f>
        <v>43.38</v>
      </c>
      <c r="E575" s="1">
        <f>IFERROR(__xludf.DUMMYFUNCTION("""COMPUTED_VALUE"""),43.66)</f>
        <v>43.66</v>
      </c>
      <c r="F575" s="1">
        <f>IFERROR(__xludf.DUMMYFUNCTION("""COMPUTED_VALUE"""),4462500.0)</f>
        <v>4462500</v>
      </c>
    </row>
    <row r="576">
      <c r="A576" s="2">
        <f>IFERROR(__xludf.DUMMYFUNCTION("""COMPUTED_VALUE"""),37365.666666666664)</f>
        <v>37365.66667</v>
      </c>
      <c r="B576" s="1">
        <f>IFERROR(__xludf.DUMMYFUNCTION("""COMPUTED_VALUE"""),43.89)</f>
        <v>43.89</v>
      </c>
      <c r="C576" s="1">
        <f>IFERROR(__xludf.DUMMYFUNCTION("""COMPUTED_VALUE"""),44.01)</f>
        <v>44.01</v>
      </c>
      <c r="D576" s="1">
        <f>IFERROR(__xludf.DUMMYFUNCTION("""COMPUTED_VALUE"""),43.46)</f>
        <v>43.46</v>
      </c>
      <c r="E576" s="1">
        <f>IFERROR(__xludf.DUMMYFUNCTION("""COMPUTED_VALUE"""),43.89)</f>
        <v>43.89</v>
      </c>
      <c r="F576" s="1">
        <f>IFERROR(__xludf.DUMMYFUNCTION("""COMPUTED_VALUE"""),3049700.0)</f>
        <v>3049700</v>
      </c>
    </row>
    <row r="577">
      <c r="A577" s="2">
        <f>IFERROR(__xludf.DUMMYFUNCTION("""COMPUTED_VALUE"""),37368.666666666664)</f>
        <v>37368.66667</v>
      </c>
      <c r="B577" s="1">
        <f>IFERROR(__xludf.DUMMYFUNCTION("""COMPUTED_VALUE"""),43.95)</f>
        <v>43.95</v>
      </c>
      <c r="C577" s="1">
        <f>IFERROR(__xludf.DUMMYFUNCTION("""COMPUTED_VALUE"""),44.28)</f>
        <v>44.28</v>
      </c>
      <c r="D577" s="1">
        <f>IFERROR(__xludf.DUMMYFUNCTION("""COMPUTED_VALUE"""),43.7)</f>
        <v>43.7</v>
      </c>
      <c r="E577" s="1">
        <f>IFERROR(__xludf.DUMMYFUNCTION("""COMPUTED_VALUE"""),43.9)</f>
        <v>43.9</v>
      </c>
      <c r="F577" s="1">
        <f>IFERROR(__xludf.DUMMYFUNCTION("""COMPUTED_VALUE"""),2463300.0)</f>
        <v>2463300</v>
      </c>
    </row>
    <row r="578">
      <c r="A578" s="2">
        <f>IFERROR(__xludf.DUMMYFUNCTION("""COMPUTED_VALUE"""),37369.666666666664)</f>
        <v>37369.66667</v>
      </c>
      <c r="B578" s="1">
        <f>IFERROR(__xludf.DUMMYFUNCTION("""COMPUTED_VALUE"""),43.9)</f>
        <v>43.9</v>
      </c>
      <c r="C578" s="1">
        <f>IFERROR(__xludf.DUMMYFUNCTION("""COMPUTED_VALUE"""),44.41)</f>
        <v>44.41</v>
      </c>
      <c r="D578" s="1">
        <f>IFERROR(__xludf.DUMMYFUNCTION("""COMPUTED_VALUE"""),43.78)</f>
        <v>43.78</v>
      </c>
      <c r="E578" s="1">
        <f>IFERROR(__xludf.DUMMYFUNCTION("""COMPUTED_VALUE"""),43.9)</f>
        <v>43.9</v>
      </c>
      <c r="F578" s="1">
        <f>IFERROR(__xludf.DUMMYFUNCTION("""COMPUTED_VALUE"""),2636100.0)</f>
        <v>2636100</v>
      </c>
    </row>
    <row r="579">
      <c r="A579" s="2">
        <f>IFERROR(__xludf.DUMMYFUNCTION("""COMPUTED_VALUE"""),37370.666666666664)</f>
        <v>37370.66667</v>
      </c>
      <c r="B579" s="1">
        <f>IFERROR(__xludf.DUMMYFUNCTION("""COMPUTED_VALUE"""),44.02)</f>
        <v>44.02</v>
      </c>
      <c r="C579" s="1">
        <f>IFERROR(__xludf.DUMMYFUNCTION("""COMPUTED_VALUE"""),44.44)</f>
        <v>44.44</v>
      </c>
      <c r="D579" s="1">
        <f>IFERROR(__xludf.DUMMYFUNCTION("""COMPUTED_VALUE"""),43.94)</f>
        <v>43.94</v>
      </c>
      <c r="E579" s="1">
        <f>IFERROR(__xludf.DUMMYFUNCTION("""COMPUTED_VALUE"""),44.16)</f>
        <v>44.16</v>
      </c>
      <c r="F579" s="1">
        <f>IFERROR(__xludf.DUMMYFUNCTION("""COMPUTED_VALUE"""),2536000.0)</f>
        <v>2536000</v>
      </c>
    </row>
    <row r="580">
      <c r="A580" s="2">
        <f>IFERROR(__xludf.DUMMYFUNCTION("""COMPUTED_VALUE"""),37371.666666666664)</f>
        <v>37371.66667</v>
      </c>
      <c r="B580" s="1">
        <f>IFERROR(__xludf.DUMMYFUNCTION("""COMPUTED_VALUE"""),44.16)</f>
        <v>44.16</v>
      </c>
      <c r="C580" s="1">
        <f>IFERROR(__xludf.DUMMYFUNCTION("""COMPUTED_VALUE"""),44.37)</f>
        <v>44.37</v>
      </c>
      <c r="D580" s="1">
        <f>IFERROR(__xludf.DUMMYFUNCTION("""COMPUTED_VALUE"""),43.88)</f>
        <v>43.88</v>
      </c>
      <c r="E580" s="1">
        <f>IFERROR(__xludf.DUMMYFUNCTION("""COMPUTED_VALUE"""),44.16)</f>
        <v>44.16</v>
      </c>
      <c r="F580" s="1">
        <f>IFERROR(__xludf.DUMMYFUNCTION("""COMPUTED_VALUE"""),2699000.0)</f>
        <v>2699000</v>
      </c>
    </row>
    <row r="581">
      <c r="A581" s="2">
        <f>IFERROR(__xludf.DUMMYFUNCTION("""COMPUTED_VALUE"""),37372.666666666664)</f>
        <v>37372.66667</v>
      </c>
      <c r="B581" s="1">
        <f>IFERROR(__xludf.DUMMYFUNCTION("""COMPUTED_VALUE"""),44.33)</f>
        <v>44.33</v>
      </c>
      <c r="C581" s="1">
        <f>IFERROR(__xludf.DUMMYFUNCTION("""COMPUTED_VALUE"""),44.8)</f>
        <v>44.8</v>
      </c>
      <c r="D581" s="1">
        <f>IFERROR(__xludf.DUMMYFUNCTION("""COMPUTED_VALUE"""),44.3)</f>
        <v>44.3</v>
      </c>
      <c r="E581" s="1">
        <f>IFERROR(__xludf.DUMMYFUNCTION("""COMPUTED_VALUE"""),44.35)</f>
        <v>44.35</v>
      </c>
      <c r="F581" s="1">
        <f>IFERROR(__xludf.DUMMYFUNCTION("""COMPUTED_VALUE"""),3587000.0)</f>
        <v>3587000</v>
      </c>
    </row>
    <row r="582">
      <c r="A582" s="2">
        <f>IFERROR(__xludf.DUMMYFUNCTION("""COMPUTED_VALUE"""),37375.666666666664)</f>
        <v>37375.66667</v>
      </c>
      <c r="B582" s="1">
        <f>IFERROR(__xludf.DUMMYFUNCTION("""COMPUTED_VALUE"""),44.47)</f>
        <v>44.47</v>
      </c>
      <c r="C582" s="1">
        <f>IFERROR(__xludf.DUMMYFUNCTION("""COMPUTED_VALUE"""),44.72)</f>
        <v>44.72</v>
      </c>
      <c r="D582" s="1">
        <f>IFERROR(__xludf.DUMMYFUNCTION("""COMPUTED_VALUE"""),44.3)</f>
        <v>44.3</v>
      </c>
      <c r="E582" s="1">
        <f>IFERROR(__xludf.DUMMYFUNCTION("""COMPUTED_VALUE"""),44.44)</f>
        <v>44.44</v>
      </c>
      <c r="F582" s="1">
        <f>IFERROR(__xludf.DUMMYFUNCTION("""COMPUTED_VALUE"""),3122900.0)</f>
        <v>3122900</v>
      </c>
    </row>
    <row r="583">
      <c r="A583" s="2">
        <f>IFERROR(__xludf.DUMMYFUNCTION("""COMPUTED_VALUE"""),37376.666666666664)</f>
        <v>37376.66667</v>
      </c>
      <c r="B583" s="1">
        <f>IFERROR(__xludf.DUMMYFUNCTION("""COMPUTED_VALUE"""),44.57)</f>
        <v>44.57</v>
      </c>
      <c r="C583" s="1">
        <f>IFERROR(__xludf.DUMMYFUNCTION("""COMPUTED_VALUE"""),44.77)</f>
        <v>44.77</v>
      </c>
      <c r="D583" s="1">
        <f>IFERROR(__xludf.DUMMYFUNCTION("""COMPUTED_VALUE"""),44.15)</f>
        <v>44.15</v>
      </c>
      <c r="E583" s="1">
        <f>IFERROR(__xludf.DUMMYFUNCTION("""COMPUTED_VALUE"""),44.57)</f>
        <v>44.57</v>
      </c>
      <c r="F583" s="1">
        <f>IFERROR(__xludf.DUMMYFUNCTION("""COMPUTED_VALUE"""),4168400.0)</f>
        <v>4168400</v>
      </c>
    </row>
    <row r="584">
      <c r="A584" s="2">
        <f>IFERROR(__xludf.DUMMYFUNCTION("""COMPUTED_VALUE"""),37377.666666666664)</f>
        <v>37377.66667</v>
      </c>
      <c r="B584" s="1">
        <f>IFERROR(__xludf.DUMMYFUNCTION("""COMPUTED_VALUE"""),44.84)</f>
        <v>44.84</v>
      </c>
      <c r="C584" s="1">
        <f>IFERROR(__xludf.DUMMYFUNCTION("""COMPUTED_VALUE"""),45.45)</f>
        <v>45.45</v>
      </c>
      <c r="D584" s="1">
        <f>IFERROR(__xludf.DUMMYFUNCTION("""COMPUTED_VALUE"""),44.72)</f>
        <v>44.72</v>
      </c>
      <c r="E584" s="1">
        <f>IFERROR(__xludf.DUMMYFUNCTION("""COMPUTED_VALUE"""),45.33)</f>
        <v>45.33</v>
      </c>
      <c r="F584" s="1">
        <f>IFERROR(__xludf.DUMMYFUNCTION("""COMPUTED_VALUE"""),4890400.0)</f>
        <v>4890400</v>
      </c>
    </row>
    <row r="585">
      <c r="A585" s="2">
        <f>IFERROR(__xludf.DUMMYFUNCTION("""COMPUTED_VALUE"""),37378.666666666664)</f>
        <v>37378.66667</v>
      </c>
      <c r="B585" s="1">
        <f>IFERROR(__xludf.DUMMYFUNCTION("""COMPUTED_VALUE"""),45.67)</f>
        <v>45.67</v>
      </c>
      <c r="C585" s="1">
        <f>IFERROR(__xludf.DUMMYFUNCTION("""COMPUTED_VALUE"""),46.16)</f>
        <v>46.16</v>
      </c>
      <c r="D585" s="1">
        <f>IFERROR(__xludf.DUMMYFUNCTION("""COMPUTED_VALUE"""),45.52)</f>
        <v>45.52</v>
      </c>
      <c r="E585" s="1">
        <f>IFERROR(__xludf.DUMMYFUNCTION("""COMPUTED_VALUE"""),46.04)</f>
        <v>46.04</v>
      </c>
      <c r="F585" s="1">
        <f>IFERROR(__xludf.DUMMYFUNCTION("""COMPUTED_VALUE"""),4179500.0)</f>
        <v>4179500</v>
      </c>
    </row>
    <row r="586">
      <c r="A586" s="2">
        <f>IFERROR(__xludf.DUMMYFUNCTION("""COMPUTED_VALUE"""),37379.666666666664)</f>
        <v>37379.66667</v>
      </c>
      <c r="B586" s="1">
        <f>IFERROR(__xludf.DUMMYFUNCTION("""COMPUTED_VALUE"""),45.92)</f>
        <v>45.92</v>
      </c>
      <c r="C586" s="1">
        <f>IFERROR(__xludf.DUMMYFUNCTION("""COMPUTED_VALUE"""),46.01)</f>
        <v>46.01</v>
      </c>
      <c r="D586" s="1">
        <f>IFERROR(__xludf.DUMMYFUNCTION("""COMPUTED_VALUE"""),45.41)</f>
        <v>45.41</v>
      </c>
      <c r="E586" s="1">
        <f>IFERROR(__xludf.DUMMYFUNCTION("""COMPUTED_VALUE"""),45.41)</f>
        <v>45.41</v>
      </c>
      <c r="F586" s="1">
        <f>IFERROR(__xludf.DUMMYFUNCTION("""COMPUTED_VALUE"""),3010100.0)</f>
        <v>3010100</v>
      </c>
    </row>
    <row r="587">
      <c r="A587" s="2">
        <f>IFERROR(__xludf.DUMMYFUNCTION("""COMPUTED_VALUE"""),37382.666666666664)</f>
        <v>37382.66667</v>
      </c>
      <c r="B587" s="1">
        <f>IFERROR(__xludf.DUMMYFUNCTION("""COMPUTED_VALUE"""),45.67)</f>
        <v>45.67</v>
      </c>
      <c r="C587" s="1">
        <f>IFERROR(__xludf.DUMMYFUNCTION("""COMPUTED_VALUE"""),46.16)</f>
        <v>46.16</v>
      </c>
      <c r="D587" s="1">
        <f>IFERROR(__xludf.DUMMYFUNCTION("""COMPUTED_VALUE"""),45.38)</f>
        <v>45.38</v>
      </c>
      <c r="E587" s="1">
        <f>IFERROR(__xludf.DUMMYFUNCTION("""COMPUTED_VALUE"""),45.53)</f>
        <v>45.53</v>
      </c>
      <c r="F587" s="1">
        <f>IFERROR(__xludf.DUMMYFUNCTION("""COMPUTED_VALUE"""),3086300.0)</f>
        <v>3086300</v>
      </c>
    </row>
    <row r="588">
      <c r="A588" s="2">
        <f>IFERROR(__xludf.DUMMYFUNCTION("""COMPUTED_VALUE"""),37383.666666666664)</f>
        <v>37383.66667</v>
      </c>
      <c r="B588" s="1">
        <f>IFERROR(__xludf.DUMMYFUNCTION("""COMPUTED_VALUE"""),45.68)</f>
        <v>45.68</v>
      </c>
      <c r="C588" s="1">
        <f>IFERROR(__xludf.DUMMYFUNCTION("""COMPUTED_VALUE"""),46.04)</f>
        <v>46.04</v>
      </c>
      <c r="D588" s="1">
        <f>IFERROR(__xludf.DUMMYFUNCTION("""COMPUTED_VALUE"""),45.24)</f>
        <v>45.24</v>
      </c>
      <c r="E588" s="1">
        <f>IFERROR(__xludf.DUMMYFUNCTION("""COMPUTED_VALUE"""),45.26)</f>
        <v>45.26</v>
      </c>
      <c r="F588" s="1">
        <f>IFERROR(__xludf.DUMMYFUNCTION("""COMPUTED_VALUE"""),3510100.0)</f>
        <v>3510100</v>
      </c>
    </row>
    <row r="589">
      <c r="A589" s="2">
        <f>IFERROR(__xludf.DUMMYFUNCTION("""COMPUTED_VALUE"""),37384.666666666664)</f>
        <v>37384.66667</v>
      </c>
      <c r="B589" s="1">
        <f>IFERROR(__xludf.DUMMYFUNCTION("""COMPUTED_VALUE"""),45.27)</f>
        <v>45.27</v>
      </c>
      <c r="C589" s="1">
        <f>IFERROR(__xludf.DUMMYFUNCTION("""COMPUTED_VALUE"""),45.41)</f>
        <v>45.41</v>
      </c>
      <c r="D589" s="1">
        <f>IFERROR(__xludf.DUMMYFUNCTION("""COMPUTED_VALUE"""),44.84)</f>
        <v>44.84</v>
      </c>
      <c r="E589" s="1">
        <f>IFERROR(__xludf.DUMMYFUNCTION("""COMPUTED_VALUE"""),45.19)</f>
        <v>45.19</v>
      </c>
      <c r="F589" s="1">
        <f>IFERROR(__xludf.DUMMYFUNCTION("""COMPUTED_VALUE"""),3740100.0)</f>
        <v>3740100</v>
      </c>
    </row>
    <row r="590">
      <c r="A590" s="2">
        <f>IFERROR(__xludf.DUMMYFUNCTION("""COMPUTED_VALUE"""),37385.666666666664)</f>
        <v>37385.66667</v>
      </c>
      <c r="B590" s="1">
        <f>IFERROR(__xludf.DUMMYFUNCTION("""COMPUTED_VALUE"""),45.43)</f>
        <v>45.43</v>
      </c>
      <c r="C590" s="1">
        <f>IFERROR(__xludf.DUMMYFUNCTION("""COMPUTED_VALUE"""),45.8)</f>
        <v>45.8</v>
      </c>
      <c r="D590" s="1">
        <f>IFERROR(__xludf.DUMMYFUNCTION("""COMPUTED_VALUE"""),45.26)</f>
        <v>45.26</v>
      </c>
      <c r="E590" s="1">
        <f>IFERROR(__xludf.DUMMYFUNCTION("""COMPUTED_VALUE"""),45.46)</f>
        <v>45.46</v>
      </c>
      <c r="F590" s="1">
        <f>IFERROR(__xludf.DUMMYFUNCTION("""COMPUTED_VALUE"""),2812600.0)</f>
        <v>2812600</v>
      </c>
    </row>
    <row r="591">
      <c r="A591" s="2">
        <f>IFERROR(__xludf.DUMMYFUNCTION("""COMPUTED_VALUE"""),37386.666666666664)</f>
        <v>37386.66667</v>
      </c>
      <c r="B591" s="1">
        <f>IFERROR(__xludf.DUMMYFUNCTION("""COMPUTED_VALUE"""),45.46)</f>
        <v>45.46</v>
      </c>
      <c r="C591" s="1">
        <f>IFERROR(__xludf.DUMMYFUNCTION("""COMPUTED_VALUE"""),45.92)</f>
        <v>45.92</v>
      </c>
      <c r="D591" s="1">
        <f>IFERROR(__xludf.DUMMYFUNCTION("""COMPUTED_VALUE"""),45.33)</f>
        <v>45.33</v>
      </c>
      <c r="E591" s="1">
        <f>IFERROR(__xludf.DUMMYFUNCTION("""COMPUTED_VALUE"""),45.63)</f>
        <v>45.63</v>
      </c>
      <c r="F591" s="1">
        <f>IFERROR(__xludf.DUMMYFUNCTION("""COMPUTED_VALUE"""),2361800.0)</f>
        <v>2361800</v>
      </c>
    </row>
    <row r="592">
      <c r="A592" s="2">
        <f>IFERROR(__xludf.DUMMYFUNCTION("""COMPUTED_VALUE"""),37389.666666666664)</f>
        <v>37389.66667</v>
      </c>
      <c r="B592" s="1">
        <f>IFERROR(__xludf.DUMMYFUNCTION("""COMPUTED_VALUE"""),45.85)</f>
        <v>45.85</v>
      </c>
      <c r="C592" s="1">
        <f>IFERROR(__xludf.DUMMYFUNCTION("""COMPUTED_VALUE"""),46.1)</f>
        <v>46.1</v>
      </c>
      <c r="D592" s="1">
        <f>IFERROR(__xludf.DUMMYFUNCTION("""COMPUTED_VALUE"""),45.27)</f>
        <v>45.27</v>
      </c>
      <c r="E592" s="1">
        <f>IFERROR(__xludf.DUMMYFUNCTION("""COMPUTED_VALUE"""),45.86)</f>
        <v>45.86</v>
      </c>
      <c r="F592" s="1">
        <f>IFERROR(__xludf.DUMMYFUNCTION("""COMPUTED_VALUE"""),2234300.0)</f>
        <v>2234300</v>
      </c>
    </row>
    <row r="593">
      <c r="A593" s="2">
        <f>IFERROR(__xludf.DUMMYFUNCTION("""COMPUTED_VALUE"""),37390.666666666664)</f>
        <v>37390.66667</v>
      </c>
      <c r="B593" s="1">
        <f>IFERROR(__xludf.DUMMYFUNCTION("""COMPUTED_VALUE"""),46.0)</f>
        <v>46</v>
      </c>
      <c r="C593" s="1">
        <f>IFERROR(__xludf.DUMMYFUNCTION("""COMPUTED_VALUE"""),46.24)</f>
        <v>46.24</v>
      </c>
      <c r="D593" s="1">
        <f>IFERROR(__xludf.DUMMYFUNCTION("""COMPUTED_VALUE"""),45.63)</f>
        <v>45.63</v>
      </c>
      <c r="E593" s="1">
        <f>IFERROR(__xludf.DUMMYFUNCTION("""COMPUTED_VALUE"""),45.95)</f>
        <v>45.95</v>
      </c>
      <c r="F593" s="1">
        <f>IFERROR(__xludf.DUMMYFUNCTION("""COMPUTED_VALUE"""),2933600.0)</f>
        <v>2933600</v>
      </c>
    </row>
    <row r="594">
      <c r="A594" s="2">
        <f>IFERROR(__xludf.DUMMYFUNCTION("""COMPUTED_VALUE"""),37391.666666666664)</f>
        <v>37391.66667</v>
      </c>
      <c r="B594" s="1">
        <f>IFERROR(__xludf.DUMMYFUNCTION("""COMPUTED_VALUE"""),45.57)</f>
        <v>45.57</v>
      </c>
      <c r="C594" s="1">
        <f>IFERROR(__xludf.DUMMYFUNCTION("""COMPUTED_VALUE"""),45.57)</f>
        <v>45.57</v>
      </c>
      <c r="D594" s="1">
        <f>IFERROR(__xludf.DUMMYFUNCTION("""COMPUTED_VALUE"""),45.56)</f>
        <v>45.56</v>
      </c>
      <c r="E594" s="1">
        <f>IFERROR(__xludf.DUMMYFUNCTION("""COMPUTED_VALUE"""),45.56)</f>
        <v>45.56</v>
      </c>
      <c r="F594" s="1">
        <f>IFERROR(__xludf.DUMMYFUNCTION("""COMPUTED_VALUE"""),53400.0)</f>
        <v>53400</v>
      </c>
    </row>
    <row r="595">
      <c r="A595" s="2">
        <f>IFERROR(__xludf.DUMMYFUNCTION("""COMPUTED_VALUE"""),37392.666666666664)</f>
        <v>37392.66667</v>
      </c>
      <c r="B595" s="1">
        <f>IFERROR(__xludf.DUMMYFUNCTION("""COMPUTED_VALUE"""),45.72)</f>
        <v>45.72</v>
      </c>
      <c r="C595" s="1">
        <f>IFERROR(__xludf.DUMMYFUNCTION("""COMPUTED_VALUE"""),45.72)</f>
        <v>45.72</v>
      </c>
      <c r="D595" s="1">
        <f>IFERROR(__xludf.DUMMYFUNCTION("""COMPUTED_VALUE"""),45.72)</f>
        <v>45.72</v>
      </c>
      <c r="E595" s="1">
        <f>IFERROR(__xludf.DUMMYFUNCTION("""COMPUTED_VALUE"""),45.72)</f>
        <v>45.72</v>
      </c>
      <c r="F595" s="1">
        <f>IFERROR(__xludf.DUMMYFUNCTION("""COMPUTED_VALUE"""),1000.0)</f>
        <v>1000</v>
      </c>
    </row>
    <row r="596">
      <c r="A596" s="2">
        <f>IFERROR(__xludf.DUMMYFUNCTION("""COMPUTED_VALUE"""),37393.666666666664)</f>
        <v>37393.66667</v>
      </c>
      <c r="B596" s="1">
        <f>IFERROR(__xludf.DUMMYFUNCTION("""COMPUTED_VALUE"""),46.15)</f>
        <v>46.15</v>
      </c>
      <c r="C596" s="1">
        <f>IFERROR(__xludf.DUMMYFUNCTION("""COMPUTED_VALUE"""),46.23)</f>
        <v>46.23</v>
      </c>
      <c r="D596" s="1">
        <f>IFERROR(__xludf.DUMMYFUNCTION("""COMPUTED_VALUE"""),45.79)</f>
        <v>45.79</v>
      </c>
      <c r="E596" s="1">
        <f>IFERROR(__xludf.DUMMYFUNCTION("""COMPUTED_VALUE"""),46.02)</f>
        <v>46.02</v>
      </c>
      <c r="F596" s="1">
        <f>IFERROR(__xludf.DUMMYFUNCTION("""COMPUTED_VALUE"""),2431800.0)</f>
        <v>2431800</v>
      </c>
    </row>
    <row r="597">
      <c r="A597" s="2">
        <f>IFERROR(__xludf.DUMMYFUNCTION("""COMPUTED_VALUE"""),37396.666666666664)</f>
        <v>37396.66667</v>
      </c>
      <c r="B597" s="1">
        <f>IFERROR(__xludf.DUMMYFUNCTION("""COMPUTED_VALUE"""),46.02)</f>
        <v>46.02</v>
      </c>
      <c r="C597" s="1">
        <f>IFERROR(__xludf.DUMMYFUNCTION("""COMPUTED_VALUE"""),46.29)</f>
        <v>46.29</v>
      </c>
      <c r="D597" s="1">
        <f>IFERROR(__xludf.DUMMYFUNCTION("""COMPUTED_VALUE"""),45.63)</f>
        <v>45.63</v>
      </c>
      <c r="E597" s="1">
        <f>IFERROR(__xludf.DUMMYFUNCTION("""COMPUTED_VALUE"""),45.93)</f>
        <v>45.93</v>
      </c>
      <c r="F597" s="1">
        <f>IFERROR(__xludf.DUMMYFUNCTION("""COMPUTED_VALUE"""),1982700.0)</f>
        <v>1982700</v>
      </c>
    </row>
    <row r="598">
      <c r="A598" s="2">
        <f>IFERROR(__xludf.DUMMYFUNCTION("""COMPUTED_VALUE"""),37397.666666666664)</f>
        <v>37397.66667</v>
      </c>
      <c r="B598" s="1">
        <f>IFERROR(__xludf.DUMMYFUNCTION("""COMPUTED_VALUE"""),45.41)</f>
        <v>45.41</v>
      </c>
      <c r="C598" s="1">
        <f>IFERROR(__xludf.DUMMYFUNCTION("""COMPUTED_VALUE"""),45.44)</f>
        <v>45.44</v>
      </c>
      <c r="D598" s="1">
        <f>IFERROR(__xludf.DUMMYFUNCTION("""COMPUTED_VALUE"""),44.81)</f>
        <v>44.81</v>
      </c>
      <c r="E598" s="1">
        <f>IFERROR(__xludf.DUMMYFUNCTION("""COMPUTED_VALUE"""),44.99)</f>
        <v>44.99</v>
      </c>
      <c r="F598" s="1">
        <f>IFERROR(__xludf.DUMMYFUNCTION("""COMPUTED_VALUE"""),3157500.0)</f>
        <v>3157500</v>
      </c>
    </row>
    <row r="599">
      <c r="A599" s="2">
        <f>IFERROR(__xludf.DUMMYFUNCTION("""COMPUTED_VALUE"""),37398.666666666664)</f>
        <v>37398.66667</v>
      </c>
      <c r="B599" s="1">
        <f>IFERROR(__xludf.DUMMYFUNCTION("""COMPUTED_VALUE"""),44.99)</f>
        <v>44.99</v>
      </c>
      <c r="C599" s="1">
        <f>IFERROR(__xludf.DUMMYFUNCTION("""COMPUTED_VALUE"""),45.48)</f>
        <v>45.48</v>
      </c>
      <c r="D599" s="1">
        <f>IFERROR(__xludf.DUMMYFUNCTION("""COMPUTED_VALUE"""),44.91)</f>
        <v>44.91</v>
      </c>
      <c r="E599" s="1">
        <f>IFERROR(__xludf.DUMMYFUNCTION("""COMPUTED_VALUE"""),45.22)</f>
        <v>45.22</v>
      </c>
      <c r="F599" s="1">
        <f>IFERROR(__xludf.DUMMYFUNCTION("""COMPUTED_VALUE"""),2345200.0)</f>
        <v>2345200</v>
      </c>
    </row>
    <row r="600">
      <c r="A600" s="2">
        <f>IFERROR(__xludf.DUMMYFUNCTION("""COMPUTED_VALUE"""),37399.666666666664)</f>
        <v>37399.66667</v>
      </c>
      <c r="B600" s="1">
        <f>IFERROR(__xludf.DUMMYFUNCTION("""COMPUTED_VALUE"""),45.21)</f>
        <v>45.21</v>
      </c>
      <c r="C600" s="1">
        <f>IFERROR(__xludf.DUMMYFUNCTION("""COMPUTED_VALUE"""),45.28)</f>
        <v>45.28</v>
      </c>
      <c r="D600" s="1">
        <f>IFERROR(__xludf.DUMMYFUNCTION("""COMPUTED_VALUE"""),44.89)</f>
        <v>44.89</v>
      </c>
      <c r="E600" s="1">
        <f>IFERROR(__xludf.DUMMYFUNCTION("""COMPUTED_VALUE"""),45.12)</f>
        <v>45.12</v>
      </c>
      <c r="F600" s="1">
        <f>IFERROR(__xludf.DUMMYFUNCTION("""COMPUTED_VALUE"""),2569000.0)</f>
        <v>2569000</v>
      </c>
    </row>
    <row r="601">
      <c r="A601" s="2">
        <f>IFERROR(__xludf.DUMMYFUNCTION("""COMPUTED_VALUE"""),37400.666666666664)</f>
        <v>37400.66667</v>
      </c>
      <c r="B601" s="1">
        <f>IFERROR(__xludf.DUMMYFUNCTION("""COMPUTED_VALUE"""),44.81)</f>
        <v>44.81</v>
      </c>
      <c r="C601" s="1">
        <f>IFERROR(__xludf.DUMMYFUNCTION("""COMPUTED_VALUE"""),45.08)</f>
        <v>45.08</v>
      </c>
      <c r="D601" s="1">
        <f>IFERROR(__xludf.DUMMYFUNCTION("""COMPUTED_VALUE"""),44.3)</f>
        <v>44.3</v>
      </c>
      <c r="E601" s="1">
        <f>IFERROR(__xludf.DUMMYFUNCTION("""COMPUTED_VALUE"""),44.64)</f>
        <v>44.64</v>
      </c>
      <c r="F601" s="1">
        <f>IFERROR(__xludf.DUMMYFUNCTION("""COMPUTED_VALUE"""),2336400.0)</f>
        <v>2336400</v>
      </c>
    </row>
    <row r="602">
      <c r="A602" s="2">
        <f>IFERROR(__xludf.DUMMYFUNCTION("""COMPUTED_VALUE"""),37404.666666666664)</f>
        <v>37404.66667</v>
      </c>
      <c r="B602" s="1">
        <f>IFERROR(__xludf.DUMMYFUNCTION("""COMPUTED_VALUE"""),44.74)</f>
        <v>44.74</v>
      </c>
      <c r="C602" s="1">
        <f>IFERROR(__xludf.DUMMYFUNCTION("""COMPUTED_VALUE"""),44.74)</f>
        <v>44.74</v>
      </c>
      <c r="D602" s="1">
        <f>IFERROR(__xludf.DUMMYFUNCTION("""COMPUTED_VALUE"""),43.21)</f>
        <v>43.21</v>
      </c>
      <c r="E602" s="1">
        <f>IFERROR(__xludf.DUMMYFUNCTION("""COMPUTED_VALUE"""),43.73)</f>
        <v>43.73</v>
      </c>
      <c r="F602" s="1">
        <f>IFERROR(__xludf.DUMMYFUNCTION("""COMPUTED_VALUE"""),3731900.0)</f>
        <v>3731900</v>
      </c>
    </row>
    <row r="603">
      <c r="A603" s="2">
        <f>IFERROR(__xludf.DUMMYFUNCTION("""COMPUTED_VALUE"""),37405.666666666664)</f>
        <v>37405.66667</v>
      </c>
      <c r="B603" s="1">
        <f>IFERROR(__xludf.DUMMYFUNCTION("""COMPUTED_VALUE"""),43.38)</f>
        <v>43.38</v>
      </c>
      <c r="C603" s="1">
        <f>IFERROR(__xludf.DUMMYFUNCTION("""COMPUTED_VALUE"""),43.83)</f>
        <v>43.83</v>
      </c>
      <c r="D603" s="1">
        <f>IFERROR(__xludf.DUMMYFUNCTION("""COMPUTED_VALUE"""),42.96)</f>
        <v>42.96</v>
      </c>
      <c r="E603" s="1">
        <f>IFERROR(__xludf.DUMMYFUNCTION("""COMPUTED_VALUE"""),42.97)</f>
        <v>42.97</v>
      </c>
      <c r="F603" s="1">
        <f>IFERROR(__xludf.DUMMYFUNCTION("""COMPUTED_VALUE"""),5342000.0)</f>
        <v>5342000</v>
      </c>
    </row>
    <row r="604">
      <c r="A604" s="2">
        <f>IFERROR(__xludf.DUMMYFUNCTION("""COMPUTED_VALUE"""),37406.666666666664)</f>
        <v>37406.66667</v>
      </c>
      <c r="B604" s="1">
        <f>IFERROR(__xludf.DUMMYFUNCTION("""COMPUTED_VALUE"""),43.01)</f>
        <v>43.01</v>
      </c>
      <c r="C604" s="1">
        <f>IFERROR(__xludf.DUMMYFUNCTION("""COMPUTED_VALUE"""),43.92)</f>
        <v>43.92</v>
      </c>
      <c r="D604" s="1">
        <f>IFERROR(__xludf.DUMMYFUNCTION("""COMPUTED_VALUE"""),42.67)</f>
        <v>42.67</v>
      </c>
      <c r="E604" s="1">
        <f>IFERROR(__xludf.DUMMYFUNCTION("""COMPUTED_VALUE"""),43.83)</f>
        <v>43.83</v>
      </c>
      <c r="F604" s="1">
        <f>IFERROR(__xludf.DUMMYFUNCTION("""COMPUTED_VALUE"""),3279200.0)</f>
        <v>3279200</v>
      </c>
    </row>
    <row r="605">
      <c r="A605" s="2">
        <f>IFERROR(__xludf.DUMMYFUNCTION("""COMPUTED_VALUE"""),37407.666666666664)</f>
        <v>37407.66667</v>
      </c>
      <c r="B605" s="1">
        <f>IFERROR(__xludf.DUMMYFUNCTION("""COMPUTED_VALUE"""),44.06)</f>
        <v>44.06</v>
      </c>
      <c r="C605" s="1">
        <f>IFERROR(__xludf.DUMMYFUNCTION("""COMPUTED_VALUE"""),44.68)</f>
        <v>44.68</v>
      </c>
      <c r="D605" s="1">
        <f>IFERROR(__xludf.DUMMYFUNCTION("""COMPUTED_VALUE"""),43.94)</f>
        <v>43.94</v>
      </c>
      <c r="E605" s="1">
        <f>IFERROR(__xludf.DUMMYFUNCTION("""COMPUTED_VALUE"""),44.22)</f>
        <v>44.22</v>
      </c>
      <c r="F605" s="1">
        <f>IFERROR(__xludf.DUMMYFUNCTION("""COMPUTED_VALUE"""),3092700.0)</f>
        <v>3092700</v>
      </c>
    </row>
    <row r="606">
      <c r="A606" s="2">
        <f>IFERROR(__xludf.DUMMYFUNCTION("""COMPUTED_VALUE"""),37410.666666666664)</f>
        <v>37410.66667</v>
      </c>
      <c r="B606" s="1">
        <f>IFERROR(__xludf.DUMMYFUNCTION("""COMPUTED_VALUE"""),44.56)</f>
        <v>44.56</v>
      </c>
      <c r="C606" s="1">
        <f>IFERROR(__xludf.DUMMYFUNCTION("""COMPUTED_VALUE"""),45.54)</f>
        <v>45.54</v>
      </c>
      <c r="D606" s="1">
        <f>IFERROR(__xludf.DUMMYFUNCTION("""COMPUTED_VALUE"""),44.44)</f>
        <v>44.44</v>
      </c>
      <c r="E606" s="1">
        <f>IFERROR(__xludf.DUMMYFUNCTION("""COMPUTED_VALUE"""),44.46)</f>
        <v>44.46</v>
      </c>
      <c r="F606" s="1">
        <f>IFERROR(__xludf.DUMMYFUNCTION("""COMPUTED_VALUE"""),3256900.0)</f>
        <v>3256900</v>
      </c>
    </row>
    <row r="607">
      <c r="A607" s="2">
        <f>IFERROR(__xludf.DUMMYFUNCTION("""COMPUTED_VALUE"""),37411.666666666664)</f>
        <v>37411.66667</v>
      </c>
      <c r="B607" s="1">
        <f>IFERROR(__xludf.DUMMYFUNCTION("""COMPUTED_VALUE"""),44.48)</f>
        <v>44.48</v>
      </c>
      <c r="C607" s="1">
        <f>IFERROR(__xludf.DUMMYFUNCTION("""COMPUTED_VALUE"""),44.87)</f>
        <v>44.87</v>
      </c>
      <c r="D607" s="1">
        <f>IFERROR(__xludf.DUMMYFUNCTION("""COMPUTED_VALUE"""),44.07)</f>
        <v>44.07</v>
      </c>
      <c r="E607" s="1">
        <f>IFERROR(__xludf.DUMMYFUNCTION("""COMPUTED_VALUE"""),44.78)</f>
        <v>44.78</v>
      </c>
      <c r="F607" s="1">
        <f>IFERROR(__xludf.DUMMYFUNCTION("""COMPUTED_VALUE"""),3873500.0)</f>
        <v>3873500</v>
      </c>
    </row>
    <row r="608">
      <c r="A608" s="2">
        <f>IFERROR(__xludf.DUMMYFUNCTION("""COMPUTED_VALUE"""),37412.666666666664)</f>
        <v>37412.66667</v>
      </c>
      <c r="B608" s="1">
        <f>IFERROR(__xludf.DUMMYFUNCTION("""COMPUTED_VALUE"""),44.98)</f>
        <v>44.98</v>
      </c>
      <c r="C608" s="1">
        <f>IFERROR(__xludf.DUMMYFUNCTION("""COMPUTED_VALUE"""),45.38)</f>
        <v>45.38</v>
      </c>
      <c r="D608" s="1">
        <f>IFERROR(__xludf.DUMMYFUNCTION("""COMPUTED_VALUE"""),44.4)</f>
        <v>44.4</v>
      </c>
      <c r="E608" s="1">
        <f>IFERROR(__xludf.DUMMYFUNCTION("""COMPUTED_VALUE"""),45.27)</f>
        <v>45.27</v>
      </c>
      <c r="F608" s="1">
        <f>IFERROR(__xludf.DUMMYFUNCTION("""COMPUTED_VALUE"""),3112800.0)</f>
        <v>3112800</v>
      </c>
    </row>
    <row r="609">
      <c r="A609" s="2">
        <f>IFERROR(__xludf.DUMMYFUNCTION("""COMPUTED_VALUE"""),37413.666666666664)</f>
        <v>37413.66667</v>
      </c>
      <c r="B609" s="1">
        <f>IFERROR(__xludf.DUMMYFUNCTION("""COMPUTED_VALUE"""),45.05)</f>
        <v>45.05</v>
      </c>
      <c r="C609" s="1">
        <f>IFERROR(__xludf.DUMMYFUNCTION("""COMPUTED_VALUE"""),45.37)</f>
        <v>45.37</v>
      </c>
      <c r="D609" s="1">
        <f>IFERROR(__xludf.DUMMYFUNCTION("""COMPUTED_VALUE"""),44.64)</f>
        <v>44.64</v>
      </c>
      <c r="E609" s="1">
        <f>IFERROR(__xludf.DUMMYFUNCTION("""COMPUTED_VALUE"""),44.97)</f>
        <v>44.97</v>
      </c>
      <c r="F609" s="1">
        <f>IFERROR(__xludf.DUMMYFUNCTION("""COMPUTED_VALUE"""),2714400.0)</f>
        <v>2714400</v>
      </c>
    </row>
    <row r="610">
      <c r="A610" s="2">
        <f>IFERROR(__xludf.DUMMYFUNCTION("""COMPUTED_VALUE"""),37414.666666666664)</f>
        <v>37414.66667</v>
      </c>
      <c r="B610" s="1">
        <f>IFERROR(__xludf.DUMMYFUNCTION("""COMPUTED_VALUE"""),44.7)</f>
        <v>44.7</v>
      </c>
      <c r="C610" s="1">
        <f>IFERROR(__xludf.DUMMYFUNCTION("""COMPUTED_VALUE"""),44.94)</f>
        <v>44.94</v>
      </c>
      <c r="D610" s="1">
        <f>IFERROR(__xludf.DUMMYFUNCTION("""COMPUTED_VALUE"""),44.04)</f>
        <v>44.04</v>
      </c>
      <c r="E610" s="1">
        <f>IFERROR(__xludf.DUMMYFUNCTION("""COMPUTED_VALUE"""),44.67)</f>
        <v>44.67</v>
      </c>
      <c r="F610" s="1">
        <f>IFERROR(__xludf.DUMMYFUNCTION("""COMPUTED_VALUE"""),3023900.0)</f>
        <v>3023900</v>
      </c>
    </row>
    <row r="611">
      <c r="A611" s="2">
        <f>IFERROR(__xludf.DUMMYFUNCTION("""COMPUTED_VALUE"""),37417.666666666664)</f>
        <v>37417.66667</v>
      </c>
      <c r="B611" s="1">
        <f>IFERROR(__xludf.DUMMYFUNCTION("""COMPUTED_VALUE"""),44.48)</f>
        <v>44.48</v>
      </c>
      <c r="C611" s="1">
        <f>IFERROR(__xludf.DUMMYFUNCTION("""COMPUTED_VALUE"""),44.85)</f>
        <v>44.85</v>
      </c>
      <c r="D611" s="1">
        <f>IFERROR(__xludf.DUMMYFUNCTION("""COMPUTED_VALUE"""),44.08)</f>
        <v>44.08</v>
      </c>
      <c r="E611" s="1">
        <f>IFERROR(__xludf.DUMMYFUNCTION("""COMPUTED_VALUE"""),44.47)</f>
        <v>44.47</v>
      </c>
      <c r="F611" s="1">
        <f>IFERROR(__xludf.DUMMYFUNCTION("""COMPUTED_VALUE"""),2826400.0)</f>
        <v>2826400</v>
      </c>
    </row>
    <row r="612">
      <c r="A612" s="2">
        <f>IFERROR(__xludf.DUMMYFUNCTION("""COMPUTED_VALUE"""),37418.666666666664)</f>
        <v>37418.66667</v>
      </c>
      <c r="B612" s="1">
        <f>IFERROR(__xludf.DUMMYFUNCTION("""COMPUTED_VALUE"""),45.05)</f>
        <v>45.05</v>
      </c>
      <c r="C612" s="1">
        <f>IFERROR(__xludf.DUMMYFUNCTION("""COMPUTED_VALUE"""),45.25)</f>
        <v>45.25</v>
      </c>
      <c r="D612" s="1">
        <f>IFERROR(__xludf.DUMMYFUNCTION("""COMPUTED_VALUE"""),44.47)</f>
        <v>44.47</v>
      </c>
      <c r="E612" s="1">
        <f>IFERROR(__xludf.DUMMYFUNCTION("""COMPUTED_VALUE"""),44.5)</f>
        <v>44.5</v>
      </c>
      <c r="F612" s="1">
        <f>IFERROR(__xludf.DUMMYFUNCTION("""COMPUTED_VALUE"""),2817800.0)</f>
        <v>2817800</v>
      </c>
    </row>
    <row r="613">
      <c r="A613" s="2">
        <f>IFERROR(__xludf.DUMMYFUNCTION("""COMPUTED_VALUE"""),37419.666666666664)</f>
        <v>37419.66667</v>
      </c>
      <c r="B613" s="1">
        <f>IFERROR(__xludf.DUMMYFUNCTION("""COMPUTED_VALUE"""),45.25)</f>
        <v>45.25</v>
      </c>
      <c r="C613" s="1">
        <f>IFERROR(__xludf.DUMMYFUNCTION("""COMPUTED_VALUE"""),46.5)</f>
        <v>46.5</v>
      </c>
      <c r="D613" s="1">
        <f>IFERROR(__xludf.DUMMYFUNCTION("""COMPUTED_VALUE"""),45.14)</f>
        <v>45.14</v>
      </c>
      <c r="E613" s="1">
        <f>IFERROR(__xludf.DUMMYFUNCTION("""COMPUTED_VALUE"""),46.5)</f>
        <v>46.5</v>
      </c>
      <c r="F613" s="1">
        <f>IFERROR(__xludf.DUMMYFUNCTION("""COMPUTED_VALUE"""),8847500.0)</f>
        <v>8847500</v>
      </c>
    </row>
    <row r="614">
      <c r="A614" s="2">
        <f>IFERROR(__xludf.DUMMYFUNCTION("""COMPUTED_VALUE"""),37420.666666666664)</f>
        <v>37420.66667</v>
      </c>
      <c r="B614" s="1">
        <f>IFERROR(__xludf.DUMMYFUNCTION("""COMPUTED_VALUE"""),46.38)</f>
        <v>46.38</v>
      </c>
      <c r="C614" s="1">
        <f>IFERROR(__xludf.DUMMYFUNCTION("""COMPUTED_VALUE"""),46.52)</f>
        <v>46.52</v>
      </c>
      <c r="D614" s="1">
        <f>IFERROR(__xludf.DUMMYFUNCTION("""COMPUTED_VALUE"""),45.7)</f>
        <v>45.7</v>
      </c>
      <c r="E614" s="1">
        <f>IFERROR(__xludf.DUMMYFUNCTION("""COMPUTED_VALUE"""),45.99)</f>
        <v>45.99</v>
      </c>
      <c r="F614" s="1">
        <f>IFERROR(__xludf.DUMMYFUNCTION("""COMPUTED_VALUE"""),4006400.0)</f>
        <v>4006400</v>
      </c>
    </row>
    <row r="615">
      <c r="A615" s="2">
        <f>IFERROR(__xludf.DUMMYFUNCTION("""COMPUTED_VALUE"""),37421.666666666664)</f>
        <v>37421.66667</v>
      </c>
      <c r="B615" s="1">
        <f>IFERROR(__xludf.DUMMYFUNCTION("""COMPUTED_VALUE"""),46.11)</f>
        <v>46.11</v>
      </c>
      <c r="C615" s="1">
        <f>IFERROR(__xludf.DUMMYFUNCTION("""COMPUTED_VALUE"""),46.15)</f>
        <v>46.15</v>
      </c>
      <c r="D615" s="1">
        <f>IFERROR(__xludf.DUMMYFUNCTION("""COMPUTED_VALUE"""),45.0)</f>
        <v>45</v>
      </c>
      <c r="E615" s="1">
        <f>IFERROR(__xludf.DUMMYFUNCTION("""COMPUTED_VALUE"""),45.78)</f>
        <v>45.78</v>
      </c>
      <c r="F615" s="1">
        <f>IFERROR(__xludf.DUMMYFUNCTION("""COMPUTED_VALUE"""),4139100.0)</f>
        <v>4139100</v>
      </c>
    </row>
    <row r="616">
      <c r="A616" s="2">
        <f>IFERROR(__xludf.DUMMYFUNCTION("""COMPUTED_VALUE"""),37424.666666666664)</f>
        <v>37424.66667</v>
      </c>
      <c r="B616" s="1">
        <f>IFERROR(__xludf.DUMMYFUNCTION("""COMPUTED_VALUE"""),45.78)</f>
        <v>45.78</v>
      </c>
      <c r="C616" s="1">
        <f>IFERROR(__xludf.DUMMYFUNCTION("""COMPUTED_VALUE"""),46.95)</f>
        <v>46.95</v>
      </c>
      <c r="D616" s="1">
        <f>IFERROR(__xludf.DUMMYFUNCTION("""COMPUTED_VALUE"""),45.78)</f>
        <v>45.78</v>
      </c>
      <c r="E616" s="1">
        <f>IFERROR(__xludf.DUMMYFUNCTION("""COMPUTED_VALUE"""),46.45)</f>
        <v>46.45</v>
      </c>
      <c r="F616" s="1">
        <f>IFERROR(__xludf.DUMMYFUNCTION("""COMPUTED_VALUE"""),3858800.0)</f>
        <v>3858800</v>
      </c>
    </row>
    <row r="617">
      <c r="A617" s="2">
        <f>IFERROR(__xludf.DUMMYFUNCTION("""COMPUTED_VALUE"""),37425.666666666664)</f>
        <v>37425.66667</v>
      </c>
      <c r="B617" s="1">
        <f>IFERROR(__xludf.DUMMYFUNCTION("""COMPUTED_VALUE"""),46.55)</f>
        <v>46.55</v>
      </c>
      <c r="C617" s="1">
        <f>IFERROR(__xludf.DUMMYFUNCTION("""COMPUTED_VALUE"""),46.95)</f>
        <v>46.95</v>
      </c>
      <c r="D617" s="1">
        <f>IFERROR(__xludf.DUMMYFUNCTION("""COMPUTED_VALUE"""),46.49)</f>
        <v>46.49</v>
      </c>
      <c r="E617" s="1">
        <f>IFERROR(__xludf.DUMMYFUNCTION("""COMPUTED_VALUE"""),46.71)</f>
        <v>46.71</v>
      </c>
      <c r="F617" s="1">
        <f>IFERROR(__xludf.DUMMYFUNCTION("""COMPUTED_VALUE"""),2923500.0)</f>
        <v>2923500</v>
      </c>
    </row>
    <row r="618">
      <c r="A618" s="2">
        <f>IFERROR(__xludf.DUMMYFUNCTION("""COMPUTED_VALUE"""),37426.666666666664)</f>
        <v>37426.66667</v>
      </c>
      <c r="B618" s="1">
        <f>IFERROR(__xludf.DUMMYFUNCTION("""COMPUTED_VALUE"""),46.9)</f>
        <v>46.9</v>
      </c>
      <c r="C618" s="1">
        <f>IFERROR(__xludf.DUMMYFUNCTION("""COMPUTED_VALUE"""),47.38)</f>
        <v>47.38</v>
      </c>
      <c r="D618" s="1">
        <f>IFERROR(__xludf.DUMMYFUNCTION("""COMPUTED_VALUE"""),46.69)</f>
        <v>46.69</v>
      </c>
      <c r="E618" s="1">
        <f>IFERROR(__xludf.DUMMYFUNCTION("""COMPUTED_VALUE"""),47.2)</f>
        <v>47.2</v>
      </c>
      <c r="F618" s="1">
        <f>IFERROR(__xludf.DUMMYFUNCTION("""COMPUTED_VALUE"""),4097400.0)</f>
        <v>4097400</v>
      </c>
    </row>
    <row r="619">
      <c r="A619" s="2">
        <f>IFERROR(__xludf.DUMMYFUNCTION("""COMPUTED_VALUE"""),37427.666666666664)</f>
        <v>37427.66667</v>
      </c>
      <c r="B619" s="1">
        <f>IFERROR(__xludf.DUMMYFUNCTION("""COMPUTED_VALUE"""),47.0)</f>
        <v>47</v>
      </c>
      <c r="C619" s="1">
        <f>IFERROR(__xludf.DUMMYFUNCTION("""COMPUTED_VALUE"""),47.38)</f>
        <v>47.38</v>
      </c>
      <c r="D619" s="1">
        <f>IFERROR(__xludf.DUMMYFUNCTION("""COMPUTED_VALUE"""),46.8)</f>
        <v>46.8</v>
      </c>
      <c r="E619" s="1">
        <f>IFERROR(__xludf.DUMMYFUNCTION("""COMPUTED_VALUE"""),46.93)</f>
        <v>46.93</v>
      </c>
      <c r="F619" s="1">
        <f>IFERROR(__xludf.DUMMYFUNCTION("""COMPUTED_VALUE"""),3467900.0)</f>
        <v>3467900</v>
      </c>
    </row>
    <row r="620">
      <c r="A620" s="2">
        <f>IFERROR(__xludf.DUMMYFUNCTION("""COMPUTED_VALUE"""),37428.666666666664)</f>
        <v>37428.66667</v>
      </c>
      <c r="B620" s="1">
        <f>IFERROR(__xludf.DUMMYFUNCTION("""COMPUTED_VALUE"""),46.92)</f>
        <v>46.92</v>
      </c>
      <c r="C620" s="1">
        <f>IFERROR(__xludf.DUMMYFUNCTION("""COMPUTED_VALUE"""),47.3)</f>
        <v>47.3</v>
      </c>
      <c r="D620" s="1">
        <f>IFERROR(__xludf.DUMMYFUNCTION("""COMPUTED_VALUE"""),46.64)</f>
        <v>46.64</v>
      </c>
      <c r="E620" s="1">
        <f>IFERROR(__xludf.DUMMYFUNCTION("""COMPUTED_VALUE"""),46.92)</f>
        <v>46.92</v>
      </c>
      <c r="F620" s="1">
        <f>IFERROR(__xludf.DUMMYFUNCTION("""COMPUTED_VALUE"""),6303300.0)</f>
        <v>6303300</v>
      </c>
    </row>
    <row r="621">
      <c r="A621" s="2">
        <f>IFERROR(__xludf.DUMMYFUNCTION("""COMPUTED_VALUE"""),37431.666666666664)</f>
        <v>37431.66667</v>
      </c>
      <c r="B621" s="1">
        <f>IFERROR(__xludf.DUMMYFUNCTION("""COMPUTED_VALUE"""),46.88)</f>
        <v>46.88</v>
      </c>
      <c r="C621" s="1">
        <f>IFERROR(__xludf.DUMMYFUNCTION("""COMPUTED_VALUE"""),47.21)</f>
        <v>47.21</v>
      </c>
      <c r="D621" s="1">
        <f>IFERROR(__xludf.DUMMYFUNCTION("""COMPUTED_VALUE"""),46.5)</f>
        <v>46.5</v>
      </c>
      <c r="E621" s="1">
        <f>IFERROR(__xludf.DUMMYFUNCTION("""COMPUTED_VALUE"""),46.8)</f>
        <v>46.8</v>
      </c>
      <c r="F621" s="1">
        <f>IFERROR(__xludf.DUMMYFUNCTION("""COMPUTED_VALUE"""),5277800.0)</f>
        <v>5277800</v>
      </c>
    </row>
    <row r="622">
      <c r="A622" s="2">
        <f>IFERROR(__xludf.DUMMYFUNCTION("""COMPUTED_VALUE"""),37432.666666666664)</f>
        <v>37432.66667</v>
      </c>
      <c r="B622" s="1">
        <f>IFERROR(__xludf.DUMMYFUNCTION("""COMPUTED_VALUE"""),46.58)</f>
        <v>46.58</v>
      </c>
      <c r="C622" s="1">
        <f>IFERROR(__xludf.DUMMYFUNCTION("""COMPUTED_VALUE"""),46.75)</f>
        <v>46.75</v>
      </c>
      <c r="D622" s="1">
        <f>IFERROR(__xludf.DUMMYFUNCTION("""COMPUTED_VALUE"""),44.5)</f>
        <v>44.5</v>
      </c>
      <c r="E622" s="1">
        <f>IFERROR(__xludf.DUMMYFUNCTION("""COMPUTED_VALUE"""),45.78)</f>
        <v>45.78</v>
      </c>
      <c r="F622" s="1">
        <f>IFERROR(__xludf.DUMMYFUNCTION("""COMPUTED_VALUE"""),5908000.0)</f>
        <v>5908000</v>
      </c>
    </row>
    <row r="623">
      <c r="A623" s="2">
        <f>IFERROR(__xludf.DUMMYFUNCTION("""COMPUTED_VALUE"""),37433.666666666664)</f>
        <v>37433.66667</v>
      </c>
      <c r="B623" s="1">
        <f>IFERROR(__xludf.DUMMYFUNCTION("""COMPUTED_VALUE"""),44.5)</f>
        <v>44.5</v>
      </c>
      <c r="C623" s="1">
        <f>IFERROR(__xludf.DUMMYFUNCTION("""COMPUTED_VALUE"""),45.98)</f>
        <v>45.98</v>
      </c>
      <c r="D623" s="1">
        <f>IFERROR(__xludf.DUMMYFUNCTION("""COMPUTED_VALUE"""),43.97)</f>
        <v>43.97</v>
      </c>
      <c r="E623" s="1">
        <f>IFERROR(__xludf.DUMMYFUNCTION("""COMPUTED_VALUE"""),45.21)</f>
        <v>45.21</v>
      </c>
      <c r="F623" s="1">
        <f>IFERROR(__xludf.DUMMYFUNCTION("""COMPUTED_VALUE"""),6801900.0)</f>
        <v>6801900</v>
      </c>
    </row>
    <row r="624">
      <c r="A624" s="2">
        <f>IFERROR(__xludf.DUMMYFUNCTION("""COMPUTED_VALUE"""),37434.666666666664)</f>
        <v>37434.66667</v>
      </c>
      <c r="B624" s="1">
        <f>IFERROR(__xludf.DUMMYFUNCTION("""COMPUTED_VALUE"""),45.83)</f>
        <v>45.83</v>
      </c>
      <c r="C624" s="1">
        <f>IFERROR(__xludf.DUMMYFUNCTION("""COMPUTED_VALUE"""),46.23)</f>
        <v>46.23</v>
      </c>
      <c r="D624" s="1">
        <f>IFERROR(__xludf.DUMMYFUNCTION("""COMPUTED_VALUE"""),44.78)</f>
        <v>44.78</v>
      </c>
      <c r="E624" s="1">
        <f>IFERROR(__xludf.DUMMYFUNCTION("""COMPUTED_VALUE"""),46.11)</f>
        <v>46.11</v>
      </c>
      <c r="F624" s="1">
        <f>IFERROR(__xludf.DUMMYFUNCTION("""COMPUTED_VALUE"""),4756800.0)</f>
        <v>4756800</v>
      </c>
    </row>
    <row r="625">
      <c r="A625" s="2">
        <f>IFERROR(__xludf.DUMMYFUNCTION("""COMPUTED_VALUE"""),37435.666666666664)</f>
        <v>37435.66667</v>
      </c>
      <c r="B625" s="1">
        <f>IFERROR(__xludf.DUMMYFUNCTION("""COMPUTED_VALUE"""),45.85)</f>
        <v>45.85</v>
      </c>
      <c r="C625" s="1">
        <f>IFERROR(__xludf.DUMMYFUNCTION("""COMPUTED_VALUE"""),46.1)</f>
        <v>46.1</v>
      </c>
      <c r="D625" s="1">
        <f>IFERROR(__xludf.DUMMYFUNCTION("""COMPUTED_VALUE"""),44.65)</f>
        <v>44.65</v>
      </c>
      <c r="E625" s="1">
        <f>IFERROR(__xludf.DUMMYFUNCTION("""COMPUTED_VALUE"""),44.65)</f>
        <v>44.65</v>
      </c>
      <c r="F625" s="1">
        <f>IFERROR(__xludf.DUMMYFUNCTION("""COMPUTED_VALUE"""),7074300.0)</f>
        <v>7074300</v>
      </c>
    </row>
    <row r="626">
      <c r="A626" s="2">
        <f>IFERROR(__xludf.DUMMYFUNCTION("""COMPUTED_VALUE"""),37438.666666666664)</f>
        <v>37438.66667</v>
      </c>
      <c r="B626" s="1">
        <f>IFERROR(__xludf.DUMMYFUNCTION("""COMPUTED_VALUE"""),44.67)</f>
        <v>44.67</v>
      </c>
      <c r="C626" s="1">
        <f>IFERROR(__xludf.DUMMYFUNCTION("""COMPUTED_VALUE"""),45.48)</f>
        <v>45.48</v>
      </c>
      <c r="D626" s="1">
        <f>IFERROR(__xludf.DUMMYFUNCTION("""COMPUTED_VALUE"""),44.53)</f>
        <v>44.53</v>
      </c>
      <c r="E626" s="1">
        <f>IFERROR(__xludf.DUMMYFUNCTION("""COMPUTED_VALUE"""),45.17)</f>
        <v>45.17</v>
      </c>
      <c r="F626" s="1">
        <f>IFERROR(__xludf.DUMMYFUNCTION("""COMPUTED_VALUE"""),3893800.0)</f>
        <v>3893800</v>
      </c>
    </row>
    <row r="627">
      <c r="A627" s="2">
        <f>IFERROR(__xludf.DUMMYFUNCTION("""COMPUTED_VALUE"""),37439.666666666664)</f>
        <v>37439.66667</v>
      </c>
      <c r="B627" s="1">
        <f>IFERROR(__xludf.DUMMYFUNCTION("""COMPUTED_VALUE"""),44.52)</f>
        <v>44.52</v>
      </c>
      <c r="C627" s="1">
        <f>IFERROR(__xludf.DUMMYFUNCTION("""COMPUTED_VALUE"""),44.8)</f>
        <v>44.8</v>
      </c>
      <c r="D627" s="1">
        <f>IFERROR(__xludf.DUMMYFUNCTION("""COMPUTED_VALUE"""),44.19)</f>
        <v>44.19</v>
      </c>
      <c r="E627" s="1">
        <f>IFERROR(__xludf.DUMMYFUNCTION("""COMPUTED_VALUE"""),44.51)</f>
        <v>44.51</v>
      </c>
      <c r="F627" s="1">
        <f>IFERROR(__xludf.DUMMYFUNCTION("""COMPUTED_VALUE"""),2109700.0)</f>
        <v>2109700</v>
      </c>
    </row>
    <row r="628">
      <c r="A628" s="2">
        <f>IFERROR(__xludf.DUMMYFUNCTION("""COMPUTED_VALUE"""),37440.666666666664)</f>
        <v>37440.66667</v>
      </c>
      <c r="B628" s="1">
        <f>IFERROR(__xludf.DUMMYFUNCTION("""COMPUTED_VALUE"""),44.23)</f>
        <v>44.23</v>
      </c>
      <c r="C628" s="1">
        <f>IFERROR(__xludf.DUMMYFUNCTION("""COMPUTED_VALUE"""),44.8)</f>
        <v>44.8</v>
      </c>
      <c r="D628" s="1">
        <f>IFERROR(__xludf.DUMMYFUNCTION("""COMPUTED_VALUE"""),43.51)</f>
        <v>43.51</v>
      </c>
      <c r="E628" s="1">
        <f>IFERROR(__xludf.DUMMYFUNCTION("""COMPUTED_VALUE"""),44.18)</f>
        <v>44.18</v>
      </c>
      <c r="F628" s="1">
        <f>IFERROR(__xludf.DUMMYFUNCTION("""COMPUTED_VALUE"""),3810400.0)</f>
        <v>3810400</v>
      </c>
    </row>
    <row r="629">
      <c r="A629" s="2">
        <f>IFERROR(__xludf.DUMMYFUNCTION("""COMPUTED_VALUE"""),37442.666666666664)</f>
        <v>37442.66667</v>
      </c>
      <c r="B629" s="1">
        <f>IFERROR(__xludf.DUMMYFUNCTION("""COMPUTED_VALUE"""),44.08)</f>
        <v>44.08</v>
      </c>
      <c r="C629" s="1">
        <f>IFERROR(__xludf.DUMMYFUNCTION("""COMPUTED_VALUE"""),44.94)</f>
        <v>44.94</v>
      </c>
      <c r="D629" s="1">
        <f>IFERROR(__xludf.DUMMYFUNCTION("""COMPUTED_VALUE"""),43.76)</f>
        <v>43.76</v>
      </c>
      <c r="E629" s="1">
        <f>IFERROR(__xludf.DUMMYFUNCTION("""COMPUTED_VALUE"""),44.94)</f>
        <v>44.94</v>
      </c>
      <c r="F629" s="1">
        <f>IFERROR(__xludf.DUMMYFUNCTION("""COMPUTED_VALUE"""),1807400.0)</f>
        <v>1807400</v>
      </c>
    </row>
    <row r="630">
      <c r="A630" s="2">
        <f>IFERROR(__xludf.DUMMYFUNCTION("""COMPUTED_VALUE"""),37445.666666666664)</f>
        <v>37445.66667</v>
      </c>
      <c r="B630" s="1">
        <f>IFERROR(__xludf.DUMMYFUNCTION("""COMPUTED_VALUE"""),44.94)</f>
        <v>44.94</v>
      </c>
      <c r="C630" s="1">
        <f>IFERROR(__xludf.DUMMYFUNCTION("""COMPUTED_VALUE"""),45.24)</f>
        <v>45.24</v>
      </c>
      <c r="D630" s="1">
        <f>IFERROR(__xludf.DUMMYFUNCTION("""COMPUTED_VALUE"""),44.51)</f>
        <v>44.51</v>
      </c>
      <c r="E630" s="1">
        <f>IFERROR(__xludf.DUMMYFUNCTION("""COMPUTED_VALUE"""),44.92)</f>
        <v>44.92</v>
      </c>
      <c r="F630" s="1">
        <f>IFERROR(__xludf.DUMMYFUNCTION("""COMPUTED_VALUE"""),2818100.0)</f>
        <v>2818100</v>
      </c>
    </row>
    <row r="631">
      <c r="A631" s="2">
        <f>IFERROR(__xludf.DUMMYFUNCTION("""COMPUTED_VALUE"""),37446.666666666664)</f>
        <v>37446.66667</v>
      </c>
      <c r="B631" s="1">
        <f>IFERROR(__xludf.DUMMYFUNCTION("""COMPUTED_VALUE"""),45.05)</f>
        <v>45.05</v>
      </c>
      <c r="C631" s="1">
        <f>IFERROR(__xludf.DUMMYFUNCTION("""COMPUTED_VALUE"""),45.25)</f>
        <v>45.25</v>
      </c>
      <c r="D631" s="1">
        <f>IFERROR(__xludf.DUMMYFUNCTION("""COMPUTED_VALUE"""),43.33)</f>
        <v>43.33</v>
      </c>
      <c r="E631" s="1">
        <f>IFERROR(__xludf.DUMMYFUNCTION("""COMPUTED_VALUE"""),44.47)</f>
        <v>44.47</v>
      </c>
      <c r="F631" s="1">
        <f>IFERROR(__xludf.DUMMYFUNCTION("""COMPUTED_VALUE"""),3417900.0)</f>
        <v>3417900</v>
      </c>
    </row>
    <row r="632">
      <c r="A632" s="2">
        <f>IFERROR(__xludf.DUMMYFUNCTION("""COMPUTED_VALUE"""),37447.666666666664)</f>
        <v>37447.66667</v>
      </c>
      <c r="B632" s="1">
        <f>IFERROR(__xludf.DUMMYFUNCTION("""COMPUTED_VALUE"""),43.98)</f>
        <v>43.98</v>
      </c>
      <c r="C632" s="1">
        <f>IFERROR(__xludf.DUMMYFUNCTION("""COMPUTED_VALUE"""),44.45)</f>
        <v>44.45</v>
      </c>
      <c r="D632" s="1">
        <f>IFERROR(__xludf.DUMMYFUNCTION("""COMPUTED_VALUE"""),43.68)</f>
        <v>43.68</v>
      </c>
      <c r="E632" s="1">
        <f>IFERROR(__xludf.DUMMYFUNCTION("""COMPUTED_VALUE"""),43.98)</f>
        <v>43.98</v>
      </c>
      <c r="F632" s="1">
        <f>IFERROR(__xludf.DUMMYFUNCTION("""COMPUTED_VALUE"""),4935800.0)</f>
        <v>4935800</v>
      </c>
    </row>
    <row r="633">
      <c r="A633" s="2">
        <f>IFERROR(__xludf.DUMMYFUNCTION("""COMPUTED_VALUE"""),37448.666666666664)</f>
        <v>37448.66667</v>
      </c>
      <c r="B633" s="1">
        <f>IFERROR(__xludf.DUMMYFUNCTION("""COMPUTED_VALUE"""),43.55)</f>
        <v>43.55</v>
      </c>
      <c r="C633" s="1">
        <f>IFERROR(__xludf.DUMMYFUNCTION("""COMPUTED_VALUE"""),43.83)</f>
        <v>43.83</v>
      </c>
      <c r="D633" s="1">
        <f>IFERROR(__xludf.DUMMYFUNCTION("""COMPUTED_VALUE"""),42.56)</f>
        <v>42.56</v>
      </c>
      <c r="E633" s="1">
        <f>IFERROR(__xludf.DUMMYFUNCTION("""COMPUTED_VALUE"""),43.08)</f>
        <v>43.08</v>
      </c>
      <c r="F633" s="1">
        <f>IFERROR(__xludf.DUMMYFUNCTION("""COMPUTED_VALUE"""),6330300.0)</f>
        <v>6330300</v>
      </c>
    </row>
    <row r="634">
      <c r="A634" s="2">
        <f>IFERROR(__xludf.DUMMYFUNCTION("""COMPUTED_VALUE"""),37449.666666666664)</f>
        <v>37449.66667</v>
      </c>
      <c r="B634" s="1">
        <f>IFERROR(__xludf.DUMMYFUNCTION("""COMPUTED_VALUE"""),43.06)</f>
        <v>43.06</v>
      </c>
      <c r="C634" s="1">
        <f>IFERROR(__xludf.DUMMYFUNCTION("""COMPUTED_VALUE"""),43.06)</f>
        <v>43.06</v>
      </c>
      <c r="D634" s="1">
        <f>IFERROR(__xludf.DUMMYFUNCTION("""COMPUTED_VALUE"""),41.05)</f>
        <v>41.05</v>
      </c>
      <c r="E634" s="1">
        <f>IFERROR(__xludf.DUMMYFUNCTION("""COMPUTED_VALUE"""),41.82)</f>
        <v>41.82</v>
      </c>
      <c r="F634" s="1">
        <f>IFERROR(__xludf.DUMMYFUNCTION("""COMPUTED_VALUE"""),6915000.0)</f>
        <v>6915000</v>
      </c>
    </row>
    <row r="635">
      <c r="A635" s="2">
        <f>IFERROR(__xludf.DUMMYFUNCTION("""COMPUTED_VALUE"""),37452.666666666664)</f>
        <v>37452.66667</v>
      </c>
      <c r="B635" s="1">
        <f>IFERROR(__xludf.DUMMYFUNCTION("""COMPUTED_VALUE"""),41.3)</f>
        <v>41.3</v>
      </c>
      <c r="C635" s="1">
        <f>IFERROR(__xludf.DUMMYFUNCTION("""COMPUTED_VALUE"""),41.6)</f>
        <v>41.6</v>
      </c>
      <c r="D635" s="1">
        <f>IFERROR(__xludf.DUMMYFUNCTION("""COMPUTED_VALUE"""),39.6)</f>
        <v>39.6</v>
      </c>
      <c r="E635" s="1">
        <f>IFERROR(__xludf.DUMMYFUNCTION("""COMPUTED_VALUE"""),40.54)</f>
        <v>40.54</v>
      </c>
      <c r="F635" s="1">
        <f>IFERROR(__xludf.DUMMYFUNCTION("""COMPUTED_VALUE"""),6938800.0)</f>
        <v>6938800</v>
      </c>
    </row>
    <row r="636">
      <c r="A636" s="2">
        <f>IFERROR(__xludf.DUMMYFUNCTION("""COMPUTED_VALUE"""),37453.666666666664)</f>
        <v>37453.66667</v>
      </c>
      <c r="B636" s="1">
        <f>IFERROR(__xludf.DUMMYFUNCTION("""COMPUTED_VALUE"""),40.46)</f>
        <v>40.46</v>
      </c>
      <c r="C636" s="1">
        <f>IFERROR(__xludf.DUMMYFUNCTION("""COMPUTED_VALUE"""),40.46)</f>
        <v>40.46</v>
      </c>
      <c r="D636" s="1">
        <f>IFERROR(__xludf.DUMMYFUNCTION("""COMPUTED_VALUE"""),40.46)</f>
        <v>40.46</v>
      </c>
      <c r="E636" s="1">
        <f>IFERROR(__xludf.DUMMYFUNCTION("""COMPUTED_VALUE"""),40.46)</f>
        <v>40.46</v>
      </c>
      <c r="F636" s="1">
        <f>IFERROR(__xludf.DUMMYFUNCTION("""COMPUTED_VALUE"""),44700.0)</f>
        <v>44700</v>
      </c>
    </row>
    <row r="637">
      <c r="A637" s="2">
        <f>IFERROR(__xludf.DUMMYFUNCTION("""COMPUTED_VALUE"""),37454.666666666664)</f>
        <v>37454.66667</v>
      </c>
      <c r="B637" s="1">
        <f>IFERROR(__xludf.DUMMYFUNCTION("""COMPUTED_VALUE"""),40.98)</f>
        <v>40.98</v>
      </c>
      <c r="C637" s="1">
        <f>IFERROR(__xludf.DUMMYFUNCTION("""COMPUTED_VALUE"""),41.12)</f>
        <v>41.12</v>
      </c>
      <c r="D637" s="1">
        <f>IFERROR(__xludf.DUMMYFUNCTION("""COMPUTED_VALUE"""),39.88)</f>
        <v>39.88</v>
      </c>
      <c r="E637" s="1">
        <f>IFERROR(__xludf.DUMMYFUNCTION("""COMPUTED_VALUE"""),40.03)</f>
        <v>40.03</v>
      </c>
      <c r="F637" s="1">
        <f>IFERROR(__xludf.DUMMYFUNCTION("""COMPUTED_VALUE"""),5771900.0)</f>
        <v>5771900</v>
      </c>
    </row>
    <row r="638">
      <c r="A638" s="2">
        <f>IFERROR(__xludf.DUMMYFUNCTION("""COMPUTED_VALUE"""),37455.666666666664)</f>
        <v>37455.66667</v>
      </c>
      <c r="B638" s="1">
        <f>IFERROR(__xludf.DUMMYFUNCTION("""COMPUTED_VALUE"""),40.07)</f>
        <v>40.07</v>
      </c>
      <c r="C638" s="1">
        <f>IFERROR(__xludf.DUMMYFUNCTION("""COMPUTED_VALUE"""),41.06)</f>
        <v>41.06</v>
      </c>
      <c r="D638" s="1">
        <f>IFERROR(__xludf.DUMMYFUNCTION("""COMPUTED_VALUE"""),40.06)</f>
        <v>40.06</v>
      </c>
      <c r="E638" s="1">
        <f>IFERROR(__xludf.DUMMYFUNCTION("""COMPUTED_VALUE"""),40.2)</f>
        <v>40.2</v>
      </c>
      <c r="F638" s="1">
        <f>IFERROR(__xludf.DUMMYFUNCTION("""COMPUTED_VALUE"""),4380700.0)</f>
        <v>4380700</v>
      </c>
    </row>
    <row r="639">
      <c r="A639" s="2">
        <f>IFERROR(__xludf.DUMMYFUNCTION("""COMPUTED_VALUE"""),37456.666666666664)</f>
        <v>37456.66667</v>
      </c>
      <c r="B639" s="1">
        <f>IFERROR(__xludf.DUMMYFUNCTION("""COMPUTED_VALUE"""),39.51)</f>
        <v>39.51</v>
      </c>
      <c r="C639" s="1">
        <f>IFERROR(__xludf.DUMMYFUNCTION("""COMPUTED_VALUE"""),39.73)</f>
        <v>39.73</v>
      </c>
      <c r="D639" s="1">
        <f>IFERROR(__xludf.DUMMYFUNCTION("""COMPUTED_VALUE"""),37.04)</f>
        <v>37.04</v>
      </c>
      <c r="E639" s="1">
        <f>IFERROR(__xludf.DUMMYFUNCTION("""COMPUTED_VALUE"""),37.23)</f>
        <v>37.23</v>
      </c>
      <c r="F639" s="1">
        <f>IFERROR(__xludf.DUMMYFUNCTION("""COMPUTED_VALUE"""),8639100.0)</f>
        <v>8639100</v>
      </c>
    </row>
    <row r="640">
      <c r="A640" s="2">
        <f>IFERROR(__xludf.DUMMYFUNCTION("""COMPUTED_VALUE"""),37459.666666666664)</f>
        <v>37459.66667</v>
      </c>
      <c r="B640" s="1">
        <f>IFERROR(__xludf.DUMMYFUNCTION("""COMPUTED_VALUE"""),37.87)</f>
        <v>37.87</v>
      </c>
      <c r="C640" s="1">
        <f>IFERROR(__xludf.DUMMYFUNCTION("""COMPUTED_VALUE"""),39.48)</f>
        <v>39.48</v>
      </c>
      <c r="D640" s="1">
        <f>IFERROR(__xludf.DUMMYFUNCTION("""COMPUTED_VALUE"""),37.5)</f>
        <v>37.5</v>
      </c>
      <c r="E640" s="1">
        <f>IFERROR(__xludf.DUMMYFUNCTION("""COMPUTED_VALUE"""),38.92)</f>
        <v>38.92</v>
      </c>
      <c r="F640" s="1">
        <f>IFERROR(__xludf.DUMMYFUNCTION("""COMPUTED_VALUE"""),8612400.0)</f>
        <v>8612400</v>
      </c>
    </row>
    <row r="641">
      <c r="A641" s="2">
        <f>IFERROR(__xludf.DUMMYFUNCTION("""COMPUTED_VALUE"""),37460.666666666664)</f>
        <v>37460.66667</v>
      </c>
      <c r="B641" s="1">
        <f>IFERROR(__xludf.DUMMYFUNCTION("""COMPUTED_VALUE"""),39.5)</f>
        <v>39.5</v>
      </c>
      <c r="C641" s="1">
        <f>IFERROR(__xludf.DUMMYFUNCTION("""COMPUTED_VALUE"""),40.05)</f>
        <v>40.05</v>
      </c>
      <c r="D641" s="1">
        <f>IFERROR(__xludf.DUMMYFUNCTION("""COMPUTED_VALUE"""),39.01)</f>
        <v>39.01</v>
      </c>
      <c r="E641" s="1">
        <f>IFERROR(__xludf.DUMMYFUNCTION("""COMPUTED_VALUE"""),39.6)</f>
        <v>39.6</v>
      </c>
      <c r="F641" s="1">
        <f>IFERROR(__xludf.DUMMYFUNCTION("""COMPUTED_VALUE"""),6774500.0)</f>
        <v>6774500</v>
      </c>
    </row>
    <row r="642">
      <c r="A642" s="2">
        <f>IFERROR(__xludf.DUMMYFUNCTION("""COMPUTED_VALUE"""),37461.666666666664)</f>
        <v>37461.66667</v>
      </c>
      <c r="B642" s="1">
        <f>IFERROR(__xludf.DUMMYFUNCTION("""COMPUTED_VALUE"""),39.05)</f>
        <v>39.05</v>
      </c>
      <c r="C642" s="1">
        <f>IFERROR(__xludf.DUMMYFUNCTION("""COMPUTED_VALUE"""),41.17)</f>
        <v>41.17</v>
      </c>
      <c r="D642" s="1">
        <f>IFERROR(__xludf.DUMMYFUNCTION("""COMPUTED_VALUE"""),39.05)</f>
        <v>39.05</v>
      </c>
      <c r="E642" s="1">
        <f>IFERROR(__xludf.DUMMYFUNCTION("""COMPUTED_VALUE"""),41.13)</f>
        <v>41.13</v>
      </c>
      <c r="F642" s="1">
        <f>IFERROR(__xludf.DUMMYFUNCTION("""COMPUTED_VALUE"""),8069800.0)</f>
        <v>8069800</v>
      </c>
    </row>
    <row r="643">
      <c r="A643" s="2">
        <f>IFERROR(__xludf.DUMMYFUNCTION("""COMPUTED_VALUE"""),37462.666666666664)</f>
        <v>37462.66667</v>
      </c>
      <c r="B643" s="1">
        <f>IFERROR(__xludf.DUMMYFUNCTION("""COMPUTED_VALUE"""),41.13)</f>
        <v>41.13</v>
      </c>
      <c r="C643" s="1">
        <f>IFERROR(__xludf.DUMMYFUNCTION("""COMPUTED_VALUE"""),42.51)</f>
        <v>42.51</v>
      </c>
      <c r="D643" s="1">
        <f>IFERROR(__xludf.DUMMYFUNCTION("""COMPUTED_VALUE"""),40.53)</f>
        <v>40.53</v>
      </c>
      <c r="E643" s="1">
        <f>IFERROR(__xludf.DUMMYFUNCTION("""COMPUTED_VALUE"""),42.51)</f>
        <v>42.51</v>
      </c>
      <c r="F643" s="1">
        <f>IFERROR(__xludf.DUMMYFUNCTION("""COMPUTED_VALUE"""),6548300.0)</f>
        <v>6548300</v>
      </c>
    </row>
    <row r="644">
      <c r="A644" s="2">
        <f>IFERROR(__xludf.DUMMYFUNCTION("""COMPUTED_VALUE"""),37463.666666666664)</f>
        <v>37463.66667</v>
      </c>
      <c r="B644" s="1">
        <f>IFERROR(__xludf.DUMMYFUNCTION("""COMPUTED_VALUE"""),42.15)</f>
        <v>42.15</v>
      </c>
      <c r="C644" s="1">
        <f>IFERROR(__xludf.DUMMYFUNCTION("""COMPUTED_VALUE"""),42.35)</f>
        <v>42.35</v>
      </c>
      <c r="D644" s="1">
        <f>IFERROR(__xludf.DUMMYFUNCTION("""COMPUTED_VALUE"""),41.63)</f>
        <v>41.63</v>
      </c>
      <c r="E644" s="1">
        <f>IFERROR(__xludf.DUMMYFUNCTION("""COMPUTED_VALUE"""),42.1)</f>
        <v>42.1</v>
      </c>
      <c r="F644" s="1">
        <f>IFERROR(__xludf.DUMMYFUNCTION("""COMPUTED_VALUE"""),4552200.0)</f>
        <v>4552200</v>
      </c>
    </row>
    <row r="645">
      <c r="A645" s="2">
        <f>IFERROR(__xludf.DUMMYFUNCTION("""COMPUTED_VALUE"""),37466.666666666664)</f>
        <v>37466.66667</v>
      </c>
      <c r="B645" s="1">
        <f>IFERROR(__xludf.DUMMYFUNCTION("""COMPUTED_VALUE"""),42.31)</f>
        <v>42.31</v>
      </c>
      <c r="C645" s="1">
        <f>IFERROR(__xludf.DUMMYFUNCTION("""COMPUTED_VALUE"""),43.61)</f>
        <v>43.61</v>
      </c>
      <c r="D645" s="1">
        <f>IFERROR(__xludf.DUMMYFUNCTION("""COMPUTED_VALUE"""),42.23)</f>
        <v>42.23</v>
      </c>
      <c r="E645" s="1">
        <f>IFERROR(__xludf.DUMMYFUNCTION("""COMPUTED_VALUE"""),43.61)</f>
        <v>43.61</v>
      </c>
      <c r="F645" s="1">
        <f>IFERROR(__xludf.DUMMYFUNCTION("""COMPUTED_VALUE"""),4913900.0)</f>
        <v>4913900</v>
      </c>
    </row>
    <row r="646">
      <c r="A646" s="2">
        <f>IFERROR(__xludf.DUMMYFUNCTION("""COMPUTED_VALUE"""),37467.666666666664)</f>
        <v>37467.66667</v>
      </c>
      <c r="B646" s="1">
        <f>IFERROR(__xludf.DUMMYFUNCTION("""COMPUTED_VALUE"""),43.2)</f>
        <v>43.2</v>
      </c>
      <c r="C646" s="1">
        <f>IFERROR(__xludf.DUMMYFUNCTION("""COMPUTED_VALUE"""),43.78)</f>
        <v>43.78</v>
      </c>
      <c r="D646" s="1">
        <f>IFERROR(__xludf.DUMMYFUNCTION("""COMPUTED_VALUE"""),42.89)</f>
        <v>42.89</v>
      </c>
      <c r="E646" s="1">
        <f>IFERROR(__xludf.DUMMYFUNCTION("""COMPUTED_VALUE"""),43.64)</f>
        <v>43.64</v>
      </c>
      <c r="F646" s="1">
        <f>IFERROR(__xludf.DUMMYFUNCTION("""COMPUTED_VALUE"""),4321900.0)</f>
        <v>4321900</v>
      </c>
    </row>
    <row r="647">
      <c r="A647" s="2">
        <f>IFERROR(__xludf.DUMMYFUNCTION("""COMPUTED_VALUE"""),37468.666666666664)</f>
        <v>37468.66667</v>
      </c>
      <c r="B647" s="1">
        <f>IFERROR(__xludf.DUMMYFUNCTION("""COMPUTED_VALUE"""),43.8)</f>
        <v>43.8</v>
      </c>
      <c r="C647" s="1">
        <f>IFERROR(__xludf.DUMMYFUNCTION("""COMPUTED_VALUE"""),44.5)</f>
        <v>44.5</v>
      </c>
      <c r="D647" s="1">
        <f>IFERROR(__xludf.DUMMYFUNCTION("""COMPUTED_VALUE"""),43.38)</f>
        <v>43.38</v>
      </c>
      <c r="E647" s="1">
        <f>IFERROR(__xludf.DUMMYFUNCTION("""COMPUTED_VALUE"""),44.5)</f>
        <v>44.5</v>
      </c>
      <c r="F647" s="1">
        <f>IFERROR(__xludf.DUMMYFUNCTION("""COMPUTED_VALUE"""),5094200.0)</f>
        <v>5094200</v>
      </c>
    </row>
    <row r="648">
      <c r="A648" s="2">
        <f>IFERROR(__xludf.DUMMYFUNCTION("""COMPUTED_VALUE"""),37469.666666666664)</f>
        <v>37469.66667</v>
      </c>
      <c r="B648" s="1">
        <f>IFERROR(__xludf.DUMMYFUNCTION("""COMPUTED_VALUE"""),44.37)</f>
        <v>44.37</v>
      </c>
      <c r="C648" s="1">
        <f>IFERROR(__xludf.DUMMYFUNCTION("""COMPUTED_VALUE"""),44.9)</f>
        <v>44.9</v>
      </c>
      <c r="D648" s="1">
        <f>IFERROR(__xludf.DUMMYFUNCTION("""COMPUTED_VALUE"""),43.63)</f>
        <v>43.63</v>
      </c>
      <c r="E648" s="1">
        <f>IFERROR(__xludf.DUMMYFUNCTION("""COMPUTED_VALUE"""),43.94)</f>
        <v>43.94</v>
      </c>
      <c r="F648" s="1">
        <f>IFERROR(__xludf.DUMMYFUNCTION("""COMPUTED_VALUE"""),5134300.0)</f>
        <v>5134300</v>
      </c>
    </row>
    <row r="649">
      <c r="A649" s="2">
        <f>IFERROR(__xludf.DUMMYFUNCTION("""COMPUTED_VALUE"""),37470.666666666664)</f>
        <v>37470.66667</v>
      </c>
      <c r="B649" s="1">
        <f>IFERROR(__xludf.DUMMYFUNCTION("""COMPUTED_VALUE"""),43.94)</f>
        <v>43.94</v>
      </c>
      <c r="C649" s="1">
        <f>IFERROR(__xludf.DUMMYFUNCTION("""COMPUTED_VALUE"""),44.95)</f>
        <v>44.95</v>
      </c>
      <c r="D649" s="1">
        <f>IFERROR(__xludf.DUMMYFUNCTION("""COMPUTED_VALUE"""),43.91)</f>
        <v>43.91</v>
      </c>
      <c r="E649" s="1">
        <f>IFERROR(__xludf.DUMMYFUNCTION("""COMPUTED_VALUE"""),44.92)</f>
        <v>44.92</v>
      </c>
      <c r="F649" s="1">
        <f>IFERROR(__xludf.DUMMYFUNCTION("""COMPUTED_VALUE"""),7255700.0)</f>
        <v>7255700</v>
      </c>
    </row>
    <row r="650">
      <c r="A650" s="2">
        <f>IFERROR(__xludf.DUMMYFUNCTION("""COMPUTED_VALUE"""),37473.666666666664)</f>
        <v>37473.66667</v>
      </c>
      <c r="B650" s="1">
        <f>IFERROR(__xludf.DUMMYFUNCTION("""COMPUTED_VALUE"""),44.7)</f>
        <v>44.7</v>
      </c>
      <c r="C650" s="1">
        <f>IFERROR(__xludf.DUMMYFUNCTION("""COMPUTED_VALUE"""),44.71)</f>
        <v>44.71</v>
      </c>
      <c r="D650" s="1">
        <f>IFERROR(__xludf.DUMMYFUNCTION("""COMPUTED_VALUE"""),43.6)</f>
        <v>43.6</v>
      </c>
      <c r="E650" s="1">
        <f>IFERROR(__xludf.DUMMYFUNCTION("""COMPUTED_VALUE"""),43.72)</f>
        <v>43.72</v>
      </c>
      <c r="F650" s="1">
        <f>IFERROR(__xludf.DUMMYFUNCTION("""COMPUTED_VALUE"""),7960500.0)</f>
        <v>7960500</v>
      </c>
    </row>
    <row r="651">
      <c r="A651" s="2">
        <f>IFERROR(__xludf.DUMMYFUNCTION("""COMPUTED_VALUE"""),37474.666666666664)</f>
        <v>37474.66667</v>
      </c>
      <c r="B651" s="1">
        <f>IFERROR(__xludf.DUMMYFUNCTION("""COMPUTED_VALUE"""),44.35)</f>
        <v>44.35</v>
      </c>
      <c r="C651" s="1">
        <f>IFERROR(__xludf.DUMMYFUNCTION("""COMPUTED_VALUE"""),44.68)</f>
        <v>44.68</v>
      </c>
      <c r="D651" s="1">
        <f>IFERROR(__xludf.DUMMYFUNCTION("""COMPUTED_VALUE"""),43.56)</f>
        <v>43.56</v>
      </c>
      <c r="E651" s="1">
        <f>IFERROR(__xludf.DUMMYFUNCTION("""COMPUTED_VALUE"""),43.86)</f>
        <v>43.86</v>
      </c>
      <c r="F651" s="1">
        <f>IFERROR(__xludf.DUMMYFUNCTION("""COMPUTED_VALUE"""),6525700.0)</f>
        <v>6525700</v>
      </c>
    </row>
    <row r="652">
      <c r="A652" s="2">
        <f>IFERROR(__xludf.DUMMYFUNCTION("""COMPUTED_VALUE"""),37475.666666666664)</f>
        <v>37475.66667</v>
      </c>
      <c r="B652" s="1">
        <f>IFERROR(__xludf.DUMMYFUNCTION("""COMPUTED_VALUE"""),44.1)</f>
        <v>44.1</v>
      </c>
      <c r="C652" s="1">
        <f>IFERROR(__xludf.DUMMYFUNCTION("""COMPUTED_VALUE"""),44.55)</f>
        <v>44.55</v>
      </c>
      <c r="D652" s="1">
        <f>IFERROR(__xludf.DUMMYFUNCTION("""COMPUTED_VALUE"""),43.25)</f>
        <v>43.25</v>
      </c>
      <c r="E652" s="1">
        <f>IFERROR(__xludf.DUMMYFUNCTION("""COMPUTED_VALUE"""),44.47)</f>
        <v>44.47</v>
      </c>
      <c r="F652" s="1">
        <f>IFERROR(__xludf.DUMMYFUNCTION("""COMPUTED_VALUE"""),5453400.0)</f>
        <v>5453400</v>
      </c>
    </row>
    <row r="653">
      <c r="A653" s="2">
        <f>IFERROR(__xludf.DUMMYFUNCTION("""COMPUTED_VALUE"""),37476.666666666664)</f>
        <v>37476.66667</v>
      </c>
      <c r="B653" s="1">
        <f>IFERROR(__xludf.DUMMYFUNCTION("""COMPUTED_VALUE"""),44.47)</f>
        <v>44.47</v>
      </c>
      <c r="C653" s="1">
        <f>IFERROR(__xludf.DUMMYFUNCTION("""COMPUTED_VALUE"""),45.47)</f>
        <v>45.47</v>
      </c>
      <c r="D653" s="1">
        <f>IFERROR(__xludf.DUMMYFUNCTION("""COMPUTED_VALUE"""),44.17)</f>
        <v>44.17</v>
      </c>
      <c r="E653" s="1">
        <f>IFERROR(__xludf.DUMMYFUNCTION("""COMPUTED_VALUE"""),45.43)</f>
        <v>45.43</v>
      </c>
      <c r="F653" s="1">
        <f>IFERROR(__xludf.DUMMYFUNCTION("""COMPUTED_VALUE"""),4950600.0)</f>
        <v>4950600</v>
      </c>
    </row>
    <row r="654">
      <c r="A654" s="2">
        <f>IFERROR(__xludf.DUMMYFUNCTION("""COMPUTED_VALUE"""),37477.666666666664)</f>
        <v>37477.66667</v>
      </c>
      <c r="B654" s="1">
        <f>IFERROR(__xludf.DUMMYFUNCTION("""COMPUTED_VALUE"""),44.83)</f>
        <v>44.83</v>
      </c>
      <c r="C654" s="1">
        <f>IFERROR(__xludf.DUMMYFUNCTION("""COMPUTED_VALUE"""),45.75)</f>
        <v>45.75</v>
      </c>
      <c r="D654" s="1">
        <f>IFERROR(__xludf.DUMMYFUNCTION("""COMPUTED_VALUE"""),44.75)</f>
        <v>44.75</v>
      </c>
      <c r="E654" s="1">
        <f>IFERROR(__xludf.DUMMYFUNCTION("""COMPUTED_VALUE"""),45.57)</f>
        <v>45.57</v>
      </c>
      <c r="F654" s="1">
        <f>IFERROR(__xludf.DUMMYFUNCTION("""COMPUTED_VALUE"""),4297500.0)</f>
        <v>4297500</v>
      </c>
    </row>
    <row r="655">
      <c r="A655" s="2">
        <f>IFERROR(__xludf.DUMMYFUNCTION("""COMPUTED_VALUE"""),37480.666666666664)</f>
        <v>37480.66667</v>
      </c>
      <c r="B655" s="1">
        <f>IFERROR(__xludf.DUMMYFUNCTION("""COMPUTED_VALUE"""),45.0)</f>
        <v>45</v>
      </c>
      <c r="C655" s="1">
        <f>IFERROR(__xludf.DUMMYFUNCTION("""COMPUTED_VALUE"""),45.72)</f>
        <v>45.72</v>
      </c>
      <c r="D655" s="1">
        <f>IFERROR(__xludf.DUMMYFUNCTION("""COMPUTED_VALUE"""),44.98)</f>
        <v>44.98</v>
      </c>
      <c r="E655" s="1">
        <f>IFERROR(__xludf.DUMMYFUNCTION("""COMPUTED_VALUE"""),45.43)</f>
        <v>45.43</v>
      </c>
      <c r="F655" s="1">
        <f>IFERROR(__xludf.DUMMYFUNCTION("""COMPUTED_VALUE"""),3101900.0)</f>
        <v>3101900</v>
      </c>
    </row>
    <row r="656">
      <c r="A656" s="2">
        <f>IFERROR(__xludf.DUMMYFUNCTION("""COMPUTED_VALUE"""),37481.666666666664)</f>
        <v>37481.66667</v>
      </c>
      <c r="B656" s="1">
        <f>IFERROR(__xludf.DUMMYFUNCTION("""COMPUTED_VALUE"""),44.98)</f>
        <v>44.98</v>
      </c>
      <c r="C656" s="1">
        <f>IFERROR(__xludf.DUMMYFUNCTION("""COMPUTED_VALUE"""),45.85)</f>
        <v>45.85</v>
      </c>
      <c r="D656" s="1">
        <f>IFERROR(__xludf.DUMMYFUNCTION("""COMPUTED_VALUE"""),44.85)</f>
        <v>44.85</v>
      </c>
      <c r="E656" s="1">
        <f>IFERROR(__xludf.DUMMYFUNCTION("""COMPUTED_VALUE"""),45.03)</f>
        <v>45.03</v>
      </c>
      <c r="F656" s="1">
        <f>IFERROR(__xludf.DUMMYFUNCTION("""COMPUTED_VALUE"""),4571100.0)</f>
        <v>4571100</v>
      </c>
    </row>
    <row r="657">
      <c r="A657" s="2">
        <f>IFERROR(__xludf.DUMMYFUNCTION("""COMPUTED_VALUE"""),37482.666666666664)</f>
        <v>37482.66667</v>
      </c>
      <c r="B657" s="1">
        <f>IFERROR(__xludf.DUMMYFUNCTION("""COMPUTED_VALUE"""),45.03)</f>
        <v>45.03</v>
      </c>
      <c r="C657" s="1">
        <f>IFERROR(__xludf.DUMMYFUNCTION("""COMPUTED_VALUE"""),46.45)</f>
        <v>46.45</v>
      </c>
      <c r="D657" s="1">
        <f>IFERROR(__xludf.DUMMYFUNCTION("""COMPUTED_VALUE"""),44.67)</f>
        <v>44.67</v>
      </c>
      <c r="E657" s="1">
        <f>IFERROR(__xludf.DUMMYFUNCTION("""COMPUTED_VALUE"""),46.45)</f>
        <v>46.45</v>
      </c>
      <c r="F657" s="1">
        <f>IFERROR(__xludf.DUMMYFUNCTION("""COMPUTED_VALUE"""),4463600.0)</f>
        <v>4463600</v>
      </c>
    </row>
    <row r="658">
      <c r="A658" s="2">
        <f>IFERROR(__xludf.DUMMYFUNCTION("""COMPUTED_VALUE"""),37483.666666666664)</f>
        <v>37483.66667</v>
      </c>
      <c r="B658" s="1">
        <f>IFERROR(__xludf.DUMMYFUNCTION("""COMPUTED_VALUE"""),46.03)</f>
        <v>46.03</v>
      </c>
      <c r="C658" s="1">
        <f>IFERROR(__xludf.DUMMYFUNCTION("""COMPUTED_VALUE"""),46.45)</f>
        <v>46.45</v>
      </c>
      <c r="D658" s="1">
        <f>IFERROR(__xludf.DUMMYFUNCTION("""COMPUTED_VALUE"""),45.35)</f>
        <v>45.35</v>
      </c>
      <c r="E658" s="1">
        <f>IFERROR(__xludf.DUMMYFUNCTION("""COMPUTED_VALUE"""),45.66)</f>
        <v>45.66</v>
      </c>
      <c r="F658" s="1">
        <f>IFERROR(__xludf.DUMMYFUNCTION("""COMPUTED_VALUE"""),4502800.0)</f>
        <v>4502800</v>
      </c>
    </row>
    <row r="659">
      <c r="A659" s="2">
        <f>IFERROR(__xludf.DUMMYFUNCTION("""COMPUTED_VALUE"""),37484.666666666664)</f>
        <v>37484.66667</v>
      </c>
      <c r="B659" s="1">
        <f>IFERROR(__xludf.DUMMYFUNCTION("""COMPUTED_VALUE"""),45.0)</f>
        <v>45</v>
      </c>
      <c r="C659" s="1">
        <f>IFERROR(__xludf.DUMMYFUNCTION("""COMPUTED_VALUE"""),45.5)</f>
        <v>45.5</v>
      </c>
      <c r="D659" s="1">
        <f>IFERROR(__xludf.DUMMYFUNCTION("""COMPUTED_VALUE"""),44.53)</f>
        <v>44.53</v>
      </c>
      <c r="E659" s="1">
        <f>IFERROR(__xludf.DUMMYFUNCTION("""COMPUTED_VALUE"""),45.5)</f>
        <v>45.5</v>
      </c>
      <c r="F659" s="1">
        <f>IFERROR(__xludf.DUMMYFUNCTION("""COMPUTED_VALUE"""),4820300.0)</f>
        <v>4820300</v>
      </c>
    </row>
    <row r="660">
      <c r="A660" s="2">
        <f>IFERROR(__xludf.DUMMYFUNCTION("""COMPUTED_VALUE"""),37487.666666666664)</f>
        <v>37487.66667</v>
      </c>
      <c r="B660" s="1">
        <f>IFERROR(__xludf.DUMMYFUNCTION("""COMPUTED_VALUE"""),45.3)</f>
        <v>45.3</v>
      </c>
      <c r="C660" s="1">
        <f>IFERROR(__xludf.DUMMYFUNCTION("""COMPUTED_VALUE"""),45.76)</f>
        <v>45.76</v>
      </c>
      <c r="D660" s="1">
        <f>IFERROR(__xludf.DUMMYFUNCTION("""COMPUTED_VALUE"""),45.02)</f>
        <v>45.02</v>
      </c>
      <c r="E660" s="1">
        <f>IFERROR(__xludf.DUMMYFUNCTION("""COMPUTED_VALUE"""),45.63)</f>
        <v>45.63</v>
      </c>
      <c r="F660" s="1">
        <f>IFERROR(__xludf.DUMMYFUNCTION("""COMPUTED_VALUE"""),3812800.0)</f>
        <v>3812800</v>
      </c>
    </row>
    <row r="661">
      <c r="A661" s="2">
        <f>IFERROR(__xludf.DUMMYFUNCTION("""COMPUTED_VALUE"""),37488.666666666664)</f>
        <v>37488.66667</v>
      </c>
      <c r="B661" s="1">
        <f>IFERROR(__xludf.DUMMYFUNCTION("""COMPUTED_VALUE"""),45.18)</f>
        <v>45.18</v>
      </c>
      <c r="C661" s="1">
        <f>IFERROR(__xludf.DUMMYFUNCTION("""COMPUTED_VALUE"""),45.45)</f>
        <v>45.45</v>
      </c>
      <c r="D661" s="1">
        <f>IFERROR(__xludf.DUMMYFUNCTION("""COMPUTED_VALUE"""),45.01)</f>
        <v>45.01</v>
      </c>
      <c r="E661" s="1">
        <f>IFERROR(__xludf.DUMMYFUNCTION("""COMPUTED_VALUE"""),45.11)</f>
        <v>45.11</v>
      </c>
      <c r="F661" s="1">
        <f>IFERROR(__xludf.DUMMYFUNCTION("""COMPUTED_VALUE"""),3375600.0)</f>
        <v>3375600</v>
      </c>
    </row>
    <row r="662">
      <c r="A662" s="2">
        <f>IFERROR(__xludf.DUMMYFUNCTION("""COMPUTED_VALUE"""),37489.666666666664)</f>
        <v>37489.66667</v>
      </c>
      <c r="B662" s="1">
        <f>IFERROR(__xludf.DUMMYFUNCTION("""COMPUTED_VALUE"""),45.13)</f>
        <v>45.13</v>
      </c>
      <c r="C662" s="1">
        <f>IFERROR(__xludf.DUMMYFUNCTION("""COMPUTED_VALUE"""),45.5)</f>
        <v>45.5</v>
      </c>
      <c r="D662" s="1">
        <f>IFERROR(__xludf.DUMMYFUNCTION("""COMPUTED_VALUE"""),44.9)</f>
        <v>44.9</v>
      </c>
      <c r="E662" s="1">
        <f>IFERROR(__xludf.DUMMYFUNCTION("""COMPUTED_VALUE"""),45.45)</f>
        <v>45.45</v>
      </c>
      <c r="F662" s="1">
        <f>IFERROR(__xludf.DUMMYFUNCTION("""COMPUTED_VALUE"""),3017300.0)</f>
        <v>3017300</v>
      </c>
    </row>
    <row r="663">
      <c r="A663" s="2">
        <f>IFERROR(__xludf.DUMMYFUNCTION("""COMPUTED_VALUE"""),37490.666666666664)</f>
        <v>37490.66667</v>
      </c>
      <c r="B663" s="1">
        <f>IFERROR(__xludf.DUMMYFUNCTION("""COMPUTED_VALUE"""),45.09)</f>
        <v>45.09</v>
      </c>
      <c r="C663" s="1">
        <f>IFERROR(__xludf.DUMMYFUNCTION("""COMPUTED_VALUE"""),45.55)</f>
        <v>45.55</v>
      </c>
      <c r="D663" s="1">
        <f>IFERROR(__xludf.DUMMYFUNCTION("""COMPUTED_VALUE"""),44.88)</f>
        <v>44.88</v>
      </c>
      <c r="E663" s="1">
        <f>IFERROR(__xludf.DUMMYFUNCTION("""COMPUTED_VALUE"""),45.38)</f>
        <v>45.38</v>
      </c>
      <c r="F663" s="1">
        <f>IFERROR(__xludf.DUMMYFUNCTION("""COMPUTED_VALUE"""),2924300.0)</f>
        <v>2924300</v>
      </c>
    </row>
    <row r="664">
      <c r="A664" s="2">
        <f>IFERROR(__xludf.DUMMYFUNCTION("""COMPUTED_VALUE"""),37491.666666666664)</f>
        <v>37491.66667</v>
      </c>
      <c r="B664" s="1">
        <f>IFERROR(__xludf.DUMMYFUNCTION("""COMPUTED_VALUE"""),45.1)</f>
        <v>45.1</v>
      </c>
      <c r="C664" s="1">
        <f>IFERROR(__xludf.DUMMYFUNCTION("""COMPUTED_VALUE"""),45.48)</f>
        <v>45.48</v>
      </c>
      <c r="D664" s="1">
        <f>IFERROR(__xludf.DUMMYFUNCTION("""COMPUTED_VALUE"""),44.97)</f>
        <v>44.97</v>
      </c>
      <c r="E664" s="1">
        <f>IFERROR(__xludf.DUMMYFUNCTION("""COMPUTED_VALUE"""),45.13)</f>
        <v>45.13</v>
      </c>
      <c r="F664" s="1">
        <f>IFERROR(__xludf.DUMMYFUNCTION("""COMPUTED_VALUE"""),2536200.0)</f>
        <v>2536200</v>
      </c>
    </row>
    <row r="665">
      <c r="A665" s="2">
        <f>IFERROR(__xludf.DUMMYFUNCTION("""COMPUTED_VALUE"""),37494.666666666664)</f>
        <v>37494.66667</v>
      </c>
      <c r="B665" s="1">
        <f>IFERROR(__xludf.DUMMYFUNCTION("""COMPUTED_VALUE"""),45.13)</f>
        <v>45.13</v>
      </c>
      <c r="C665" s="1">
        <f>IFERROR(__xludf.DUMMYFUNCTION("""COMPUTED_VALUE"""),45.25)</f>
        <v>45.25</v>
      </c>
      <c r="D665" s="1">
        <f>IFERROR(__xludf.DUMMYFUNCTION("""COMPUTED_VALUE"""),44.58)</f>
        <v>44.58</v>
      </c>
      <c r="E665" s="1">
        <f>IFERROR(__xludf.DUMMYFUNCTION("""COMPUTED_VALUE"""),45.2)</f>
        <v>45.2</v>
      </c>
      <c r="F665" s="1">
        <f>IFERROR(__xludf.DUMMYFUNCTION("""COMPUTED_VALUE"""),3235600.0)</f>
        <v>3235600</v>
      </c>
    </row>
    <row r="666">
      <c r="A666" s="2">
        <f>IFERROR(__xludf.DUMMYFUNCTION("""COMPUTED_VALUE"""),37495.666666666664)</f>
        <v>37495.66667</v>
      </c>
      <c r="B666" s="1">
        <f>IFERROR(__xludf.DUMMYFUNCTION("""COMPUTED_VALUE"""),45.13)</f>
        <v>45.13</v>
      </c>
      <c r="C666" s="1">
        <f>IFERROR(__xludf.DUMMYFUNCTION("""COMPUTED_VALUE"""),45.46)</f>
        <v>45.46</v>
      </c>
      <c r="D666" s="1">
        <f>IFERROR(__xludf.DUMMYFUNCTION("""COMPUTED_VALUE"""),44.63)</f>
        <v>44.63</v>
      </c>
      <c r="E666" s="1">
        <f>IFERROR(__xludf.DUMMYFUNCTION("""COMPUTED_VALUE"""),45.21)</f>
        <v>45.21</v>
      </c>
      <c r="F666" s="1">
        <f>IFERROR(__xludf.DUMMYFUNCTION("""COMPUTED_VALUE"""),3407900.0)</f>
        <v>3407900</v>
      </c>
    </row>
    <row r="667">
      <c r="A667" s="2">
        <f>IFERROR(__xludf.DUMMYFUNCTION("""COMPUTED_VALUE"""),37496.666666666664)</f>
        <v>37496.66667</v>
      </c>
      <c r="B667" s="1">
        <f>IFERROR(__xludf.DUMMYFUNCTION("""COMPUTED_VALUE"""),43.5)</f>
        <v>43.5</v>
      </c>
      <c r="C667" s="1">
        <f>IFERROR(__xludf.DUMMYFUNCTION("""COMPUTED_VALUE"""),45.25)</f>
        <v>45.25</v>
      </c>
      <c r="D667" s="1">
        <f>IFERROR(__xludf.DUMMYFUNCTION("""COMPUTED_VALUE"""),43.5)</f>
        <v>43.5</v>
      </c>
      <c r="E667" s="1">
        <f>IFERROR(__xludf.DUMMYFUNCTION("""COMPUTED_VALUE"""),44.77)</f>
        <v>44.77</v>
      </c>
      <c r="F667" s="1">
        <f>IFERROR(__xludf.DUMMYFUNCTION("""COMPUTED_VALUE"""),1597900.0)</f>
        <v>1597900</v>
      </c>
    </row>
    <row r="668">
      <c r="A668" s="2">
        <f>IFERROR(__xludf.DUMMYFUNCTION("""COMPUTED_VALUE"""),37497.666666666664)</f>
        <v>37497.66667</v>
      </c>
      <c r="B668" s="1">
        <f>IFERROR(__xludf.DUMMYFUNCTION("""COMPUTED_VALUE"""),44.55)</f>
        <v>44.55</v>
      </c>
      <c r="C668" s="1">
        <f>IFERROR(__xludf.DUMMYFUNCTION("""COMPUTED_VALUE"""),44.7)</f>
        <v>44.7</v>
      </c>
      <c r="D668" s="1">
        <f>IFERROR(__xludf.DUMMYFUNCTION("""COMPUTED_VALUE"""),43.85)</f>
        <v>43.85</v>
      </c>
      <c r="E668" s="1">
        <f>IFERROR(__xludf.DUMMYFUNCTION("""COMPUTED_VALUE"""),43.94)</f>
        <v>43.94</v>
      </c>
      <c r="F668" s="1">
        <f>IFERROR(__xludf.DUMMYFUNCTION("""COMPUTED_VALUE"""),3979800.0)</f>
        <v>3979800</v>
      </c>
    </row>
    <row r="669">
      <c r="A669" s="2">
        <f>IFERROR(__xludf.DUMMYFUNCTION("""COMPUTED_VALUE"""),37498.666666666664)</f>
        <v>37498.66667</v>
      </c>
      <c r="B669" s="1">
        <f>IFERROR(__xludf.DUMMYFUNCTION("""COMPUTED_VALUE"""),43.94)</f>
        <v>43.94</v>
      </c>
      <c r="C669" s="1">
        <f>IFERROR(__xludf.DUMMYFUNCTION("""COMPUTED_VALUE"""),44.84)</f>
        <v>44.84</v>
      </c>
      <c r="D669" s="1">
        <f>IFERROR(__xludf.DUMMYFUNCTION("""COMPUTED_VALUE"""),43.75)</f>
        <v>43.75</v>
      </c>
      <c r="E669" s="1">
        <f>IFERROR(__xludf.DUMMYFUNCTION("""COMPUTED_VALUE"""),44.33)</f>
        <v>44.33</v>
      </c>
      <c r="F669" s="1">
        <f>IFERROR(__xludf.DUMMYFUNCTION("""COMPUTED_VALUE"""),3128600.0)</f>
        <v>3128600</v>
      </c>
    </row>
    <row r="670">
      <c r="A670" s="2">
        <f>IFERROR(__xludf.DUMMYFUNCTION("""COMPUTED_VALUE"""),37502.666666666664)</f>
        <v>37502.66667</v>
      </c>
      <c r="B670" s="1">
        <f>IFERROR(__xludf.DUMMYFUNCTION("""COMPUTED_VALUE"""),44.0)</f>
        <v>44</v>
      </c>
      <c r="C670" s="1">
        <f>IFERROR(__xludf.DUMMYFUNCTION("""COMPUTED_VALUE"""),44.33)</f>
        <v>44.33</v>
      </c>
      <c r="D670" s="1">
        <f>IFERROR(__xludf.DUMMYFUNCTION("""COMPUTED_VALUE"""),43.18)</f>
        <v>43.18</v>
      </c>
      <c r="E670" s="1">
        <f>IFERROR(__xludf.DUMMYFUNCTION("""COMPUTED_VALUE"""),43.27)</f>
        <v>43.27</v>
      </c>
      <c r="F670" s="1">
        <f>IFERROR(__xludf.DUMMYFUNCTION("""COMPUTED_VALUE"""),4109700.0)</f>
        <v>4109700</v>
      </c>
    </row>
    <row r="671">
      <c r="A671" s="2">
        <f>IFERROR(__xludf.DUMMYFUNCTION("""COMPUTED_VALUE"""),37503.666666666664)</f>
        <v>37503.66667</v>
      </c>
      <c r="B671" s="1">
        <f>IFERROR(__xludf.DUMMYFUNCTION("""COMPUTED_VALUE"""),43.5)</f>
        <v>43.5</v>
      </c>
      <c r="C671" s="1">
        <f>IFERROR(__xludf.DUMMYFUNCTION("""COMPUTED_VALUE"""),44.44)</f>
        <v>44.44</v>
      </c>
      <c r="D671" s="1">
        <f>IFERROR(__xludf.DUMMYFUNCTION("""COMPUTED_VALUE"""),43.26)</f>
        <v>43.26</v>
      </c>
      <c r="E671" s="1">
        <f>IFERROR(__xludf.DUMMYFUNCTION("""COMPUTED_VALUE"""),44.28)</f>
        <v>44.28</v>
      </c>
      <c r="F671" s="1">
        <f>IFERROR(__xludf.DUMMYFUNCTION("""COMPUTED_VALUE"""),4781400.0)</f>
        <v>4781400</v>
      </c>
    </row>
    <row r="672">
      <c r="A672" s="2">
        <f>IFERROR(__xludf.DUMMYFUNCTION("""COMPUTED_VALUE"""),37504.666666666664)</f>
        <v>37504.66667</v>
      </c>
      <c r="B672" s="1">
        <f>IFERROR(__xludf.DUMMYFUNCTION("""COMPUTED_VALUE"""),44.27)</f>
        <v>44.27</v>
      </c>
      <c r="C672" s="1">
        <f>IFERROR(__xludf.DUMMYFUNCTION("""COMPUTED_VALUE"""),45.3)</f>
        <v>45.3</v>
      </c>
      <c r="D672" s="1">
        <f>IFERROR(__xludf.DUMMYFUNCTION("""COMPUTED_VALUE"""),44.1)</f>
        <v>44.1</v>
      </c>
      <c r="E672" s="1">
        <f>IFERROR(__xludf.DUMMYFUNCTION("""COMPUTED_VALUE"""),44.93)</f>
        <v>44.93</v>
      </c>
      <c r="F672" s="1">
        <f>IFERROR(__xludf.DUMMYFUNCTION("""COMPUTED_VALUE"""),5767800.0)</f>
        <v>5767800</v>
      </c>
    </row>
    <row r="673">
      <c r="A673" s="2">
        <f>IFERROR(__xludf.DUMMYFUNCTION("""COMPUTED_VALUE"""),37505.666666666664)</f>
        <v>37505.66667</v>
      </c>
      <c r="B673" s="1">
        <f>IFERROR(__xludf.DUMMYFUNCTION("""COMPUTED_VALUE"""),45.48)</f>
        <v>45.48</v>
      </c>
      <c r="C673" s="1">
        <f>IFERROR(__xludf.DUMMYFUNCTION("""COMPUTED_VALUE"""),45.48)</f>
        <v>45.48</v>
      </c>
      <c r="D673" s="1">
        <f>IFERROR(__xludf.DUMMYFUNCTION("""COMPUTED_VALUE"""),44.6)</f>
        <v>44.6</v>
      </c>
      <c r="E673" s="1">
        <f>IFERROR(__xludf.DUMMYFUNCTION("""COMPUTED_VALUE"""),44.98)</f>
        <v>44.98</v>
      </c>
      <c r="F673" s="1">
        <f>IFERROR(__xludf.DUMMYFUNCTION("""COMPUTED_VALUE"""),3557400.0)</f>
        <v>3557400</v>
      </c>
    </row>
    <row r="674">
      <c r="A674" s="2">
        <f>IFERROR(__xludf.DUMMYFUNCTION("""COMPUTED_VALUE"""),37508.666666666664)</f>
        <v>37508.66667</v>
      </c>
      <c r="B674" s="1">
        <f>IFERROR(__xludf.DUMMYFUNCTION("""COMPUTED_VALUE"""),44.63)</f>
        <v>44.63</v>
      </c>
      <c r="C674" s="1">
        <f>IFERROR(__xludf.DUMMYFUNCTION("""COMPUTED_VALUE"""),45.43)</f>
        <v>45.43</v>
      </c>
      <c r="D674" s="1">
        <f>IFERROR(__xludf.DUMMYFUNCTION("""COMPUTED_VALUE"""),44.5)</f>
        <v>44.5</v>
      </c>
      <c r="E674" s="1">
        <f>IFERROR(__xludf.DUMMYFUNCTION("""COMPUTED_VALUE"""),45.43)</f>
        <v>45.43</v>
      </c>
      <c r="F674" s="1">
        <f>IFERROR(__xludf.DUMMYFUNCTION("""COMPUTED_VALUE"""),2741700.0)</f>
        <v>2741700</v>
      </c>
    </row>
    <row r="675">
      <c r="A675" s="2">
        <f>IFERROR(__xludf.DUMMYFUNCTION("""COMPUTED_VALUE"""),37509.666666666664)</f>
        <v>37509.66667</v>
      </c>
      <c r="B675" s="1">
        <f>IFERROR(__xludf.DUMMYFUNCTION("""COMPUTED_VALUE"""),45.5)</f>
        <v>45.5</v>
      </c>
      <c r="C675" s="1">
        <f>IFERROR(__xludf.DUMMYFUNCTION("""COMPUTED_VALUE"""),45.91)</f>
        <v>45.91</v>
      </c>
      <c r="D675" s="1">
        <f>IFERROR(__xludf.DUMMYFUNCTION("""COMPUTED_VALUE"""),45.05)</f>
        <v>45.05</v>
      </c>
      <c r="E675" s="1">
        <f>IFERROR(__xludf.DUMMYFUNCTION("""COMPUTED_VALUE"""),45.75)</f>
        <v>45.75</v>
      </c>
      <c r="F675" s="1">
        <f>IFERROR(__xludf.DUMMYFUNCTION("""COMPUTED_VALUE"""),3092000.0)</f>
        <v>3092000</v>
      </c>
    </row>
    <row r="676">
      <c r="A676" s="2">
        <f>IFERROR(__xludf.DUMMYFUNCTION("""COMPUTED_VALUE"""),37510.666666666664)</f>
        <v>37510.66667</v>
      </c>
      <c r="B676" s="1">
        <f>IFERROR(__xludf.DUMMYFUNCTION("""COMPUTED_VALUE"""),45.85)</f>
        <v>45.85</v>
      </c>
      <c r="C676" s="1">
        <f>IFERROR(__xludf.DUMMYFUNCTION("""COMPUTED_VALUE"""),46.0)</f>
        <v>46</v>
      </c>
      <c r="D676" s="1">
        <f>IFERROR(__xludf.DUMMYFUNCTION("""COMPUTED_VALUE"""),45.43)</f>
        <v>45.43</v>
      </c>
      <c r="E676" s="1">
        <f>IFERROR(__xludf.DUMMYFUNCTION("""COMPUTED_VALUE"""),45.94)</f>
        <v>45.94</v>
      </c>
      <c r="F676" s="1">
        <f>IFERROR(__xludf.DUMMYFUNCTION("""COMPUTED_VALUE"""),2450700.0)</f>
        <v>2450700</v>
      </c>
    </row>
    <row r="677">
      <c r="A677" s="2">
        <f>IFERROR(__xludf.DUMMYFUNCTION("""COMPUTED_VALUE"""),37511.666666666664)</f>
        <v>37511.66667</v>
      </c>
      <c r="B677" s="1">
        <f>IFERROR(__xludf.DUMMYFUNCTION("""COMPUTED_VALUE"""),45.53)</f>
        <v>45.53</v>
      </c>
      <c r="C677" s="1">
        <f>IFERROR(__xludf.DUMMYFUNCTION("""COMPUTED_VALUE"""),45.66)</f>
        <v>45.66</v>
      </c>
      <c r="D677" s="1">
        <f>IFERROR(__xludf.DUMMYFUNCTION("""COMPUTED_VALUE"""),45.15)</f>
        <v>45.15</v>
      </c>
      <c r="E677" s="1">
        <f>IFERROR(__xludf.DUMMYFUNCTION("""COMPUTED_VALUE"""),45.6)</f>
        <v>45.6</v>
      </c>
      <c r="F677" s="1">
        <f>IFERROR(__xludf.DUMMYFUNCTION("""COMPUTED_VALUE"""),2864400.0)</f>
        <v>2864400</v>
      </c>
    </row>
    <row r="678">
      <c r="A678" s="2">
        <f>IFERROR(__xludf.DUMMYFUNCTION("""COMPUTED_VALUE"""),37512.666666666664)</f>
        <v>37512.66667</v>
      </c>
      <c r="B678" s="1">
        <f>IFERROR(__xludf.DUMMYFUNCTION("""COMPUTED_VALUE"""),45.5)</f>
        <v>45.5</v>
      </c>
      <c r="C678" s="1">
        <f>IFERROR(__xludf.DUMMYFUNCTION("""COMPUTED_VALUE"""),46.0)</f>
        <v>46</v>
      </c>
      <c r="D678" s="1">
        <f>IFERROR(__xludf.DUMMYFUNCTION("""COMPUTED_VALUE"""),45.32)</f>
        <v>45.32</v>
      </c>
      <c r="E678" s="1">
        <f>IFERROR(__xludf.DUMMYFUNCTION("""COMPUTED_VALUE"""),46.0)</f>
        <v>46</v>
      </c>
      <c r="F678" s="1">
        <f>IFERROR(__xludf.DUMMYFUNCTION("""COMPUTED_VALUE"""),3065800.0)</f>
        <v>3065800</v>
      </c>
    </row>
    <row r="679">
      <c r="A679" s="2">
        <f>IFERROR(__xludf.DUMMYFUNCTION("""COMPUTED_VALUE"""),37515.666666666664)</f>
        <v>37515.66667</v>
      </c>
      <c r="B679" s="1">
        <f>IFERROR(__xludf.DUMMYFUNCTION("""COMPUTED_VALUE"""),46.0)</f>
        <v>46</v>
      </c>
      <c r="C679" s="1">
        <f>IFERROR(__xludf.DUMMYFUNCTION("""COMPUTED_VALUE"""),46.5)</f>
        <v>46.5</v>
      </c>
      <c r="D679" s="1">
        <f>IFERROR(__xludf.DUMMYFUNCTION("""COMPUTED_VALUE"""),45.93)</f>
        <v>45.93</v>
      </c>
      <c r="E679" s="1">
        <f>IFERROR(__xludf.DUMMYFUNCTION("""COMPUTED_VALUE"""),46.5)</f>
        <v>46.5</v>
      </c>
      <c r="F679" s="1">
        <f>IFERROR(__xludf.DUMMYFUNCTION("""COMPUTED_VALUE"""),3631200.0)</f>
        <v>3631200</v>
      </c>
    </row>
    <row r="680">
      <c r="A680" s="2">
        <f>IFERROR(__xludf.DUMMYFUNCTION("""COMPUTED_VALUE"""),37516.666666666664)</f>
        <v>37516.66667</v>
      </c>
      <c r="B680" s="1">
        <f>IFERROR(__xludf.DUMMYFUNCTION("""COMPUTED_VALUE"""),46.52)</f>
        <v>46.52</v>
      </c>
      <c r="C680" s="1">
        <f>IFERROR(__xludf.DUMMYFUNCTION("""COMPUTED_VALUE"""),46.75)</f>
        <v>46.75</v>
      </c>
      <c r="D680" s="1">
        <f>IFERROR(__xludf.DUMMYFUNCTION("""COMPUTED_VALUE"""),45.9)</f>
        <v>45.9</v>
      </c>
      <c r="E680" s="1">
        <f>IFERROR(__xludf.DUMMYFUNCTION("""COMPUTED_VALUE"""),46.03)</f>
        <v>46.03</v>
      </c>
      <c r="F680" s="1">
        <f>IFERROR(__xludf.DUMMYFUNCTION("""COMPUTED_VALUE"""),4123700.0)</f>
        <v>4123700</v>
      </c>
    </row>
    <row r="681">
      <c r="A681" s="2">
        <f>IFERROR(__xludf.DUMMYFUNCTION("""COMPUTED_VALUE"""),37517.666666666664)</f>
        <v>37517.66667</v>
      </c>
      <c r="B681" s="1">
        <f>IFERROR(__xludf.DUMMYFUNCTION("""COMPUTED_VALUE"""),45.66)</f>
        <v>45.66</v>
      </c>
      <c r="C681" s="1">
        <f>IFERROR(__xludf.DUMMYFUNCTION("""COMPUTED_VALUE"""),46.44)</f>
        <v>46.44</v>
      </c>
      <c r="D681" s="1">
        <f>IFERROR(__xludf.DUMMYFUNCTION("""COMPUTED_VALUE"""),45.33)</f>
        <v>45.33</v>
      </c>
      <c r="E681" s="1">
        <f>IFERROR(__xludf.DUMMYFUNCTION("""COMPUTED_VALUE"""),46.05)</f>
        <v>46.05</v>
      </c>
      <c r="F681" s="1">
        <f>IFERROR(__xludf.DUMMYFUNCTION("""COMPUTED_VALUE"""),3418500.0)</f>
        <v>3418500</v>
      </c>
    </row>
    <row r="682">
      <c r="A682" s="2">
        <f>IFERROR(__xludf.DUMMYFUNCTION("""COMPUTED_VALUE"""),37518.666666666664)</f>
        <v>37518.66667</v>
      </c>
      <c r="B682" s="1">
        <f>IFERROR(__xludf.DUMMYFUNCTION("""COMPUTED_VALUE"""),45.75)</f>
        <v>45.75</v>
      </c>
      <c r="C682" s="1">
        <f>IFERROR(__xludf.DUMMYFUNCTION("""COMPUTED_VALUE"""),46.26)</f>
        <v>46.26</v>
      </c>
      <c r="D682" s="1">
        <f>IFERROR(__xludf.DUMMYFUNCTION("""COMPUTED_VALUE"""),45.55)</f>
        <v>45.55</v>
      </c>
      <c r="E682" s="1">
        <f>IFERROR(__xludf.DUMMYFUNCTION("""COMPUTED_VALUE"""),45.56)</f>
        <v>45.56</v>
      </c>
      <c r="F682" s="1">
        <f>IFERROR(__xludf.DUMMYFUNCTION("""COMPUTED_VALUE"""),3484900.0)</f>
        <v>3484900</v>
      </c>
    </row>
    <row r="683">
      <c r="A683" s="2">
        <f>IFERROR(__xludf.DUMMYFUNCTION("""COMPUTED_VALUE"""),37519.666666666664)</f>
        <v>37519.66667</v>
      </c>
      <c r="B683" s="1">
        <f>IFERROR(__xludf.DUMMYFUNCTION("""COMPUTED_VALUE"""),45.56)</f>
        <v>45.56</v>
      </c>
      <c r="C683" s="1">
        <f>IFERROR(__xludf.DUMMYFUNCTION("""COMPUTED_VALUE"""),45.73)</f>
        <v>45.73</v>
      </c>
      <c r="D683" s="1">
        <f>IFERROR(__xludf.DUMMYFUNCTION("""COMPUTED_VALUE"""),45.13)</f>
        <v>45.13</v>
      </c>
      <c r="E683" s="1">
        <f>IFERROR(__xludf.DUMMYFUNCTION("""COMPUTED_VALUE"""),45.55)</f>
        <v>45.55</v>
      </c>
      <c r="F683" s="1">
        <f>IFERROR(__xludf.DUMMYFUNCTION("""COMPUTED_VALUE"""),6316300.0)</f>
        <v>6316300</v>
      </c>
    </row>
    <row r="684">
      <c r="A684" s="2">
        <f>IFERROR(__xludf.DUMMYFUNCTION("""COMPUTED_VALUE"""),37522.666666666664)</f>
        <v>37522.66667</v>
      </c>
      <c r="B684" s="1">
        <f>IFERROR(__xludf.DUMMYFUNCTION("""COMPUTED_VALUE"""),45.01)</f>
        <v>45.01</v>
      </c>
      <c r="C684" s="1">
        <f>IFERROR(__xludf.DUMMYFUNCTION("""COMPUTED_VALUE"""),45.5)</f>
        <v>45.5</v>
      </c>
      <c r="D684" s="1">
        <f>IFERROR(__xludf.DUMMYFUNCTION("""COMPUTED_VALUE"""),44.75)</f>
        <v>44.75</v>
      </c>
      <c r="E684" s="1">
        <f>IFERROR(__xludf.DUMMYFUNCTION("""COMPUTED_VALUE"""),45.37)</f>
        <v>45.37</v>
      </c>
      <c r="F684" s="1">
        <f>IFERROR(__xludf.DUMMYFUNCTION("""COMPUTED_VALUE"""),3526700.0)</f>
        <v>3526700</v>
      </c>
    </row>
    <row r="685">
      <c r="A685" s="2">
        <f>IFERROR(__xludf.DUMMYFUNCTION("""COMPUTED_VALUE"""),37523.666666666664)</f>
        <v>37523.66667</v>
      </c>
      <c r="B685" s="1">
        <f>IFERROR(__xludf.DUMMYFUNCTION("""COMPUTED_VALUE"""),45.08)</f>
        <v>45.08</v>
      </c>
      <c r="C685" s="1">
        <f>IFERROR(__xludf.DUMMYFUNCTION("""COMPUTED_VALUE"""),45.15)</f>
        <v>45.15</v>
      </c>
      <c r="D685" s="1">
        <f>IFERROR(__xludf.DUMMYFUNCTION("""COMPUTED_VALUE"""),44.0)</f>
        <v>44</v>
      </c>
      <c r="E685" s="1">
        <f>IFERROR(__xludf.DUMMYFUNCTION("""COMPUTED_VALUE"""),44.02)</f>
        <v>44.02</v>
      </c>
      <c r="F685" s="1">
        <f>IFERROR(__xludf.DUMMYFUNCTION("""COMPUTED_VALUE"""),5141900.0)</f>
        <v>5141900</v>
      </c>
    </row>
    <row r="686">
      <c r="A686" s="2">
        <f>IFERROR(__xludf.DUMMYFUNCTION("""COMPUTED_VALUE"""),37524.666666666664)</f>
        <v>37524.66667</v>
      </c>
      <c r="B686" s="1">
        <f>IFERROR(__xludf.DUMMYFUNCTION("""COMPUTED_VALUE"""),44.2)</f>
        <v>44.2</v>
      </c>
      <c r="C686" s="1">
        <f>IFERROR(__xludf.DUMMYFUNCTION("""COMPUTED_VALUE"""),45.0)</f>
        <v>45</v>
      </c>
      <c r="D686" s="1">
        <f>IFERROR(__xludf.DUMMYFUNCTION("""COMPUTED_VALUE"""),44.0)</f>
        <v>44</v>
      </c>
      <c r="E686" s="1">
        <f>IFERROR(__xludf.DUMMYFUNCTION("""COMPUTED_VALUE"""),44.55)</f>
        <v>44.55</v>
      </c>
      <c r="F686" s="1">
        <f>IFERROR(__xludf.DUMMYFUNCTION("""COMPUTED_VALUE"""),4274700.0)</f>
        <v>4274700</v>
      </c>
    </row>
    <row r="687">
      <c r="A687" s="2">
        <f>IFERROR(__xludf.DUMMYFUNCTION("""COMPUTED_VALUE"""),37525.666666666664)</f>
        <v>37525.66667</v>
      </c>
      <c r="B687" s="1">
        <f>IFERROR(__xludf.DUMMYFUNCTION("""COMPUTED_VALUE"""),44.98)</f>
        <v>44.98</v>
      </c>
      <c r="C687" s="1">
        <f>IFERROR(__xludf.DUMMYFUNCTION("""COMPUTED_VALUE"""),45.4)</f>
        <v>45.4</v>
      </c>
      <c r="D687" s="1">
        <f>IFERROR(__xludf.DUMMYFUNCTION("""COMPUTED_VALUE"""),44.58)</f>
        <v>44.58</v>
      </c>
      <c r="E687" s="1">
        <f>IFERROR(__xludf.DUMMYFUNCTION("""COMPUTED_VALUE"""),45.38)</f>
        <v>45.38</v>
      </c>
      <c r="F687" s="1">
        <f>IFERROR(__xludf.DUMMYFUNCTION("""COMPUTED_VALUE"""),4118300.0)</f>
        <v>4118300</v>
      </c>
    </row>
    <row r="688">
      <c r="A688" s="2">
        <f>IFERROR(__xludf.DUMMYFUNCTION("""COMPUTED_VALUE"""),37526.666666666664)</f>
        <v>37526.66667</v>
      </c>
      <c r="B688" s="1">
        <f>IFERROR(__xludf.DUMMYFUNCTION("""COMPUTED_VALUE"""),45.39)</f>
        <v>45.39</v>
      </c>
      <c r="C688" s="1">
        <f>IFERROR(__xludf.DUMMYFUNCTION("""COMPUTED_VALUE"""),45.55)</f>
        <v>45.55</v>
      </c>
      <c r="D688" s="1">
        <f>IFERROR(__xludf.DUMMYFUNCTION("""COMPUTED_VALUE"""),44.0)</f>
        <v>44</v>
      </c>
      <c r="E688" s="1">
        <f>IFERROR(__xludf.DUMMYFUNCTION("""COMPUTED_VALUE"""),44.07)</f>
        <v>44.07</v>
      </c>
      <c r="F688" s="1">
        <f>IFERROR(__xludf.DUMMYFUNCTION("""COMPUTED_VALUE"""),4400200.0)</f>
        <v>4400200</v>
      </c>
    </row>
    <row r="689">
      <c r="A689" s="2">
        <f>IFERROR(__xludf.DUMMYFUNCTION("""COMPUTED_VALUE"""),37529.666666666664)</f>
        <v>37529.66667</v>
      </c>
      <c r="B689" s="1">
        <f>IFERROR(__xludf.DUMMYFUNCTION("""COMPUTED_VALUE"""),44.19)</f>
        <v>44.19</v>
      </c>
      <c r="C689" s="1">
        <f>IFERROR(__xludf.DUMMYFUNCTION("""COMPUTED_VALUE"""),44.9)</f>
        <v>44.9</v>
      </c>
      <c r="D689" s="1">
        <f>IFERROR(__xludf.DUMMYFUNCTION("""COMPUTED_VALUE"""),43.6)</f>
        <v>43.6</v>
      </c>
      <c r="E689" s="1">
        <f>IFERROR(__xludf.DUMMYFUNCTION("""COMPUTED_VALUE"""),44.69)</f>
        <v>44.69</v>
      </c>
      <c r="F689" s="1">
        <f>IFERROR(__xludf.DUMMYFUNCTION("""COMPUTED_VALUE"""),6781900.0)</f>
        <v>6781900</v>
      </c>
    </row>
    <row r="690">
      <c r="A690" s="2">
        <f>IFERROR(__xludf.DUMMYFUNCTION("""COMPUTED_VALUE"""),37530.666666666664)</f>
        <v>37530.66667</v>
      </c>
      <c r="B690" s="1">
        <f>IFERROR(__xludf.DUMMYFUNCTION("""COMPUTED_VALUE"""),44.75)</f>
        <v>44.75</v>
      </c>
      <c r="C690" s="1">
        <f>IFERROR(__xludf.DUMMYFUNCTION("""COMPUTED_VALUE"""),45.59)</f>
        <v>45.59</v>
      </c>
      <c r="D690" s="1">
        <f>IFERROR(__xludf.DUMMYFUNCTION("""COMPUTED_VALUE"""),44.25)</f>
        <v>44.25</v>
      </c>
      <c r="E690" s="1">
        <f>IFERROR(__xludf.DUMMYFUNCTION("""COMPUTED_VALUE"""),45.59)</f>
        <v>45.59</v>
      </c>
      <c r="F690" s="1">
        <f>IFERROR(__xludf.DUMMYFUNCTION("""COMPUTED_VALUE"""),5200100.0)</f>
        <v>5200100</v>
      </c>
    </row>
    <row r="691">
      <c r="A691" s="2">
        <f>IFERROR(__xludf.DUMMYFUNCTION("""COMPUTED_VALUE"""),37531.666666666664)</f>
        <v>37531.66667</v>
      </c>
      <c r="B691" s="1">
        <f>IFERROR(__xludf.DUMMYFUNCTION("""COMPUTED_VALUE"""),45.23)</f>
        <v>45.23</v>
      </c>
      <c r="C691" s="1">
        <f>IFERROR(__xludf.DUMMYFUNCTION("""COMPUTED_VALUE"""),45.62)</f>
        <v>45.62</v>
      </c>
      <c r="D691" s="1">
        <f>IFERROR(__xludf.DUMMYFUNCTION("""COMPUTED_VALUE"""),45.01)</f>
        <v>45.01</v>
      </c>
      <c r="E691" s="1">
        <f>IFERROR(__xludf.DUMMYFUNCTION("""COMPUTED_VALUE"""),45.28)</f>
        <v>45.28</v>
      </c>
      <c r="F691" s="1">
        <f>IFERROR(__xludf.DUMMYFUNCTION("""COMPUTED_VALUE"""),3581700.0)</f>
        <v>3581700</v>
      </c>
    </row>
    <row r="692">
      <c r="A692" s="2">
        <f>IFERROR(__xludf.DUMMYFUNCTION("""COMPUTED_VALUE"""),37532.666666666664)</f>
        <v>37532.66667</v>
      </c>
      <c r="B692" s="1">
        <f>IFERROR(__xludf.DUMMYFUNCTION("""COMPUTED_VALUE"""),45.28)</f>
        <v>45.28</v>
      </c>
      <c r="C692" s="1">
        <f>IFERROR(__xludf.DUMMYFUNCTION("""COMPUTED_VALUE"""),46.18)</f>
        <v>46.18</v>
      </c>
      <c r="D692" s="1">
        <f>IFERROR(__xludf.DUMMYFUNCTION("""COMPUTED_VALUE"""),44.75)</f>
        <v>44.75</v>
      </c>
      <c r="E692" s="1">
        <f>IFERROR(__xludf.DUMMYFUNCTION("""COMPUTED_VALUE"""),44.91)</f>
        <v>44.91</v>
      </c>
      <c r="F692" s="1">
        <f>IFERROR(__xludf.DUMMYFUNCTION("""COMPUTED_VALUE"""),5169900.0)</f>
        <v>5169900</v>
      </c>
    </row>
    <row r="693">
      <c r="A693" s="2">
        <f>IFERROR(__xludf.DUMMYFUNCTION("""COMPUTED_VALUE"""),37533.666666666664)</f>
        <v>37533.66667</v>
      </c>
      <c r="B693" s="1">
        <f>IFERROR(__xludf.DUMMYFUNCTION("""COMPUTED_VALUE"""),45.0)</f>
        <v>45</v>
      </c>
      <c r="C693" s="1">
        <f>IFERROR(__xludf.DUMMYFUNCTION("""COMPUTED_VALUE"""),45.07)</f>
        <v>45.07</v>
      </c>
      <c r="D693" s="1">
        <f>IFERROR(__xludf.DUMMYFUNCTION("""COMPUTED_VALUE"""),43.69)</f>
        <v>43.69</v>
      </c>
      <c r="E693" s="1">
        <f>IFERROR(__xludf.DUMMYFUNCTION("""COMPUTED_VALUE"""),44.26)</f>
        <v>44.26</v>
      </c>
      <c r="F693" s="1">
        <f>IFERROR(__xludf.DUMMYFUNCTION("""COMPUTED_VALUE"""),5217400.0)</f>
        <v>5217400</v>
      </c>
    </row>
    <row r="694">
      <c r="A694" s="2">
        <f>IFERROR(__xludf.DUMMYFUNCTION("""COMPUTED_VALUE"""),37536.666666666664)</f>
        <v>37536.66667</v>
      </c>
      <c r="B694" s="1">
        <f>IFERROR(__xludf.DUMMYFUNCTION("""COMPUTED_VALUE"""),44.26)</f>
        <v>44.26</v>
      </c>
      <c r="C694" s="1">
        <f>IFERROR(__xludf.DUMMYFUNCTION("""COMPUTED_VALUE"""),45.4)</f>
        <v>45.4</v>
      </c>
      <c r="D694" s="1">
        <f>IFERROR(__xludf.DUMMYFUNCTION("""COMPUTED_VALUE"""),44.23)</f>
        <v>44.23</v>
      </c>
      <c r="E694" s="1">
        <f>IFERROR(__xludf.DUMMYFUNCTION("""COMPUTED_VALUE"""),44.47)</f>
        <v>44.47</v>
      </c>
      <c r="F694" s="1">
        <f>IFERROR(__xludf.DUMMYFUNCTION("""COMPUTED_VALUE"""),5292900.0)</f>
        <v>5292900</v>
      </c>
    </row>
    <row r="695">
      <c r="A695" s="2">
        <f>IFERROR(__xludf.DUMMYFUNCTION("""COMPUTED_VALUE"""),37537.666666666664)</f>
        <v>37537.66667</v>
      </c>
      <c r="B695" s="1">
        <f>IFERROR(__xludf.DUMMYFUNCTION("""COMPUTED_VALUE"""),44.72)</f>
        <v>44.72</v>
      </c>
      <c r="C695" s="1">
        <f>IFERROR(__xludf.DUMMYFUNCTION("""COMPUTED_VALUE"""),45.42)</f>
        <v>45.42</v>
      </c>
      <c r="D695" s="1">
        <f>IFERROR(__xludf.DUMMYFUNCTION("""COMPUTED_VALUE"""),44.53)</f>
        <v>44.53</v>
      </c>
      <c r="E695" s="1">
        <f>IFERROR(__xludf.DUMMYFUNCTION("""COMPUTED_VALUE"""),44.65)</f>
        <v>44.65</v>
      </c>
      <c r="F695" s="1">
        <f>IFERROR(__xludf.DUMMYFUNCTION("""COMPUTED_VALUE"""),4867500.0)</f>
        <v>4867500</v>
      </c>
    </row>
    <row r="696">
      <c r="A696" s="2">
        <f>IFERROR(__xludf.DUMMYFUNCTION("""COMPUTED_VALUE"""),37538.666666666664)</f>
        <v>37538.66667</v>
      </c>
      <c r="B696" s="1">
        <f>IFERROR(__xludf.DUMMYFUNCTION("""COMPUTED_VALUE"""),44.65)</f>
        <v>44.65</v>
      </c>
      <c r="C696" s="1">
        <f>IFERROR(__xludf.DUMMYFUNCTION("""COMPUTED_VALUE"""),45.0)</f>
        <v>45</v>
      </c>
      <c r="D696" s="1">
        <f>IFERROR(__xludf.DUMMYFUNCTION("""COMPUTED_VALUE"""),43.96)</f>
        <v>43.96</v>
      </c>
      <c r="E696" s="1">
        <f>IFERROR(__xludf.DUMMYFUNCTION("""COMPUTED_VALUE"""),44.1)</f>
        <v>44.1</v>
      </c>
      <c r="F696" s="1">
        <f>IFERROR(__xludf.DUMMYFUNCTION("""COMPUTED_VALUE"""),5225600.0)</f>
        <v>5225600</v>
      </c>
    </row>
    <row r="697">
      <c r="A697" s="2">
        <f>IFERROR(__xludf.DUMMYFUNCTION("""COMPUTED_VALUE"""),37539.666666666664)</f>
        <v>37539.66667</v>
      </c>
      <c r="B697" s="1">
        <f>IFERROR(__xludf.DUMMYFUNCTION("""COMPUTED_VALUE"""),44.27)</f>
        <v>44.27</v>
      </c>
      <c r="C697" s="1">
        <f>IFERROR(__xludf.DUMMYFUNCTION("""COMPUTED_VALUE"""),44.83)</f>
        <v>44.83</v>
      </c>
      <c r="D697" s="1">
        <f>IFERROR(__xludf.DUMMYFUNCTION("""COMPUTED_VALUE"""),43.75)</f>
        <v>43.75</v>
      </c>
      <c r="E697" s="1">
        <f>IFERROR(__xludf.DUMMYFUNCTION("""COMPUTED_VALUE"""),44.5)</f>
        <v>44.5</v>
      </c>
      <c r="F697" s="1">
        <f>IFERROR(__xludf.DUMMYFUNCTION("""COMPUTED_VALUE"""),4703700.0)</f>
        <v>4703700</v>
      </c>
    </row>
    <row r="698">
      <c r="A698" s="2">
        <f>IFERROR(__xludf.DUMMYFUNCTION("""COMPUTED_VALUE"""),37540.666666666664)</f>
        <v>37540.66667</v>
      </c>
      <c r="B698" s="1">
        <f>IFERROR(__xludf.DUMMYFUNCTION("""COMPUTED_VALUE"""),44.7)</f>
        <v>44.7</v>
      </c>
      <c r="C698" s="1">
        <f>IFERROR(__xludf.DUMMYFUNCTION("""COMPUTED_VALUE"""),45.22)</f>
        <v>45.22</v>
      </c>
      <c r="D698" s="1">
        <f>IFERROR(__xludf.DUMMYFUNCTION("""COMPUTED_VALUE"""),44.27)</f>
        <v>44.27</v>
      </c>
      <c r="E698" s="1">
        <f>IFERROR(__xludf.DUMMYFUNCTION("""COMPUTED_VALUE"""),45.12)</f>
        <v>45.12</v>
      </c>
      <c r="F698" s="1">
        <f>IFERROR(__xludf.DUMMYFUNCTION("""COMPUTED_VALUE"""),4831500.0)</f>
        <v>4831500</v>
      </c>
    </row>
    <row r="699">
      <c r="A699" s="2">
        <f>IFERROR(__xludf.DUMMYFUNCTION("""COMPUTED_VALUE"""),37543.666666666664)</f>
        <v>37543.66667</v>
      </c>
      <c r="B699" s="1">
        <f>IFERROR(__xludf.DUMMYFUNCTION("""COMPUTED_VALUE"""),45.0)</f>
        <v>45</v>
      </c>
      <c r="C699" s="1">
        <f>IFERROR(__xludf.DUMMYFUNCTION("""COMPUTED_VALUE"""),45.65)</f>
        <v>45.65</v>
      </c>
      <c r="D699" s="1">
        <f>IFERROR(__xludf.DUMMYFUNCTION("""COMPUTED_VALUE"""),44.87)</f>
        <v>44.87</v>
      </c>
      <c r="E699" s="1">
        <f>IFERROR(__xludf.DUMMYFUNCTION("""COMPUTED_VALUE"""),45.65)</f>
        <v>45.65</v>
      </c>
      <c r="F699" s="1">
        <f>IFERROR(__xludf.DUMMYFUNCTION("""COMPUTED_VALUE"""),3197400.0)</f>
        <v>3197400</v>
      </c>
    </row>
    <row r="700">
      <c r="A700" s="2">
        <f>IFERROR(__xludf.DUMMYFUNCTION("""COMPUTED_VALUE"""),37544.666666666664)</f>
        <v>37544.66667</v>
      </c>
      <c r="B700" s="1">
        <f>IFERROR(__xludf.DUMMYFUNCTION("""COMPUTED_VALUE"""),46.0)</f>
        <v>46</v>
      </c>
      <c r="C700" s="1">
        <f>IFERROR(__xludf.DUMMYFUNCTION("""COMPUTED_VALUE"""),46.08)</f>
        <v>46.08</v>
      </c>
      <c r="D700" s="1">
        <f>IFERROR(__xludf.DUMMYFUNCTION("""COMPUTED_VALUE"""),44.6)</f>
        <v>44.6</v>
      </c>
      <c r="E700" s="1">
        <f>IFERROR(__xludf.DUMMYFUNCTION("""COMPUTED_VALUE"""),45.21)</f>
        <v>45.21</v>
      </c>
      <c r="F700" s="1">
        <f>IFERROR(__xludf.DUMMYFUNCTION("""COMPUTED_VALUE"""),7148000.0)</f>
        <v>7148000</v>
      </c>
    </row>
    <row r="701">
      <c r="A701" s="2">
        <f>IFERROR(__xludf.DUMMYFUNCTION("""COMPUTED_VALUE"""),37545.666666666664)</f>
        <v>37545.66667</v>
      </c>
      <c r="B701" s="1">
        <f>IFERROR(__xludf.DUMMYFUNCTION("""COMPUTED_VALUE"""),45.01)</f>
        <v>45.01</v>
      </c>
      <c r="C701" s="1">
        <f>IFERROR(__xludf.DUMMYFUNCTION("""COMPUTED_VALUE"""),45.49)</f>
        <v>45.49</v>
      </c>
      <c r="D701" s="1">
        <f>IFERROR(__xludf.DUMMYFUNCTION("""COMPUTED_VALUE"""),44.88)</f>
        <v>44.88</v>
      </c>
      <c r="E701" s="1">
        <f>IFERROR(__xludf.DUMMYFUNCTION("""COMPUTED_VALUE"""),45.25)</f>
        <v>45.25</v>
      </c>
      <c r="F701" s="1">
        <f>IFERROR(__xludf.DUMMYFUNCTION("""COMPUTED_VALUE"""),3590200.0)</f>
        <v>3590200</v>
      </c>
    </row>
    <row r="702">
      <c r="A702" s="2">
        <f>IFERROR(__xludf.DUMMYFUNCTION("""COMPUTED_VALUE"""),37546.666666666664)</f>
        <v>37546.66667</v>
      </c>
      <c r="B702" s="1">
        <f>IFERROR(__xludf.DUMMYFUNCTION("""COMPUTED_VALUE"""),45.45)</f>
        <v>45.45</v>
      </c>
      <c r="C702" s="1">
        <f>IFERROR(__xludf.DUMMYFUNCTION("""COMPUTED_VALUE"""),45.55)</f>
        <v>45.55</v>
      </c>
      <c r="D702" s="1">
        <f>IFERROR(__xludf.DUMMYFUNCTION("""COMPUTED_VALUE"""),44.9)</f>
        <v>44.9</v>
      </c>
      <c r="E702" s="1">
        <f>IFERROR(__xludf.DUMMYFUNCTION("""COMPUTED_VALUE"""),45.17)</f>
        <v>45.17</v>
      </c>
      <c r="F702" s="1">
        <f>IFERROR(__xludf.DUMMYFUNCTION("""COMPUTED_VALUE"""),3840200.0)</f>
        <v>3840200</v>
      </c>
    </row>
    <row r="703">
      <c r="A703" s="2">
        <f>IFERROR(__xludf.DUMMYFUNCTION("""COMPUTED_VALUE"""),37547.666666666664)</f>
        <v>37547.66667</v>
      </c>
      <c r="B703" s="1">
        <f>IFERROR(__xludf.DUMMYFUNCTION("""COMPUTED_VALUE"""),45.0)</f>
        <v>45</v>
      </c>
      <c r="C703" s="1">
        <f>IFERROR(__xludf.DUMMYFUNCTION("""COMPUTED_VALUE"""),45.88)</f>
        <v>45.88</v>
      </c>
      <c r="D703" s="1">
        <f>IFERROR(__xludf.DUMMYFUNCTION("""COMPUTED_VALUE"""),44.92)</f>
        <v>44.92</v>
      </c>
      <c r="E703" s="1">
        <f>IFERROR(__xludf.DUMMYFUNCTION("""COMPUTED_VALUE"""),45.88)</f>
        <v>45.88</v>
      </c>
      <c r="F703" s="1">
        <f>IFERROR(__xludf.DUMMYFUNCTION("""COMPUTED_VALUE"""),3433300.0)</f>
        <v>3433300</v>
      </c>
    </row>
    <row r="704">
      <c r="A704" s="2">
        <f>IFERROR(__xludf.DUMMYFUNCTION("""COMPUTED_VALUE"""),37550.666666666664)</f>
        <v>37550.66667</v>
      </c>
      <c r="B704" s="1">
        <f>IFERROR(__xludf.DUMMYFUNCTION("""COMPUTED_VALUE"""),45.48)</f>
        <v>45.48</v>
      </c>
      <c r="C704" s="1">
        <f>IFERROR(__xludf.DUMMYFUNCTION("""COMPUTED_VALUE"""),46.1)</f>
        <v>46.1</v>
      </c>
      <c r="D704" s="1">
        <f>IFERROR(__xludf.DUMMYFUNCTION("""COMPUTED_VALUE"""),45.06)</f>
        <v>45.06</v>
      </c>
      <c r="E704" s="1">
        <f>IFERROR(__xludf.DUMMYFUNCTION("""COMPUTED_VALUE"""),46.1)</f>
        <v>46.1</v>
      </c>
      <c r="F704" s="1">
        <f>IFERROR(__xludf.DUMMYFUNCTION("""COMPUTED_VALUE"""),3398400.0)</f>
        <v>3398400</v>
      </c>
    </row>
    <row r="705">
      <c r="A705" s="2">
        <f>IFERROR(__xludf.DUMMYFUNCTION("""COMPUTED_VALUE"""),37551.666666666664)</f>
        <v>37551.66667</v>
      </c>
      <c r="B705" s="1">
        <f>IFERROR(__xludf.DUMMYFUNCTION("""COMPUTED_VALUE"""),45.74)</f>
        <v>45.74</v>
      </c>
      <c r="C705" s="1">
        <f>IFERROR(__xludf.DUMMYFUNCTION("""COMPUTED_VALUE"""),45.88)</f>
        <v>45.88</v>
      </c>
      <c r="D705" s="1">
        <f>IFERROR(__xludf.DUMMYFUNCTION("""COMPUTED_VALUE"""),44.76)</f>
        <v>44.76</v>
      </c>
      <c r="E705" s="1">
        <f>IFERROR(__xludf.DUMMYFUNCTION("""COMPUTED_VALUE"""),45.17)</f>
        <v>45.17</v>
      </c>
      <c r="F705" s="1">
        <f>IFERROR(__xludf.DUMMYFUNCTION("""COMPUTED_VALUE"""),4761800.0)</f>
        <v>4761800</v>
      </c>
    </row>
    <row r="706">
      <c r="A706" s="2">
        <f>IFERROR(__xludf.DUMMYFUNCTION("""COMPUTED_VALUE"""),37552.666666666664)</f>
        <v>37552.66667</v>
      </c>
      <c r="B706" s="1">
        <f>IFERROR(__xludf.DUMMYFUNCTION("""COMPUTED_VALUE"""),45.23)</f>
        <v>45.23</v>
      </c>
      <c r="C706" s="1">
        <f>IFERROR(__xludf.DUMMYFUNCTION("""COMPUTED_VALUE"""),45.5)</f>
        <v>45.5</v>
      </c>
      <c r="D706" s="1">
        <f>IFERROR(__xludf.DUMMYFUNCTION("""COMPUTED_VALUE"""),44.58)</f>
        <v>44.58</v>
      </c>
      <c r="E706" s="1">
        <f>IFERROR(__xludf.DUMMYFUNCTION("""COMPUTED_VALUE"""),45.5)</f>
        <v>45.5</v>
      </c>
      <c r="F706" s="1">
        <f>IFERROR(__xludf.DUMMYFUNCTION("""COMPUTED_VALUE"""),4191200.0)</f>
        <v>4191200</v>
      </c>
    </row>
    <row r="707">
      <c r="A707" s="2">
        <f>IFERROR(__xludf.DUMMYFUNCTION("""COMPUTED_VALUE"""),37553.666666666664)</f>
        <v>37553.66667</v>
      </c>
      <c r="B707" s="1">
        <f>IFERROR(__xludf.DUMMYFUNCTION("""COMPUTED_VALUE"""),45.63)</f>
        <v>45.63</v>
      </c>
      <c r="C707" s="1">
        <f>IFERROR(__xludf.DUMMYFUNCTION("""COMPUTED_VALUE"""),45.63)</f>
        <v>45.63</v>
      </c>
      <c r="D707" s="1">
        <f>IFERROR(__xludf.DUMMYFUNCTION("""COMPUTED_VALUE"""),44.25)</f>
        <v>44.25</v>
      </c>
      <c r="E707" s="1">
        <f>IFERROR(__xludf.DUMMYFUNCTION("""COMPUTED_VALUE"""),44.4)</f>
        <v>44.4</v>
      </c>
      <c r="F707" s="1">
        <f>IFERROR(__xludf.DUMMYFUNCTION("""COMPUTED_VALUE"""),3540400.0)</f>
        <v>3540400</v>
      </c>
    </row>
    <row r="708">
      <c r="A708" s="2">
        <f>IFERROR(__xludf.DUMMYFUNCTION("""COMPUTED_VALUE"""),37554.666666666664)</f>
        <v>37554.66667</v>
      </c>
      <c r="B708" s="1">
        <f>IFERROR(__xludf.DUMMYFUNCTION("""COMPUTED_VALUE"""),44.3)</f>
        <v>44.3</v>
      </c>
      <c r="C708" s="1">
        <f>IFERROR(__xludf.DUMMYFUNCTION("""COMPUTED_VALUE"""),44.59)</f>
        <v>44.59</v>
      </c>
      <c r="D708" s="1">
        <f>IFERROR(__xludf.DUMMYFUNCTION("""COMPUTED_VALUE"""),43.77)</f>
        <v>43.77</v>
      </c>
      <c r="E708" s="1">
        <f>IFERROR(__xludf.DUMMYFUNCTION("""COMPUTED_VALUE"""),44.35)</f>
        <v>44.35</v>
      </c>
      <c r="F708" s="1">
        <f>IFERROR(__xludf.DUMMYFUNCTION("""COMPUTED_VALUE"""),3488100.0)</f>
        <v>3488100</v>
      </c>
    </row>
    <row r="709">
      <c r="A709" s="2">
        <f>IFERROR(__xludf.DUMMYFUNCTION("""COMPUTED_VALUE"""),37557.666666666664)</f>
        <v>37557.66667</v>
      </c>
      <c r="B709" s="1">
        <f>IFERROR(__xludf.DUMMYFUNCTION("""COMPUTED_VALUE"""),44.35)</f>
        <v>44.35</v>
      </c>
      <c r="C709" s="1">
        <f>IFERROR(__xludf.DUMMYFUNCTION("""COMPUTED_VALUE"""),44.36)</f>
        <v>44.36</v>
      </c>
      <c r="D709" s="1">
        <f>IFERROR(__xludf.DUMMYFUNCTION("""COMPUTED_VALUE"""),42.38)</f>
        <v>42.38</v>
      </c>
      <c r="E709" s="1">
        <f>IFERROR(__xludf.DUMMYFUNCTION("""COMPUTED_VALUE"""),42.88)</f>
        <v>42.88</v>
      </c>
      <c r="F709" s="1">
        <f>IFERROR(__xludf.DUMMYFUNCTION("""COMPUTED_VALUE"""),7319100.0)</f>
        <v>7319100</v>
      </c>
    </row>
    <row r="710">
      <c r="A710" s="2">
        <f>IFERROR(__xludf.DUMMYFUNCTION("""COMPUTED_VALUE"""),37558.666666666664)</f>
        <v>37558.66667</v>
      </c>
      <c r="B710" s="1">
        <f>IFERROR(__xludf.DUMMYFUNCTION("""COMPUTED_VALUE"""),43.98)</f>
        <v>43.98</v>
      </c>
      <c r="C710" s="1">
        <f>IFERROR(__xludf.DUMMYFUNCTION("""COMPUTED_VALUE"""),44.61)</f>
        <v>44.61</v>
      </c>
      <c r="D710" s="1">
        <f>IFERROR(__xludf.DUMMYFUNCTION("""COMPUTED_VALUE"""),43.53)</f>
        <v>43.53</v>
      </c>
      <c r="E710" s="1">
        <f>IFERROR(__xludf.DUMMYFUNCTION("""COMPUTED_VALUE"""),44.51)</f>
        <v>44.51</v>
      </c>
      <c r="F710" s="1">
        <f>IFERROR(__xludf.DUMMYFUNCTION("""COMPUTED_VALUE"""),8067900.0)</f>
        <v>8067900</v>
      </c>
    </row>
    <row r="711">
      <c r="A711" s="2">
        <f>IFERROR(__xludf.DUMMYFUNCTION("""COMPUTED_VALUE"""),37559.666666666664)</f>
        <v>37559.66667</v>
      </c>
      <c r="B711" s="1">
        <f>IFERROR(__xludf.DUMMYFUNCTION("""COMPUTED_VALUE"""),44.5)</f>
        <v>44.5</v>
      </c>
      <c r="C711" s="1">
        <f>IFERROR(__xludf.DUMMYFUNCTION("""COMPUTED_VALUE"""),44.95)</f>
        <v>44.95</v>
      </c>
      <c r="D711" s="1">
        <f>IFERROR(__xludf.DUMMYFUNCTION("""COMPUTED_VALUE"""),44.01)</f>
        <v>44.01</v>
      </c>
      <c r="E711" s="1">
        <f>IFERROR(__xludf.DUMMYFUNCTION("""COMPUTED_VALUE"""),44.47)</f>
        <v>44.47</v>
      </c>
      <c r="F711" s="1">
        <f>IFERROR(__xludf.DUMMYFUNCTION("""COMPUTED_VALUE"""),4436800.0)</f>
        <v>4436800</v>
      </c>
    </row>
    <row r="712">
      <c r="A712" s="2">
        <f>IFERROR(__xludf.DUMMYFUNCTION("""COMPUTED_VALUE"""),37560.666666666664)</f>
        <v>37560.66667</v>
      </c>
      <c r="B712" s="1">
        <f>IFERROR(__xludf.DUMMYFUNCTION("""COMPUTED_VALUE"""),44.47)</f>
        <v>44.47</v>
      </c>
      <c r="C712" s="1">
        <f>IFERROR(__xludf.DUMMYFUNCTION("""COMPUTED_VALUE"""),44.73)</f>
        <v>44.73</v>
      </c>
      <c r="D712" s="1">
        <f>IFERROR(__xludf.DUMMYFUNCTION("""COMPUTED_VALUE"""),43.73)</f>
        <v>43.73</v>
      </c>
      <c r="E712" s="1">
        <f>IFERROR(__xludf.DUMMYFUNCTION("""COMPUTED_VALUE"""),44.23)</f>
        <v>44.23</v>
      </c>
      <c r="F712" s="1">
        <f>IFERROR(__xludf.DUMMYFUNCTION("""COMPUTED_VALUE"""),4078200.0)</f>
        <v>4078200</v>
      </c>
    </row>
    <row r="713">
      <c r="A713" s="2">
        <f>IFERROR(__xludf.DUMMYFUNCTION("""COMPUTED_VALUE"""),37561.666666666664)</f>
        <v>37561.66667</v>
      </c>
      <c r="B713" s="1">
        <f>IFERROR(__xludf.DUMMYFUNCTION("""COMPUTED_VALUE"""),43.9)</f>
        <v>43.9</v>
      </c>
      <c r="C713" s="1">
        <f>IFERROR(__xludf.DUMMYFUNCTION("""COMPUTED_VALUE"""),44.11)</f>
        <v>44.11</v>
      </c>
      <c r="D713" s="1">
        <f>IFERROR(__xludf.DUMMYFUNCTION("""COMPUTED_VALUE"""),43.35)</f>
        <v>43.35</v>
      </c>
      <c r="E713" s="1">
        <f>IFERROR(__xludf.DUMMYFUNCTION("""COMPUTED_VALUE"""),44.0)</f>
        <v>44</v>
      </c>
      <c r="F713" s="1">
        <f>IFERROR(__xludf.DUMMYFUNCTION("""COMPUTED_VALUE"""),4302000.0)</f>
        <v>4302000</v>
      </c>
    </row>
    <row r="714">
      <c r="A714" s="2">
        <f>IFERROR(__xludf.DUMMYFUNCTION("""COMPUTED_VALUE"""),37564.666666666664)</f>
        <v>37564.66667</v>
      </c>
      <c r="B714" s="1">
        <f>IFERROR(__xludf.DUMMYFUNCTION("""COMPUTED_VALUE"""),44.0)</f>
        <v>44</v>
      </c>
      <c r="C714" s="1">
        <f>IFERROR(__xludf.DUMMYFUNCTION("""COMPUTED_VALUE"""),44.01)</f>
        <v>44.01</v>
      </c>
      <c r="D714" s="1">
        <f>IFERROR(__xludf.DUMMYFUNCTION("""COMPUTED_VALUE"""),43.13)</f>
        <v>43.13</v>
      </c>
      <c r="E714" s="1">
        <f>IFERROR(__xludf.DUMMYFUNCTION("""COMPUTED_VALUE"""),43.25)</f>
        <v>43.25</v>
      </c>
      <c r="F714" s="1">
        <f>IFERROR(__xludf.DUMMYFUNCTION("""COMPUTED_VALUE"""),4670000.0)</f>
        <v>4670000</v>
      </c>
    </row>
    <row r="715">
      <c r="A715" s="2">
        <f>IFERROR(__xludf.DUMMYFUNCTION("""COMPUTED_VALUE"""),37565.666666666664)</f>
        <v>37565.66667</v>
      </c>
      <c r="B715" s="1">
        <f>IFERROR(__xludf.DUMMYFUNCTION("""COMPUTED_VALUE"""),43.38)</f>
        <v>43.38</v>
      </c>
      <c r="C715" s="1">
        <f>IFERROR(__xludf.DUMMYFUNCTION("""COMPUTED_VALUE"""),44.49)</f>
        <v>44.49</v>
      </c>
      <c r="D715" s="1">
        <f>IFERROR(__xludf.DUMMYFUNCTION("""COMPUTED_VALUE"""),43.18)</f>
        <v>43.18</v>
      </c>
      <c r="E715" s="1">
        <f>IFERROR(__xludf.DUMMYFUNCTION("""COMPUTED_VALUE"""),44.37)</f>
        <v>44.37</v>
      </c>
      <c r="F715" s="1">
        <f>IFERROR(__xludf.DUMMYFUNCTION("""COMPUTED_VALUE"""),3814600.0)</f>
        <v>3814600</v>
      </c>
    </row>
    <row r="716">
      <c r="A716" s="2">
        <f>IFERROR(__xludf.DUMMYFUNCTION("""COMPUTED_VALUE"""),37566.666666666664)</f>
        <v>37566.66667</v>
      </c>
      <c r="B716" s="1">
        <f>IFERROR(__xludf.DUMMYFUNCTION("""COMPUTED_VALUE"""),44.36)</f>
        <v>44.36</v>
      </c>
      <c r="C716" s="1">
        <f>IFERROR(__xludf.DUMMYFUNCTION("""COMPUTED_VALUE"""),44.38)</f>
        <v>44.38</v>
      </c>
      <c r="D716" s="1">
        <f>IFERROR(__xludf.DUMMYFUNCTION("""COMPUTED_VALUE"""),43.49)</f>
        <v>43.49</v>
      </c>
      <c r="E716" s="1">
        <f>IFERROR(__xludf.DUMMYFUNCTION("""COMPUTED_VALUE"""),43.93)</f>
        <v>43.93</v>
      </c>
      <c r="F716" s="1">
        <f>IFERROR(__xludf.DUMMYFUNCTION("""COMPUTED_VALUE"""),4106200.0)</f>
        <v>4106200</v>
      </c>
    </row>
    <row r="717">
      <c r="A717" s="2">
        <f>IFERROR(__xludf.DUMMYFUNCTION("""COMPUTED_VALUE"""),37567.666666666664)</f>
        <v>37567.66667</v>
      </c>
      <c r="B717" s="1">
        <f>IFERROR(__xludf.DUMMYFUNCTION("""COMPUTED_VALUE"""),43.88)</f>
        <v>43.88</v>
      </c>
      <c r="C717" s="1">
        <f>IFERROR(__xludf.DUMMYFUNCTION("""COMPUTED_VALUE"""),44.23)</f>
        <v>44.23</v>
      </c>
      <c r="D717" s="1">
        <f>IFERROR(__xludf.DUMMYFUNCTION("""COMPUTED_VALUE"""),43.51)</f>
        <v>43.51</v>
      </c>
      <c r="E717" s="1">
        <f>IFERROR(__xludf.DUMMYFUNCTION("""COMPUTED_VALUE"""),44.01)</f>
        <v>44.01</v>
      </c>
      <c r="F717" s="1">
        <f>IFERROR(__xludf.DUMMYFUNCTION("""COMPUTED_VALUE"""),3121100.0)</f>
        <v>3121100</v>
      </c>
    </row>
    <row r="718">
      <c r="A718" s="2">
        <f>IFERROR(__xludf.DUMMYFUNCTION("""COMPUTED_VALUE"""),37568.666666666664)</f>
        <v>37568.66667</v>
      </c>
      <c r="B718" s="1">
        <f>IFERROR(__xludf.DUMMYFUNCTION("""COMPUTED_VALUE"""),44.25)</f>
        <v>44.25</v>
      </c>
      <c r="C718" s="1">
        <f>IFERROR(__xludf.DUMMYFUNCTION("""COMPUTED_VALUE"""),44.53)</f>
        <v>44.53</v>
      </c>
      <c r="D718" s="1">
        <f>IFERROR(__xludf.DUMMYFUNCTION("""COMPUTED_VALUE"""),43.59)</f>
        <v>43.59</v>
      </c>
      <c r="E718" s="1">
        <f>IFERROR(__xludf.DUMMYFUNCTION("""COMPUTED_VALUE"""),43.85)</f>
        <v>43.85</v>
      </c>
      <c r="F718" s="1">
        <f>IFERROR(__xludf.DUMMYFUNCTION("""COMPUTED_VALUE"""),3007100.0)</f>
        <v>3007100</v>
      </c>
    </row>
    <row r="719">
      <c r="A719" s="2">
        <f>IFERROR(__xludf.DUMMYFUNCTION("""COMPUTED_VALUE"""),37571.666666666664)</f>
        <v>37571.66667</v>
      </c>
      <c r="B719" s="1">
        <f>IFERROR(__xludf.DUMMYFUNCTION("""COMPUTED_VALUE"""),43.3)</f>
        <v>43.3</v>
      </c>
      <c r="C719" s="1">
        <f>IFERROR(__xludf.DUMMYFUNCTION("""COMPUTED_VALUE"""),43.85)</f>
        <v>43.85</v>
      </c>
      <c r="D719" s="1">
        <f>IFERROR(__xludf.DUMMYFUNCTION("""COMPUTED_VALUE"""),43.07)</f>
        <v>43.07</v>
      </c>
      <c r="E719" s="1">
        <f>IFERROR(__xludf.DUMMYFUNCTION("""COMPUTED_VALUE"""),43.13)</f>
        <v>43.13</v>
      </c>
      <c r="F719" s="1">
        <f>IFERROR(__xludf.DUMMYFUNCTION("""COMPUTED_VALUE"""),2821300.0)</f>
        <v>2821300</v>
      </c>
    </row>
    <row r="720">
      <c r="A720" s="2">
        <f>IFERROR(__xludf.DUMMYFUNCTION("""COMPUTED_VALUE"""),37572.666666666664)</f>
        <v>37572.66667</v>
      </c>
      <c r="B720" s="1">
        <f>IFERROR(__xludf.DUMMYFUNCTION("""COMPUTED_VALUE"""),43.24)</f>
        <v>43.24</v>
      </c>
      <c r="C720" s="1">
        <f>IFERROR(__xludf.DUMMYFUNCTION("""COMPUTED_VALUE"""),43.63)</f>
        <v>43.63</v>
      </c>
      <c r="D720" s="1">
        <f>IFERROR(__xludf.DUMMYFUNCTION("""COMPUTED_VALUE"""),42.57)</f>
        <v>42.57</v>
      </c>
      <c r="E720" s="1">
        <f>IFERROR(__xludf.DUMMYFUNCTION("""COMPUTED_VALUE"""),42.71)</f>
        <v>42.71</v>
      </c>
      <c r="F720" s="1">
        <f>IFERROR(__xludf.DUMMYFUNCTION("""COMPUTED_VALUE"""),3624000.0)</f>
        <v>3624000</v>
      </c>
    </row>
    <row r="721">
      <c r="A721" s="2">
        <f>IFERROR(__xludf.DUMMYFUNCTION("""COMPUTED_VALUE"""),37573.666666666664)</f>
        <v>37573.66667</v>
      </c>
      <c r="B721" s="1">
        <f>IFERROR(__xludf.DUMMYFUNCTION("""COMPUTED_VALUE"""),42.94)</f>
        <v>42.94</v>
      </c>
      <c r="C721" s="1">
        <f>IFERROR(__xludf.DUMMYFUNCTION("""COMPUTED_VALUE"""),43.59)</f>
        <v>43.59</v>
      </c>
      <c r="D721" s="1">
        <f>IFERROR(__xludf.DUMMYFUNCTION("""COMPUTED_VALUE"""),42.69)</f>
        <v>42.69</v>
      </c>
      <c r="E721" s="1">
        <f>IFERROR(__xludf.DUMMYFUNCTION("""COMPUTED_VALUE"""),42.9)</f>
        <v>42.9</v>
      </c>
      <c r="F721" s="1">
        <f>IFERROR(__xludf.DUMMYFUNCTION("""COMPUTED_VALUE"""),3766800.0)</f>
        <v>3766800</v>
      </c>
    </row>
    <row r="722">
      <c r="A722" s="2">
        <f>IFERROR(__xludf.DUMMYFUNCTION("""COMPUTED_VALUE"""),37574.666666666664)</f>
        <v>37574.66667</v>
      </c>
      <c r="B722" s="1">
        <f>IFERROR(__xludf.DUMMYFUNCTION("""COMPUTED_VALUE"""),42.96)</f>
        <v>42.96</v>
      </c>
      <c r="C722" s="1">
        <f>IFERROR(__xludf.DUMMYFUNCTION("""COMPUTED_VALUE"""),43.33)</f>
        <v>43.33</v>
      </c>
      <c r="D722" s="1">
        <f>IFERROR(__xludf.DUMMYFUNCTION("""COMPUTED_VALUE"""),42.57)</f>
        <v>42.57</v>
      </c>
      <c r="E722" s="1">
        <f>IFERROR(__xludf.DUMMYFUNCTION("""COMPUTED_VALUE"""),43.24)</f>
        <v>43.24</v>
      </c>
      <c r="F722" s="1">
        <f>IFERROR(__xludf.DUMMYFUNCTION("""COMPUTED_VALUE"""),3739000.0)</f>
        <v>3739000</v>
      </c>
    </row>
    <row r="723">
      <c r="A723" s="2">
        <f>IFERROR(__xludf.DUMMYFUNCTION("""COMPUTED_VALUE"""),37575.666666666664)</f>
        <v>37575.66667</v>
      </c>
      <c r="B723" s="1">
        <f>IFERROR(__xludf.DUMMYFUNCTION("""COMPUTED_VALUE"""),43.25)</f>
        <v>43.25</v>
      </c>
      <c r="C723" s="1">
        <f>IFERROR(__xludf.DUMMYFUNCTION("""COMPUTED_VALUE"""),43.69)</f>
        <v>43.69</v>
      </c>
      <c r="D723" s="1">
        <f>IFERROR(__xludf.DUMMYFUNCTION("""COMPUTED_VALUE"""),42.88)</f>
        <v>42.88</v>
      </c>
      <c r="E723" s="1">
        <f>IFERROR(__xludf.DUMMYFUNCTION("""COMPUTED_VALUE"""),43.64)</f>
        <v>43.64</v>
      </c>
      <c r="F723" s="1">
        <f>IFERROR(__xludf.DUMMYFUNCTION("""COMPUTED_VALUE"""),4374800.0)</f>
        <v>4374800</v>
      </c>
    </row>
    <row r="724">
      <c r="A724" s="2">
        <f>IFERROR(__xludf.DUMMYFUNCTION("""COMPUTED_VALUE"""),37578.666666666664)</f>
        <v>37578.66667</v>
      </c>
      <c r="B724" s="1">
        <f>IFERROR(__xludf.DUMMYFUNCTION("""COMPUTED_VALUE"""),43.65)</f>
        <v>43.65</v>
      </c>
      <c r="C724" s="1">
        <f>IFERROR(__xludf.DUMMYFUNCTION("""COMPUTED_VALUE"""),43.65)</f>
        <v>43.65</v>
      </c>
      <c r="D724" s="1">
        <f>IFERROR(__xludf.DUMMYFUNCTION("""COMPUTED_VALUE"""),42.72)</f>
        <v>42.72</v>
      </c>
      <c r="E724" s="1">
        <f>IFERROR(__xludf.DUMMYFUNCTION("""COMPUTED_VALUE"""),43.08)</f>
        <v>43.08</v>
      </c>
      <c r="F724" s="1">
        <f>IFERROR(__xludf.DUMMYFUNCTION("""COMPUTED_VALUE"""),3891000.0)</f>
        <v>3891000</v>
      </c>
    </row>
    <row r="725">
      <c r="A725" s="2">
        <f>IFERROR(__xludf.DUMMYFUNCTION("""COMPUTED_VALUE"""),37579.666666666664)</f>
        <v>37579.66667</v>
      </c>
      <c r="B725" s="1">
        <f>IFERROR(__xludf.DUMMYFUNCTION("""COMPUTED_VALUE"""),43.01)</f>
        <v>43.01</v>
      </c>
      <c r="C725" s="1">
        <f>IFERROR(__xludf.DUMMYFUNCTION("""COMPUTED_VALUE"""),43.94)</f>
        <v>43.94</v>
      </c>
      <c r="D725" s="1">
        <f>IFERROR(__xludf.DUMMYFUNCTION("""COMPUTED_VALUE"""),42.95)</f>
        <v>42.95</v>
      </c>
      <c r="E725" s="1">
        <f>IFERROR(__xludf.DUMMYFUNCTION("""COMPUTED_VALUE"""),43.55)</f>
        <v>43.55</v>
      </c>
      <c r="F725" s="1">
        <f>IFERROR(__xludf.DUMMYFUNCTION("""COMPUTED_VALUE"""),3148000.0)</f>
        <v>3148000</v>
      </c>
    </row>
    <row r="726">
      <c r="A726" s="2">
        <f>IFERROR(__xludf.DUMMYFUNCTION("""COMPUTED_VALUE"""),37580.666666666664)</f>
        <v>37580.66667</v>
      </c>
      <c r="B726" s="1">
        <f>IFERROR(__xludf.DUMMYFUNCTION("""COMPUTED_VALUE"""),43.28)</f>
        <v>43.28</v>
      </c>
      <c r="C726" s="1">
        <f>IFERROR(__xludf.DUMMYFUNCTION("""COMPUTED_VALUE"""),44.15)</f>
        <v>44.15</v>
      </c>
      <c r="D726" s="1">
        <f>IFERROR(__xludf.DUMMYFUNCTION("""COMPUTED_VALUE"""),43.13)</f>
        <v>43.13</v>
      </c>
      <c r="E726" s="1">
        <f>IFERROR(__xludf.DUMMYFUNCTION("""COMPUTED_VALUE"""),44.0)</f>
        <v>44</v>
      </c>
      <c r="F726" s="1">
        <f>IFERROR(__xludf.DUMMYFUNCTION("""COMPUTED_VALUE"""),3228800.0)</f>
        <v>3228800</v>
      </c>
    </row>
    <row r="727">
      <c r="A727" s="2">
        <f>IFERROR(__xludf.DUMMYFUNCTION("""COMPUTED_VALUE"""),37581.666666666664)</f>
        <v>37581.66667</v>
      </c>
      <c r="B727" s="1">
        <f>IFERROR(__xludf.DUMMYFUNCTION("""COMPUTED_VALUE"""),44.0)</f>
        <v>44</v>
      </c>
      <c r="C727" s="1">
        <f>IFERROR(__xludf.DUMMYFUNCTION("""COMPUTED_VALUE"""),44.05)</f>
        <v>44.05</v>
      </c>
      <c r="D727" s="1">
        <f>IFERROR(__xludf.DUMMYFUNCTION("""COMPUTED_VALUE"""),43.25)</f>
        <v>43.25</v>
      </c>
      <c r="E727" s="1">
        <f>IFERROR(__xludf.DUMMYFUNCTION("""COMPUTED_VALUE"""),43.37)</f>
        <v>43.37</v>
      </c>
      <c r="F727" s="1">
        <f>IFERROR(__xludf.DUMMYFUNCTION("""COMPUTED_VALUE"""),4249700.0)</f>
        <v>4249700</v>
      </c>
    </row>
    <row r="728">
      <c r="A728" s="2">
        <f>IFERROR(__xludf.DUMMYFUNCTION("""COMPUTED_VALUE"""),37582.666666666664)</f>
        <v>37582.66667</v>
      </c>
      <c r="B728" s="1">
        <f>IFERROR(__xludf.DUMMYFUNCTION("""COMPUTED_VALUE"""),43.33)</f>
        <v>43.33</v>
      </c>
      <c r="C728" s="1">
        <f>IFERROR(__xludf.DUMMYFUNCTION("""COMPUTED_VALUE"""),43.74)</f>
        <v>43.74</v>
      </c>
      <c r="D728" s="1">
        <f>IFERROR(__xludf.DUMMYFUNCTION("""COMPUTED_VALUE"""),43.24)</f>
        <v>43.24</v>
      </c>
      <c r="E728" s="1">
        <f>IFERROR(__xludf.DUMMYFUNCTION("""COMPUTED_VALUE"""),43.29)</f>
        <v>43.29</v>
      </c>
      <c r="F728" s="1">
        <f>IFERROR(__xludf.DUMMYFUNCTION("""COMPUTED_VALUE"""),3718800.0)</f>
        <v>3718800</v>
      </c>
    </row>
    <row r="729">
      <c r="A729" s="2">
        <f>IFERROR(__xludf.DUMMYFUNCTION("""COMPUTED_VALUE"""),37585.666666666664)</f>
        <v>37585.66667</v>
      </c>
      <c r="B729" s="1">
        <f>IFERROR(__xludf.DUMMYFUNCTION("""COMPUTED_VALUE"""),43.04)</f>
        <v>43.04</v>
      </c>
      <c r="C729" s="1">
        <f>IFERROR(__xludf.DUMMYFUNCTION("""COMPUTED_VALUE"""),43.12)</f>
        <v>43.12</v>
      </c>
      <c r="D729" s="1">
        <f>IFERROR(__xludf.DUMMYFUNCTION("""COMPUTED_VALUE"""),42.73)</f>
        <v>42.73</v>
      </c>
      <c r="E729" s="1">
        <f>IFERROR(__xludf.DUMMYFUNCTION("""COMPUTED_VALUE"""),42.82)</f>
        <v>42.82</v>
      </c>
      <c r="F729" s="1">
        <f>IFERROR(__xludf.DUMMYFUNCTION("""COMPUTED_VALUE"""),3750000.0)</f>
        <v>3750000</v>
      </c>
    </row>
    <row r="730">
      <c r="A730" s="2">
        <f>IFERROR(__xludf.DUMMYFUNCTION("""COMPUTED_VALUE"""),37586.666666666664)</f>
        <v>37586.66667</v>
      </c>
      <c r="B730" s="1">
        <f>IFERROR(__xludf.DUMMYFUNCTION("""COMPUTED_VALUE"""),42.63)</f>
        <v>42.63</v>
      </c>
      <c r="C730" s="1">
        <f>IFERROR(__xludf.DUMMYFUNCTION("""COMPUTED_VALUE"""),42.63)</f>
        <v>42.63</v>
      </c>
      <c r="D730" s="1">
        <f>IFERROR(__xludf.DUMMYFUNCTION("""COMPUTED_VALUE"""),42.13)</f>
        <v>42.13</v>
      </c>
      <c r="E730" s="1">
        <f>IFERROR(__xludf.DUMMYFUNCTION("""COMPUTED_VALUE"""),42.21)</f>
        <v>42.21</v>
      </c>
      <c r="F730" s="1">
        <f>IFERROR(__xludf.DUMMYFUNCTION("""COMPUTED_VALUE"""),4515700.0)</f>
        <v>4515700</v>
      </c>
    </row>
    <row r="731">
      <c r="A731" s="2">
        <f>IFERROR(__xludf.DUMMYFUNCTION("""COMPUTED_VALUE"""),37587.666666666664)</f>
        <v>37587.66667</v>
      </c>
      <c r="B731" s="1">
        <f>IFERROR(__xludf.DUMMYFUNCTION("""COMPUTED_VALUE"""),42.22)</f>
        <v>42.22</v>
      </c>
      <c r="C731" s="1">
        <f>IFERROR(__xludf.DUMMYFUNCTION("""COMPUTED_VALUE"""),42.78)</f>
        <v>42.78</v>
      </c>
      <c r="D731" s="1">
        <f>IFERROR(__xludf.DUMMYFUNCTION("""COMPUTED_VALUE"""),41.8)</f>
        <v>41.8</v>
      </c>
      <c r="E731" s="1">
        <f>IFERROR(__xludf.DUMMYFUNCTION("""COMPUTED_VALUE"""),42.52)</f>
        <v>42.52</v>
      </c>
      <c r="F731" s="1">
        <f>IFERROR(__xludf.DUMMYFUNCTION("""COMPUTED_VALUE"""),3730600.0)</f>
        <v>3730600</v>
      </c>
    </row>
    <row r="732">
      <c r="A732" s="2">
        <f>IFERROR(__xludf.DUMMYFUNCTION("""COMPUTED_VALUE"""),37589.666666666664)</f>
        <v>37589.66667</v>
      </c>
      <c r="B732" s="1">
        <f>IFERROR(__xludf.DUMMYFUNCTION("""COMPUTED_VALUE"""),42.26)</f>
        <v>42.26</v>
      </c>
      <c r="C732" s="1">
        <f>IFERROR(__xludf.DUMMYFUNCTION("""COMPUTED_VALUE"""),42.45)</f>
        <v>42.45</v>
      </c>
      <c r="D732" s="1">
        <f>IFERROR(__xludf.DUMMYFUNCTION("""COMPUTED_VALUE"""),41.93)</f>
        <v>41.93</v>
      </c>
      <c r="E732" s="1">
        <f>IFERROR(__xludf.DUMMYFUNCTION("""COMPUTED_VALUE"""),42.27)</f>
        <v>42.27</v>
      </c>
      <c r="F732" s="1">
        <f>IFERROR(__xludf.DUMMYFUNCTION("""COMPUTED_VALUE"""),2170000.0)</f>
        <v>2170000</v>
      </c>
    </row>
    <row r="733">
      <c r="A733" s="2">
        <f>IFERROR(__xludf.DUMMYFUNCTION("""COMPUTED_VALUE"""),37592.666666666664)</f>
        <v>37592.66667</v>
      </c>
      <c r="B733" s="1">
        <f>IFERROR(__xludf.DUMMYFUNCTION("""COMPUTED_VALUE"""),41.82)</f>
        <v>41.82</v>
      </c>
      <c r="C733" s="1">
        <f>IFERROR(__xludf.DUMMYFUNCTION("""COMPUTED_VALUE"""),41.88)</f>
        <v>41.88</v>
      </c>
      <c r="D733" s="1">
        <f>IFERROR(__xludf.DUMMYFUNCTION("""COMPUTED_VALUE"""),41.13)</f>
        <v>41.13</v>
      </c>
      <c r="E733" s="1">
        <f>IFERROR(__xludf.DUMMYFUNCTION("""COMPUTED_VALUE"""),41.4)</f>
        <v>41.4</v>
      </c>
      <c r="F733" s="1">
        <f>IFERROR(__xludf.DUMMYFUNCTION("""COMPUTED_VALUE"""),6952600.0)</f>
        <v>6952600</v>
      </c>
    </row>
    <row r="734">
      <c r="A734" s="2">
        <f>IFERROR(__xludf.DUMMYFUNCTION("""COMPUTED_VALUE"""),37593.666666666664)</f>
        <v>37593.66667</v>
      </c>
      <c r="B734" s="1">
        <f>IFERROR(__xludf.DUMMYFUNCTION("""COMPUTED_VALUE"""),41.0)</f>
        <v>41</v>
      </c>
      <c r="C734" s="1">
        <f>IFERROR(__xludf.DUMMYFUNCTION("""COMPUTED_VALUE"""),42.4)</f>
        <v>42.4</v>
      </c>
      <c r="D734" s="1">
        <f>IFERROR(__xludf.DUMMYFUNCTION("""COMPUTED_VALUE"""),41.0)</f>
        <v>41</v>
      </c>
      <c r="E734" s="1">
        <f>IFERROR(__xludf.DUMMYFUNCTION("""COMPUTED_VALUE"""),42.25)</f>
        <v>42.25</v>
      </c>
      <c r="F734" s="1">
        <f>IFERROR(__xludf.DUMMYFUNCTION("""COMPUTED_VALUE"""),5284900.0)</f>
        <v>5284900</v>
      </c>
    </row>
    <row r="735">
      <c r="A735" s="2">
        <f>IFERROR(__xludf.DUMMYFUNCTION("""COMPUTED_VALUE"""),37594.666666666664)</f>
        <v>37594.66667</v>
      </c>
      <c r="B735" s="1">
        <f>IFERROR(__xludf.DUMMYFUNCTION("""COMPUTED_VALUE"""),42.25)</f>
        <v>42.25</v>
      </c>
      <c r="C735" s="1">
        <f>IFERROR(__xludf.DUMMYFUNCTION("""COMPUTED_VALUE"""),43.4)</f>
        <v>43.4</v>
      </c>
      <c r="D735" s="1">
        <f>IFERROR(__xludf.DUMMYFUNCTION("""COMPUTED_VALUE"""),42.25)</f>
        <v>42.25</v>
      </c>
      <c r="E735" s="1">
        <f>IFERROR(__xludf.DUMMYFUNCTION("""COMPUTED_VALUE"""),43.03)</f>
        <v>43.03</v>
      </c>
      <c r="F735" s="1">
        <f>IFERROR(__xludf.DUMMYFUNCTION("""COMPUTED_VALUE"""),5242000.0)</f>
        <v>5242000</v>
      </c>
    </row>
    <row r="736">
      <c r="A736" s="2">
        <f>IFERROR(__xludf.DUMMYFUNCTION("""COMPUTED_VALUE"""),37595.666666666664)</f>
        <v>37595.66667</v>
      </c>
      <c r="B736" s="1">
        <f>IFERROR(__xludf.DUMMYFUNCTION("""COMPUTED_VALUE"""),43.03)</f>
        <v>43.03</v>
      </c>
      <c r="C736" s="1">
        <f>IFERROR(__xludf.DUMMYFUNCTION("""COMPUTED_VALUE"""),43.75)</f>
        <v>43.75</v>
      </c>
      <c r="D736" s="1">
        <f>IFERROR(__xludf.DUMMYFUNCTION("""COMPUTED_VALUE"""),42.58)</f>
        <v>42.58</v>
      </c>
      <c r="E736" s="1">
        <f>IFERROR(__xludf.DUMMYFUNCTION("""COMPUTED_VALUE"""),42.62)</f>
        <v>42.62</v>
      </c>
      <c r="F736" s="1">
        <f>IFERROR(__xludf.DUMMYFUNCTION("""COMPUTED_VALUE"""),4679900.0)</f>
        <v>4679900</v>
      </c>
    </row>
    <row r="737">
      <c r="A737" s="2">
        <f>IFERROR(__xludf.DUMMYFUNCTION("""COMPUTED_VALUE"""),37596.666666666664)</f>
        <v>37596.66667</v>
      </c>
      <c r="B737" s="1">
        <f>IFERROR(__xludf.DUMMYFUNCTION("""COMPUTED_VALUE"""),42.74)</f>
        <v>42.74</v>
      </c>
      <c r="C737" s="1">
        <f>IFERROR(__xludf.DUMMYFUNCTION("""COMPUTED_VALUE"""),43.03)</f>
        <v>43.03</v>
      </c>
      <c r="D737" s="1">
        <f>IFERROR(__xludf.DUMMYFUNCTION("""COMPUTED_VALUE"""),42.41)</f>
        <v>42.41</v>
      </c>
      <c r="E737" s="1">
        <f>IFERROR(__xludf.DUMMYFUNCTION("""COMPUTED_VALUE"""),42.98)</f>
        <v>42.98</v>
      </c>
      <c r="F737" s="1">
        <f>IFERROR(__xludf.DUMMYFUNCTION("""COMPUTED_VALUE"""),3041600.0)</f>
        <v>3041600</v>
      </c>
    </row>
    <row r="738">
      <c r="A738" s="2">
        <f>IFERROR(__xludf.DUMMYFUNCTION("""COMPUTED_VALUE"""),37599.666666666664)</f>
        <v>37599.66667</v>
      </c>
      <c r="B738" s="1">
        <f>IFERROR(__xludf.DUMMYFUNCTION("""COMPUTED_VALUE"""),43.0)</f>
        <v>43</v>
      </c>
      <c r="C738" s="1">
        <f>IFERROR(__xludf.DUMMYFUNCTION("""COMPUTED_VALUE"""),43.43)</f>
        <v>43.43</v>
      </c>
      <c r="D738" s="1">
        <f>IFERROR(__xludf.DUMMYFUNCTION("""COMPUTED_VALUE"""),42.78)</f>
        <v>42.78</v>
      </c>
      <c r="E738" s="1">
        <f>IFERROR(__xludf.DUMMYFUNCTION("""COMPUTED_VALUE"""),43.19)</f>
        <v>43.19</v>
      </c>
      <c r="F738" s="1">
        <f>IFERROR(__xludf.DUMMYFUNCTION("""COMPUTED_VALUE"""),4222300.0)</f>
        <v>4222300</v>
      </c>
    </row>
    <row r="739">
      <c r="A739" s="2">
        <f>IFERROR(__xludf.DUMMYFUNCTION("""COMPUTED_VALUE"""),37600.666666666664)</f>
        <v>37600.66667</v>
      </c>
      <c r="B739" s="1">
        <f>IFERROR(__xludf.DUMMYFUNCTION("""COMPUTED_VALUE"""),43.5)</f>
        <v>43.5</v>
      </c>
      <c r="C739" s="1">
        <f>IFERROR(__xludf.DUMMYFUNCTION("""COMPUTED_VALUE"""),43.95)</f>
        <v>43.95</v>
      </c>
      <c r="D739" s="1">
        <f>IFERROR(__xludf.DUMMYFUNCTION("""COMPUTED_VALUE"""),43.2)</f>
        <v>43.2</v>
      </c>
      <c r="E739" s="1">
        <f>IFERROR(__xludf.DUMMYFUNCTION("""COMPUTED_VALUE"""),43.83)</f>
        <v>43.83</v>
      </c>
      <c r="F739" s="1">
        <f>IFERROR(__xludf.DUMMYFUNCTION("""COMPUTED_VALUE"""),3960000.0)</f>
        <v>3960000</v>
      </c>
    </row>
    <row r="740">
      <c r="A740" s="2">
        <f>IFERROR(__xludf.DUMMYFUNCTION("""COMPUTED_VALUE"""),37601.666666666664)</f>
        <v>37601.66667</v>
      </c>
      <c r="B740" s="1">
        <f>IFERROR(__xludf.DUMMYFUNCTION("""COMPUTED_VALUE"""),43.83)</f>
        <v>43.83</v>
      </c>
      <c r="C740" s="1">
        <f>IFERROR(__xludf.DUMMYFUNCTION("""COMPUTED_VALUE"""),43.95)</f>
        <v>43.95</v>
      </c>
      <c r="D740" s="1">
        <f>IFERROR(__xludf.DUMMYFUNCTION("""COMPUTED_VALUE"""),43.21)</f>
        <v>43.21</v>
      </c>
      <c r="E740" s="1">
        <f>IFERROR(__xludf.DUMMYFUNCTION("""COMPUTED_VALUE"""),43.73)</f>
        <v>43.73</v>
      </c>
      <c r="F740" s="1">
        <f>IFERROR(__xludf.DUMMYFUNCTION("""COMPUTED_VALUE"""),3944000.0)</f>
        <v>3944000</v>
      </c>
    </row>
    <row r="741">
      <c r="A741" s="2">
        <f>IFERROR(__xludf.DUMMYFUNCTION("""COMPUTED_VALUE"""),37602.666666666664)</f>
        <v>37602.66667</v>
      </c>
      <c r="B741" s="1">
        <f>IFERROR(__xludf.DUMMYFUNCTION("""COMPUTED_VALUE"""),44.0)</f>
        <v>44</v>
      </c>
      <c r="C741" s="1">
        <f>IFERROR(__xludf.DUMMYFUNCTION("""COMPUTED_VALUE"""),44.13)</f>
        <v>44.13</v>
      </c>
      <c r="D741" s="1">
        <f>IFERROR(__xludf.DUMMYFUNCTION("""COMPUTED_VALUE"""),43.13)</f>
        <v>43.13</v>
      </c>
      <c r="E741" s="1">
        <f>IFERROR(__xludf.DUMMYFUNCTION("""COMPUTED_VALUE"""),43.85)</f>
        <v>43.85</v>
      </c>
      <c r="F741" s="1">
        <f>IFERROR(__xludf.DUMMYFUNCTION("""COMPUTED_VALUE"""),5185100.0)</f>
        <v>5185100</v>
      </c>
    </row>
    <row r="742">
      <c r="A742" s="2">
        <f>IFERROR(__xludf.DUMMYFUNCTION("""COMPUTED_VALUE"""),37603.666666666664)</f>
        <v>37603.66667</v>
      </c>
      <c r="B742" s="1">
        <f>IFERROR(__xludf.DUMMYFUNCTION("""COMPUTED_VALUE"""),43.85)</f>
        <v>43.85</v>
      </c>
      <c r="C742" s="1">
        <f>IFERROR(__xludf.DUMMYFUNCTION("""COMPUTED_VALUE"""),44.15)</f>
        <v>44.15</v>
      </c>
      <c r="D742" s="1">
        <f>IFERROR(__xludf.DUMMYFUNCTION("""COMPUTED_VALUE"""),43.58)</f>
        <v>43.58</v>
      </c>
      <c r="E742" s="1">
        <f>IFERROR(__xludf.DUMMYFUNCTION("""COMPUTED_VALUE"""),43.71)</f>
        <v>43.71</v>
      </c>
      <c r="F742" s="1">
        <f>IFERROR(__xludf.DUMMYFUNCTION("""COMPUTED_VALUE"""),4090400.0)</f>
        <v>4090400</v>
      </c>
    </row>
    <row r="743">
      <c r="A743" s="2">
        <f>IFERROR(__xludf.DUMMYFUNCTION("""COMPUTED_VALUE"""),37606.666666666664)</f>
        <v>37606.66667</v>
      </c>
      <c r="B743" s="1">
        <f>IFERROR(__xludf.DUMMYFUNCTION("""COMPUTED_VALUE"""),43.71)</f>
        <v>43.71</v>
      </c>
      <c r="C743" s="1">
        <f>IFERROR(__xludf.DUMMYFUNCTION("""COMPUTED_VALUE"""),44.03)</f>
        <v>44.03</v>
      </c>
      <c r="D743" s="1">
        <f>IFERROR(__xludf.DUMMYFUNCTION("""COMPUTED_VALUE"""),43.17)</f>
        <v>43.17</v>
      </c>
      <c r="E743" s="1">
        <f>IFERROR(__xludf.DUMMYFUNCTION("""COMPUTED_VALUE"""),44.03)</f>
        <v>44.03</v>
      </c>
      <c r="F743" s="1">
        <f>IFERROR(__xludf.DUMMYFUNCTION("""COMPUTED_VALUE"""),3442100.0)</f>
        <v>3442100</v>
      </c>
    </row>
    <row r="744">
      <c r="A744" s="2">
        <f>IFERROR(__xludf.DUMMYFUNCTION("""COMPUTED_VALUE"""),37607.666666666664)</f>
        <v>37607.66667</v>
      </c>
      <c r="B744" s="1">
        <f>IFERROR(__xludf.DUMMYFUNCTION("""COMPUTED_VALUE"""),44.0)</f>
        <v>44</v>
      </c>
      <c r="C744" s="1">
        <f>IFERROR(__xludf.DUMMYFUNCTION("""COMPUTED_VALUE"""),44.01)</f>
        <v>44.01</v>
      </c>
      <c r="D744" s="1">
        <f>IFERROR(__xludf.DUMMYFUNCTION("""COMPUTED_VALUE"""),43.53)</f>
        <v>43.53</v>
      </c>
      <c r="E744" s="1">
        <f>IFERROR(__xludf.DUMMYFUNCTION("""COMPUTED_VALUE"""),43.7)</f>
        <v>43.7</v>
      </c>
      <c r="F744" s="1">
        <f>IFERROR(__xludf.DUMMYFUNCTION("""COMPUTED_VALUE"""),3479400.0)</f>
        <v>3479400</v>
      </c>
    </row>
    <row r="745">
      <c r="A745" s="2">
        <f>IFERROR(__xludf.DUMMYFUNCTION("""COMPUTED_VALUE"""),37608.666666666664)</f>
        <v>37608.66667</v>
      </c>
      <c r="B745" s="1">
        <f>IFERROR(__xludf.DUMMYFUNCTION("""COMPUTED_VALUE"""),43.6)</f>
        <v>43.6</v>
      </c>
      <c r="C745" s="1">
        <f>IFERROR(__xludf.DUMMYFUNCTION("""COMPUTED_VALUE"""),43.93)</f>
        <v>43.93</v>
      </c>
      <c r="D745" s="1">
        <f>IFERROR(__xludf.DUMMYFUNCTION("""COMPUTED_VALUE"""),43.41)</f>
        <v>43.41</v>
      </c>
      <c r="E745" s="1">
        <f>IFERROR(__xludf.DUMMYFUNCTION("""COMPUTED_VALUE"""),43.69)</f>
        <v>43.69</v>
      </c>
      <c r="F745" s="1">
        <f>IFERROR(__xludf.DUMMYFUNCTION("""COMPUTED_VALUE"""),3084200.0)</f>
        <v>3084200</v>
      </c>
    </row>
    <row r="746">
      <c r="A746" s="2">
        <f>IFERROR(__xludf.DUMMYFUNCTION("""COMPUTED_VALUE"""),37609.666666666664)</f>
        <v>37609.66667</v>
      </c>
      <c r="B746" s="1">
        <f>IFERROR(__xludf.DUMMYFUNCTION("""COMPUTED_VALUE"""),43.69)</f>
        <v>43.69</v>
      </c>
      <c r="C746" s="1">
        <f>IFERROR(__xludf.DUMMYFUNCTION("""COMPUTED_VALUE"""),43.7)</f>
        <v>43.7</v>
      </c>
      <c r="D746" s="1">
        <f>IFERROR(__xludf.DUMMYFUNCTION("""COMPUTED_VALUE"""),42.68)</f>
        <v>42.68</v>
      </c>
      <c r="E746" s="1">
        <f>IFERROR(__xludf.DUMMYFUNCTION("""COMPUTED_VALUE"""),42.85)</f>
        <v>42.85</v>
      </c>
      <c r="F746" s="1">
        <f>IFERROR(__xludf.DUMMYFUNCTION("""COMPUTED_VALUE"""),4637900.0)</f>
        <v>4637900</v>
      </c>
    </row>
    <row r="747">
      <c r="A747" s="2">
        <f>IFERROR(__xludf.DUMMYFUNCTION("""COMPUTED_VALUE"""),37610.666666666664)</f>
        <v>37610.66667</v>
      </c>
      <c r="B747" s="1">
        <f>IFERROR(__xludf.DUMMYFUNCTION("""COMPUTED_VALUE"""),43.35)</f>
        <v>43.35</v>
      </c>
      <c r="C747" s="1">
        <f>IFERROR(__xludf.DUMMYFUNCTION("""COMPUTED_VALUE"""),43.89)</f>
        <v>43.89</v>
      </c>
      <c r="D747" s="1">
        <f>IFERROR(__xludf.DUMMYFUNCTION("""COMPUTED_VALUE"""),43.17)</f>
        <v>43.17</v>
      </c>
      <c r="E747" s="1">
        <f>IFERROR(__xludf.DUMMYFUNCTION("""COMPUTED_VALUE"""),43.84)</f>
        <v>43.84</v>
      </c>
      <c r="F747" s="1">
        <f>IFERROR(__xludf.DUMMYFUNCTION("""COMPUTED_VALUE"""),5558700.0)</f>
        <v>5558700</v>
      </c>
    </row>
    <row r="748">
      <c r="A748" s="2">
        <f>IFERROR(__xludf.DUMMYFUNCTION("""COMPUTED_VALUE"""),37613.666666666664)</f>
        <v>37613.66667</v>
      </c>
      <c r="B748" s="1">
        <f>IFERROR(__xludf.DUMMYFUNCTION("""COMPUTED_VALUE"""),43.95)</f>
        <v>43.95</v>
      </c>
      <c r="C748" s="1">
        <f>IFERROR(__xludf.DUMMYFUNCTION("""COMPUTED_VALUE"""),44.03)</f>
        <v>44.03</v>
      </c>
      <c r="D748" s="1">
        <f>IFERROR(__xludf.DUMMYFUNCTION("""COMPUTED_VALUE"""),43.76)</f>
        <v>43.76</v>
      </c>
      <c r="E748" s="1">
        <f>IFERROR(__xludf.DUMMYFUNCTION("""COMPUTED_VALUE"""),43.85)</f>
        <v>43.85</v>
      </c>
      <c r="F748" s="1">
        <f>IFERROR(__xludf.DUMMYFUNCTION("""COMPUTED_VALUE"""),3000800.0)</f>
        <v>3000800</v>
      </c>
    </row>
    <row r="749">
      <c r="A749" s="2">
        <f>IFERROR(__xludf.DUMMYFUNCTION("""COMPUTED_VALUE"""),37614.666666666664)</f>
        <v>37614.66667</v>
      </c>
      <c r="B749" s="1">
        <f>IFERROR(__xludf.DUMMYFUNCTION("""COMPUTED_VALUE"""),43.85)</f>
        <v>43.85</v>
      </c>
      <c r="C749" s="1">
        <f>IFERROR(__xludf.DUMMYFUNCTION("""COMPUTED_VALUE"""),43.9)</f>
        <v>43.9</v>
      </c>
      <c r="D749" s="1">
        <f>IFERROR(__xludf.DUMMYFUNCTION("""COMPUTED_VALUE"""),43.56)</f>
        <v>43.56</v>
      </c>
      <c r="E749" s="1">
        <f>IFERROR(__xludf.DUMMYFUNCTION("""COMPUTED_VALUE"""),43.77)</f>
        <v>43.77</v>
      </c>
      <c r="F749" s="1">
        <f>IFERROR(__xludf.DUMMYFUNCTION("""COMPUTED_VALUE"""),947600.0)</f>
        <v>947600</v>
      </c>
    </row>
    <row r="750">
      <c r="A750" s="2">
        <f>IFERROR(__xludf.DUMMYFUNCTION("""COMPUTED_VALUE"""),37616.666666666664)</f>
        <v>37616.66667</v>
      </c>
      <c r="B750" s="1">
        <f>IFERROR(__xludf.DUMMYFUNCTION("""COMPUTED_VALUE"""),43.78)</f>
        <v>43.78</v>
      </c>
      <c r="C750" s="1">
        <f>IFERROR(__xludf.DUMMYFUNCTION("""COMPUTED_VALUE"""),44.12)</f>
        <v>44.12</v>
      </c>
      <c r="D750" s="1">
        <f>IFERROR(__xludf.DUMMYFUNCTION("""COMPUTED_VALUE"""),43.56)</f>
        <v>43.56</v>
      </c>
      <c r="E750" s="1">
        <f>IFERROR(__xludf.DUMMYFUNCTION("""COMPUTED_VALUE"""),43.72)</f>
        <v>43.72</v>
      </c>
      <c r="F750" s="1">
        <f>IFERROR(__xludf.DUMMYFUNCTION("""COMPUTED_VALUE"""),1660700.0)</f>
        <v>1660700</v>
      </c>
    </row>
    <row r="751">
      <c r="A751" s="2">
        <f>IFERROR(__xludf.DUMMYFUNCTION("""COMPUTED_VALUE"""),37617.666666666664)</f>
        <v>37617.66667</v>
      </c>
      <c r="B751" s="1">
        <f>IFERROR(__xludf.DUMMYFUNCTION("""COMPUTED_VALUE"""),43.47)</f>
        <v>43.47</v>
      </c>
      <c r="C751" s="1">
        <f>IFERROR(__xludf.DUMMYFUNCTION("""COMPUTED_VALUE"""),43.79)</f>
        <v>43.79</v>
      </c>
      <c r="D751" s="1">
        <f>IFERROR(__xludf.DUMMYFUNCTION("""COMPUTED_VALUE"""),43.11)</f>
        <v>43.11</v>
      </c>
      <c r="E751" s="1">
        <f>IFERROR(__xludf.DUMMYFUNCTION("""COMPUTED_VALUE"""),43.28)</f>
        <v>43.28</v>
      </c>
      <c r="F751" s="1">
        <f>IFERROR(__xludf.DUMMYFUNCTION("""COMPUTED_VALUE"""),1670900.0)</f>
        <v>1670900</v>
      </c>
    </row>
    <row r="752">
      <c r="A752" s="2">
        <f>IFERROR(__xludf.DUMMYFUNCTION("""COMPUTED_VALUE"""),37620.666666666664)</f>
        <v>37620.66667</v>
      </c>
      <c r="B752" s="1">
        <f>IFERROR(__xludf.DUMMYFUNCTION("""COMPUTED_VALUE"""),43.08)</f>
        <v>43.08</v>
      </c>
      <c r="C752" s="1">
        <f>IFERROR(__xludf.DUMMYFUNCTION("""COMPUTED_VALUE"""),43.74)</f>
        <v>43.74</v>
      </c>
      <c r="D752" s="1">
        <f>IFERROR(__xludf.DUMMYFUNCTION("""COMPUTED_VALUE"""),43.0)</f>
        <v>43</v>
      </c>
      <c r="E752" s="1">
        <f>IFERROR(__xludf.DUMMYFUNCTION("""COMPUTED_VALUE"""),43.05)</f>
        <v>43.05</v>
      </c>
      <c r="F752" s="1">
        <f>IFERROR(__xludf.DUMMYFUNCTION("""COMPUTED_VALUE"""),3452900.0)</f>
        <v>3452900</v>
      </c>
    </row>
    <row r="753">
      <c r="A753" s="2">
        <f>IFERROR(__xludf.DUMMYFUNCTION("""COMPUTED_VALUE"""),37621.666666666664)</f>
        <v>37621.66667</v>
      </c>
      <c r="B753" s="1">
        <f>IFERROR(__xludf.DUMMYFUNCTION("""COMPUTED_VALUE"""),43.08)</f>
        <v>43.08</v>
      </c>
      <c r="C753" s="1">
        <f>IFERROR(__xludf.DUMMYFUNCTION("""COMPUTED_VALUE"""),43.23)</f>
        <v>43.23</v>
      </c>
      <c r="D753" s="1">
        <f>IFERROR(__xludf.DUMMYFUNCTION("""COMPUTED_VALUE"""),42.56)</f>
        <v>42.56</v>
      </c>
      <c r="E753" s="1">
        <f>IFERROR(__xludf.DUMMYFUNCTION("""COMPUTED_VALUE"""),42.97)</f>
        <v>42.97</v>
      </c>
      <c r="F753" s="1">
        <f>IFERROR(__xludf.DUMMYFUNCTION("""COMPUTED_VALUE"""),2701500.0)</f>
        <v>2701500</v>
      </c>
    </row>
    <row r="754">
      <c r="A754" s="2">
        <f>IFERROR(__xludf.DUMMYFUNCTION("""COMPUTED_VALUE"""),37623.666666666664)</f>
        <v>37623.66667</v>
      </c>
      <c r="B754" s="1">
        <f>IFERROR(__xludf.DUMMYFUNCTION("""COMPUTED_VALUE"""),43.05)</f>
        <v>43.05</v>
      </c>
      <c r="C754" s="1">
        <f>IFERROR(__xludf.DUMMYFUNCTION("""COMPUTED_VALUE"""),43.95)</f>
        <v>43.95</v>
      </c>
      <c r="D754" s="1">
        <f>IFERROR(__xludf.DUMMYFUNCTION("""COMPUTED_VALUE"""),43.01)</f>
        <v>43.01</v>
      </c>
      <c r="E754" s="1">
        <f>IFERROR(__xludf.DUMMYFUNCTION("""COMPUTED_VALUE"""),43.91)</f>
        <v>43.91</v>
      </c>
      <c r="F754" s="1">
        <f>IFERROR(__xludf.DUMMYFUNCTION("""COMPUTED_VALUE"""),3304600.0)</f>
        <v>3304600</v>
      </c>
    </row>
    <row r="755">
      <c r="A755" s="2">
        <f>IFERROR(__xludf.DUMMYFUNCTION("""COMPUTED_VALUE"""),37624.666666666664)</f>
        <v>37624.66667</v>
      </c>
      <c r="B755" s="1">
        <f>IFERROR(__xludf.DUMMYFUNCTION("""COMPUTED_VALUE"""),43.83)</f>
        <v>43.83</v>
      </c>
      <c r="C755" s="1">
        <f>IFERROR(__xludf.DUMMYFUNCTION("""COMPUTED_VALUE"""),43.97)</f>
        <v>43.97</v>
      </c>
      <c r="D755" s="1">
        <f>IFERROR(__xludf.DUMMYFUNCTION("""COMPUTED_VALUE"""),43.31)</f>
        <v>43.31</v>
      </c>
      <c r="E755" s="1">
        <f>IFERROR(__xludf.DUMMYFUNCTION("""COMPUTED_VALUE"""),43.43)</f>
        <v>43.43</v>
      </c>
      <c r="F755" s="1">
        <f>IFERROR(__xludf.DUMMYFUNCTION("""COMPUTED_VALUE"""),2759500.0)</f>
        <v>2759500</v>
      </c>
    </row>
    <row r="756">
      <c r="A756" s="2">
        <f>IFERROR(__xludf.DUMMYFUNCTION("""COMPUTED_VALUE"""),37627.666666666664)</f>
        <v>37627.66667</v>
      </c>
      <c r="B756" s="1">
        <f>IFERROR(__xludf.DUMMYFUNCTION("""COMPUTED_VALUE"""),43.55)</f>
        <v>43.55</v>
      </c>
      <c r="C756" s="1">
        <f>IFERROR(__xludf.DUMMYFUNCTION("""COMPUTED_VALUE"""),44.02)</f>
        <v>44.02</v>
      </c>
      <c r="D756" s="1">
        <f>IFERROR(__xludf.DUMMYFUNCTION("""COMPUTED_VALUE"""),43.49)</f>
        <v>43.49</v>
      </c>
      <c r="E756" s="1">
        <f>IFERROR(__xludf.DUMMYFUNCTION("""COMPUTED_VALUE"""),43.92)</f>
        <v>43.92</v>
      </c>
      <c r="F756" s="1">
        <f>IFERROR(__xludf.DUMMYFUNCTION("""COMPUTED_VALUE"""),2695800.0)</f>
        <v>2695800</v>
      </c>
    </row>
    <row r="757">
      <c r="A757" s="2">
        <f>IFERROR(__xludf.DUMMYFUNCTION("""COMPUTED_VALUE"""),37628.666666666664)</f>
        <v>37628.66667</v>
      </c>
      <c r="B757" s="1">
        <f>IFERROR(__xludf.DUMMYFUNCTION("""COMPUTED_VALUE"""),43.54)</f>
        <v>43.54</v>
      </c>
      <c r="C757" s="1">
        <f>IFERROR(__xludf.DUMMYFUNCTION("""COMPUTED_VALUE"""),43.72)</f>
        <v>43.72</v>
      </c>
      <c r="D757" s="1">
        <f>IFERROR(__xludf.DUMMYFUNCTION("""COMPUTED_VALUE"""),43.24)</f>
        <v>43.24</v>
      </c>
      <c r="E757" s="1">
        <f>IFERROR(__xludf.DUMMYFUNCTION("""COMPUTED_VALUE"""),43.25)</f>
        <v>43.25</v>
      </c>
      <c r="F757" s="1">
        <f>IFERROR(__xludf.DUMMYFUNCTION("""COMPUTED_VALUE"""),3319900.0)</f>
        <v>3319900</v>
      </c>
    </row>
    <row r="758">
      <c r="A758" s="2">
        <f>IFERROR(__xludf.DUMMYFUNCTION("""COMPUTED_VALUE"""),37629.666666666664)</f>
        <v>37629.66667</v>
      </c>
      <c r="B758" s="1">
        <f>IFERROR(__xludf.DUMMYFUNCTION("""COMPUTED_VALUE"""),43.2)</f>
        <v>43.2</v>
      </c>
      <c r="C758" s="1">
        <f>IFERROR(__xludf.DUMMYFUNCTION("""COMPUTED_VALUE"""),43.49)</f>
        <v>43.49</v>
      </c>
      <c r="D758" s="1">
        <f>IFERROR(__xludf.DUMMYFUNCTION("""COMPUTED_VALUE"""),42.3)</f>
        <v>42.3</v>
      </c>
      <c r="E758" s="1">
        <f>IFERROR(__xludf.DUMMYFUNCTION("""COMPUTED_VALUE"""),42.6)</f>
        <v>42.6</v>
      </c>
      <c r="F758" s="1">
        <f>IFERROR(__xludf.DUMMYFUNCTION("""COMPUTED_VALUE"""),5271100.0)</f>
        <v>5271100</v>
      </c>
    </row>
    <row r="759">
      <c r="A759" s="2">
        <f>IFERROR(__xludf.DUMMYFUNCTION("""COMPUTED_VALUE"""),37630.666666666664)</f>
        <v>37630.66667</v>
      </c>
      <c r="B759" s="1">
        <f>IFERROR(__xludf.DUMMYFUNCTION("""COMPUTED_VALUE"""),42.7)</f>
        <v>42.7</v>
      </c>
      <c r="C759" s="1">
        <f>IFERROR(__xludf.DUMMYFUNCTION("""COMPUTED_VALUE"""),42.95)</f>
        <v>42.95</v>
      </c>
      <c r="D759" s="1">
        <f>IFERROR(__xludf.DUMMYFUNCTION("""COMPUTED_VALUE"""),42.33)</f>
        <v>42.33</v>
      </c>
      <c r="E759" s="1">
        <f>IFERROR(__xludf.DUMMYFUNCTION("""COMPUTED_VALUE"""),42.89)</f>
        <v>42.89</v>
      </c>
      <c r="F759" s="1">
        <f>IFERROR(__xludf.DUMMYFUNCTION("""COMPUTED_VALUE"""),4569400.0)</f>
        <v>4569400</v>
      </c>
    </row>
    <row r="760">
      <c r="A760" s="2">
        <f>IFERROR(__xludf.DUMMYFUNCTION("""COMPUTED_VALUE"""),37631.666666666664)</f>
        <v>37631.66667</v>
      </c>
      <c r="B760" s="1">
        <f>IFERROR(__xludf.DUMMYFUNCTION("""COMPUTED_VALUE"""),42.89)</f>
        <v>42.89</v>
      </c>
      <c r="C760" s="1">
        <f>IFERROR(__xludf.DUMMYFUNCTION("""COMPUTED_VALUE"""),43.22)</f>
        <v>43.22</v>
      </c>
      <c r="D760" s="1">
        <f>IFERROR(__xludf.DUMMYFUNCTION("""COMPUTED_VALUE"""),42.58)</f>
        <v>42.58</v>
      </c>
      <c r="E760" s="1">
        <f>IFERROR(__xludf.DUMMYFUNCTION("""COMPUTED_VALUE"""),43.07)</f>
        <v>43.07</v>
      </c>
      <c r="F760" s="1">
        <f>IFERROR(__xludf.DUMMYFUNCTION("""COMPUTED_VALUE"""),3291800.0)</f>
        <v>3291800</v>
      </c>
    </row>
    <row r="761">
      <c r="A761" s="2">
        <f>IFERROR(__xludf.DUMMYFUNCTION("""COMPUTED_VALUE"""),37634.666666666664)</f>
        <v>37634.66667</v>
      </c>
      <c r="B761" s="1">
        <f>IFERROR(__xludf.DUMMYFUNCTION("""COMPUTED_VALUE"""),43.07)</f>
        <v>43.07</v>
      </c>
      <c r="C761" s="1">
        <f>IFERROR(__xludf.DUMMYFUNCTION("""COMPUTED_VALUE"""),43.18)</f>
        <v>43.18</v>
      </c>
      <c r="D761" s="1">
        <f>IFERROR(__xludf.DUMMYFUNCTION("""COMPUTED_VALUE"""),42.5)</f>
        <v>42.5</v>
      </c>
      <c r="E761" s="1">
        <f>IFERROR(__xludf.DUMMYFUNCTION("""COMPUTED_VALUE"""),43.1)</f>
        <v>43.1</v>
      </c>
      <c r="F761" s="1">
        <f>IFERROR(__xludf.DUMMYFUNCTION("""COMPUTED_VALUE"""),3306100.0)</f>
        <v>3306100</v>
      </c>
    </row>
    <row r="762">
      <c r="A762" s="2">
        <f>IFERROR(__xludf.DUMMYFUNCTION("""COMPUTED_VALUE"""),37635.666666666664)</f>
        <v>37635.66667</v>
      </c>
      <c r="B762" s="1">
        <f>IFERROR(__xludf.DUMMYFUNCTION("""COMPUTED_VALUE"""),42.9)</f>
        <v>42.9</v>
      </c>
      <c r="C762" s="1">
        <f>IFERROR(__xludf.DUMMYFUNCTION("""COMPUTED_VALUE"""),43.23)</f>
        <v>43.23</v>
      </c>
      <c r="D762" s="1">
        <f>IFERROR(__xludf.DUMMYFUNCTION("""COMPUTED_VALUE"""),42.83)</f>
        <v>42.83</v>
      </c>
      <c r="E762" s="1">
        <f>IFERROR(__xludf.DUMMYFUNCTION("""COMPUTED_VALUE"""),43.18)</f>
        <v>43.18</v>
      </c>
      <c r="F762" s="1">
        <f>IFERROR(__xludf.DUMMYFUNCTION("""COMPUTED_VALUE"""),2737900.0)</f>
        <v>2737900</v>
      </c>
    </row>
    <row r="763">
      <c r="A763" s="2">
        <f>IFERROR(__xludf.DUMMYFUNCTION("""COMPUTED_VALUE"""),37636.666666666664)</f>
        <v>37636.66667</v>
      </c>
      <c r="B763" s="1">
        <f>IFERROR(__xludf.DUMMYFUNCTION("""COMPUTED_VALUE"""),43.14)</f>
        <v>43.14</v>
      </c>
      <c r="C763" s="1">
        <f>IFERROR(__xludf.DUMMYFUNCTION("""COMPUTED_VALUE"""),43.2)</f>
        <v>43.2</v>
      </c>
      <c r="D763" s="1">
        <f>IFERROR(__xludf.DUMMYFUNCTION("""COMPUTED_VALUE"""),42.6)</f>
        <v>42.6</v>
      </c>
      <c r="E763" s="1">
        <f>IFERROR(__xludf.DUMMYFUNCTION("""COMPUTED_VALUE"""),42.95)</f>
        <v>42.95</v>
      </c>
      <c r="F763" s="1">
        <f>IFERROR(__xludf.DUMMYFUNCTION("""COMPUTED_VALUE"""),2556300.0)</f>
        <v>2556300</v>
      </c>
    </row>
    <row r="764">
      <c r="A764" s="2">
        <f>IFERROR(__xludf.DUMMYFUNCTION("""COMPUTED_VALUE"""),37637.666666666664)</f>
        <v>37637.66667</v>
      </c>
      <c r="B764" s="1">
        <f>IFERROR(__xludf.DUMMYFUNCTION("""COMPUTED_VALUE"""),43.12)</f>
        <v>43.12</v>
      </c>
      <c r="C764" s="1">
        <f>IFERROR(__xludf.DUMMYFUNCTION("""COMPUTED_VALUE"""),43.5)</f>
        <v>43.5</v>
      </c>
      <c r="D764" s="1">
        <f>IFERROR(__xludf.DUMMYFUNCTION("""COMPUTED_VALUE"""),43.08)</f>
        <v>43.08</v>
      </c>
      <c r="E764" s="1">
        <f>IFERROR(__xludf.DUMMYFUNCTION("""COMPUTED_VALUE"""),43.44)</f>
        <v>43.44</v>
      </c>
      <c r="F764" s="1">
        <f>IFERROR(__xludf.DUMMYFUNCTION("""COMPUTED_VALUE"""),3080400.0)</f>
        <v>3080400</v>
      </c>
    </row>
    <row r="765">
      <c r="A765" s="2">
        <f>IFERROR(__xludf.DUMMYFUNCTION("""COMPUTED_VALUE"""),37638.666666666664)</f>
        <v>37638.66667</v>
      </c>
      <c r="B765" s="1">
        <f>IFERROR(__xludf.DUMMYFUNCTION("""COMPUTED_VALUE"""),43.44)</f>
        <v>43.44</v>
      </c>
      <c r="C765" s="1">
        <f>IFERROR(__xludf.DUMMYFUNCTION("""COMPUTED_VALUE"""),43.62)</f>
        <v>43.62</v>
      </c>
      <c r="D765" s="1">
        <f>IFERROR(__xludf.DUMMYFUNCTION("""COMPUTED_VALUE"""),43.15)</f>
        <v>43.15</v>
      </c>
      <c r="E765" s="1">
        <f>IFERROR(__xludf.DUMMYFUNCTION("""COMPUTED_VALUE"""),43.52)</f>
        <v>43.52</v>
      </c>
      <c r="F765" s="1">
        <f>IFERROR(__xludf.DUMMYFUNCTION("""COMPUTED_VALUE"""),3710400.0)</f>
        <v>3710400</v>
      </c>
    </row>
    <row r="766">
      <c r="A766" s="2">
        <f>IFERROR(__xludf.DUMMYFUNCTION("""COMPUTED_VALUE"""),37642.666666666664)</f>
        <v>37642.66667</v>
      </c>
      <c r="B766" s="1">
        <f>IFERROR(__xludf.DUMMYFUNCTION("""COMPUTED_VALUE"""),43.54)</f>
        <v>43.54</v>
      </c>
      <c r="C766" s="1">
        <f>IFERROR(__xludf.DUMMYFUNCTION("""COMPUTED_VALUE"""),43.74)</f>
        <v>43.74</v>
      </c>
      <c r="D766" s="1">
        <f>IFERROR(__xludf.DUMMYFUNCTION("""COMPUTED_VALUE"""),43.01)</f>
        <v>43.01</v>
      </c>
      <c r="E766" s="1">
        <f>IFERROR(__xludf.DUMMYFUNCTION("""COMPUTED_VALUE"""),43.01)</f>
        <v>43.01</v>
      </c>
      <c r="F766" s="1">
        <f>IFERROR(__xludf.DUMMYFUNCTION("""COMPUTED_VALUE"""),4419300.0)</f>
        <v>4419300</v>
      </c>
    </row>
    <row r="767">
      <c r="A767" s="2">
        <f>IFERROR(__xludf.DUMMYFUNCTION("""COMPUTED_VALUE"""),37643.666666666664)</f>
        <v>37643.66667</v>
      </c>
      <c r="B767" s="1">
        <f>IFERROR(__xludf.DUMMYFUNCTION("""COMPUTED_VALUE"""),42.9)</f>
        <v>42.9</v>
      </c>
      <c r="C767" s="1">
        <f>IFERROR(__xludf.DUMMYFUNCTION("""COMPUTED_VALUE"""),43.22)</f>
        <v>43.22</v>
      </c>
      <c r="D767" s="1">
        <f>IFERROR(__xludf.DUMMYFUNCTION("""COMPUTED_VALUE"""),42.38)</f>
        <v>42.38</v>
      </c>
      <c r="E767" s="1">
        <f>IFERROR(__xludf.DUMMYFUNCTION("""COMPUTED_VALUE"""),42.57)</f>
        <v>42.57</v>
      </c>
      <c r="F767" s="1">
        <f>IFERROR(__xludf.DUMMYFUNCTION("""COMPUTED_VALUE"""),4327100.0)</f>
        <v>4327100</v>
      </c>
    </row>
    <row r="768">
      <c r="A768" s="2">
        <f>IFERROR(__xludf.DUMMYFUNCTION("""COMPUTED_VALUE"""),37644.666666666664)</f>
        <v>37644.66667</v>
      </c>
      <c r="B768" s="1">
        <f>IFERROR(__xludf.DUMMYFUNCTION("""COMPUTED_VALUE"""),42.38)</f>
        <v>42.38</v>
      </c>
      <c r="C768" s="1">
        <f>IFERROR(__xludf.DUMMYFUNCTION("""COMPUTED_VALUE"""),43.07)</f>
        <v>43.07</v>
      </c>
      <c r="D768" s="1">
        <f>IFERROR(__xludf.DUMMYFUNCTION("""COMPUTED_VALUE"""),42.37)</f>
        <v>42.37</v>
      </c>
      <c r="E768" s="1">
        <f>IFERROR(__xludf.DUMMYFUNCTION("""COMPUTED_VALUE"""),42.72)</f>
        <v>42.72</v>
      </c>
      <c r="F768" s="1">
        <f>IFERROR(__xludf.DUMMYFUNCTION("""COMPUTED_VALUE"""),3282300.0)</f>
        <v>3282300</v>
      </c>
    </row>
    <row r="769">
      <c r="A769" s="2">
        <f>IFERROR(__xludf.DUMMYFUNCTION("""COMPUTED_VALUE"""),37645.666666666664)</f>
        <v>37645.66667</v>
      </c>
      <c r="B769" s="1">
        <f>IFERROR(__xludf.DUMMYFUNCTION("""COMPUTED_VALUE"""),42.5)</f>
        <v>42.5</v>
      </c>
      <c r="C769" s="1">
        <f>IFERROR(__xludf.DUMMYFUNCTION("""COMPUTED_VALUE"""),42.75)</f>
        <v>42.75</v>
      </c>
      <c r="D769" s="1">
        <f>IFERROR(__xludf.DUMMYFUNCTION("""COMPUTED_VALUE"""),42.07)</f>
        <v>42.07</v>
      </c>
      <c r="E769" s="1">
        <f>IFERROR(__xludf.DUMMYFUNCTION("""COMPUTED_VALUE"""),42.11)</f>
        <v>42.11</v>
      </c>
      <c r="F769" s="1">
        <f>IFERROR(__xludf.DUMMYFUNCTION("""COMPUTED_VALUE"""),3184900.0)</f>
        <v>3184900</v>
      </c>
    </row>
    <row r="770">
      <c r="A770" s="2">
        <f>IFERROR(__xludf.DUMMYFUNCTION("""COMPUTED_VALUE"""),37648.666666666664)</f>
        <v>37648.66667</v>
      </c>
      <c r="B770" s="1">
        <f>IFERROR(__xludf.DUMMYFUNCTION("""COMPUTED_VALUE"""),42.05)</f>
        <v>42.05</v>
      </c>
      <c r="C770" s="1">
        <f>IFERROR(__xludf.DUMMYFUNCTION("""COMPUTED_VALUE"""),42.16)</f>
        <v>42.16</v>
      </c>
      <c r="D770" s="1">
        <f>IFERROR(__xludf.DUMMYFUNCTION("""COMPUTED_VALUE"""),41.19)</f>
        <v>41.19</v>
      </c>
      <c r="E770" s="1">
        <f>IFERROR(__xludf.DUMMYFUNCTION("""COMPUTED_VALUE"""),41.53)</f>
        <v>41.53</v>
      </c>
      <c r="F770" s="1">
        <f>IFERROR(__xludf.DUMMYFUNCTION("""COMPUTED_VALUE"""),4686600.0)</f>
        <v>4686600</v>
      </c>
    </row>
    <row r="771">
      <c r="A771" s="2">
        <f>IFERROR(__xludf.DUMMYFUNCTION("""COMPUTED_VALUE"""),37649.666666666664)</f>
        <v>37649.66667</v>
      </c>
      <c r="B771" s="1">
        <f>IFERROR(__xludf.DUMMYFUNCTION("""COMPUTED_VALUE"""),42.12)</f>
        <v>42.12</v>
      </c>
      <c r="C771" s="1">
        <f>IFERROR(__xludf.DUMMYFUNCTION("""COMPUTED_VALUE"""),42.63)</f>
        <v>42.63</v>
      </c>
      <c r="D771" s="1">
        <f>IFERROR(__xludf.DUMMYFUNCTION("""COMPUTED_VALUE"""),42.0)</f>
        <v>42</v>
      </c>
      <c r="E771" s="1">
        <f>IFERROR(__xludf.DUMMYFUNCTION("""COMPUTED_VALUE"""),42.5)</f>
        <v>42.5</v>
      </c>
      <c r="F771" s="1">
        <f>IFERROR(__xludf.DUMMYFUNCTION("""COMPUTED_VALUE"""),5376600.0)</f>
        <v>5376600</v>
      </c>
    </row>
    <row r="772">
      <c r="A772" s="2">
        <f>IFERROR(__xludf.DUMMYFUNCTION("""COMPUTED_VALUE"""),37650.666666666664)</f>
        <v>37650.66667</v>
      </c>
      <c r="B772" s="1">
        <f>IFERROR(__xludf.DUMMYFUNCTION("""COMPUTED_VALUE"""),42.38)</f>
        <v>42.38</v>
      </c>
      <c r="C772" s="1">
        <f>IFERROR(__xludf.DUMMYFUNCTION("""COMPUTED_VALUE"""),43.0)</f>
        <v>43</v>
      </c>
      <c r="D772" s="1">
        <f>IFERROR(__xludf.DUMMYFUNCTION("""COMPUTED_VALUE"""),42.01)</f>
        <v>42.01</v>
      </c>
      <c r="E772" s="1">
        <f>IFERROR(__xludf.DUMMYFUNCTION("""COMPUTED_VALUE"""),42.54)</f>
        <v>42.54</v>
      </c>
      <c r="F772" s="1">
        <f>IFERROR(__xludf.DUMMYFUNCTION("""COMPUTED_VALUE"""),5074800.0)</f>
        <v>5074800</v>
      </c>
    </row>
    <row r="773">
      <c r="A773" s="2">
        <f>IFERROR(__xludf.DUMMYFUNCTION("""COMPUTED_VALUE"""),37651.666666666664)</f>
        <v>37651.66667</v>
      </c>
      <c r="B773" s="1">
        <f>IFERROR(__xludf.DUMMYFUNCTION("""COMPUTED_VALUE"""),42.73)</f>
        <v>42.73</v>
      </c>
      <c r="C773" s="1">
        <f>IFERROR(__xludf.DUMMYFUNCTION("""COMPUTED_VALUE"""),42.73)</f>
        <v>42.73</v>
      </c>
      <c r="D773" s="1">
        <f>IFERROR(__xludf.DUMMYFUNCTION("""COMPUTED_VALUE"""),42.11)</f>
        <v>42.11</v>
      </c>
      <c r="E773" s="1">
        <f>IFERROR(__xludf.DUMMYFUNCTION("""COMPUTED_VALUE"""),42.25)</f>
        <v>42.25</v>
      </c>
      <c r="F773" s="1">
        <f>IFERROR(__xludf.DUMMYFUNCTION("""COMPUTED_VALUE"""),3759800.0)</f>
        <v>3759800</v>
      </c>
    </row>
    <row r="774">
      <c r="A774" s="2">
        <f>IFERROR(__xludf.DUMMYFUNCTION("""COMPUTED_VALUE"""),37652.666666666664)</f>
        <v>37652.66667</v>
      </c>
      <c r="B774" s="1">
        <f>IFERROR(__xludf.DUMMYFUNCTION("""COMPUTED_VALUE"""),42.15)</f>
        <v>42.15</v>
      </c>
      <c r="C774" s="1">
        <f>IFERROR(__xludf.DUMMYFUNCTION("""COMPUTED_VALUE"""),42.99)</f>
        <v>42.99</v>
      </c>
      <c r="D774" s="1">
        <f>IFERROR(__xludf.DUMMYFUNCTION("""COMPUTED_VALUE"""),42.15)</f>
        <v>42.15</v>
      </c>
      <c r="E774" s="1">
        <f>IFERROR(__xludf.DUMMYFUNCTION("""COMPUTED_VALUE"""),42.79)</f>
        <v>42.79</v>
      </c>
      <c r="F774" s="1">
        <f>IFERROR(__xludf.DUMMYFUNCTION("""COMPUTED_VALUE"""),3927800.0)</f>
        <v>3927800</v>
      </c>
    </row>
    <row r="775">
      <c r="A775" s="2">
        <f>IFERROR(__xludf.DUMMYFUNCTION("""COMPUTED_VALUE"""),37655.666666666664)</f>
        <v>37655.66667</v>
      </c>
      <c r="B775" s="1">
        <f>IFERROR(__xludf.DUMMYFUNCTION("""COMPUTED_VALUE"""),42.78)</f>
        <v>42.78</v>
      </c>
      <c r="C775" s="1">
        <f>IFERROR(__xludf.DUMMYFUNCTION("""COMPUTED_VALUE"""),43.05)</f>
        <v>43.05</v>
      </c>
      <c r="D775" s="1">
        <f>IFERROR(__xludf.DUMMYFUNCTION("""COMPUTED_VALUE"""),42.61)</f>
        <v>42.61</v>
      </c>
      <c r="E775" s="1">
        <f>IFERROR(__xludf.DUMMYFUNCTION("""COMPUTED_VALUE"""),42.86)</f>
        <v>42.86</v>
      </c>
      <c r="F775" s="1">
        <f>IFERROR(__xludf.DUMMYFUNCTION("""COMPUTED_VALUE"""),3043100.0)</f>
        <v>3043100</v>
      </c>
    </row>
    <row r="776">
      <c r="A776" s="2">
        <f>IFERROR(__xludf.DUMMYFUNCTION("""COMPUTED_VALUE"""),37656.666666666664)</f>
        <v>37656.66667</v>
      </c>
      <c r="B776" s="1">
        <f>IFERROR(__xludf.DUMMYFUNCTION("""COMPUTED_VALUE"""),42.58)</f>
        <v>42.58</v>
      </c>
      <c r="C776" s="1">
        <f>IFERROR(__xludf.DUMMYFUNCTION("""COMPUTED_VALUE"""),43.0)</f>
        <v>43</v>
      </c>
      <c r="D776" s="1">
        <f>IFERROR(__xludf.DUMMYFUNCTION("""COMPUTED_VALUE"""),42.27)</f>
        <v>42.27</v>
      </c>
      <c r="E776" s="1">
        <f>IFERROR(__xludf.DUMMYFUNCTION("""COMPUTED_VALUE"""),42.96)</f>
        <v>42.96</v>
      </c>
      <c r="F776" s="1">
        <f>IFERROR(__xludf.DUMMYFUNCTION("""COMPUTED_VALUE"""),3440300.0)</f>
        <v>3440300</v>
      </c>
    </row>
    <row r="777">
      <c r="A777" s="2">
        <f>IFERROR(__xludf.DUMMYFUNCTION("""COMPUTED_VALUE"""),37657.666666666664)</f>
        <v>37657.66667</v>
      </c>
      <c r="B777" s="1">
        <f>IFERROR(__xludf.DUMMYFUNCTION("""COMPUTED_VALUE"""),42.96)</f>
        <v>42.96</v>
      </c>
      <c r="C777" s="1">
        <f>IFERROR(__xludf.DUMMYFUNCTION("""COMPUTED_VALUE"""),43.12)</f>
        <v>43.12</v>
      </c>
      <c r="D777" s="1">
        <f>IFERROR(__xludf.DUMMYFUNCTION("""COMPUTED_VALUE"""),42.39)</f>
        <v>42.39</v>
      </c>
      <c r="E777" s="1">
        <f>IFERROR(__xludf.DUMMYFUNCTION("""COMPUTED_VALUE"""),42.65)</f>
        <v>42.65</v>
      </c>
      <c r="F777" s="1">
        <f>IFERROR(__xludf.DUMMYFUNCTION("""COMPUTED_VALUE"""),3638300.0)</f>
        <v>3638300</v>
      </c>
    </row>
    <row r="778">
      <c r="A778" s="2">
        <f>IFERROR(__xludf.DUMMYFUNCTION("""COMPUTED_VALUE"""),37658.666666666664)</f>
        <v>37658.66667</v>
      </c>
      <c r="B778" s="1">
        <f>IFERROR(__xludf.DUMMYFUNCTION("""COMPUTED_VALUE"""),42.55)</f>
        <v>42.55</v>
      </c>
      <c r="C778" s="1">
        <f>IFERROR(__xludf.DUMMYFUNCTION("""COMPUTED_VALUE"""),42.69)</f>
        <v>42.69</v>
      </c>
      <c r="D778" s="1">
        <f>IFERROR(__xludf.DUMMYFUNCTION("""COMPUTED_VALUE"""),42.11)</f>
        <v>42.11</v>
      </c>
      <c r="E778" s="1">
        <f>IFERROR(__xludf.DUMMYFUNCTION("""COMPUTED_VALUE"""),42.43)</f>
        <v>42.43</v>
      </c>
      <c r="F778" s="1">
        <f>IFERROR(__xludf.DUMMYFUNCTION("""COMPUTED_VALUE"""),3550500.0)</f>
        <v>3550500</v>
      </c>
    </row>
    <row r="779">
      <c r="A779" s="2">
        <f>IFERROR(__xludf.DUMMYFUNCTION("""COMPUTED_VALUE"""),37659.666666666664)</f>
        <v>37659.66667</v>
      </c>
      <c r="B779" s="1">
        <f>IFERROR(__xludf.DUMMYFUNCTION("""COMPUTED_VALUE"""),42.43)</f>
        <v>42.43</v>
      </c>
      <c r="C779" s="1">
        <f>IFERROR(__xludf.DUMMYFUNCTION("""COMPUTED_VALUE"""),42.7)</f>
        <v>42.7</v>
      </c>
      <c r="D779" s="1">
        <f>IFERROR(__xludf.DUMMYFUNCTION("""COMPUTED_VALUE"""),41.72)</f>
        <v>41.72</v>
      </c>
      <c r="E779" s="1">
        <f>IFERROR(__xludf.DUMMYFUNCTION("""COMPUTED_VALUE"""),41.99)</f>
        <v>41.99</v>
      </c>
      <c r="F779" s="1">
        <f>IFERROR(__xludf.DUMMYFUNCTION("""COMPUTED_VALUE"""),3808200.0)</f>
        <v>3808200</v>
      </c>
    </row>
    <row r="780">
      <c r="A780" s="2">
        <f>IFERROR(__xludf.DUMMYFUNCTION("""COMPUTED_VALUE"""),37662.666666666664)</f>
        <v>37662.66667</v>
      </c>
      <c r="B780" s="1">
        <f>IFERROR(__xludf.DUMMYFUNCTION("""COMPUTED_VALUE"""),42.18)</f>
        <v>42.18</v>
      </c>
      <c r="C780" s="1">
        <f>IFERROR(__xludf.DUMMYFUNCTION("""COMPUTED_VALUE"""),42.51)</f>
        <v>42.51</v>
      </c>
      <c r="D780" s="1">
        <f>IFERROR(__xludf.DUMMYFUNCTION("""COMPUTED_VALUE"""),42.0)</f>
        <v>42</v>
      </c>
      <c r="E780" s="1">
        <f>IFERROR(__xludf.DUMMYFUNCTION("""COMPUTED_VALUE"""),42.44)</f>
        <v>42.44</v>
      </c>
      <c r="F780" s="1">
        <f>IFERROR(__xludf.DUMMYFUNCTION("""COMPUTED_VALUE"""),3646700.0)</f>
        <v>3646700</v>
      </c>
    </row>
    <row r="781">
      <c r="A781" s="2">
        <f>IFERROR(__xludf.DUMMYFUNCTION("""COMPUTED_VALUE"""),37663.666666666664)</f>
        <v>37663.66667</v>
      </c>
      <c r="B781" s="1">
        <f>IFERROR(__xludf.DUMMYFUNCTION("""COMPUTED_VALUE"""),42.44)</f>
        <v>42.44</v>
      </c>
      <c r="C781" s="1">
        <f>IFERROR(__xludf.DUMMYFUNCTION("""COMPUTED_VALUE"""),42.58)</f>
        <v>42.58</v>
      </c>
      <c r="D781" s="1">
        <f>IFERROR(__xludf.DUMMYFUNCTION("""COMPUTED_VALUE"""),41.46)</f>
        <v>41.46</v>
      </c>
      <c r="E781" s="1">
        <f>IFERROR(__xludf.DUMMYFUNCTION("""COMPUTED_VALUE"""),41.6)</f>
        <v>41.6</v>
      </c>
      <c r="F781" s="1">
        <f>IFERROR(__xludf.DUMMYFUNCTION("""COMPUTED_VALUE"""),3466000.0)</f>
        <v>3466000</v>
      </c>
    </row>
    <row r="782">
      <c r="A782" s="2">
        <f>IFERROR(__xludf.DUMMYFUNCTION("""COMPUTED_VALUE"""),37664.666666666664)</f>
        <v>37664.66667</v>
      </c>
      <c r="B782" s="1">
        <f>IFERROR(__xludf.DUMMYFUNCTION("""COMPUTED_VALUE"""),41.63)</f>
        <v>41.63</v>
      </c>
      <c r="C782" s="1">
        <f>IFERROR(__xludf.DUMMYFUNCTION("""COMPUTED_VALUE"""),41.81)</f>
        <v>41.81</v>
      </c>
      <c r="D782" s="1">
        <f>IFERROR(__xludf.DUMMYFUNCTION("""COMPUTED_VALUE"""),41.36)</f>
        <v>41.36</v>
      </c>
      <c r="E782" s="1">
        <f>IFERROR(__xludf.DUMMYFUNCTION("""COMPUTED_VALUE"""),41.66)</f>
        <v>41.66</v>
      </c>
      <c r="F782" s="1">
        <f>IFERROR(__xludf.DUMMYFUNCTION("""COMPUTED_VALUE"""),2774600.0)</f>
        <v>2774600</v>
      </c>
    </row>
    <row r="783">
      <c r="A783" s="2">
        <f>IFERROR(__xludf.DUMMYFUNCTION("""COMPUTED_VALUE"""),37665.666666666664)</f>
        <v>37665.66667</v>
      </c>
      <c r="B783" s="1">
        <f>IFERROR(__xludf.DUMMYFUNCTION("""COMPUTED_VALUE"""),41.55)</f>
        <v>41.55</v>
      </c>
      <c r="C783" s="1">
        <f>IFERROR(__xludf.DUMMYFUNCTION("""COMPUTED_VALUE"""),41.65)</f>
        <v>41.65</v>
      </c>
      <c r="D783" s="1">
        <f>IFERROR(__xludf.DUMMYFUNCTION("""COMPUTED_VALUE"""),40.78)</f>
        <v>40.78</v>
      </c>
      <c r="E783" s="1">
        <f>IFERROR(__xludf.DUMMYFUNCTION("""COMPUTED_VALUE"""),41.35)</f>
        <v>41.35</v>
      </c>
      <c r="F783" s="1">
        <f>IFERROR(__xludf.DUMMYFUNCTION("""COMPUTED_VALUE"""),3779500.0)</f>
        <v>3779500</v>
      </c>
    </row>
    <row r="784">
      <c r="A784" s="2">
        <f>IFERROR(__xludf.DUMMYFUNCTION("""COMPUTED_VALUE"""),37666.666666666664)</f>
        <v>37666.66667</v>
      </c>
      <c r="B784" s="1">
        <f>IFERROR(__xludf.DUMMYFUNCTION("""COMPUTED_VALUE"""),41.35)</f>
        <v>41.35</v>
      </c>
      <c r="C784" s="1">
        <f>IFERROR(__xludf.DUMMYFUNCTION("""COMPUTED_VALUE"""),41.85)</f>
        <v>41.85</v>
      </c>
      <c r="D784" s="1">
        <f>IFERROR(__xludf.DUMMYFUNCTION("""COMPUTED_VALUE"""),41.08)</f>
        <v>41.08</v>
      </c>
      <c r="E784" s="1">
        <f>IFERROR(__xludf.DUMMYFUNCTION("""COMPUTED_VALUE"""),41.85)</f>
        <v>41.85</v>
      </c>
      <c r="F784" s="1">
        <f>IFERROR(__xludf.DUMMYFUNCTION("""COMPUTED_VALUE"""),3367100.0)</f>
        <v>3367100</v>
      </c>
    </row>
    <row r="785">
      <c r="A785" s="2">
        <f>IFERROR(__xludf.DUMMYFUNCTION("""COMPUTED_VALUE"""),37670.666666666664)</f>
        <v>37670.66667</v>
      </c>
      <c r="B785" s="1">
        <f>IFERROR(__xludf.DUMMYFUNCTION("""COMPUTED_VALUE"""),41.95)</f>
        <v>41.95</v>
      </c>
      <c r="C785" s="1">
        <f>IFERROR(__xludf.DUMMYFUNCTION("""COMPUTED_VALUE"""),42.5)</f>
        <v>42.5</v>
      </c>
      <c r="D785" s="1">
        <f>IFERROR(__xludf.DUMMYFUNCTION("""COMPUTED_VALUE"""),41.94)</f>
        <v>41.94</v>
      </c>
      <c r="E785" s="1">
        <f>IFERROR(__xludf.DUMMYFUNCTION("""COMPUTED_VALUE"""),42.31)</f>
        <v>42.31</v>
      </c>
      <c r="F785" s="1">
        <f>IFERROR(__xludf.DUMMYFUNCTION("""COMPUTED_VALUE"""),3137100.0)</f>
        <v>3137100</v>
      </c>
    </row>
    <row r="786">
      <c r="A786" s="2">
        <f>IFERROR(__xludf.DUMMYFUNCTION("""COMPUTED_VALUE"""),37671.666666666664)</f>
        <v>37671.66667</v>
      </c>
      <c r="B786" s="1">
        <f>IFERROR(__xludf.DUMMYFUNCTION("""COMPUTED_VALUE"""),42.18)</f>
        <v>42.18</v>
      </c>
      <c r="C786" s="1">
        <f>IFERROR(__xludf.DUMMYFUNCTION("""COMPUTED_VALUE"""),42.25)</f>
        <v>42.25</v>
      </c>
      <c r="D786" s="1">
        <f>IFERROR(__xludf.DUMMYFUNCTION("""COMPUTED_VALUE"""),41.67)</f>
        <v>41.67</v>
      </c>
      <c r="E786" s="1">
        <f>IFERROR(__xludf.DUMMYFUNCTION("""COMPUTED_VALUE"""),42.0)</f>
        <v>42</v>
      </c>
      <c r="F786" s="1">
        <f>IFERROR(__xludf.DUMMYFUNCTION("""COMPUTED_VALUE"""),2236300.0)</f>
        <v>2236300</v>
      </c>
    </row>
    <row r="787">
      <c r="A787" s="2">
        <f>IFERROR(__xludf.DUMMYFUNCTION("""COMPUTED_VALUE"""),37672.666666666664)</f>
        <v>37672.66667</v>
      </c>
      <c r="B787" s="1">
        <f>IFERROR(__xludf.DUMMYFUNCTION("""COMPUTED_VALUE"""),41.95)</f>
        <v>41.95</v>
      </c>
      <c r="C787" s="1">
        <f>IFERROR(__xludf.DUMMYFUNCTION("""COMPUTED_VALUE"""),42.1)</f>
        <v>42.1</v>
      </c>
      <c r="D787" s="1">
        <f>IFERROR(__xludf.DUMMYFUNCTION("""COMPUTED_VALUE"""),41.53)</f>
        <v>41.53</v>
      </c>
      <c r="E787" s="1">
        <f>IFERROR(__xludf.DUMMYFUNCTION("""COMPUTED_VALUE"""),41.73)</f>
        <v>41.73</v>
      </c>
      <c r="F787" s="1">
        <f>IFERROR(__xludf.DUMMYFUNCTION("""COMPUTED_VALUE"""),2464800.0)</f>
        <v>2464800</v>
      </c>
    </row>
    <row r="788">
      <c r="A788" s="2">
        <f>IFERROR(__xludf.DUMMYFUNCTION("""COMPUTED_VALUE"""),37673.666666666664)</f>
        <v>37673.66667</v>
      </c>
      <c r="B788" s="1">
        <f>IFERROR(__xludf.DUMMYFUNCTION("""COMPUTED_VALUE"""),42.08)</f>
        <v>42.08</v>
      </c>
      <c r="C788" s="1">
        <f>IFERROR(__xludf.DUMMYFUNCTION("""COMPUTED_VALUE"""),42.23)</f>
        <v>42.23</v>
      </c>
      <c r="D788" s="1">
        <f>IFERROR(__xludf.DUMMYFUNCTION("""COMPUTED_VALUE"""),41.6)</f>
        <v>41.6</v>
      </c>
      <c r="E788" s="1">
        <f>IFERROR(__xludf.DUMMYFUNCTION("""COMPUTED_VALUE"""),42.12)</f>
        <v>42.12</v>
      </c>
      <c r="F788" s="1">
        <f>IFERROR(__xludf.DUMMYFUNCTION("""COMPUTED_VALUE"""),3477800.0)</f>
        <v>3477800</v>
      </c>
    </row>
    <row r="789">
      <c r="A789" s="2">
        <f>IFERROR(__xludf.DUMMYFUNCTION("""COMPUTED_VALUE"""),37676.666666666664)</f>
        <v>37676.66667</v>
      </c>
      <c r="B789" s="1">
        <f>IFERROR(__xludf.DUMMYFUNCTION("""COMPUTED_VALUE"""),41.85)</f>
        <v>41.85</v>
      </c>
      <c r="C789" s="1">
        <f>IFERROR(__xludf.DUMMYFUNCTION("""COMPUTED_VALUE"""),41.9)</f>
        <v>41.9</v>
      </c>
      <c r="D789" s="1">
        <f>IFERROR(__xludf.DUMMYFUNCTION("""COMPUTED_VALUE"""),41.31)</f>
        <v>41.31</v>
      </c>
      <c r="E789" s="1">
        <f>IFERROR(__xludf.DUMMYFUNCTION("""COMPUTED_VALUE"""),41.45)</f>
        <v>41.45</v>
      </c>
      <c r="F789" s="1">
        <f>IFERROR(__xludf.DUMMYFUNCTION("""COMPUTED_VALUE"""),3289000.0)</f>
        <v>3289000</v>
      </c>
    </row>
    <row r="790">
      <c r="A790" s="2">
        <f>IFERROR(__xludf.DUMMYFUNCTION("""COMPUTED_VALUE"""),37677.666666666664)</f>
        <v>37677.66667</v>
      </c>
      <c r="B790" s="1">
        <f>IFERROR(__xludf.DUMMYFUNCTION("""COMPUTED_VALUE"""),41.15)</f>
        <v>41.15</v>
      </c>
      <c r="C790" s="1">
        <f>IFERROR(__xludf.DUMMYFUNCTION("""COMPUTED_VALUE"""),41.54)</f>
        <v>41.54</v>
      </c>
      <c r="D790" s="1">
        <f>IFERROR(__xludf.DUMMYFUNCTION("""COMPUTED_VALUE"""),40.83)</f>
        <v>40.83</v>
      </c>
      <c r="E790" s="1">
        <f>IFERROR(__xludf.DUMMYFUNCTION("""COMPUTED_VALUE"""),41.54)</f>
        <v>41.54</v>
      </c>
      <c r="F790" s="1">
        <f>IFERROR(__xludf.DUMMYFUNCTION("""COMPUTED_VALUE"""),4027500.0)</f>
        <v>4027500</v>
      </c>
    </row>
    <row r="791">
      <c r="A791" s="2">
        <f>IFERROR(__xludf.DUMMYFUNCTION("""COMPUTED_VALUE"""),37678.666666666664)</f>
        <v>37678.66667</v>
      </c>
      <c r="B791" s="1">
        <f>IFERROR(__xludf.DUMMYFUNCTION("""COMPUTED_VALUE"""),41.45)</f>
        <v>41.45</v>
      </c>
      <c r="C791" s="1">
        <f>IFERROR(__xludf.DUMMYFUNCTION("""COMPUTED_VALUE"""),41.58)</f>
        <v>41.58</v>
      </c>
      <c r="D791" s="1">
        <f>IFERROR(__xludf.DUMMYFUNCTION("""COMPUTED_VALUE"""),41.13)</f>
        <v>41.13</v>
      </c>
      <c r="E791" s="1">
        <f>IFERROR(__xludf.DUMMYFUNCTION("""COMPUTED_VALUE"""),41.28)</f>
        <v>41.28</v>
      </c>
      <c r="F791" s="1">
        <f>IFERROR(__xludf.DUMMYFUNCTION("""COMPUTED_VALUE"""),2666500.0)</f>
        <v>2666500</v>
      </c>
    </row>
    <row r="792">
      <c r="A792" s="2">
        <f>IFERROR(__xludf.DUMMYFUNCTION("""COMPUTED_VALUE"""),37679.666666666664)</f>
        <v>37679.66667</v>
      </c>
      <c r="B792" s="1">
        <f>IFERROR(__xludf.DUMMYFUNCTION("""COMPUTED_VALUE"""),41.36)</f>
        <v>41.36</v>
      </c>
      <c r="C792" s="1">
        <f>IFERROR(__xludf.DUMMYFUNCTION("""COMPUTED_VALUE"""),41.52)</f>
        <v>41.52</v>
      </c>
      <c r="D792" s="1">
        <f>IFERROR(__xludf.DUMMYFUNCTION("""COMPUTED_VALUE"""),41.01)</f>
        <v>41.01</v>
      </c>
      <c r="E792" s="1">
        <f>IFERROR(__xludf.DUMMYFUNCTION("""COMPUTED_VALUE"""),41.3)</f>
        <v>41.3</v>
      </c>
      <c r="F792" s="1">
        <f>IFERROR(__xludf.DUMMYFUNCTION("""COMPUTED_VALUE"""),4241100.0)</f>
        <v>4241100</v>
      </c>
    </row>
    <row r="793">
      <c r="A793" s="2">
        <f>IFERROR(__xludf.DUMMYFUNCTION("""COMPUTED_VALUE"""),37680.666666666664)</f>
        <v>37680.66667</v>
      </c>
      <c r="B793" s="1">
        <f>IFERROR(__xludf.DUMMYFUNCTION("""COMPUTED_VALUE"""),41.3)</f>
        <v>41.3</v>
      </c>
      <c r="C793" s="1">
        <f>IFERROR(__xludf.DUMMYFUNCTION("""COMPUTED_VALUE"""),41.49)</f>
        <v>41.49</v>
      </c>
      <c r="D793" s="1">
        <f>IFERROR(__xludf.DUMMYFUNCTION("""COMPUTED_VALUE"""),40.77)</f>
        <v>40.77</v>
      </c>
      <c r="E793" s="1">
        <f>IFERROR(__xludf.DUMMYFUNCTION("""COMPUTED_VALUE"""),40.93)</f>
        <v>40.93</v>
      </c>
      <c r="F793" s="1">
        <f>IFERROR(__xludf.DUMMYFUNCTION("""COMPUTED_VALUE"""),3768900.0)</f>
        <v>3768900</v>
      </c>
    </row>
    <row r="794">
      <c r="A794" s="2">
        <f>IFERROR(__xludf.DUMMYFUNCTION("""COMPUTED_VALUE"""),37683.666666666664)</f>
        <v>37683.66667</v>
      </c>
      <c r="B794" s="1">
        <f>IFERROR(__xludf.DUMMYFUNCTION("""COMPUTED_VALUE"""),41.18)</f>
        <v>41.18</v>
      </c>
      <c r="C794" s="1">
        <f>IFERROR(__xludf.DUMMYFUNCTION("""COMPUTED_VALUE"""),41.18)</f>
        <v>41.18</v>
      </c>
      <c r="D794" s="1">
        <f>IFERROR(__xludf.DUMMYFUNCTION("""COMPUTED_VALUE"""),40.36)</f>
        <v>40.36</v>
      </c>
      <c r="E794" s="1">
        <f>IFERROR(__xludf.DUMMYFUNCTION("""COMPUTED_VALUE"""),40.41)</f>
        <v>40.41</v>
      </c>
      <c r="F794" s="1">
        <f>IFERROR(__xludf.DUMMYFUNCTION("""COMPUTED_VALUE"""),4101600.0)</f>
        <v>4101600</v>
      </c>
    </row>
    <row r="795">
      <c r="A795" s="2">
        <f>IFERROR(__xludf.DUMMYFUNCTION("""COMPUTED_VALUE"""),37684.666666666664)</f>
        <v>37684.66667</v>
      </c>
      <c r="B795" s="1">
        <f>IFERROR(__xludf.DUMMYFUNCTION("""COMPUTED_VALUE"""),40.5)</f>
        <v>40.5</v>
      </c>
      <c r="C795" s="1">
        <f>IFERROR(__xludf.DUMMYFUNCTION("""COMPUTED_VALUE"""),40.57)</f>
        <v>40.57</v>
      </c>
      <c r="D795" s="1">
        <f>IFERROR(__xludf.DUMMYFUNCTION("""COMPUTED_VALUE"""),39.88)</f>
        <v>39.88</v>
      </c>
      <c r="E795" s="1">
        <f>IFERROR(__xludf.DUMMYFUNCTION("""COMPUTED_VALUE"""),39.95)</f>
        <v>39.95</v>
      </c>
      <c r="F795" s="1">
        <f>IFERROR(__xludf.DUMMYFUNCTION("""COMPUTED_VALUE"""),3528400.0)</f>
        <v>3528400</v>
      </c>
    </row>
    <row r="796">
      <c r="A796" s="2">
        <f>IFERROR(__xludf.DUMMYFUNCTION("""COMPUTED_VALUE"""),37685.666666666664)</f>
        <v>37685.66667</v>
      </c>
      <c r="B796" s="1">
        <f>IFERROR(__xludf.DUMMYFUNCTION("""COMPUTED_VALUE"""),39.88)</f>
        <v>39.88</v>
      </c>
      <c r="C796" s="1">
        <f>IFERROR(__xludf.DUMMYFUNCTION("""COMPUTED_VALUE"""),40.5)</f>
        <v>40.5</v>
      </c>
      <c r="D796" s="1">
        <f>IFERROR(__xludf.DUMMYFUNCTION("""COMPUTED_VALUE"""),39.85)</f>
        <v>39.85</v>
      </c>
      <c r="E796" s="1">
        <f>IFERROR(__xludf.DUMMYFUNCTION("""COMPUTED_VALUE"""),40.49)</f>
        <v>40.49</v>
      </c>
      <c r="F796" s="1">
        <f>IFERROR(__xludf.DUMMYFUNCTION("""COMPUTED_VALUE"""),3692300.0)</f>
        <v>3692300</v>
      </c>
    </row>
    <row r="797">
      <c r="A797" s="2">
        <f>IFERROR(__xludf.DUMMYFUNCTION("""COMPUTED_VALUE"""),37686.666666666664)</f>
        <v>37686.66667</v>
      </c>
      <c r="B797" s="1">
        <f>IFERROR(__xludf.DUMMYFUNCTION("""COMPUTED_VALUE"""),40.16)</f>
        <v>40.16</v>
      </c>
      <c r="C797" s="1">
        <f>IFERROR(__xludf.DUMMYFUNCTION("""COMPUTED_VALUE"""),40.63)</f>
        <v>40.63</v>
      </c>
      <c r="D797" s="1">
        <f>IFERROR(__xludf.DUMMYFUNCTION("""COMPUTED_VALUE"""),40.08)</f>
        <v>40.08</v>
      </c>
      <c r="E797" s="1">
        <f>IFERROR(__xludf.DUMMYFUNCTION("""COMPUTED_VALUE"""),40.08)</f>
        <v>40.08</v>
      </c>
      <c r="F797" s="1">
        <f>IFERROR(__xludf.DUMMYFUNCTION("""COMPUTED_VALUE"""),3590300.0)</f>
        <v>3590300</v>
      </c>
    </row>
    <row r="798">
      <c r="A798" s="2">
        <f>IFERROR(__xludf.DUMMYFUNCTION("""COMPUTED_VALUE"""),37687.666666666664)</f>
        <v>37687.66667</v>
      </c>
      <c r="B798" s="1">
        <f>IFERROR(__xludf.DUMMYFUNCTION("""COMPUTED_VALUE"""),40.08)</f>
        <v>40.08</v>
      </c>
      <c r="C798" s="1">
        <f>IFERROR(__xludf.DUMMYFUNCTION("""COMPUTED_VALUE"""),40.52)</f>
        <v>40.52</v>
      </c>
      <c r="D798" s="1">
        <f>IFERROR(__xludf.DUMMYFUNCTION("""COMPUTED_VALUE"""),39.78)</f>
        <v>39.78</v>
      </c>
      <c r="E798" s="1">
        <f>IFERROR(__xludf.DUMMYFUNCTION("""COMPUTED_VALUE"""),40.48)</f>
        <v>40.48</v>
      </c>
      <c r="F798" s="1">
        <f>IFERROR(__xludf.DUMMYFUNCTION("""COMPUTED_VALUE"""),4144200.0)</f>
        <v>4144200</v>
      </c>
    </row>
    <row r="799">
      <c r="A799" s="2">
        <f>IFERROR(__xludf.DUMMYFUNCTION("""COMPUTED_VALUE"""),37690.666666666664)</f>
        <v>37690.66667</v>
      </c>
      <c r="B799" s="1">
        <f>IFERROR(__xludf.DUMMYFUNCTION("""COMPUTED_VALUE"""),40.38)</f>
        <v>40.38</v>
      </c>
      <c r="C799" s="1">
        <f>IFERROR(__xludf.DUMMYFUNCTION("""COMPUTED_VALUE"""),40.39)</f>
        <v>40.39</v>
      </c>
      <c r="D799" s="1">
        <f>IFERROR(__xludf.DUMMYFUNCTION("""COMPUTED_VALUE"""),39.85)</f>
        <v>39.85</v>
      </c>
      <c r="E799" s="1">
        <f>IFERROR(__xludf.DUMMYFUNCTION("""COMPUTED_VALUE"""),39.9)</f>
        <v>39.9</v>
      </c>
      <c r="F799" s="1">
        <f>IFERROR(__xludf.DUMMYFUNCTION("""COMPUTED_VALUE"""),2906300.0)</f>
        <v>2906300</v>
      </c>
    </row>
    <row r="800">
      <c r="A800" s="2">
        <f>IFERROR(__xludf.DUMMYFUNCTION("""COMPUTED_VALUE"""),37691.666666666664)</f>
        <v>37691.66667</v>
      </c>
      <c r="B800" s="1">
        <f>IFERROR(__xludf.DUMMYFUNCTION("""COMPUTED_VALUE"""),39.88)</f>
        <v>39.88</v>
      </c>
      <c r="C800" s="1">
        <f>IFERROR(__xludf.DUMMYFUNCTION("""COMPUTED_VALUE"""),40.91)</f>
        <v>40.91</v>
      </c>
      <c r="D800" s="1">
        <f>IFERROR(__xludf.DUMMYFUNCTION("""COMPUTED_VALUE"""),39.83)</f>
        <v>39.83</v>
      </c>
      <c r="E800" s="1">
        <f>IFERROR(__xludf.DUMMYFUNCTION("""COMPUTED_VALUE"""),40.35)</f>
        <v>40.35</v>
      </c>
      <c r="F800" s="1">
        <f>IFERROR(__xludf.DUMMYFUNCTION("""COMPUTED_VALUE"""),4722200.0)</f>
        <v>4722200</v>
      </c>
    </row>
    <row r="801">
      <c r="A801" s="2">
        <f>IFERROR(__xludf.DUMMYFUNCTION("""COMPUTED_VALUE"""),37692.666666666664)</f>
        <v>37692.66667</v>
      </c>
      <c r="B801" s="1">
        <f>IFERROR(__xludf.DUMMYFUNCTION("""COMPUTED_VALUE"""),40.35)</f>
        <v>40.35</v>
      </c>
      <c r="C801" s="1">
        <f>IFERROR(__xludf.DUMMYFUNCTION("""COMPUTED_VALUE"""),41.0)</f>
        <v>41</v>
      </c>
      <c r="D801" s="1">
        <f>IFERROR(__xludf.DUMMYFUNCTION("""COMPUTED_VALUE"""),40.23)</f>
        <v>40.23</v>
      </c>
      <c r="E801" s="1">
        <f>IFERROR(__xludf.DUMMYFUNCTION("""COMPUTED_VALUE"""),40.98)</f>
        <v>40.98</v>
      </c>
      <c r="F801" s="1">
        <f>IFERROR(__xludf.DUMMYFUNCTION("""COMPUTED_VALUE"""),3990700.0)</f>
        <v>3990700</v>
      </c>
    </row>
    <row r="802">
      <c r="A802" s="2">
        <f>IFERROR(__xludf.DUMMYFUNCTION("""COMPUTED_VALUE"""),37693.666666666664)</f>
        <v>37693.66667</v>
      </c>
      <c r="B802" s="1">
        <f>IFERROR(__xludf.DUMMYFUNCTION("""COMPUTED_VALUE"""),41.38)</f>
        <v>41.38</v>
      </c>
      <c r="C802" s="1">
        <f>IFERROR(__xludf.DUMMYFUNCTION("""COMPUTED_VALUE"""),41.75)</f>
        <v>41.75</v>
      </c>
      <c r="D802" s="1">
        <f>IFERROR(__xludf.DUMMYFUNCTION("""COMPUTED_VALUE"""),40.9)</f>
        <v>40.9</v>
      </c>
      <c r="E802" s="1">
        <f>IFERROR(__xludf.DUMMYFUNCTION("""COMPUTED_VALUE"""),41.74)</f>
        <v>41.74</v>
      </c>
      <c r="F802" s="1">
        <f>IFERROR(__xludf.DUMMYFUNCTION("""COMPUTED_VALUE"""),4333900.0)</f>
        <v>4333900</v>
      </c>
    </row>
    <row r="803">
      <c r="A803" s="2">
        <f>IFERROR(__xludf.DUMMYFUNCTION("""COMPUTED_VALUE"""),37694.666666666664)</f>
        <v>37694.66667</v>
      </c>
      <c r="B803" s="1">
        <f>IFERROR(__xludf.DUMMYFUNCTION("""COMPUTED_VALUE"""),41.85)</f>
        <v>41.85</v>
      </c>
      <c r="C803" s="1">
        <f>IFERROR(__xludf.DUMMYFUNCTION("""COMPUTED_VALUE"""),41.98)</f>
        <v>41.98</v>
      </c>
      <c r="D803" s="1">
        <f>IFERROR(__xludf.DUMMYFUNCTION("""COMPUTED_VALUE"""),41.41)</f>
        <v>41.41</v>
      </c>
      <c r="E803" s="1">
        <f>IFERROR(__xludf.DUMMYFUNCTION("""COMPUTED_VALUE"""),41.7)</f>
        <v>41.7</v>
      </c>
      <c r="F803" s="1">
        <f>IFERROR(__xludf.DUMMYFUNCTION("""COMPUTED_VALUE"""),3406100.0)</f>
        <v>3406100</v>
      </c>
    </row>
    <row r="804">
      <c r="A804" s="2">
        <f>IFERROR(__xludf.DUMMYFUNCTION("""COMPUTED_VALUE"""),37697.666666666664)</f>
        <v>37697.66667</v>
      </c>
      <c r="B804" s="1">
        <f>IFERROR(__xludf.DUMMYFUNCTION("""COMPUTED_VALUE"""),41.62)</f>
        <v>41.62</v>
      </c>
      <c r="C804" s="1">
        <f>IFERROR(__xludf.DUMMYFUNCTION("""COMPUTED_VALUE"""),42.78)</f>
        <v>42.78</v>
      </c>
      <c r="D804" s="1">
        <f>IFERROR(__xludf.DUMMYFUNCTION("""COMPUTED_VALUE"""),41.42)</f>
        <v>41.42</v>
      </c>
      <c r="E804" s="1">
        <f>IFERROR(__xludf.DUMMYFUNCTION("""COMPUTED_VALUE"""),42.75)</f>
        <v>42.75</v>
      </c>
      <c r="F804" s="1">
        <f>IFERROR(__xludf.DUMMYFUNCTION("""COMPUTED_VALUE"""),5163800.0)</f>
        <v>5163800</v>
      </c>
    </row>
    <row r="805">
      <c r="A805" s="2">
        <f>IFERROR(__xludf.DUMMYFUNCTION("""COMPUTED_VALUE"""),37698.666666666664)</f>
        <v>37698.66667</v>
      </c>
      <c r="B805" s="1">
        <f>IFERROR(__xludf.DUMMYFUNCTION("""COMPUTED_VALUE"""),42.75)</f>
        <v>42.75</v>
      </c>
      <c r="C805" s="1">
        <f>IFERROR(__xludf.DUMMYFUNCTION("""COMPUTED_VALUE"""),43.5)</f>
        <v>43.5</v>
      </c>
      <c r="D805" s="1">
        <f>IFERROR(__xludf.DUMMYFUNCTION("""COMPUTED_VALUE"""),42.6)</f>
        <v>42.6</v>
      </c>
      <c r="E805" s="1">
        <f>IFERROR(__xludf.DUMMYFUNCTION("""COMPUTED_VALUE"""),43.31)</f>
        <v>43.31</v>
      </c>
      <c r="F805" s="1">
        <f>IFERROR(__xludf.DUMMYFUNCTION("""COMPUTED_VALUE"""),5550200.0)</f>
        <v>5550200</v>
      </c>
    </row>
    <row r="806">
      <c r="A806" s="2">
        <f>IFERROR(__xludf.DUMMYFUNCTION("""COMPUTED_VALUE"""),37699.666666666664)</f>
        <v>37699.66667</v>
      </c>
      <c r="B806" s="1">
        <f>IFERROR(__xludf.DUMMYFUNCTION("""COMPUTED_VALUE"""),43.31)</f>
        <v>43.31</v>
      </c>
      <c r="C806" s="1">
        <f>IFERROR(__xludf.DUMMYFUNCTION("""COMPUTED_VALUE"""),43.96)</f>
        <v>43.96</v>
      </c>
      <c r="D806" s="1">
        <f>IFERROR(__xludf.DUMMYFUNCTION("""COMPUTED_VALUE"""),43.23)</f>
        <v>43.23</v>
      </c>
      <c r="E806" s="1">
        <f>IFERROR(__xludf.DUMMYFUNCTION("""COMPUTED_VALUE"""),43.96)</f>
        <v>43.96</v>
      </c>
      <c r="F806" s="1">
        <f>IFERROR(__xludf.DUMMYFUNCTION("""COMPUTED_VALUE"""),4643700.0)</f>
        <v>4643700</v>
      </c>
    </row>
    <row r="807">
      <c r="A807" s="2">
        <f>IFERROR(__xludf.DUMMYFUNCTION("""COMPUTED_VALUE"""),37700.666666666664)</f>
        <v>37700.66667</v>
      </c>
      <c r="B807" s="1">
        <f>IFERROR(__xludf.DUMMYFUNCTION("""COMPUTED_VALUE"""),43.76)</f>
        <v>43.76</v>
      </c>
      <c r="C807" s="1">
        <f>IFERROR(__xludf.DUMMYFUNCTION("""COMPUTED_VALUE"""),44.29)</f>
        <v>44.29</v>
      </c>
      <c r="D807" s="1">
        <f>IFERROR(__xludf.DUMMYFUNCTION("""COMPUTED_VALUE"""),43.63)</f>
        <v>43.63</v>
      </c>
      <c r="E807" s="1">
        <f>IFERROR(__xludf.DUMMYFUNCTION("""COMPUTED_VALUE"""),44.0)</f>
        <v>44</v>
      </c>
      <c r="F807" s="1">
        <f>IFERROR(__xludf.DUMMYFUNCTION("""COMPUTED_VALUE"""),4888900.0)</f>
        <v>4888900</v>
      </c>
    </row>
    <row r="808">
      <c r="A808" s="2">
        <f>IFERROR(__xludf.DUMMYFUNCTION("""COMPUTED_VALUE"""),37701.666666666664)</f>
        <v>37701.66667</v>
      </c>
      <c r="B808" s="1">
        <f>IFERROR(__xludf.DUMMYFUNCTION("""COMPUTED_VALUE"""),44.33)</f>
        <v>44.33</v>
      </c>
      <c r="C808" s="1">
        <f>IFERROR(__xludf.DUMMYFUNCTION("""COMPUTED_VALUE"""),44.54)</f>
        <v>44.54</v>
      </c>
      <c r="D808" s="1">
        <f>IFERROR(__xludf.DUMMYFUNCTION("""COMPUTED_VALUE"""),44.0)</f>
        <v>44</v>
      </c>
      <c r="E808" s="1">
        <f>IFERROR(__xludf.DUMMYFUNCTION("""COMPUTED_VALUE"""),44.45)</f>
        <v>44.45</v>
      </c>
      <c r="F808" s="1">
        <f>IFERROR(__xludf.DUMMYFUNCTION("""COMPUTED_VALUE"""),5702600.0)</f>
        <v>5702600</v>
      </c>
    </row>
    <row r="809">
      <c r="A809" s="2">
        <f>IFERROR(__xludf.DUMMYFUNCTION("""COMPUTED_VALUE"""),37704.666666666664)</f>
        <v>37704.66667</v>
      </c>
      <c r="B809" s="1">
        <f>IFERROR(__xludf.DUMMYFUNCTION("""COMPUTED_VALUE"""),44.0)</f>
        <v>44</v>
      </c>
      <c r="C809" s="1">
        <f>IFERROR(__xludf.DUMMYFUNCTION("""COMPUTED_VALUE"""),44.08)</f>
        <v>44.08</v>
      </c>
      <c r="D809" s="1">
        <f>IFERROR(__xludf.DUMMYFUNCTION("""COMPUTED_VALUE"""),43.53)</f>
        <v>43.53</v>
      </c>
      <c r="E809" s="1">
        <f>IFERROR(__xludf.DUMMYFUNCTION("""COMPUTED_VALUE"""),43.78)</f>
        <v>43.78</v>
      </c>
      <c r="F809" s="1">
        <f>IFERROR(__xludf.DUMMYFUNCTION("""COMPUTED_VALUE"""),3687200.0)</f>
        <v>3687200</v>
      </c>
    </row>
    <row r="810">
      <c r="A810" s="2">
        <f>IFERROR(__xludf.DUMMYFUNCTION("""COMPUTED_VALUE"""),37705.666666666664)</f>
        <v>37705.66667</v>
      </c>
      <c r="B810" s="1">
        <f>IFERROR(__xludf.DUMMYFUNCTION("""COMPUTED_VALUE"""),43.79)</f>
        <v>43.79</v>
      </c>
      <c r="C810" s="1">
        <f>IFERROR(__xludf.DUMMYFUNCTION("""COMPUTED_VALUE"""),44.38)</f>
        <v>44.38</v>
      </c>
      <c r="D810" s="1">
        <f>IFERROR(__xludf.DUMMYFUNCTION("""COMPUTED_VALUE"""),43.6)</f>
        <v>43.6</v>
      </c>
      <c r="E810" s="1">
        <f>IFERROR(__xludf.DUMMYFUNCTION("""COMPUTED_VALUE"""),44.01)</f>
        <v>44.01</v>
      </c>
      <c r="F810" s="1">
        <f>IFERROR(__xludf.DUMMYFUNCTION("""COMPUTED_VALUE"""),3682500.0)</f>
        <v>3682500</v>
      </c>
    </row>
    <row r="811">
      <c r="A811" s="2">
        <f>IFERROR(__xludf.DUMMYFUNCTION("""COMPUTED_VALUE"""),37706.666666666664)</f>
        <v>37706.66667</v>
      </c>
      <c r="B811" s="1">
        <f>IFERROR(__xludf.DUMMYFUNCTION("""COMPUTED_VALUE"""),44.02)</f>
        <v>44.02</v>
      </c>
      <c r="C811" s="1">
        <f>IFERROR(__xludf.DUMMYFUNCTION("""COMPUTED_VALUE"""),44.45)</f>
        <v>44.45</v>
      </c>
      <c r="D811" s="1">
        <f>IFERROR(__xludf.DUMMYFUNCTION("""COMPUTED_VALUE"""),43.95)</f>
        <v>43.95</v>
      </c>
      <c r="E811" s="1">
        <f>IFERROR(__xludf.DUMMYFUNCTION("""COMPUTED_VALUE"""),44.17)</f>
        <v>44.17</v>
      </c>
      <c r="F811" s="1">
        <f>IFERROR(__xludf.DUMMYFUNCTION("""COMPUTED_VALUE"""),3143900.0)</f>
        <v>3143900</v>
      </c>
    </row>
    <row r="812">
      <c r="A812" s="2">
        <f>IFERROR(__xludf.DUMMYFUNCTION("""COMPUTED_VALUE"""),37707.666666666664)</f>
        <v>37707.66667</v>
      </c>
      <c r="B812" s="1">
        <f>IFERROR(__xludf.DUMMYFUNCTION("""COMPUTED_VALUE"""),43.9)</f>
        <v>43.9</v>
      </c>
      <c r="C812" s="1">
        <f>IFERROR(__xludf.DUMMYFUNCTION("""COMPUTED_VALUE"""),44.67)</f>
        <v>44.67</v>
      </c>
      <c r="D812" s="1">
        <f>IFERROR(__xludf.DUMMYFUNCTION("""COMPUTED_VALUE"""),43.75)</f>
        <v>43.75</v>
      </c>
      <c r="E812" s="1">
        <f>IFERROR(__xludf.DUMMYFUNCTION("""COMPUTED_VALUE"""),44.39)</f>
        <v>44.39</v>
      </c>
      <c r="F812" s="1">
        <f>IFERROR(__xludf.DUMMYFUNCTION("""COMPUTED_VALUE"""),3402700.0)</f>
        <v>3402700</v>
      </c>
    </row>
    <row r="813">
      <c r="A813" s="2">
        <f>IFERROR(__xludf.DUMMYFUNCTION("""COMPUTED_VALUE"""),37708.666666666664)</f>
        <v>37708.66667</v>
      </c>
      <c r="B813" s="1">
        <f>IFERROR(__xludf.DUMMYFUNCTION("""COMPUTED_VALUE"""),44.39)</f>
        <v>44.39</v>
      </c>
      <c r="C813" s="1">
        <f>IFERROR(__xludf.DUMMYFUNCTION("""COMPUTED_VALUE"""),44.49)</f>
        <v>44.49</v>
      </c>
      <c r="D813" s="1">
        <f>IFERROR(__xludf.DUMMYFUNCTION("""COMPUTED_VALUE"""),43.95)</f>
        <v>43.95</v>
      </c>
      <c r="E813" s="1">
        <f>IFERROR(__xludf.DUMMYFUNCTION("""COMPUTED_VALUE"""),44.32)</f>
        <v>44.32</v>
      </c>
      <c r="F813" s="1">
        <f>IFERROR(__xludf.DUMMYFUNCTION("""COMPUTED_VALUE"""),2968900.0)</f>
        <v>2968900</v>
      </c>
    </row>
    <row r="814">
      <c r="A814" s="2">
        <f>IFERROR(__xludf.DUMMYFUNCTION("""COMPUTED_VALUE"""),37711.666666666664)</f>
        <v>37711.66667</v>
      </c>
      <c r="B814" s="1">
        <f>IFERROR(__xludf.DUMMYFUNCTION("""COMPUTED_VALUE"""),44.25)</f>
        <v>44.25</v>
      </c>
      <c r="C814" s="1">
        <f>IFERROR(__xludf.DUMMYFUNCTION("""COMPUTED_VALUE"""),45.0)</f>
        <v>45</v>
      </c>
      <c r="D814" s="1">
        <f>IFERROR(__xludf.DUMMYFUNCTION("""COMPUTED_VALUE"""),44.0)</f>
        <v>44</v>
      </c>
      <c r="E814" s="1">
        <f>IFERROR(__xludf.DUMMYFUNCTION("""COMPUTED_VALUE"""),44.53)</f>
        <v>44.53</v>
      </c>
      <c r="F814" s="1">
        <f>IFERROR(__xludf.DUMMYFUNCTION("""COMPUTED_VALUE"""),5076500.0)</f>
        <v>5076500</v>
      </c>
    </row>
    <row r="815">
      <c r="A815" s="2">
        <f>IFERROR(__xludf.DUMMYFUNCTION("""COMPUTED_VALUE"""),37712.666666666664)</f>
        <v>37712.66667</v>
      </c>
      <c r="B815" s="1">
        <f>IFERROR(__xludf.DUMMYFUNCTION("""COMPUTED_VALUE"""),44.53)</f>
        <v>44.53</v>
      </c>
      <c r="C815" s="1">
        <f>IFERROR(__xludf.DUMMYFUNCTION("""COMPUTED_VALUE"""),45.0)</f>
        <v>45</v>
      </c>
      <c r="D815" s="1">
        <f>IFERROR(__xludf.DUMMYFUNCTION("""COMPUTED_VALUE"""),44.36)</f>
        <v>44.36</v>
      </c>
      <c r="E815" s="1">
        <f>IFERROR(__xludf.DUMMYFUNCTION("""COMPUTED_VALUE"""),44.76)</f>
        <v>44.76</v>
      </c>
      <c r="F815" s="1">
        <f>IFERROR(__xludf.DUMMYFUNCTION("""COMPUTED_VALUE"""),4318000.0)</f>
        <v>4318000</v>
      </c>
    </row>
    <row r="816">
      <c r="A816" s="2">
        <f>IFERROR(__xludf.DUMMYFUNCTION("""COMPUTED_VALUE"""),37713.666666666664)</f>
        <v>37713.66667</v>
      </c>
      <c r="B816" s="1">
        <f>IFERROR(__xludf.DUMMYFUNCTION("""COMPUTED_VALUE"""),45.0)</f>
        <v>45</v>
      </c>
      <c r="C816" s="1">
        <f>IFERROR(__xludf.DUMMYFUNCTION("""COMPUTED_VALUE"""),45.1)</f>
        <v>45.1</v>
      </c>
      <c r="D816" s="1">
        <f>IFERROR(__xludf.DUMMYFUNCTION("""COMPUTED_VALUE"""),44.74)</f>
        <v>44.74</v>
      </c>
      <c r="E816" s="1">
        <f>IFERROR(__xludf.DUMMYFUNCTION("""COMPUTED_VALUE"""),45.06)</f>
        <v>45.06</v>
      </c>
      <c r="F816" s="1">
        <f>IFERROR(__xludf.DUMMYFUNCTION("""COMPUTED_VALUE"""),4695400.0)</f>
        <v>4695400</v>
      </c>
    </row>
    <row r="817">
      <c r="A817" s="2">
        <f>IFERROR(__xludf.DUMMYFUNCTION("""COMPUTED_VALUE"""),37714.666666666664)</f>
        <v>37714.66667</v>
      </c>
      <c r="B817" s="1">
        <f>IFERROR(__xludf.DUMMYFUNCTION("""COMPUTED_VALUE"""),45.06)</f>
        <v>45.06</v>
      </c>
      <c r="C817" s="1">
        <f>IFERROR(__xludf.DUMMYFUNCTION("""COMPUTED_VALUE"""),45.09)</f>
        <v>45.09</v>
      </c>
      <c r="D817" s="1">
        <f>IFERROR(__xludf.DUMMYFUNCTION("""COMPUTED_VALUE"""),44.71)</f>
        <v>44.71</v>
      </c>
      <c r="E817" s="1">
        <f>IFERROR(__xludf.DUMMYFUNCTION("""COMPUTED_VALUE"""),44.72)</f>
        <v>44.72</v>
      </c>
      <c r="F817" s="1">
        <f>IFERROR(__xludf.DUMMYFUNCTION("""COMPUTED_VALUE"""),3144900.0)</f>
        <v>3144900</v>
      </c>
    </row>
    <row r="818">
      <c r="A818" s="2">
        <f>IFERROR(__xludf.DUMMYFUNCTION("""COMPUTED_VALUE"""),37715.666666666664)</f>
        <v>37715.66667</v>
      </c>
      <c r="B818" s="1">
        <f>IFERROR(__xludf.DUMMYFUNCTION("""COMPUTED_VALUE"""),44.4)</f>
        <v>44.4</v>
      </c>
      <c r="C818" s="1">
        <f>IFERROR(__xludf.DUMMYFUNCTION("""COMPUTED_VALUE"""),45.22)</f>
        <v>45.22</v>
      </c>
      <c r="D818" s="1">
        <f>IFERROR(__xludf.DUMMYFUNCTION("""COMPUTED_VALUE"""),44.4)</f>
        <v>44.4</v>
      </c>
      <c r="E818" s="1">
        <f>IFERROR(__xludf.DUMMYFUNCTION("""COMPUTED_VALUE"""),45.08)</f>
        <v>45.08</v>
      </c>
      <c r="F818" s="1">
        <f>IFERROR(__xludf.DUMMYFUNCTION("""COMPUTED_VALUE"""),3240400.0)</f>
        <v>3240400</v>
      </c>
    </row>
    <row r="819">
      <c r="A819" s="2">
        <f>IFERROR(__xludf.DUMMYFUNCTION("""COMPUTED_VALUE"""),37718.666666666664)</f>
        <v>37718.66667</v>
      </c>
      <c r="B819" s="1">
        <f>IFERROR(__xludf.DUMMYFUNCTION("""COMPUTED_VALUE"""),45.21)</f>
        <v>45.21</v>
      </c>
      <c r="C819" s="1">
        <f>IFERROR(__xludf.DUMMYFUNCTION("""COMPUTED_VALUE"""),45.55)</f>
        <v>45.55</v>
      </c>
      <c r="D819" s="1">
        <f>IFERROR(__xludf.DUMMYFUNCTION("""COMPUTED_VALUE"""),44.66)</f>
        <v>44.66</v>
      </c>
      <c r="E819" s="1">
        <f>IFERROR(__xludf.DUMMYFUNCTION("""COMPUTED_VALUE"""),44.71)</f>
        <v>44.71</v>
      </c>
      <c r="F819" s="1">
        <f>IFERROR(__xludf.DUMMYFUNCTION("""COMPUTED_VALUE"""),3825300.0)</f>
        <v>3825300</v>
      </c>
    </row>
    <row r="820">
      <c r="A820" s="2">
        <f>IFERROR(__xludf.DUMMYFUNCTION("""COMPUTED_VALUE"""),37719.666666666664)</f>
        <v>37719.66667</v>
      </c>
      <c r="B820" s="1">
        <f>IFERROR(__xludf.DUMMYFUNCTION("""COMPUTED_VALUE"""),44.51)</f>
        <v>44.51</v>
      </c>
      <c r="C820" s="1">
        <f>IFERROR(__xludf.DUMMYFUNCTION("""COMPUTED_VALUE"""),45.02)</f>
        <v>45.02</v>
      </c>
      <c r="D820" s="1">
        <f>IFERROR(__xludf.DUMMYFUNCTION("""COMPUTED_VALUE"""),44.51)</f>
        <v>44.51</v>
      </c>
      <c r="E820" s="1">
        <f>IFERROR(__xludf.DUMMYFUNCTION("""COMPUTED_VALUE"""),44.95)</f>
        <v>44.95</v>
      </c>
      <c r="F820" s="1">
        <f>IFERROR(__xludf.DUMMYFUNCTION("""COMPUTED_VALUE"""),3045400.0)</f>
        <v>3045400</v>
      </c>
    </row>
    <row r="821">
      <c r="A821" s="2">
        <f>IFERROR(__xludf.DUMMYFUNCTION("""COMPUTED_VALUE"""),37720.666666666664)</f>
        <v>37720.66667</v>
      </c>
      <c r="B821" s="1">
        <f>IFERROR(__xludf.DUMMYFUNCTION("""COMPUTED_VALUE"""),44.6)</f>
        <v>44.6</v>
      </c>
      <c r="C821" s="1">
        <f>IFERROR(__xludf.DUMMYFUNCTION("""COMPUTED_VALUE"""),45.25)</f>
        <v>45.25</v>
      </c>
      <c r="D821" s="1">
        <f>IFERROR(__xludf.DUMMYFUNCTION("""COMPUTED_VALUE"""),44.47)</f>
        <v>44.47</v>
      </c>
      <c r="E821" s="1">
        <f>IFERROR(__xludf.DUMMYFUNCTION("""COMPUTED_VALUE"""),44.65)</f>
        <v>44.65</v>
      </c>
      <c r="F821" s="1">
        <f>IFERROR(__xludf.DUMMYFUNCTION("""COMPUTED_VALUE"""),3196700.0)</f>
        <v>3196700</v>
      </c>
    </row>
    <row r="822">
      <c r="A822" s="2">
        <f>IFERROR(__xludf.DUMMYFUNCTION("""COMPUTED_VALUE"""),37721.666666666664)</f>
        <v>37721.66667</v>
      </c>
      <c r="B822" s="1">
        <f>IFERROR(__xludf.DUMMYFUNCTION("""COMPUTED_VALUE"""),44.65)</f>
        <v>44.65</v>
      </c>
      <c r="C822" s="1">
        <f>IFERROR(__xludf.DUMMYFUNCTION("""COMPUTED_VALUE"""),44.65)</f>
        <v>44.65</v>
      </c>
      <c r="D822" s="1">
        <f>IFERROR(__xludf.DUMMYFUNCTION("""COMPUTED_VALUE"""),44.2)</f>
        <v>44.2</v>
      </c>
      <c r="E822" s="1">
        <f>IFERROR(__xludf.DUMMYFUNCTION("""COMPUTED_VALUE"""),44.39)</f>
        <v>44.39</v>
      </c>
      <c r="F822" s="1">
        <f>IFERROR(__xludf.DUMMYFUNCTION("""COMPUTED_VALUE"""),3538400.0)</f>
        <v>3538400</v>
      </c>
    </row>
    <row r="823">
      <c r="A823" s="2">
        <f>IFERROR(__xludf.DUMMYFUNCTION("""COMPUTED_VALUE"""),37722.666666666664)</f>
        <v>37722.66667</v>
      </c>
      <c r="B823" s="1">
        <f>IFERROR(__xludf.DUMMYFUNCTION("""COMPUTED_VALUE"""),44.58)</f>
        <v>44.58</v>
      </c>
      <c r="C823" s="1">
        <f>IFERROR(__xludf.DUMMYFUNCTION("""COMPUTED_VALUE"""),44.84)</f>
        <v>44.84</v>
      </c>
      <c r="D823" s="1">
        <f>IFERROR(__xludf.DUMMYFUNCTION("""COMPUTED_VALUE"""),44.45)</f>
        <v>44.45</v>
      </c>
      <c r="E823" s="1">
        <f>IFERROR(__xludf.DUMMYFUNCTION("""COMPUTED_VALUE"""),44.6)</f>
        <v>44.6</v>
      </c>
      <c r="F823" s="1">
        <f>IFERROR(__xludf.DUMMYFUNCTION("""COMPUTED_VALUE"""),2516200.0)</f>
        <v>2516200</v>
      </c>
    </row>
    <row r="824">
      <c r="A824" s="2">
        <f>IFERROR(__xludf.DUMMYFUNCTION("""COMPUTED_VALUE"""),37725.666666666664)</f>
        <v>37725.66667</v>
      </c>
      <c r="B824" s="1">
        <f>IFERROR(__xludf.DUMMYFUNCTION("""COMPUTED_VALUE"""),44.6)</f>
        <v>44.6</v>
      </c>
      <c r="C824" s="1">
        <f>IFERROR(__xludf.DUMMYFUNCTION("""COMPUTED_VALUE"""),45.12)</f>
        <v>45.12</v>
      </c>
      <c r="D824" s="1">
        <f>IFERROR(__xludf.DUMMYFUNCTION("""COMPUTED_VALUE"""),44.57)</f>
        <v>44.57</v>
      </c>
      <c r="E824" s="1">
        <f>IFERROR(__xludf.DUMMYFUNCTION("""COMPUTED_VALUE"""),44.98)</f>
        <v>44.98</v>
      </c>
      <c r="F824" s="1">
        <f>IFERROR(__xludf.DUMMYFUNCTION("""COMPUTED_VALUE"""),2972400.0)</f>
        <v>2972400</v>
      </c>
    </row>
    <row r="825">
      <c r="A825" s="2">
        <f>IFERROR(__xludf.DUMMYFUNCTION("""COMPUTED_VALUE"""),37726.666666666664)</f>
        <v>37726.66667</v>
      </c>
      <c r="B825" s="1">
        <f>IFERROR(__xludf.DUMMYFUNCTION("""COMPUTED_VALUE"""),44.7)</f>
        <v>44.7</v>
      </c>
      <c r="C825" s="1">
        <f>IFERROR(__xludf.DUMMYFUNCTION("""COMPUTED_VALUE"""),45.0)</f>
        <v>45</v>
      </c>
      <c r="D825" s="1">
        <f>IFERROR(__xludf.DUMMYFUNCTION("""COMPUTED_VALUE"""),44.69)</f>
        <v>44.69</v>
      </c>
      <c r="E825" s="1">
        <f>IFERROR(__xludf.DUMMYFUNCTION("""COMPUTED_VALUE"""),44.94)</f>
        <v>44.94</v>
      </c>
      <c r="F825" s="1">
        <f>IFERROR(__xludf.DUMMYFUNCTION("""COMPUTED_VALUE"""),3375400.0)</f>
        <v>3375400</v>
      </c>
    </row>
    <row r="826">
      <c r="A826" s="2">
        <f>IFERROR(__xludf.DUMMYFUNCTION("""COMPUTED_VALUE"""),37727.666666666664)</f>
        <v>37727.66667</v>
      </c>
      <c r="B826" s="1">
        <f>IFERROR(__xludf.DUMMYFUNCTION("""COMPUTED_VALUE"""),44.85)</f>
        <v>44.85</v>
      </c>
      <c r="C826" s="1">
        <f>IFERROR(__xludf.DUMMYFUNCTION("""COMPUTED_VALUE"""),44.94)</f>
        <v>44.94</v>
      </c>
      <c r="D826" s="1">
        <f>IFERROR(__xludf.DUMMYFUNCTION("""COMPUTED_VALUE"""),44.38)</f>
        <v>44.38</v>
      </c>
      <c r="E826" s="1">
        <f>IFERROR(__xludf.DUMMYFUNCTION("""COMPUTED_VALUE"""),44.55)</f>
        <v>44.55</v>
      </c>
      <c r="F826" s="1">
        <f>IFERROR(__xludf.DUMMYFUNCTION("""COMPUTED_VALUE"""),3106200.0)</f>
        <v>3106200</v>
      </c>
    </row>
    <row r="827">
      <c r="A827" s="2">
        <f>IFERROR(__xludf.DUMMYFUNCTION("""COMPUTED_VALUE"""),37728.666666666664)</f>
        <v>37728.66667</v>
      </c>
      <c r="B827" s="1">
        <f>IFERROR(__xludf.DUMMYFUNCTION("""COMPUTED_VALUE"""),44.55)</f>
        <v>44.55</v>
      </c>
      <c r="C827" s="1">
        <f>IFERROR(__xludf.DUMMYFUNCTION("""COMPUTED_VALUE"""),44.78)</f>
        <v>44.78</v>
      </c>
      <c r="D827" s="1">
        <f>IFERROR(__xludf.DUMMYFUNCTION("""COMPUTED_VALUE"""),44.06)</f>
        <v>44.06</v>
      </c>
      <c r="E827" s="1">
        <f>IFERROR(__xludf.DUMMYFUNCTION("""COMPUTED_VALUE"""),44.63)</f>
        <v>44.63</v>
      </c>
      <c r="F827" s="1">
        <f>IFERROR(__xludf.DUMMYFUNCTION("""COMPUTED_VALUE"""),3576600.0)</f>
        <v>3576600</v>
      </c>
    </row>
    <row r="828">
      <c r="A828" s="2">
        <f>IFERROR(__xludf.DUMMYFUNCTION("""COMPUTED_VALUE"""),37732.666666666664)</f>
        <v>37732.66667</v>
      </c>
      <c r="B828" s="1">
        <f>IFERROR(__xludf.DUMMYFUNCTION("""COMPUTED_VALUE"""),44.78)</f>
        <v>44.78</v>
      </c>
      <c r="C828" s="1">
        <f>IFERROR(__xludf.DUMMYFUNCTION("""COMPUTED_VALUE"""),44.92)</f>
        <v>44.92</v>
      </c>
      <c r="D828" s="1">
        <f>IFERROR(__xludf.DUMMYFUNCTION("""COMPUTED_VALUE"""),44.56)</f>
        <v>44.56</v>
      </c>
      <c r="E828" s="1">
        <f>IFERROR(__xludf.DUMMYFUNCTION("""COMPUTED_VALUE"""),44.72)</f>
        <v>44.72</v>
      </c>
      <c r="F828" s="1">
        <f>IFERROR(__xludf.DUMMYFUNCTION("""COMPUTED_VALUE"""),2440900.0)</f>
        <v>2440900</v>
      </c>
    </row>
    <row r="829">
      <c r="A829" s="2">
        <f>IFERROR(__xludf.DUMMYFUNCTION("""COMPUTED_VALUE"""),37733.666666666664)</f>
        <v>37733.66667</v>
      </c>
      <c r="B829" s="1">
        <f>IFERROR(__xludf.DUMMYFUNCTION("""COMPUTED_VALUE"""),44.43)</f>
        <v>44.43</v>
      </c>
      <c r="C829" s="1">
        <f>IFERROR(__xludf.DUMMYFUNCTION("""COMPUTED_VALUE"""),45.73)</f>
        <v>45.73</v>
      </c>
      <c r="D829" s="1">
        <f>IFERROR(__xludf.DUMMYFUNCTION("""COMPUTED_VALUE"""),44.27)</f>
        <v>44.27</v>
      </c>
      <c r="E829" s="1">
        <f>IFERROR(__xludf.DUMMYFUNCTION("""COMPUTED_VALUE"""),45.57)</f>
        <v>45.57</v>
      </c>
      <c r="F829" s="1">
        <f>IFERROR(__xludf.DUMMYFUNCTION("""COMPUTED_VALUE"""),3782300.0)</f>
        <v>3782300</v>
      </c>
    </row>
    <row r="830">
      <c r="A830" s="2">
        <f>IFERROR(__xludf.DUMMYFUNCTION("""COMPUTED_VALUE"""),37734.666666666664)</f>
        <v>37734.66667</v>
      </c>
      <c r="B830" s="1">
        <f>IFERROR(__xludf.DUMMYFUNCTION("""COMPUTED_VALUE"""),45.44)</f>
        <v>45.44</v>
      </c>
      <c r="C830" s="1">
        <f>IFERROR(__xludf.DUMMYFUNCTION("""COMPUTED_VALUE"""),45.61)</f>
        <v>45.61</v>
      </c>
      <c r="D830" s="1">
        <f>IFERROR(__xludf.DUMMYFUNCTION("""COMPUTED_VALUE"""),45.18)</f>
        <v>45.18</v>
      </c>
      <c r="E830" s="1">
        <f>IFERROR(__xludf.DUMMYFUNCTION("""COMPUTED_VALUE"""),45.28)</f>
        <v>45.28</v>
      </c>
      <c r="F830" s="1">
        <f>IFERROR(__xludf.DUMMYFUNCTION("""COMPUTED_VALUE"""),2976000.0)</f>
        <v>2976000</v>
      </c>
    </row>
    <row r="831">
      <c r="A831" s="2">
        <f>IFERROR(__xludf.DUMMYFUNCTION("""COMPUTED_VALUE"""),37735.666666666664)</f>
        <v>37735.66667</v>
      </c>
      <c r="B831" s="1">
        <f>IFERROR(__xludf.DUMMYFUNCTION("""COMPUTED_VALUE"""),44.6)</f>
        <v>44.6</v>
      </c>
      <c r="C831" s="1">
        <f>IFERROR(__xludf.DUMMYFUNCTION("""COMPUTED_VALUE"""),44.95)</f>
        <v>44.95</v>
      </c>
      <c r="D831" s="1">
        <f>IFERROR(__xludf.DUMMYFUNCTION("""COMPUTED_VALUE"""),44.55)</f>
        <v>44.55</v>
      </c>
      <c r="E831" s="1">
        <f>IFERROR(__xludf.DUMMYFUNCTION("""COMPUTED_VALUE"""),44.94)</f>
        <v>44.94</v>
      </c>
      <c r="F831" s="1">
        <f>IFERROR(__xludf.DUMMYFUNCTION("""COMPUTED_VALUE"""),3185800.0)</f>
        <v>3185800</v>
      </c>
    </row>
    <row r="832">
      <c r="A832" s="2">
        <f>IFERROR(__xludf.DUMMYFUNCTION("""COMPUTED_VALUE"""),37736.666666666664)</f>
        <v>37736.66667</v>
      </c>
      <c r="B832" s="1">
        <f>IFERROR(__xludf.DUMMYFUNCTION("""COMPUTED_VALUE"""),44.65)</f>
        <v>44.65</v>
      </c>
      <c r="C832" s="1">
        <f>IFERROR(__xludf.DUMMYFUNCTION("""COMPUTED_VALUE"""),44.87)</f>
        <v>44.87</v>
      </c>
      <c r="D832" s="1">
        <f>IFERROR(__xludf.DUMMYFUNCTION("""COMPUTED_VALUE"""),44.4)</f>
        <v>44.4</v>
      </c>
      <c r="E832" s="1">
        <f>IFERROR(__xludf.DUMMYFUNCTION("""COMPUTED_VALUE"""),44.57)</f>
        <v>44.57</v>
      </c>
      <c r="F832" s="1">
        <f>IFERROR(__xludf.DUMMYFUNCTION("""COMPUTED_VALUE"""),2391900.0)</f>
        <v>2391900</v>
      </c>
    </row>
    <row r="833">
      <c r="A833" s="2">
        <f>IFERROR(__xludf.DUMMYFUNCTION("""COMPUTED_VALUE"""),37739.666666666664)</f>
        <v>37739.66667</v>
      </c>
      <c r="B833" s="1">
        <f>IFERROR(__xludf.DUMMYFUNCTION("""COMPUTED_VALUE"""),44.57)</f>
        <v>44.57</v>
      </c>
      <c r="C833" s="1">
        <f>IFERROR(__xludf.DUMMYFUNCTION("""COMPUTED_VALUE"""),45.53)</f>
        <v>45.53</v>
      </c>
      <c r="D833" s="1">
        <f>IFERROR(__xludf.DUMMYFUNCTION("""COMPUTED_VALUE"""),44.23)</f>
        <v>44.23</v>
      </c>
      <c r="E833" s="1">
        <f>IFERROR(__xludf.DUMMYFUNCTION("""COMPUTED_VALUE"""),45.35)</f>
        <v>45.35</v>
      </c>
      <c r="F833" s="1">
        <f>IFERROR(__xludf.DUMMYFUNCTION("""COMPUTED_VALUE"""),4222400.0)</f>
        <v>4222400</v>
      </c>
    </row>
    <row r="834">
      <c r="A834" s="2">
        <f>IFERROR(__xludf.DUMMYFUNCTION("""COMPUTED_VALUE"""),37740.666666666664)</f>
        <v>37740.66667</v>
      </c>
      <c r="B834" s="1">
        <f>IFERROR(__xludf.DUMMYFUNCTION("""COMPUTED_VALUE"""),45.3)</f>
        <v>45.3</v>
      </c>
      <c r="C834" s="1">
        <f>IFERROR(__xludf.DUMMYFUNCTION("""COMPUTED_VALUE"""),45.5)</f>
        <v>45.5</v>
      </c>
      <c r="D834" s="1">
        <f>IFERROR(__xludf.DUMMYFUNCTION("""COMPUTED_VALUE"""),44.85)</f>
        <v>44.85</v>
      </c>
      <c r="E834" s="1">
        <f>IFERROR(__xludf.DUMMYFUNCTION("""COMPUTED_VALUE"""),45.43)</f>
        <v>45.43</v>
      </c>
      <c r="F834" s="1">
        <f>IFERROR(__xludf.DUMMYFUNCTION("""COMPUTED_VALUE"""),4167400.0)</f>
        <v>4167400</v>
      </c>
    </row>
    <row r="835">
      <c r="A835" s="2">
        <f>IFERROR(__xludf.DUMMYFUNCTION("""COMPUTED_VALUE"""),37741.666666666664)</f>
        <v>37741.66667</v>
      </c>
      <c r="B835" s="1">
        <f>IFERROR(__xludf.DUMMYFUNCTION("""COMPUTED_VALUE"""),44.96)</f>
        <v>44.96</v>
      </c>
      <c r="C835" s="1">
        <f>IFERROR(__xludf.DUMMYFUNCTION("""COMPUTED_VALUE"""),45.23)</f>
        <v>45.23</v>
      </c>
      <c r="D835" s="1">
        <f>IFERROR(__xludf.DUMMYFUNCTION("""COMPUTED_VALUE"""),44.79)</f>
        <v>44.79</v>
      </c>
      <c r="E835" s="1">
        <f>IFERROR(__xludf.DUMMYFUNCTION("""COMPUTED_VALUE"""),44.93)</f>
        <v>44.93</v>
      </c>
      <c r="F835" s="1">
        <f>IFERROR(__xludf.DUMMYFUNCTION("""COMPUTED_VALUE"""),3616400.0)</f>
        <v>3616400</v>
      </c>
    </row>
    <row r="836">
      <c r="A836" s="2">
        <f>IFERROR(__xludf.DUMMYFUNCTION("""COMPUTED_VALUE"""),37742.666666666664)</f>
        <v>37742.66667</v>
      </c>
      <c r="B836" s="1">
        <f>IFERROR(__xludf.DUMMYFUNCTION("""COMPUTED_VALUE"""),45.04)</f>
        <v>45.04</v>
      </c>
      <c r="C836" s="1">
        <f>IFERROR(__xludf.DUMMYFUNCTION("""COMPUTED_VALUE"""),45.25)</f>
        <v>45.25</v>
      </c>
      <c r="D836" s="1">
        <f>IFERROR(__xludf.DUMMYFUNCTION("""COMPUTED_VALUE"""),44.19)</f>
        <v>44.19</v>
      </c>
      <c r="E836" s="1">
        <f>IFERROR(__xludf.DUMMYFUNCTION("""COMPUTED_VALUE"""),44.94)</f>
        <v>44.94</v>
      </c>
      <c r="F836" s="1">
        <f>IFERROR(__xludf.DUMMYFUNCTION("""COMPUTED_VALUE"""),2938500.0)</f>
        <v>2938500</v>
      </c>
    </row>
    <row r="837">
      <c r="A837" s="2">
        <f>IFERROR(__xludf.DUMMYFUNCTION("""COMPUTED_VALUE"""),37743.666666666664)</f>
        <v>37743.66667</v>
      </c>
      <c r="B837" s="1">
        <f>IFERROR(__xludf.DUMMYFUNCTION("""COMPUTED_VALUE"""),44.7)</f>
        <v>44.7</v>
      </c>
      <c r="C837" s="1">
        <f>IFERROR(__xludf.DUMMYFUNCTION("""COMPUTED_VALUE"""),45.08)</f>
        <v>45.08</v>
      </c>
      <c r="D837" s="1">
        <f>IFERROR(__xludf.DUMMYFUNCTION("""COMPUTED_VALUE"""),44.47)</f>
        <v>44.47</v>
      </c>
      <c r="E837" s="1">
        <f>IFERROR(__xludf.DUMMYFUNCTION("""COMPUTED_VALUE"""),45.08)</f>
        <v>45.08</v>
      </c>
      <c r="F837" s="1">
        <f>IFERROR(__xludf.DUMMYFUNCTION("""COMPUTED_VALUE"""),3147700.0)</f>
        <v>3147700</v>
      </c>
    </row>
    <row r="838">
      <c r="A838" s="2">
        <f>IFERROR(__xludf.DUMMYFUNCTION("""COMPUTED_VALUE"""),37746.666666666664)</f>
        <v>37746.66667</v>
      </c>
      <c r="B838" s="1">
        <f>IFERROR(__xludf.DUMMYFUNCTION("""COMPUTED_VALUE"""),45.0)</f>
        <v>45</v>
      </c>
      <c r="C838" s="1">
        <f>IFERROR(__xludf.DUMMYFUNCTION("""COMPUTED_VALUE"""),45.23)</f>
        <v>45.23</v>
      </c>
      <c r="D838" s="1">
        <f>IFERROR(__xludf.DUMMYFUNCTION("""COMPUTED_VALUE"""),44.62)</f>
        <v>44.62</v>
      </c>
      <c r="E838" s="1">
        <f>IFERROR(__xludf.DUMMYFUNCTION("""COMPUTED_VALUE"""),45.07)</f>
        <v>45.07</v>
      </c>
      <c r="F838" s="1">
        <f>IFERROR(__xludf.DUMMYFUNCTION("""COMPUTED_VALUE"""),3223000.0)</f>
        <v>3223000</v>
      </c>
    </row>
    <row r="839">
      <c r="A839" s="2">
        <f>IFERROR(__xludf.DUMMYFUNCTION("""COMPUTED_VALUE"""),37747.666666666664)</f>
        <v>37747.66667</v>
      </c>
      <c r="B839" s="1">
        <f>IFERROR(__xludf.DUMMYFUNCTION("""COMPUTED_VALUE"""),44.92)</f>
        <v>44.92</v>
      </c>
      <c r="C839" s="1">
        <f>IFERROR(__xludf.DUMMYFUNCTION("""COMPUTED_VALUE"""),45.04)</f>
        <v>45.04</v>
      </c>
      <c r="D839" s="1">
        <f>IFERROR(__xludf.DUMMYFUNCTION("""COMPUTED_VALUE"""),44.65)</f>
        <v>44.65</v>
      </c>
      <c r="E839" s="1">
        <f>IFERROR(__xludf.DUMMYFUNCTION("""COMPUTED_VALUE"""),44.85)</f>
        <v>44.85</v>
      </c>
      <c r="F839" s="1">
        <f>IFERROR(__xludf.DUMMYFUNCTION("""COMPUTED_VALUE"""),2862400.0)</f>
        <v>2862400</v>
      </c>
    </row>
    <row r="840">
      <c r="A840" s="2">
        <f>IFERROR(__xludf.DUMMYFUNCTION("""COMPUTED_VALUE"""),37748.666666666664)</f>
        <v>37748.66667</v>
      </c>
      <c r="B840" s="1">
        <f>IFERROR(__xludf.DUMMYFUNCTION("""COMPUTED_VALUE"""),44.86)</f>
        <v>44.86</v>
      </c>
      <c r="C840" s="1">
        <f>IFERROR(__xludf.DUMMYFUNCTION("""COMPUTED_VALUE"""),45.1)</f>
        <v>45.1</v>
      </c>
      <c r="D840" s="1">
        <f>IFERROR(__xludf.DUMMYFUNCTION("""COMPUTED_VALUE"""),44.71)</f>
        <v>44.71</v>
      </c>
      <c r="E840" s="1">
        <f>IFERROR(__xludf.DUMMYFUNCTION("""COMPUTED_VALUE"""),44.93)</f>
        <v>44.93</v>
      </c>
      <c r="F840" s="1">
        <f>IFERROR(__xludf.DUMMYFUNCTION("""COMPUTED_VALUE"""),3206500.0)</f>
        <v>3206500</v>
      </c>
    </row>
    <row r="841">
      <c r="A841" s="2">
        <f>IFERROR(__xludf.DUMMYFUNCTION("""COMPUTED_VALUE"""),37749.666666666664)</f>
        <v>37749.66667</v>
      </c>
      <c r="B841" s="1">
        <f>IFERROR(__xludf.DUMMYFUNCTION("""COMPUTED_VALUE"""),44.58)</f>
        <v>44.58</v>
      </c>
      <c r="C841" s="1">
        <f>IFERROR(__xludf.DUMMYFUNCTION("""COMPUTED_VALUE"""),44.85)</f>
        <v>44.85</v>
      </c>
      <c r="D841" s="1">
        <f>IFERROR(__xludf.DUMMYFUNCTION("""COMPUTED_VALUE"""),44.45)</f>
        <v>44.45</v>
      </c>
      <c r="E841" s="1">
        <f>IFERROR(__xludf.DUMMYFUNCTION("""COMPUTED_VALUE"""),44.56)</f>
        <v>44.56</v>
      </c>
      <c r="F841" s="1">
        <f>IFERROR(__xludf.DUMMYFUNCTION("""COMPUTED_VALUE"""),2386900.0)</f>
        <v>2386900</v>
      </c>
    </row>
    <row r="842">
      <c r="A842" s="2">
        <f>IFERROR(__xludf.DUMMYFUNCTION("""COMPUTED_VALUE"""),37750.666666666664)</f>
        <v>37750.66667</v>
      </c>
      <c r="B842" s="1">
        <f>IFERROR(__xludf.DUMMYFUNCTION("""COMPUTED_VALUE"""),44.57)</f>
        <v>44.57</v>
      </c>
      <c r="C842" s="1">
        <f>IFERROR(__xludf.DUMMYFUNCTION("""COMPUTED_VALUE"""),44.81)</f>
        <v>44.81</v>
      </c>
      <c r="D842" s="1">
        <f>IFERROR(__xludf.DUMMYFUNCTION("""COMPUTED_VALUE"""),44.36)</f>
        <v>44.36</v>
      </c>
      <c r="E842" s="1">
        <f>IFERROR(__xludf.DUMMYFUNCTION("""COMPUTED_VALUE"""),44.75)</f>
        <v>44.75</v>
      </c>
      <c r="F842" s="1">
        <f>IFERROR(__xludf.DUMMYFUNCTION("""COMPUTED_VALUE"""),2161300.0)</f>
        <v>2161300</v>
      </c>
    </row>
    <row r="843">
      <c r="A843" s="2">
        <f>IFERROR(__xludf.DUMMYFUNCTION("""COMPUTED_VALUE"""),37753.666666666664)</f>
        <v>37753.66667</v>
      </c>
      <c r="B843" s="1">
        <f>IFERROR(__xludf.DUMMYFUNCTION("""COMPUTED_VALUE"""),44.63)</f>
        <v>44.63</v>
      </c>
      <c r="C843" s="1">
        <f>IFERROR(__xludf.DUMMYFUNCTION("""COMPUTED_VALUE"""),44.7)</f>
        <v>44.7</v>
      </c>
      <c r="D843" s="1">
        <f>IFERROR(__xludf.DUMMYFUNCTION("""COMPUTED_VALUE"""),44.36)</f>
        <v>44.36</v>
      </c>
      <c r="E843" s="1">
        <f>IFERROR(__xludf.DUMMYFUNCTION("""COMPUTED_VALUE"""),44.44)</f>
        <v>44.44</v>
      </c>
      <c r="F843" s="1">
        <f>IFERROR(__xludf.DUMMYFUNCTION("""COMPUTED_VALUE"""),2865000.0)</f>
        <v>2865000</v>
      </c>
    </row>
    <row r="844">
      <c r="A844" s="2">
        <f>IFERROR(__xludf.DUMMYFUNCTION("""COMPUTED_VALUE"""),37754.666666666664)</f>
        <v>37754.66667</v>
      </c>
      <c r="B844" s="1">
        <f>IFERROR(__xludf.DUMMYFUNCTION("""COMPUTED_VALUE"""),44.38)</f>
        <v>44.38</v>
      </c>
      <c r="C844" s="1">
        <f>IFERROR(__xludf.DUMMYFUNCTION("""COMPUTED_VALUE"""),44.65)</f>
        <v>44.65</v>
      </c>
      <c r="D844" s="1">
        <f>IFERROR(__xludf.DUMMYFUNCTION("""COMPUTED_VALUE"""),43.8)</f>
        <v>43.8</v>
      </c>
      <c r="E844" s="1">
        <f>IFERROR(__xludf.DUMMYFUNCTION("""COMPUTED_VALUE"""),43.91)</f>
        <v>43.91</v>
      </c>
      <c r="F844" s="1">
        <f>IFERROR(__xludf.DUMMYFUNCTION("""COMPUTED_VALUE"""),3999200.0)</f>
        <v>3999200</v>
      </c>
    </row>
    <row r="845">
      <c r="A845" s="2">
        <f>IFERROR(__xludf.DUMMYFUNCTION("""COMPUTED_VALUE"""),37755.666666666664)</f>
        <v>37755.66667</v>
      </c>
      <c r="B845" s="1">
        <f>IFERROR(__xludf.DUMMYFUNCTION("""COMPUTED_VALUE"""),44.25)</f>
        <v>44.25</v>
      </c>
      <c r="C845" s="1">
        <f>IFERROR(__xludf.DUMMYFUNCTION("""COMPUTED_VALUE"""),44.35)</f>
        <v>44.35</v>
      </c>
      <c r="D845" s="1">
        <f>IFERROR(__xludf.DUMMYFUNCTION("""COMPUTED_VALUE"""),43.85)</f>
        <v>43.85</v>
      </c>
      <c r="E845" s="1">
        <f>IFERROR(__xludf.DUMMYFUNCTION("""COMPUTED_VALUE"""),44.3)</f>
        <v>44.3</v>
      </c>
      <c r="F845" s="1">
        <f>IFERROR(__xludf.DUMMYFUNCTION("""COMPUTED_VALUE"""),3796800.0)</f>
        <v>3796800</v>
      </c>
    </row>
    <row r="846">
      <c r="A846" s="2">
        <f>IFERROR(__xludf.DUMMYFUNCTION("""COMPUTED_VALUE"""),37756.666666666664)</f>
        <v>37756.66667</v>
      </c>
      <c r="B846" s="1">
        <f>IFERROR(__xludf.DUMMYFUNCTION("""COMPUTED_VALUE"""),44.5)</f>
        <v>44.5</v>
      </c>
      <c r="C846" s="1">
        <f>IFERROR(__xludf.DUMMYFUNCTION("""COMPUTED_VALUE"""),45.12)</f>
        <v>45.12</v>
      </c>
      <c r="D846" s="1">
        <f>IFERROR(__xludf.DUMMYFUNCTION("""COMPUTED_VALUE"""),44.38)</f>
        <v>44.38</v>
      </c>
      <c r="E846" s="1">
        <f>IFERROR(__xludf.DUMMYFUNCTION("""COMPUTED_VALUE"""),44.95)</f>
        <v>44.95</v>
      </c>
      <c r="F846" s="1">
        <f>IFERROR(__xludf.DUMMYFUNCTION("""COMPUTED_VALUE"""),3647300.0)</f>
        <v>3647300</v>
      </c>
    </row>
    <row r="847">
      <c r="A847" s="2">
        <f>IFERROR(__xludf.DUMMYFUNCTION("""COMPUTED_VALUE"""),37757.666666666664)</f>
        <v>37757.66667</v>
      </c>
      <c r="B847" s="1">
        <f>IFERROR(__xludf.DUMMYFUNCTION("""COMPUTED_VALUE"""),44.99)</f>
        <v>44.99</v>
      </c>
      <c r="C847" s="1">
        <f>IFERROR(__xludf.DUMMYFUNCTION("""COMPUTED_VALUE"""),45.25)</f>
        <v>45.25</v>
      </c>
      <c r="D847" s="1">
        <f>IFERROR(__xludf.DUMMYFUNCTION("""COMPUTED_VALUE"""),44.9)</f>
        <v>44.9</v>
      </c>
      <c r="E847" s="1">
        <f>IFERROR(__xludf.DUMMYFUNCTION("""COMPUTED_VALUE"""),45.16)</f>
        <v>45.16</v>
      </c>
      <c r="F847" s="1">
        <f>IFERROR(__xludf.DUMMYFUNCTION("""COMPUTED_VALUE"""),3861600.0)</f>
        <v>3861600</v>
      </c>
    </row>
    <row r="848">
      <c r="A848" s="2">
        <f>IFERROR(__xludf.DUMMYFUNCTION("""COMPUTED_VALUE"""),37760.666666666664)</f>
        <v>37760.66667</v>
      </c>
      <c r="B848" s="1">
        <f>IFERROR(__xludf.DUMMYFUNCTION("""COMPUTED_VALUE"""),45.06)</f>
        <v>45.06</v>
      </c>
      <c r="C848" s="1">
        <f>IFERROR(__xludf.DUMMYFUNCTION("""COMPUTED_VALUE"""),45.14)</f>
        <v>45.14</v>
      </c>
      <c r="D848" s="1">
        <f>IFERROR(__xludf.DUMMYFUNCTION("""COMPUTED_VALUE"""),44.81)</f>
        <v>44.81</v>
      </c>
      <c r="E848" s="1">
        <f>IFERROR(__xludf.DUMMYFUNCTION("""COMPUTED_VALUE"""),45.02)</f>
        <v>45.02</v>
      </c>
      <c r="F848" s="1">
        <f>IFERROR(__xludf.DUMMYFUNCTION("""COMPUTED_VALUE"""),2854100.0)</f>
        <v>2854100</v>
      </c>
    </row>
    <row r="849">
      <c r="A849" s="2">
        <f>IFERROR(__xludf.DUMMYFUNCTION("""COMPUTED_VALUE"""),37761.666666666664)</f>
        <v>37761.66667</v>
      </c>
      <c r="B849" s="1">
        <f>IFERROR(__xludf.DUMMYFUNCTION("""COMPUTED_VALUE"""),44.99)</f>
        <v>44.99</v>
      </c>
      <c r="C849" s="1">
        <f>IFERROR(__xludf.DUMMYFUNCTION("""COMPUTED_VALUE"""),45.0)</f>
        <v>45</v>
      </c>
      <c r="D849" s="1">
        <f>IFERROR(__xludf.DUMMYFUNCTION("""COMPUTED_VALUE"""),44.35)</f>
        <v>44.35</v>
      </c>
      <c r="E849" s="1">
        <f>IFERROR(__xludf.DUMMYFUNCTION("""COMPUTED_VALUE"""),44.68)</f>
        <v>44.68</v>
      </c>
      <c r="F849" s="1">
        <f>IFERROR(__xludf.DUMMYFUNCTION("""COMPUTED_VALUE"""),3332700.0)</f>
        <v>3332700</v>
      </c>
    </row>
    <row r="850">
      <c r="A850" s="2">
        <f>IFERROR(__xludf.DUMMYFUNCTION("""COMPUTED_VALUE"""),37762.666666666664)</f>
        <v>37762.66667</v>
      </c>
      <c r="B850" s="1">
        <f>IFERROR(__xludf.DUMMYFUNCTION("""COMPUTED_VALUE"""),44.43)</f>
        <v>44.43</v>
      </c>
      <c r="C850" s="1">
        <f>IFERROR(__xludf.DUMMYFUNCTION("""COMPUTED_VALUE"""),44.72)</f>
        <v>44.72</v>
      </c>
      <c r="D850" s="1">
        <f>IFERROR(__xludf.DUMMYFUNCTION("""COMPUTED_VALUE"""),44.3)</f>
        <v>44.3</v>
      </c>
      <c r="E850" s="1">
        <f>IFERROR(__xludf.DUMMYFUNCTION("""COMPUTED_VALUE"""),44.72)</f>
        <v>44.72</v>
      </c>
      <c r="F850" s="1">
        <f>IFERROR(__xludf.DUMMYFUNCTION("""COMPUTED_VALUE"""),3036700.0)</f>
        <v>3036700</v>
      </c>
    </row>
    <row r="851">
      <c r="A851" s="2">
        <f>IFERROR(__xludf.DUMMYFUNCTION("""COMPUTED_VALUE"""),37763.666666666664)</f>
        <v>37763.66667</v>
      </c>
      <c r="B851" s="1">
        <f>IFERROR(__xludf.DUMMYFUNCTION("""COMPUTED_VALUE"""),44.72)</f>
        <v>44.72</v>
      </c>
      <c r="C851" s="1">
        <f>IFERROR(__xludf.DUMMYFUNCTION("""COMPUTED_VALUE"""),44.92)</f>
        <v>44.92</v>
      </c>
      <c r="D851" s="1">
        <f>IFERROR(__xludf.DUMMYFUNCTION("""COMPUTED_VALUE"""),44.53)</f>
        <v>44.53</v>
      </c>
      <c r="E851" s="1">
        <f>IFERROR(__xludf.DUMMYFUNCTION("""COMPUTED_VALUE"""),44.79)</f>
        <v>44.79</v>
      </c>
      <c r="F851" s="1">
        <f>IFERROR(__xludf.DUMMYFUNCTION("""COMPUTED_VALUE"""),2943200.0)</f>
        <v>2943200</v>
      </c>
    </row>
    <row r="852">
      <c r="A852" s="2">
        <f>IFERROR(__xludf.DUMMYFUNCTION("""COMPUTED_VALUE"""),37764.666666666664)</f>
        <v>37764.66667</v>
      </c>
      <c r="B852" s="1">
        <f>IFERROR(__xludf.DUMMYFUNCTION("""COMPUTED_VALUE"""),44.56)</f>
        <v>44.56</v>
      </c>
      <c r="C852" s="1">
        <f>IFERROR(__xludf.DUMMYFUNCTION("""COMPUTED_VALUE"""),44.9)</f>
        <v>44.9</v>
      </c>
      <c r="D852" s="1">
        <f>IFERROR(__xludf.DUMMYFUNCTION("""COMPUTED_VALUE"""),44.52)</f>
        <v>44.52</v>
      </c>
      <c r="E852" s="1">
        <f>IFERROR(__xludf.DUMMYFUNCTION("""COMPUTED_VALUE"""),44.9)</f>
        <v>44.9</v>
      </c>
      <c r="F852" s="1">
        <f>IFERROR(__xludf.DUMMYFUNCTION("""COMPUTED_VALUE"""),1905400.0)</f>
        <v>1905400</v>
      </c>
    </row>
    <row r="853">
      <c r="A853" s="2">
        <f>IFERROR(__xludf.DUMMYFUNCTION("""COMPUTED_VALUE"""),37768.666666666664)</f>
        <v>37768.66667</v>
      </c>
      <c r="B853" s="1">
        <f>IFERROR(__xludf.DUMMYFUNCTION("""COMPUTED_VALUE"""),44.9)</f>
        <v>44.9</v>
      </c>
      <c r="C853" s="1">
        <f>IFERROR(__xludf.DUMMYFUNCTION("""COMPUTED_VALUE"""),45.6)</f>
        <v>45.6</v>
      </c>
      <c r="D853" s="1">
        <f>IFERROR(__xludf.DUMMYFUNCTION("""COMPUTED_VALUE"""),44.81)</f>
        <v>44.81</v>
      </c>
      <c r="E853" s="1">
        <f>IFERROR(__xludf.DUMMYFUNCTION("""COMPUTED_VALUE"""),45.56)</f>
        <v>45.56</v>
      </c>
      <c r="F853" s="1">
        <f>IFERROR(__xludf.DUMMYFUNCTION("""COMPUTED_VALUE"""),4849400.0)</f>
        <v>4849400</v>
      </c>
    </row>
    <row r="854">
      <c r="A854" s="2">
        <f>IFERROR(__xludf.DUMMYFUNCTION("""COMPUTED_VALUE"""),37769.666666666664)</f>
        <v>37769.66667</v>
      </c>
      <c r="B854" s="1">
        <f>IFERROR(__xludf.DUMMYFUNCTION("""COMPUTED_VALUE"""),45.56)</f>
        <v>45.56</v>
      </c>
      <c r="C854" s="1">
        <f>IFERROR(__xludf.DUMMYFUNCTION("""COMPUTED_VALUE"""),45.97)</f>
        <v>45.97</v>
      </c>
      <c r="D854" s="1">
        <f>IFERROR(__xludf.DUMMYFUNCTION("""COMPUTED_VALUE"""),45.3)</f>
        <v>45.3</v>
      </c>
      <c r="E854" s="1">
        <f>IFERROR(__xludf.DUMMYFUNCTION("""COMPUTED_VALUE"""),45.89)</f>
        <v>45.89</v>
      </c>
      <c r="F854" s="1">
        <f>IFERROR(__xludf.DUMMYFUNCTION("""COMPUTED_VALUE"""),4405800.0)</f>
        <v>4405800</v>
      </c>
    </row>
    <row r="855">
      <c r="A855" s="2">
        <f>IFERROR(__xludf.DUMMYFUNCTION("""COMPUTED_VALUE"""),37770.666666666664)</f>
        <v>37770.66667</v>
      </c>
      <c r="B855" s="1">
        <f>IFERROR(__xludf.DUMMYFUNCTION("""COMPUTED_VALUE"""),45.83)</f>
        <v>45.83</v>
      </c>
      <c r="C855" s="1">
        <f>IFERROR(__xludf.DUMMYFUNCTION("""COMPUTED_VALUE"""),46.01)</f>
        <v>46.01</v>
      </c>
      <c r="D855" s="1">
        <f>IFERROR(__xludf.DUMMYFUNCTION("""COMPUTED_VALUE"""),45.1)</f>
        <v>45.1</v>
      </c>
      <c r="E855" s="1">
        <f>IFERROR(__xludf.DUMMYFUNCTION("""COMPUTED_VALUE"""),45.57)</f>
        <v>45.57</v>
      </c>
      <c r="F855" s="1">
        <f>IFERROR(__xludf.DUMMYFUNCTION("""COMPUTED_VALUE"""),3340300.0)</f>
        <v>3340300</v>
      </c>
    </row>
    <row r="856">
      <c r="A856" s="2">
        <f>IFERROR(__xludf.DUMMYFUNCTION("""COMPUTED_VALUE"""),37771.666666666664)</f>
        <v>37771.66667</v>
      </c>
      <c r="B856" s="1">
        <f>IFERROR(__xludf.DUMMYFUNCTION("""COMPUTED_VALUE"""),45.57)</f>
        <v>45.57</v>
      </c>
      <c r="C856" s="1">
        <f>IFERROR(__xludf.DUMMYFUNCTION("""COMPUTED_VALUE"""),45.98)</f>
        <v>45.98</v>
      </c>
      <c r="D856" s="1">
        <f>IFERROR(__xludf.DUMMYFUNCTION("""COMPUTED_VALUE"""),45.51)</f>
        <v>45.51</v>
      </c>
      <c r="E856" s="1">
        <f>IFERROR(__xludf.DUMMYFUNCTION("""COMPUTED_VALUE"""),45.91)</f>
        <v>45.91</v>
      </c>
      <c r="F856" s="1">
        <f>IFERROR(__xludf.DUMMYFUNCTION("""COMPUTED_VALUE"""),3376000.0)</f>
        <v>3376000</v>
      </c>
    </row>
    <row r="857">
      <c r="A857" s="2">
        <f>IFERROR(__xludf.DUMMYFUNCTION("""COMPUTED_VALUE"""),37774.666666666664)</f>
        <v>37774.66667</v>
      </c>
      <c r="B857" s="1">
        <f>IFERROR(__xludf.DUMMYFUNCTION("""COMPUTED_VALUE"""),45.92)</f>
        <v>45.92</v>
      </c>
      <c r="C857" s="1">
        <f>IFERROR(__xludf.DUMMYFUNCTION("""COMPUTED_VALUE"""),45.98)</f>
        <v>45.98</v>
      </c>
      <c r="D857" s="1">
        <f>IFERROR(__xludf.DUMMYFUNCTION("""COMPUTED_VALUE"""),45.4)</f>
        <v>45.4</v>
      </c>
      <c r="E857" s="1">
        <f>IFERROR(__xludf.DUMMYFUNCTION("""COMPUTED_VALUE"""),45.66)</f>
        <v>45.66</v>
      </c>
      <c r="F857" s="1">
        <f>IFERROR(__xludf.DUMMYFUNCTION("""COMPUTED_VALUE"""),3735100.0)</f>
        <v>3735100</v>
      </c>
    </row>
    <row r="858">
      <c r="A858" s="2">
        <f>IFERROR(__xludf.DUMMYFUNCTION("""COMPUTED_VALUE"""),37775.666666666664)</f>
        <v>37775.66667</v>
      </c>
      <c r="B858" s="1">
        <f>IFERROR(__xludf.DUMMYFUNCTION("""COMPUTED_VALUE"""),45.71)</f>
        <v>45.71</v>
      </c>
      <c r="C858" s="1">
        <f>IFERROR(__xludf.DUMMYFUNCTION("""COMPUTED_VALUE"""),46.1)</f>
        <v>46.1</v>
      </c>
      <c r="D858" s="1">
        <f>IFERROR(__xludf.DUMMYFUNCTION("""COMPUTED_VALUE"""),45.58)</f>
        <v>45.58</v>
      </c>
      <c r="E858" s="1">
        <f>IFERROR(__xludf.DUMMYFUNCTION("""COMPUTED_VALUE"""),46.03)</f>
        <v>46.03</v>
      </c>
      <c r="F858" s="1">
        <f>IFERROR(__xludf.DUMMYFUNCTION("""COMPUTED_VALUE"""),2865800.0)</f>
        <v>2865800</v>
      </c>
    </row>
    <row r="859">
      <c r="A859" s="2">
        <f>IFERROR(__xludf.DUMMYFUNCTION("""COMPUTED_VALUE"""),37776.666666666664)</f>
        <v>37776.66667</v>
      </c>
      <c r="B859" s="1">
        <f>IFERROR(__xludf.DUMMYFUNCTION("""COMPUTED_VALUE"""),46.03)</f>
        <v>46.03</v>
      </c>
      <c r="C859" s="1">
        <f>IFERROR(__xludf.DUMMYFUNCTION("""COMPUTED_VALUE"""),46.27)</f>
        <v>46.27</v>
      </c>
      <c r="D859" s="1">
        <f>IFERROR(__xludf.DUMMYFUNCTION("""COMPUTED_VALUE"""),45.93)</f>
        <v>45.93</v>
      </c>
      <c r="E859" s="1">
        <f>IFERROR(__xludf.DUMMYFUNCTION("""COMPUTED_VALUE"""),46.19)</f>
        <v>46.19</v>
      </c>
      <c r="F859" s="1">
        <f>IFERROR(__xludf.DUMMYFUNCTION("""COMPUTED_VALUE"""),3714700.0)</f>
        <v>3714700</v>
      </c>
    </row>
    <row r="860">
      <c r="A860" s="2">
        <f>IFERROR(__xludf.DUMMYFUNCTION("""COMPUTED_VALUE"""),37777.666666666664)</f>
        <v>37777.66667</v>
      </c>
      <c r="B860" s="1">
        <f>IFERROR(__xludf.DUMMYFUNCTION("""COMPUTED_VALUE"""),45.88)</f>
        <v>45.88</v>
      </c>
      <c r="C860" s="1">
        <f>IFERROR(__xludf.DUMMYFUNCTION("""COMPUTED_VALUE"""),46.18)</f>
        <v>46.18</v>
      </c>
      <c r="D860" s="1">
        <f>IFERROR(__xludf.DUMMYFUNCTION("""COMPUTED_VALUE"""),45.35)</f>
        <v>45.35</v>
      </c>
      <c r="E860" s="1">
        <f>IFERROR(__xludf.DUMMYFUNCTION("""COMPUTED_VALUE"""),45.69)</f>
        <v>45.69</v>
      </c>
      <c r="F860" s="1">
        <f>IFERROR(__xludf.DUMMYFUNCTION("""COMPUTED_VALUE"""),3522600.0)</f>
        <v>3522600</v>
      </c>
    </row>
    <row r="861">
      <c r="A861" s="2">
        <f>IFERROR(__xludf.DUMMYFUNCTION("""COMPUTED_VALUE"""),37778.666666666664)</f>
        <v>37778.66667</v>
      </c>
      <c r="B861" s="1">
        <f>IFERROR(__xludf.DUMMYFUNCTION("""COMPUTED_VALUE"""),45.6)</f>
        <v>45.6</v>
      </c>
      <c r="C861" s="1">
        <f>IFERROR(__xludf.DUMMYFUNCTION("""COMPUTED_VALUE"""),45.71)</f>
        <v>45.71</v>
      </c>
      <c r="D861" s="1">
        <f>IFERROR(__xludf.DUMMYFUNCTION("""COMPUTED_VALUE"""),45.16)</f>
        <v>45.16</v>
      </c>
      <c r="E861" s="1">
        <f>IFERROR(__xludf.DUMMYFUNCTION("""COMPUTED_VALUE"""),45.4)</f>
        <v>45.4</v>
      </c>
      <c r="F861" s="1">
        <f>IFERROR(__xludf.DUMMYFUNCTION("""COMPUTED_VALUE"""),4666800.0)</f>
        <v>4666800</v>
      </c>
    </row>
    <row r="862">
      <c r="A862" s="2">
        <f>IFERROR(__xludf.DUMMYFUNCTION("""COMPUTED_VALUE"""),37781.666666666664)</f>
        <v>37781.66667</v>
      </c>
      <c r="B862" s="1">
        <f>IFERROR(__xludf.DUMMYFUNCTION("""COMPUTED_VALUE"""),45.36)</f>
        <v>45.36</v>
      </c>
      <c r="C862" s="1">
        <f>IFERROR(__xludf.DUMMYFUNCTION("""COMPUTED_VALUE"""),45.58)</f>
        <v>45.58</v>
      </c>
      <c r="D862" s="1">
        <f>IFERROR(__xludf.DUMMYFUNCTION("""COMPUTED_VALUE"""),45.2)</f>
        <v>45.2</v>
      </c>
      <c r="E862" s="1">
        <f>IFERROR(__xludf.DUMMYFUNCTION("""COMPUTED_VALUE"""),45.29)</f>
        <v>45.29</v>
      </c>
      <c r="F862" s="1">
        <f>IFERROR(__xludf.DUMMYFUNCTION("""COMPUTED_VALUE"""),2003600.0)</f>
        <v>2003600</v>
      </c>
    </row>
    <row r="863">
      <c r="A863" s="2">
        <f>IFERROR(__xludf.DUMMYFUNCTION("""COMPUTED_VALUE"""),37782.666666666664)</f>
        <v>37782.66667</v>
      </c>
      <c r="B863" s="1">
        <f>IFERROR(__xludf.DUMMYFUNCTION("""COMPUTED_VALUE"""),45.29)</f>
        <v>45.29</v>
      </c>
      <c r="C863" s="1">
        <f>IFERROR(__xludf.DUMMYFUNCTION("""COMPUTED_VALUE"""),45.43)</f>
        <v>45.43</v>
      </c>
      <c r="D863" s="1">
        <f>IFERROR(__xludf.DUMMYFUNCTION("""COMPUTED_VALUE"""),45.07)</f>
        <v>45.07</v>
      </c>
      <c r="E863" s="1">
        <f>IFERROR(__xludf.DUMMYFUNCTION("""COMPUTED_VALUE"""),45.3)</f>
        <v>45.3</v>
      </c>
      <c r="F863" s="1">
        <f>IFERROR(__xludf.DUMMYFUNCTION("""COMPUTED_VALUE"""),2316900.0)</f>
        <v>2316900</v>
      </c>
    </row>
    <row r="864">
      <c r="A864" s="2">
        <f>IFERROR(__xludf.DUMMYFUNCTION("""COMPUTED_VALUE"""),37783.666666666664)</f>
        <v>37783.66667</v>
      </c>
      <c r="B864" s="1">
        <f>IFERROR(__xludf.DUMMYFUNCTION("""COMPUTED_VALUE"""),45.41)</f>
        <v>45.41</v>
      </c>
      <c r="C864" s="1">
        <f>IFERROR(__xludf.DUMMYFUNCTION("""COMPUTED_VALUE"""),45.41)</f>
        <v>45.41</v>
      </c>
      <c r="D864" s="1">
        <f>IFERROR(__xludf.DUMMYFUNCTION("""COMPUTED_VALUE"""),44.96)</f>
        <v>44.96</v>
      </c>
      <c r="E864" s="1">
        <f>IFERROR(__xludf.DUMMYFUNCTION("""COMPUTED_VALUE"""),45.25)</f>
        <v>45.25</v>
      </c>
      <c r="F864" s="1">
        <f>IFERROR(__xludf.DUMMYFUNCTION("""COMPUTED_VALUE"""),2904600.0)</f>
        <v>2904600</v>
      </c>
    </row>
    <row r="865">
      <c r="A865" s="2">
        <f>IFERROR(__xludf.DUMMYFUNCTION("""COMPUTED_VALUE"""),37784.666666666664)</f>
        <v>37784.66667</v>
      </c>
      <c r="B865" s="1">
        <f>IFERROR(__xludf.DUMMYFUNCTION("""COMPUTED_VALUE"""),45.48)</f>
        <v>45.48</v>
      </c>
      <c r="C865" s="1">
        <f>IFERROR(__xludf.DUMMYFUNCTION("""COMPUTED_VALUE"""),45.5)</f>
        <v>45.5</v>
      </c>
      <c r="D865" s="1">
        <f>IFERROR(__xludf.DUMMYFUNCTION("""COMPUTED_VALUE"""),45.1)</f>
        <v>45.1</v>
      </c>
      <c r="E865" s="1">
        <f>IFERROR(__xludf.DUMMYFUNCTION("""COMPUTED_VALUE"""),45.41)</f>
        <v>45.41</v>
      </c>
      <c r="F865" s="1">
        <f>IFERROR(__xludf.DUMMYFUNCTION("""COMPUTED_VALUE"""),3044000.0)</f>
        <v>3044000</v>
      </c>
    </row>
    <row r="866">
      <c r="A866" s="2">
        <f>IFERROR(__xludf.DUMMYFUNCTION("""COMPUTED_VALUE"""),37785.666666666664)</f>
        <v>37785.66667</v>
      </c>
      <c r="B866" s="1">
        <f>IFERROR(__xludf.DUMMYFUNCTION("""COMPUTED_VALUE"""),45.65)</f>
        <v>45.65</v>
      </c>
      <c r="C866" s="1">
        <f>IFERROR(__xludf.DUMMYFUNCTION("""COMPUTED_VALUE"""),45.7)</f>
        <v>45.7</v>
      </c>
      <c r="D866" s="1">
        <f>IFERROR(__xludf.DUMMYFUNCTION("""COMPUTED_VALUE"""),45.28)</f>
        <v>45.28</v>
      </c>
      <c r="E866" s="1">
        <f>IFERROR(__xludf.DUMMYFUNCTION("""COMPUTED_VALUE"""),45.59)</f>
        <v>45.59</v>
      </c>
      <c r="F866" s="1">
        <f>IFERROR(__xludf.DUMMYFUNCTION("""COMPUTED_VALUE"""),2306600.0)</f>
        <v>2306600</v>
      </c>
    </row>
    <row r="867">
      <c r="A867" s="2">
        <f>IFERROR(__xludf.DUMMYFUNCTION("""COMPUTED_VALUE"""),37788.666666666664)</f>
        <v>37788.66667</v>
      </c>
      <c r="B867" s="1">
        <f>IFERROR(__xludf.DUMMYFUNCTION("""COMPUTED_VALUE"""),45.8)</f>
        <v>45.8</v>
      </c>
      <c r="C867" s="1">
        <f>IFERROR(__xludf.DUMMYFUNCTION("""COMPUTED_VALUE"""),46.25)</f>
        <v>46.25</v>
      </c>
      <c r="D867" s="1">
        <f>IFERROR(__xludf.DUMMYFUNCTION("""COMPUTED_VALUE"""),45.7)</f>
        <v>45.7</v>
      </c>
      <c r="E867" s="1">
        <f>IFERROR(__xludf.DUMMYFUNCTION("""COMPUTED_VALUE"""),46.2)</f>
        <v>46.2</v>
      </c>
      <c r="F867" s="1">
        <f>IFERROR(__xludf.DUMMYFUNCTION("""COMPUTED_VALUE"""),3532800.0)</f>
        <v>3532800</v>
      </c>
    </row>
    <row r="868">
      <c r="A868" s="2">
        <f>IFERROR(__xludf.DUMMYFUNCTION("""COMPUTED_VALUE"""),37789.666666666664)</f>
        <v>37789.66667</v>
      </c>
      <c r="B868" s="1">
        <f>IFERROR(__xludf.DUMMYFUNCTION("""COMPUTED_VALUE"""),46.14)</f>
        <v>46.14</v>
      </c>
      <c r="C868" s="1">
        <f>IFERROR(__xludf.DUMMYFUNCTION("""COMPUTED_VALUE"""),46.25)</f>
        <v>46.25</v>
      </c>
      <c r="D868" s="1">
        <f>IFERROR(__xludf.DUMMYFUNCTION("""COMPUTED_VALUE"""),45.83)</f>
        <v>45.83</v>
      </c>
      <c r="E868" s="1">
        <f>IFERROR(__xludf.DUMMYFUNCTION("""COMPUTED_VALUE"""),45.95)</f>
        <v>45.95</v>
      </c>
      <c r="F868" s="1">
        <f>IFERROR(__xludf.DUMMYFUNCTION("""COMPUTED_VALUE"""),2712000.0)</f>
        <v>2712000</v>
      </c>
    </row>
    <row r="869">
      <c r="A869" s="2">
        <f>IFERROR(__xludf.DUMMYFUNCTION("""COMPUTED_VALUE"""),37790.666666666664)</f>
        <v>37790.66667</v>
      </c>
      <c r="B869" s="1">
        <f>IFERROR(__xludf.DUMMYFUNCTION("""COMPUTED_VALUE"""),45.95)</f>
        <v>45.95</v>
      </c>
      <c r="C869" s="1">
        <f>IFERROR(__xludf.DUMMYFUNCTION("""COMPUTED_VALUE"""),45.95)</f>
        <v>45.95</v>
      </c>
      <c r="D869" s="1">
        <f>IFERROR(__xludf.DUMMYFUNCTION("""COMPUTED_VALUE"""),45.5)</f>
        <v>45.5</v>
      </c>
      <c r="E869" s="1">
        <f>IFERROR(__xludf.DUMMYFUNCTION("""COMPUTED_VALUE"""),45.77)</f>
        <v>45.77</v>
      </c>
      <c r="F869" s="1">
        <f>IFERROR(__xludf.DUMMYFUNCTION("""COMPUTED_VALUE"""),3292100.0)</f>
        <v>3292100</v>
      </c>
    </row>
    <row r="870">
      <c r="A870" s="2">
        <f>IFERROR(__xludf.DUMMYFUNCTION("""COMPUTED_VALUE"""),37791.666666666664)</f>
        <v>37791.66667</v>
      </c>
      <c r="B870" s="1">
        <f>IFERROR(__xludf.DUMMYFUNCTION("""COMPUTED_VALUE"""),45.75)</f>
        <v>45.75</v>
      </c>
      <c r="C870" s="1">
        <f>IFERROR(__xludf.DUMMYFUNCTION("""COMPUTED_VALUE"""),45.84)</f>
        <v>45.84</v>
      </c>
      <c r="D870" s="1">
        <f>IFERROR(__xludf.DUMMYFUNCTION("""COMPUTED_VALUE"""),45.03)</f>
        <v>45.03</v>
      </c>
      <c r="E870" s="1">
        <f>IFERROR(__xludf.DUMMYFUNCTION("""COMPUTED_VALUE"""),45.21)</f>
        <v>45.21</v>
      </c>
      <c r="F870" s="1">
        <f>IFERROR(__xludf.DUMMYFUNCTION("""COMPUTED_VALUE"""),3284800.0)</f>
        <v>3284800</v>
      </c>
    </row>
    <row r="871">
      <c r="A871" s="2">
        <f>IFERROR(__xludf.DUMMYFUNCTION("""COMPUTED_VALUE"""),37792.666666666664)</f>
        <v>37792.66667</v>
      </c>
      <c r="B871" s="1">
        <f>IFERROR(__xludf.DUMMYFUNCTION("""COMPUTED_VALUE"""),45.43)</f>
        <v>45.43</v>
      </c>
      <c r="C871" s="1">
        <f>IFERROR(__xludf.DUMMYFUNCTION("""COMPUTED_VALUE"""),45.87)</f>
        <v>45.87</v>
      </c>
      <c r="D871" s="1">
        <f>IFERROR(__xludf.DUMMYFUNCTION("""COMPUTED_VALUE"""),45.21)</f>
        <v>45.21</v>
      </c>
      <c r="E871" s="1">
        <f>IFERROR(__xludf.DUMMYFUNCTION("""COMPUTED_VALUE"""),45.62)</f>
        <v>45.62</v>
      </c>
      <c r="F871" s="1">
        <f>IFERROR(__xludf.DUMMYFUNCTION("""COMPUTED_VALUE"""),4806000.0)</f>
        <v>4806000</v>
      </c>
    </row>
    <row r="872">
      <c r="A872" s="2">
        <f>IFERROR(__xludf.DUMMYFUNCTION("""COMPUTED_VALUE"""),37795.666666666664)</f>
        <v>37795.66667</v>
      </c>
      <c r="B872" s="1">
        <f>IFERROR(__xludf.DUMMYFUNCTION("""COMPUTED_VALUE"""),45.75)</f>
        <v>45.75</v>
      </c>
      <c r="C872" s="1">
        <f>IFERROR(__xludf.DUMMYFUNCTION("""COMPUTED_VALUE"""),45.83)</f>
        <v>45.83</v>
      </c>
      <c r="D872" s="1">
        <f>IFERROR(__xludf.DUMMYFUNCTION("""COMPUTED_VALUE"""),45.18)</f>
        <v>45.18</v>
      </c>
      <c r="E872" s="1">
        <f>IFERROR(__xludf.DUMMYFUNCTION("""COMPUTED_VALUE"""),45.75)</f>
        <v>45.75</v>
      </c>
      <c r="F872" s="1">
        <f>IFERROR(__xludf.DUMMYFUNCTION("""COMPUTED_VALUE"""),3366800.0)</f>
        <v>3366800</v>
      </c>
    </row>
    <row r="873">
      <c r="A873" s="2">
        <f>IFERROR(__xludf.DUMMYFUNCTION("""COMPUTED_VALUE"""),37796.666666666664)</f>
        <v>37796.66667</v>
      </c>
      <c r="B873" s="1">
        <f>IFERROR(__xludf.DUMMYFUNCTION("""COMPUTED_VALUE"""),45.5)</f>
        <v>45.5</v>
      </c>
      <c r="C873" s="1">
        <f>IFERROR(__xludf.DUMMYFUNCTION("""COMPUTED_VALUE"""),46.24)</f>
        <v>46.24</v>
      </c>
      <c r="D873" s="1">
        <f>IFERROR(__xludf.DUMMYFUNCTION("""COMPUTED_VALUE"""),45.5)</f>
        <v>45.5</v>
      </c>
      <c r="E873" s="1">
        <f>IFERROR(__xludf.DUMMYFUNCTION("""COMPUTED_VALUE"""),46.19)</f>
        <v>46.19</v>
      </c>
      <c r="F873" s="1">
        <f>IFERROR(__xludf.DUMMYFUNCTION("""COMPUTED_VALUE"""),3755300.0)</f>
        <v>3755300</v>
      </c>
    </row>
    <row r="874">
      <c r="A874" s="2">
        <f>IFERROR(__xludf.DUMMYFUNCTION("""COMPUTED_VALUE"""),37797.666666666664)</f>
        <v>37797.66667</v>
      </c>
      <c r="B874" s="1">
        <f>IFERROR(__xludf.DUMMYFUNCTION("""COMPUTED_VALUE"""),45.99)</f>
        <v>45.99</v>
      </c>
      <c r="C874" s="1">
        <f>IFERROR(__xludf.DUMMYFUNCTION("""COMPUTED_VALUE"""),46.19)</f>
        <v>46.19</v>
      </c>
      <c r="D874" s="1">
        <f>IFERROR(__xludf.DUMMYFUNCTION("""COMPUTED_VALUE"""),45.32)</f>
        <v>45.32</v>
      </c>
      <c r="E874" s="1">
        <f>IFERROR(__xludf.DUMMYFUNCTION("""COMPUTED_VALUE"""),45.35)</f>
        <v>45.35</v>
      </c>
      <c r="F874" s="1">
        <f>IFERROR(__xludf.DUMMYFUNCTION("""COMPUTED_VALUE"""),3481500.0)</f>
        <v>3481500</v>
      </c>
    </row>
    <row r="875">
      <c r="A875" s="2">
        <f>IFERROR(__xludf.DUMMYFUNCTION("""COMPUTED_VALUE"""),37798.666666666664)</f>
        <v>37798.66667</v>
      </c>
      <c r="B875" s="1">
        <f>IFERROR(__xludf.DUMMYFUNCTION("""COMPUTED_VALUE"""),45.35)</f>
        <v>45.35</v>
      </c>
      <c r="C875" s="1">
        <f>IFERROR(__xludf.DUMMYFUNCTION("""COMPUTED_VALUE"""),45.35)</f>
        <v>45.35</v>
      </c>
      <c r="D875" s="1">
        <f>IFERROR(__xludf.DUMMYFUNCTION("""COMPUTED_VALUE"""),44.9)</f>
        <v>44.9</v>
      </c>
      <c r="E875" s="1">
        <f>IFERROR(__xludf.DUMMYFUNCTION("""COMPUTED_VALUE"""),45.14)</f>
        <v>45.14</v>
      </c>
      <c r="F875" s="1">
        <f>IFERROR(__xludf.DUMMYFUNCTION("""COMPUTED_VALUE"""),3855400.0)</f>
        <v>3855400</v>
      </c>
    </row>
    <row r="876">
      <c r="A876" s="2">
        <f>IFERROR(__xludf.DUMMYFUNCTION("""COMPUTED_VALUE"""),37799.666666666664)</f>
        <v>37799.66667</v>
      </c>
      <c r="B876" s="1">
        <f>IFERROR(__xludf.DUMMYFUNCTION("""COMPUTED_VALUE"""),45.14)</f>
        <v>45.14</v>
      </c>
      <c r="C876" s="1">
        <f>IFERROR(__xludf.DUMMYFUNCTION("""COMPUTED_VALUE"""),45.14)</f>
        <v>45.14</v>
      </c>
      <c r="D876" s="1">
        <f>IFERROR(__xludf.DUMMYFUNCTION("""COMPUTED_VALUE"""),44.59)</f>
        <v>44.59</v>
      </c>
      <c r="E876" s="1">
        <f>IFERROR(__xludf.DUMMYFUNCTION("""COMPUTED_VALUE"""),44.59)</f>
        <v>44.59</v>
      </c>
      <c r="F876" s="1">
        <f>IFERROR(__xludf.DUMMYFUNCTION("""COMPUTED_VALUE"""),2991400.0)</f>
        <v>2991400</v>
      </c>
    </row>
    <row r="877">
      <c r="A877" s="2">
        <f>IFERROR(__xludf.DUMMYFUNCTION("""COMPUTED_VALUE"""),37802.666666666664)</f>
        <v>37802.66667</v>
      </c>
      <c r="B877" s="1">
        <f>IFERROR(__xludf.DUMMYFUNCTION("""COMPUTED_VALUE"""),44.71)</f>
        <v>44.71</v>
      </c>
      <c r="C877" s="1">
        <f>IFERROR(__xludf.DUMMYFUNCTION("""COMPUTED_VALUE"""),45.0)</f>
        <v>45</v>
      </c>
      <c r="D877" s="1">
        <f>IFERROR(__xludf.DUMMYFUNCTION("""COMPUTED_VALUE"""),44.55)</f>
        <v>44.55</v>
      </c>
      <c r="E877" s="1">
        <f>IFERROR(__xludf.DUMMYFUNCTION("""COMPUTED_VALUE"""),44.59)</f>
        <v>44.59</v>
      </c>
      <c r="F877" s="1">
        <f>IFERROR(__xludf.DUMMYFUNCTION("""COMPUTED_VALUE"""),3312800.0)</f>
        <v>3312800</v>
      </c>
    </row>
    <row r="878">
      <c r="A878" s="2">
        <f>IFERROR(__xludf.DUMMYFUNCTION("""COMPUTED_VALUE"""),37803.666666666664)</f>
        <v>37803.66667</v>
      </c>
      <c r="B878" s="1">
        <f>IFERROR(__xludf.DUMMYFUNCTION("""COMPUTED_VALUE"""),44.52)</f>
        <v>44.52</v>
      </c>
      <c r="C878" s="1">
        <f>IFERROR(__xludf.DUMMYFUNCTION("""COMPUTED_VALUE"""),45.29)</f>
        <v>45.29</v>
      </c>
      <c r="D878" s="1">
        <f>IFERROR(__xludf.DUMMYFUNCTION("""COMPUTED_VALUE"""),44.37)</f>
        <v>44.37</v>
      </c>
      <c r="E878" s="1">
        <f>IFERROR(__xludf.DUMMYFUNCTION("""COMPUTED_VALUE"""),44.98)</f>
        <v>44.98</v>
      </c>
      <c r="F878" s="1">
        <f>IFERROR(__xludf.DUMMYFUNCTION("""COMPUTED_VALUE"""),3144600.0)</f>
        <v>3144600</v>
      </c>
    </row>
    <row r="879">
      <c r="A879" s="2">
        <f>IFERROR(__xludf.DUMMYFUNCTION("""COMPUTED_VALUE"""),37804.666666666664)</f>
        <v>37804.66667</v>
      </c>
      <c r="B879" s="1">
        <f>IFERROR(__xludf.DUMMYFUNCTION("""COMPUTED_VALUE"""),44.99)</f>
        <v>44.99</v>
      </c>
      <c r="C879" s="1">
        <f>IFERROR(__xludf.DUMMYFUNCTION("""COMPUTED_VALUE"""),45.2)</f>
        <v>45.2</v>
      </c>
      <c r="D879" s="1">
        <f>IFERROR(__xludf.DUMMYFUNCTION("""COMPUTED_VALUE"""),44.97)</f>
        <v>44.97</v>
      </c>
      <c r="E879" s="1">
        <f>IFERROR(__xludf.DUMMYFUNCTION("""COMPUTED_VALUE"""),45.06)</f>
        <v>45.06</v>
      </c>
      <c r="F879" s="1">
        <f>IFERROR(__xludf.DUMMYFUNCTION("""COMPUTED_VALUE"""),3301400.0)</f>
        <v>3301400</v>
      </c>
    </row>
    <row r="880">
      <c r="A880" s="2">
        <f>IFERROR(__xludf.DUMMYFUNCTION("""COMPUTED_VALUE"""),37805.666666666664)</f>
        <v>37805.66667</v>
      </c>
      <c r="B880" s="1">
        <f>IFERROR(__xludf.DUMMYFUNCTION("""COMPUTED_VALUE"""),45.0)</f>
        <v>45</v>
      </c>
      <c r="C880" s="1">
        <f>IFERROR(__xludf.DUMMYFUNCTION("""COMPUTED_VALUE"""),45.38)</f>
        <v>45.38</v>
      </c>
      <c r="D880" s="1">
        <f>IFERROR(__xludf.DUMMYFUNCTION("""COMPUTED_VALUE"""),44.86)</f>
        <v>44.86</v>
      </c>
      <c r="E880" s="1">
        <f>IFERROR(__xludf.DUMMYFUNCTION("""COMPUTED_VALUE"""),44.98)</f>
        <v>44.98</v>
      </c>
      <c r="F880" s="1">
        <f>IFERROR(__xludf.DUMMYFUNCTION("""COMPUTED_VALUE"""),1625800.0)</f>
        <v>1625800</v>
      </c>
    </row>
    <row r="881">
      <c r="A881" s="2">
        <f>IFERROR(__xludf.DUMMYFUNCTION("""COMPUTED_VALUE"""),37809.666666666664)</f>
        <v>37809.66667</v>
      </c>
      <c r="B881" s="1">
        <f>IFERROR(__xludf.DUMMYFUNCTION("""COMPUTED_VALUE"""),45.05)</f>
        <v>45.05</v>
      </c>
      <c r="C881" s="1">
        <f>IFERROR(__xludf.DUMMYFUNCTION("""COMPUTED_VALUE"""),45.55)</f>
        <v>45.55</v>
      </c>
      <c r="D881" s="1">
        <f>IFERROR(__xludf.DUMMYFUNCTION("""COMPUTED_VALUE"""),45.05)</f>
        <v>45.05</v>
      </c>
      <c r="E881" s="1">
        <f>IFERROR(__xludf.DUMMYFUNCTION("""COMPUTED_VALUE"""),45.4)</f>
        <v>45.4</v>
      </c>
      <c r="F881" s="1">
        <f>IFERROR(__xludf.DUMMYFUNCTION("""COMPUTED_VALUE"""),2980000.0)</f>
        <v>2980000</v>
      </c>
    </row>
    <row r="882">
      <c r="A882" s="2">
        <f>IFERROR(__xludf.DUMMYFUNCTION("""COMPUTED_VALUE"""),37810.666666666664)</f>
        <v>37810.66667</v>
      </c>
      <c r="B882" s="1">
        <f>IFERROR(__xludf.DUMMYFUNCTION("""COMPUTED_VALUE"""),45.23)</f>
        <v>45.23</v>
      </c>
      <c r="C882" s="1">
        <f>IFERROR(__xludf.DUMMYFUNCTION("""COMPUTED_VALUE"""),45.34)</f>
        <v>45.34</v>
      </c>
      <c r="D882" s="1">
        <f>IFERROR(__xludf.DUMMYFUNCTION("""COMPUTED_VALUE"""),45.01)</f>
        <v>45.01</v>
      </c>
      <c r="E882" s="1">
        <f>IFERROR(__xludf.DUMMYFUNCTION("""COMPUTED_VALUE"""),45.05)</f>
        <v>45.05</v>
      </c>
      <c r="F882" s="1">
        <f>IFERROR(__xludf.DUMMYFUNCTION("""COMPUTED_VALUE"""),2532500.0)</f>
        <v>2532500</v>
      </c>
    </row>
    <row r="883">
      <c r="A883" s="2">
        <f>IFERROR(__xludf.DUMMYFUNCTION("""COMPUTED_VALUE"""),37811.666666666664)</f>
        <v>37811.66667</v>
      </c>
      <c r="B883" s="1">
        <f>IFERROR(__xludf.DUMMYFUNCTION("""COMPUTED_VALUE"""),44.98)</f>
        <v>44.98</v>
      </c>
      <c r="C883" s="1">
        <f>IFERROR(__xludf.DUMMYFUNCTION("""COMPUTED_VALUE"""),45.17)</f>
        <v>45.17</v>
      </c>
      <c r="D883" s="1">
        <f>IFERROR(__xludf.DUMMYFUNCTION("""COMPUTED_VALUE"""),44.25)</f>
        <v>44.25</v>
      </c>
      <c r="E883" s="1">
        <f>IFERROR(__xludf.DUMMYFUNCTION("""COMPUTED_VALUE"""),44.25)</f>
        <v>44.25</v>
      </c>
      <c r="F883" s="1">
        <f>IFERROR(__xludf.DUMMYFUNCTION("""COMPUTED_VALUE"""),4970800.0)</f>
        <v>4970800</v>
      </c>
    </row>
    <row r="884">
      <c r="A884" s="2">
        <f>IFERROR(__xludf.DUMMYFUNCTION("""COMPUTED_VALUE"""),37812.666666666664)</f>
        <v>37812.66667</v>
      </c>
      <c r="B884" s="1">
        <f>IFERROR(__xludf.DUMMYFUNCTION("""COMPUTED_VALUE"""),44.25)</f>
        <v>44.25</v>
      </c>
      <c r="C884" s="1">
        <f>IFERROR(__xludf.DUMMYFUNCTION("""COMPUTED_VALUE"""),44.4)</f>
        <v>44.4</v>
      </c>
      <c r="D884" s="1">
        <f>IFERROR(__xludf.DUMMYFUNCTION("""COMPUTED_VALUE"""),43.95)</f>
        <v>43.95</v>
      </c>
      <c r="E884" s="1">
        <f>IFERROR(__xludf.DUMMYFUNCTION("""COMPUTED_VALUE"""),44.18)</f>
        <v>44.18</v>
      </c>
      <c r="F884" s="1">
        <f>IFERROR(__xludf.DUMMYFUNCTION("""COMPUTED_VALUE"""),4591000.0)</f>
        <v>4591000</v>
      </c>
    </row>
    <row r="885">
      <c r="A885" s="2">
        <f>IFERROR(__xludf.DUMMYFUNCTION("""COMPUTED_VALUE"""),37813.666666666664)</f>
        <v>37813.66667</v>
      </c>
      <c r="B885" s="1">
        <f>IFERROR(__xludf.DUMMYFUNCTION("""COMPUTED_VALUE"""),44.17)</f>
        <v>44.17</v>
      </c>
      <c r="C885" s="1">
        <f>IFERROR(__xludf.DUMMYFUNCTION("""COMPUTED_VALUE"""),44.44)</f>
        <v>44.44</v>
      </c>
      <c r="D885" s="1">
        <f>IFERROR(__xludf.DUMMYFUNCTION("""COMPUTED_VALUE"""),44.02)</f>
        <v>44.02</v>
      </c>
      <c r="E885" s="1">
        <f>IFERROR(__xludf.DUMMYFUNCTION("""COMPUTED_VALUE"""),44.28)</f>
        <v>44.28</v>
      </c>
      <c r="F885" s="1">
        <f>IFERROR(__xludf.DUMMYFUNCTION("""COMPUTED_VALUE"""),2847300.0)</f>
        <v>2847300</v>
      </c>
    </row>
    <row r="886">
      <c r="A886" s="2">
        <f>IFERROR(__xludf.DUMMYFUNCTION("""COMPUTED_VALUE"""),37816.666666666664)</f>
        <v>37816.66667</v>
      </c>
      <c r="B886" s="1">
        <f>IFERROR(__xludf.DUMMYFUNCTION("""COMPUTED_VALUE"""),44.3)</f>
        <v>44.3</v>
      </c>
      <c r="C886" s="1">
        <f>IFERROR(__xludf.DUMMYFUNCTION("""COMPUTED_VALUE"""),44.36)</f>
        <v>44.36</v>
      </c>
      <c r="D886" s="1">
        <f>IFERROR(__xludf.DUMMYFUNCTION("""COMPUTED_VALUE"""),44.12)</f>
        <v>44.12</v>
      </c>
      <c r="E886" s="1">
        <f>IFERROR(__xludf.DUMMYFUNCTION("""COMPUTED_VALUE"""),44.17)</f>
        <v>44.17</v>
      </c>
      <c r="F886" s="1">
        <f>IFERROR(__xludf.DUMMYFUNCTION("""COMPUTED_VALUE"""),3761400.0)</f>
        <v>3761400</v>
      </c>
    </row>
    <row r="887">
      <c r="A887" s="2">
        <f>IFERROR(__xludf.DUMMYFUNCTION("""COMPUTED_VALUE"""),37817.666666666664)</f>
        <v>37817.66667</v>
      </c>
      <c r="B887" s="1">
        <f>IFERROR(__xludf.DUMMYFUNCTION("""COMPUTED_VALUE"""),44.1)</f>
        <v>44.1</v>
      </c>
      <c r="C887" s="1">
        <f>IFERROR(__xludf.DUMMYFUNCTION("""COMPUTED_VALUE"""),44.38)</f>
        <v>44.38</v>
      </c>
      <c r="D887" s="1">
        <f>IFERROR(__xludf.DUMMYFUNCTION("""COMPUTED_VALUE"""),43.92)</f>
        <v>43.92</v>
      </c>
      <c r="E887" s="1">
        <f>IFERROR(__xludf.DUMMYFUNCTION("""COMPUTED_VALUE"""),44.38)</f>
        <v>44.38</v>
      </c>
      <c r="F887" s="1">
        <f>IFERROR(__xludf.DUMMYFUNCTION("""COMPUTED_VALUE"""),4909700.0)</f>
        <v>4909700</v>
      </c>
    </row>
    <row r="888">
      <c r="A888" s="2">
        <f>IFERROR(__xludf.DUMMYFUNCTION("""COMPUTED_VALUE"""),37818.666666666664)</f>
        <v>37818.66667</v>
      </c>
      <c r="B888" s="1">
        <f>IFERROR(__xludf.DUMMYFUNCTION("""COMPUTED_VALUE"""),44.0)</f>
        <v>44</v>
      </c>
      <c r="C888" s="1">
        <f>IFERROR(__xludf.DUMMYFUNCTION("""COMPUTED_VALUE"""),44.3)</f>
        <v>44.3</v>
      </c>
      <c r="D888" s="1">
        <f>IFERROR(__xludf.DUMMYFUNCTION("""COMPUTED_VALUE"""),43.97)</f>
        <v>43.97</v>
      </c>
      <c r="E888" s="1">
        <f>IFERROR(__xludf.DUMMYFUNCTION("""COMPUTED_VALUE"""),44.29)</f>
        <v>44.29</v>
      </c>
      <c r="F888" s="1">
        <f>IFERROR(__xludf.DUMMYFUNCTION("""COMPUTED_VALUE"""),3573600.0)</f>
        <v>3573600</v>
      </c>
    </row>
    <row r="889">
      <c r="A889" s="2">
        <f>IFERROR(__xludf.DUMMYFUNCTION("""COMPUTED_VALUE"""),37819.666666666664)</f>
        <v>37819.66667</v>
      </c>
      <c r="B889" s="1">
        <f>IFERROR(__xludf.DUMMYFUNCTION("""COMPUTED_VALUE"""),44.25)</f>
        <v>44.25</v>
      </c>
      <c r="C889" s="1">
        <f>IFERROR(__xludf.DUMMYFUNCTION("""COMPUTED_VALUE"""),44.33)</f>
        <v>44.33</v>
      </c>
      <c r="D889" s="1">
        <f>IFERROR(__xludf.DUMMYFUNCTION("""COMPUTED_VALUE"""),43.92)</f>
        <v>43.92</v>
      </c>
      <c r="E889" s="1">
        <f>IFERROR(__xludf.DUMMYFUNCTION("""COMPUTED_VALUE"""),44.07)</f>
        <v>44.07</v>
      </c>
      <c r="F889" s="1">
        <f>IFERROR(__xludf.DUMMYFUNCTION("""COMPUTED_VALUE"""),3058700.0)</f>
        <v>3058700</v>
      </c>
    </row>
    <row r="890">
      <c r="A890" s="2">
        <f>IFERROR(__xludf.DUMMYFUNCTION("""COMPUTED_VALUE"""),37820.666666666664)</f>
        <v>37820.66667</v>
      </c>
      <c r="B890" s="1">
        <f>IFERROR(__xludf.DUMMYFUNCTION("""COMPUTED_VALUE"""),44.47)</f>
        <v>44.47</v>
      </c>
      <c r="C890" s="1">
        <f>IFERROR(__xludf.DUMMYFUNCTION("""COMPUTED_VALUE"""),44.9)</f>
        <v>44.9</v>
      </c>
      <c r="D890" s="1">
        <f>IFERROR(__xludf.DUMMYFUNCTION("""COMPUTED_VALUE"""),44.3)</f>
        <v>44.3</v>
      </c>
      <c r="E890" s="1">
        <f>IFERROR(__xludf.DUMMYFUNCTION("""COMPUTED_VALUE"""),44.9)</f>
        <v>44.9</v>
      </c>
      <c r="F890" s="1">
        <f>IFERROR(__xludf.DUMMYFUNCTION("""COMPUTED_VALUE"""),3843300.0)</f>
        <v>3843300</v>
      </c>
    </row>
    <row r="891">
      <c r="A891" s="2">
        <f>IFERROR(__xludf.DUMMYFUNCTION("""COMPUTED_VALUE"""),37823.666666666664)</f>
        <v>37823.66667</v>
      </c>
      <c r="B891" s="1">
        <f>IFERROR(__xludf.DUMMYFUNCTION("""COMPUTED_VALUE"""),44.78)</f>
        <v>44.78</v>
      </c>
      <c r="C891" s="1">
        <f>IFERROR(__xludf.DUMMYFUNCTION("""COMPUTED_VALUE"""),44.94)</f>
        <v>44.94</v>
      </c>
      <c r="D891" s="1">
        <f>IFERROR(__xludf.DUMMYFUNCTION("""COMPUTED_VALUE"""),44.52)</f>
        <v>44.52</v>
      </c>
      <c r="E891" s="1">
        <f>IFERROR(__xludf.DUMMYFUNCTION("""COMPUTED_VALUE"""),44.58)</f>
        <v>44.58</v>
      </c>
      <c r="F891" s="1">
        <f>IFERROR(__xludf.DUMMYFUNCTION("""COMPUTED_VALUE"""),3215700.0)</f>
        <v>3215700</v>
      </c>
    </row>
    <row r="892">
      <c r="A892" s="2">
        <f>IFERROR(__xludf.DUMMYFUNCTION("""COMPUTED_VALUE"""),37824.666666666664)</f>
        <v>37824.66667</v>
      </c>
      <c r="B892" s="1">
        <f>IFERROR(__xludf.DUMMYFUNCTION("""COMPUTED_VALUE"""),44.53)</f>
        <v>44.53</v>
      </c>
      <c r="C892" s="1">
        <f>IFERROR(__xludf.DUMMYFUNCTION("""COMPUTED_VALUE"""),44.95)</f>
        <v>44.95</v>
      </c>
      <c r="D892" s="1">
        <f>IFERROR(__xludf.DUMMYFUNCTION("""COMPUTED_VALUE"""),44.14)</f>
        <v>44.14</v>
      </c>
      <c r="E892" s="1">
        <f>IFERROR(__xludf.DUMMYFUNCTION("""COMPUTED_VALUE"""),44.75)</f>
        <v>44.75</v>
      </c>
      <c r="F892" s="1">
        <f>IFERROR(__xludf.DUMMYFUNCTION("""COMPUTED_VALUE"""),3229600.0)</f>
        <v>3229600</v>
      </c>
    </row>
    <row r="893">
      <c r="A893" s="2">
        <f>IFERROR(__xludf.DUMMYFUNCTION("""COMPUTED_VALUE"""),37825.666666666664)</f>
        <v>37825.66667</v>
      </c>
      <c r="B893" s="1">
        <f>IFERROR(__xludf.DUMMYFUNCTION("""COMPUTED_VALUE"""),44.97)</f>
        <v>44.97</v>
      </c>
      <c r="C893" s="1">
        <f>IFERROR(__xludf.DUMMYFUNCTION("""COMPUTED_VALUE"""),44.97)</f>
        <v>44.97</v>
      </c>
      <c r="D893" s="1">
        <f>IFERROR(__xludf.DUMMYFUNCTION("""COMPUTED_VALUE"""),44.25)</f>
        <v>44.25</v>
      </c>
      <c r="E893" s="1">
        <f>IFERROR(__xludf.DUMMYFUNCTION("""COMPUTED_VALUE"""),44.45)</f>
        <v>44.45</v>
      </c>
      <c r="F893" s="1">
        <f>IFERROR(__xludf.DUMMYFUNCTION("""COMPUTED_VALUE"""),2929800.0)</f>
        <v>2929800</v>
      </c>
    </row>
    <row r="894">
      <c r="A894" s="2">
        <f>IFERROR(__xludf.DUMMYFUNCTION("""COMPUTED_VALUE"""),37826.666666666664)</f>
        <v>37826.66667</v>
      </c>
      <c r="B894" s="1">
        <f>IFERROR(__xludf.DUMMYFUNCTION("""COMPUTED_VALUE"""),44.59)</f>
        <v>44.59</v>
      </c>
      <c r="C894" s="1">
        <f>IFERROR(__xludf.DUMMYFUNCTION("""COMPUTED_VALUE"""),44.93)</f>
        <v>44.93</v>
      </c>
      <c r="D894" s="1">
        <f>IFERROR(__xludf.DUMMYFUNCTION("""COMPUTED_VALUE"""),44.1)</f>
        <v>44.1</v>
      </c>
      <c r="E894" s="1">
        <f>IFERROR(__xludf.DUMMYFUNCTION("""COMPUTED_VALUE"""),44.12)</f>
        <v>44.12</v>
      </c>
      <c r="F894" s="1">
        <f>IFERROR(__xludf.DUMMYFUNCTION("""COMPUTED_VALUE"""),3996000.0)</f>
        <v>3996000</v>
      </c>
    </row>
    <row r="895">
      <c r="A895" s="2">
        <f>IFERROR(__xludf.DUMMYFUNCTION("""COMPUTED_VALUE"""),37827.666666666664)</f>
        <v>37827.66667</v>
      </c>
      <c r="B895" s="1">
        <f>IFERROR(__xludf.DUMMYFUNCTION("""COMPUTED_VALUE"""),43.98)</f>
        <v>43.98</v>
      </c>
      <c r="C895" s="1">
        <f>IFERROR(__xludf.DUMMYFUNCTION("""COMPUTED_VALUE"""),44.8)</f>
        <v>44.8</v>
      </c>
      <c r="D895" s="1">
        <f>IFERROR(__xludf.DUMMYFUNCTION("""COMPUTED_VALUE"""),43.41)</f>
        <v>43.41</v>
      </c>
      <c r="E895" s="1">
        <f>IFERROR(__xludf.DUMMYFUNCTION("""COMPUTED_VALUE"""),44.78)</f>
        <v>44.78</v>
      </c>
      <c r="F895" s="1">
        <f>IFERROR(__xludf.DUMMYFUNCTION("""COMPUTED_VALUE"""),3425800.0)</f>
        <v>3425800</v>
      </c>
    </row>
    <row r="896">
      <c r="A896" s="2">
        <f>IFERROR(__xludf.DUMMYFUNCTION("""COMPUTED_VALUE"""),37830.666666666664)</f>
        <v>37830.66667</v>
      </c>
      <c r="B896" s="1">
        <f>IFERROR(__xludf.DUMMYFUNCTION("""COMPUTED_VALUE"""),44.57)</f>
        <v>44.57</v>
      </c>
      <c r="C896" s="1">
        <f>IFERROR(__xludf.DUMMYFUNCTION("""COMPUTED_VALUE"""),44.57)</f>
        <v>44.57</v>
      </c>
      <c r="D896" s="1">
        <f>IFERROR(__xludf.DUMMYFUNCTION("""COMPUTED_VALUE"""),43.95)</f>
        <v>43.95</v>
      </c>
      <c r="E896" s="1">
        <f>IFERROR(__xludf.DUMMYFUNCTION("""COMPUTED_VALUE"""),44.16)</f>
        <v>44.16</v>
      </c>
      <c r="F896" s="1">
        <f>IFERROR(__xludf.DUMMYFUNCTION("""COMPUTED_VALUE"""),3264800.0)</f>
        <v>3264800</v>
      </c>
    </row>
    <row r="897">
      <c r="A897" s="2">
        <f>IFERROR(__xludf.DUMMYFUNCTION("""COMPUTED_VALUE"""),37831.666666666664)</f>
        <v>37831.66667</v>
      </c>
      <c r="B897" s="1">
        <f>IFERROR(__xludf.DUMMYFUNCTION("""COMPUTED_VALUE"""),44.03)</f>
        <v>44.03</v>
      </c>
      <c r="C897" s="1">
        <f>IFERROR(__xludf.DUMMYFUNCTION("""COMPUTED_VALUE"""),44.28)</f>
        <v>44.28</v>
      </c>
      <c r="D897" s="1">
        <f>IFERROR(__xludf.DUMMYFUNCTION("""COMPUTED_VALUE"""),43.55)</f>
        <v>43.55</v>
      </c>
      <c r="E897" s="1">
        <f>IFERROR(__xludf.DUMMYFUNCTION("""COMPUTED_VALUE"""),43.55)</f>
        <v>43.55</v>
      </c>
      <c r="F897" s="1">
        <f>IFERROR(__xludf.DUMMYFUNCTION("""COMPUTED_VALUE"""),4607600.0)</f>
        <v>4607600</v>
      </c>
    </row>
    <row r="898">
      <c r="A898" s="2">
        <f>IFERROR(__xludf.DUMMYFUNCTION("""COMPUTED_VALUE"""),37832.666666666664)</f>
        <v>37832.66667</v>
      </c>
      <c r="B898" s="1">
        <f>IFERROR(__xludf.DUMMYFUNCTION("""COMPUTED_VALUE"""),43.95)</f>
        <v>43.95</v>
      </c>
      <c r="C898" s="1">
        <f>IFERROR(__xludf.DUMMYFUNCTION("""COMPUTED_VALUE"""),44.05)</f>
        <v>44.05</v>
      </c>
      <c r="D898" s="1">
        <f>IFERROR(__xludf.DUMMYFUNCTION("""COMPUTED_VALUE"""),43.61)</f>
        <v>43.61</v>
      </c>
      <c r="E898" s="1">
        <f>IFERROR(__xludf.DUMMYFUNCTION("""COMPUTED_VALUE"""),43.88)</f>
        <v>43.88</v>
      </c>
      <c r="F898" s="1">
        <f>IFERROR(__xludf.DUMMYFUNCTION("""COMPUTED_VALUE"""),3171600.0)</f>
        <v>3171600</v>
      </c>
    </row>
    <row r="899">
      <c r="A899" s="2">
        <f>IFERROR(__xludf.DUMMYFUNCTION("""COMPUTED_VALUE"""),37833.666666666664)</f>
        <v>37833.66667</v>
      </c>
      <c r="B899" s="1">
        <f>IFERROR(__xludf.DUMMYFUNCTION("""COMPUTED_VALUE"""),44.48)</f>
        <v>44.48</v>
      </c>
      <c r="C899" s="1">
        <f>IFERROR(__xludf.DUMMYFUNCTION("""COMPUTED_VALUE"""),45.13)</f>
        <v>45.13</v>
      </c>
      <c r="D899" s="1">
        <f>IFERROR(__xludf.DUMMYFUNCTION("""COMPUTED_VALUE"""),43.94)</f>
        <v>43.94</v>
      </c>
      <c r="E899" s="1">
        <f>IFERROR(__xludf.DUMMYFUNCTION("""COMPUTED_VALUE"""),43.94)</f>
        <v>43.94</v>
      </c>
      <c r="F899" s="1">
        <f>IFERROR(__xludf.DUMMYFUNCTION("""COMPUTED_VALUE"""),5840300.0)</f>
        <v>5840300</v>
      </c>
    </row>
    <row r="900">
      <c r="A900" s="2">
        <f>IFERROR(__xludf.DUMMYFUNCTION("""COMPUTED_VALUE"""),37834.666666666664)</f>
        <v>37834.66667</v>
      </c>
      <c r="B900" s="1">
        <f>IFERROR(__xludf.DUMMYFUNCTION("""COMPUTED_VALUE"""),44.0)</f>
        <v>44</v>
      </c>
      <c r="C900" s="1">
        <f>IFERROR(__xludf.DUMMYFUNCTION("""COMPUTED_VALUE"""),44.15)</f>
        <v>44.15</v>
      </c>
      <c r="D900" s="1">
        <f>IFERROR(__xludf.DUMMYFUNCTION("""COMPUTED_VALUE"""),43.31)</f>
        <v>43.31</v>
      </c>
      <c r="E900" s="1">
        <f>IFERROR(__xludf.DUMMYFUNCTION("""COMPUTED_VALUE"""),43.35)</f>
        <v>43.35</v>
      </c>
      <c r="F900" s="1">
        <f>IFERROR(__xludf.DUMMYFUNCTION("""COMPUTED_VALUE"""),4676800.0)</f>
        <v>4676800</v>
      </c>
    </row>
    <row r="901">
      <c r="A901" s="2">
        <f>IFERROR(__xludf.DUMMYFUNCTION("""COMPUTED_VALUE"""),37837.666666666664)</f>
        <v>37837.66667</v>
      </c>
      <c r="B901" s="1">
        <f>IFERROR(__xludf.DUMMYFUNCTION("""COMPUTED_VALUE"""),43.48)</f>
        <v>43.48</v>
      </c>
      <c r="C901" s="1">
        <f>IFERROR(__xludf.DUMMYFUNCTION("""COMPUTED_VALUE"""),44.25)</f>
        <v>44.25</v>
      </c>
      <c r="D901" s="1">
        <f>IFERROR(__xludf.DUMMYFUNCTION("""COMPUTED_VALUE"""),43.26)</f>
        <v>43.26</v>
      </c>
      <c r="E901" s="1">
        <f>IFERROR(__xludf.DUMMYFUNCTION("""COMPUTED_VALUE"""),43.92)</f>
        <v>43.92</v>
      </c>
      <c r="F901" s="1">
        <f>IFERROR(__xludf.DUMMYFUNCTION("""COMPUTED_VALUE"""),3405600.0)</f>
        <v>3405600</v>
      </c>
    </row>
    <row r="902">
      <c r="A902" s="2">
        <f>IFERROR(__xludf.DUMMYFUNCTION("""COMPUTED_VALUE"""),37838.666666666664)</f>
        <v>37838.66667</v>
      </c>
      <c r="B902" s="1">
        <f>IFERROR(__xludf.DUMMYFUNCTION("""COMPUTED_VALUE"""),44.13)</f>
        <v>44.13</v>
      </c>
      <c r="C902" s="1">
        <f>IFERROR(__xludf.DUMMYFUNCTION("""COMPUTED_VALUE"""),44.3)</f>
        <v>44.3</v>
      </c>
      <c r="D902" s="1">
        <f>IFERROR(__xludf.DUMMYFUNCTION("""COMPUTED_VALUE"""),43.71)</f>
        <v>43.71</v>
      </c>
      <c r="E902" s="1">
        <f>IFERROR(__xludf.DUMMYFUNCTION("""COMPUTED_VALUE"""),43.77)</f>
        <v>43.77</v>
      </c>
      <c r="F902" s="1">
        <f>IFERROR(__xludf.DUMMYFUNCTION("""COMPUTED_VALUE"""),3206800.0)</f>
        <v>3206800</v>
      </c>
    </row>
    <row r="903">
      <c r="A903" s="2">
        <f>IFERROR(__xludf.DUMMYFUNCTION("""COMPUTED_VALUE"""),37839.666666666664)</f>
        <v>37839.66667</v>
      </c>
      <c r="B903" s="1">
        <f>IFERROR(__xludf.DUMMYFUNCTION("""COMPUTED_VALUE"""),43.85)</f>
        <v>43.85</v>
      </c>
      <c r="C903" s="1">
        <f>IFERROR(__xludf.DUMMYFUNCTION("""COMPUTED_VALUE"""),44.59)</f>
        <v>44.59</v>
      </c>
      <c r="D903" s="1">
        <f>IFERROR(__xludf.DUMMYFUNCTION("""COMPUTED_VALUE"""),43.75)</f>
        <v>43.75</v>
      </c>
      <c r="E903" s="1">
        <f>IFERROR(__xludf.DUMMYFUNCTION("""COMPUTED_VALUE"""),44.4)</f>
        <v>44.4</v>
      </c>
      <c r="F903" s="1">
        <f>IFERROR(__xludf.DUMMYFUNCTION("""COMPUTED_VALUE"""),3894500.0)</f>
        <v>3894500</v>
      </c>
    </row>
    <row r="904">
      <c r="A904" s="2">
        <f>IFERROR(__xludf.DUMMYFUNCTION("""COMPUTED_VALUE"""),37840.666666666664)</f>
        <v>37840.66667</v>
      </c>
      <c r="B904" s="1">
        <f>IFERROR(__xludf.DUMMYFUNCTION("""COMPUTED_VALUE"""),44.5)</f>
        <v>44.5</v>
      </c>
      <c r="C904" s="1">
        <f>IFERROR(__xludf.DUMMYFUNCTION("""COMPUTED_VALUE"""),44.57)</f>
        <v>44.57</v>
      </c>
      <c r="D904" s="1">
        <f>IFERROR(__xludf.DUMMYFUNCTION("""COMPUTED_VALUE"""),44.02)</f>
        <v>44.02</v>
      </c>
      <c r="E904" s="1">
        <f>IFERROR(__xludf.DUMMYFUNCTION("""COMPUTED_VALUE"""),44.1)</f>
        <v>44.1</v>
      </c>
      <c r="F904" s="1">
        <f>IFERROR(__xludf.DUMMYFUNCTION("""COMPUTED_VALUE"""),3098600.0)</f>
        <v>3098600</v>
      </c>
    </row>
    <row r="905">
      <c r="A905" s="2">
        <f>IFERROR(__xludf.DUMMYFUNCTION("""COMPUTED_VALUE"""),37841.666666666664)</f>
        <v>37841.66667</v>
      </c>
      <c r="B905" s="1">
        <f>IFERROR(__xludf.DUMMYFUNCTION("""COMPUTED_VALUE"""),44.4)</f>
        <v>44.4</v>
      </c>
      <c r="C905" s="1">
        <f>IFERROR(__xludf.DUMMYFUNCTION("""COMPUTED_VALUE"""),44.59)</f>
        <v>44.59</v>
      </c>
      <c r="D905" s="1">
        <f>IFERROR(__xludf.DUMMYFUNCTION("""COMPUTED_VALUE"""),44.09)</f>
        <v>44.09</v>
      </c>
      <c r="E905" s="1">
        <f>IFERROR(__xludf.DUMMYFUNCTION("""COMPUTED_VALUE"""),44.54)</f>
        <v>44.54</v>
      </c>
      <c r="F905" s="1">
        <f>IFERROR(__xludf.DUMMYFUNCTION("""COMPUTED_VALUE"""),2050000.0)</f>
        <v>2050000</v>
      </c>
    </row>
    <row r="906">
      <c r="A906" s="2">
        <f>IFERROR(__xludf.DUMMYFUNCTION("""COMPUTED_VALUE"""),37844.666666666664)</f>
        <v>37844.66667</v>
      </c>
      <c r="B906" s="1">
        <f>IFERROR(__xludf.DUMMYFUNCTION("""COMPUTED_VALUE"""),44.52)</f>
        <v>44.52</v>
      </c>
      <c r="C906" s="1">
        <f>IFERROR(__xludf.DUMMYFUNCTION("""COMPUTED_VALUE"""),44.8)</f>
        <v>44.8</v>
      </c>
      <c r="D906" s="1">
        <f>IFERROR(__xludf.DUMMYFUNCTION("""COMPUTED_VALUE"""),44.38)</f>
        <v>44.38</v>
      </c>
      <c r="E906" s="1">
        <f>IFERROR(__xludf.DUMMYFUNCTION("""COMPUTED_VALUE"""),44.56)</f>
        <v>44.56</v>
      </c>
      <c r="F906" s="1">
        <f>IFERROR(__xludf.DUMMYFUNCTION("""COMPUTED_VALUE"""),2083900.0)</f>
        <v>2083900</v>
      </c>
    </row>
    <row r="907">
      <c r="A907" s="2">
        <f>IFERROR(__xludf.DUMMYFUNCTION("""COMPUTED_VALUE"""),37845.666666666664)</f>
        <v>37845.66667</v>
      </c>
      <c r="B907" s="1">
        <f>IFERROR(__xludf.DUMMYFUNCTION("""COMPUTED_VALUE"""),44.75)</f>
        <v>44.75</v>
      </c>
      <c r="C907" s="1">
        <f>IFERROR(__xludf.DUMMYFUNCTION("""COMPUTED_VALUE"""),44.77)</f>
        <v>44.77</v>
      </c>
      <c r="D907" s="1">
        <f>IFERROR(__xludf.DUMMYFUNCTION("""COMPUTED_VALUE"""),44.24)</f>
        <v>44.24</v>
      </c>
      <c r="E907" s="1">
        <f>IFERROR(__xludf.DUMMYFUNCTION("""COMPUTED_VALUE"""),44.71)</f>
        <v>44.71</v>
      </c>
      <c r="F907" s="1">
        <f>IFERROR(__xludf.DUMMYFUNCTION("""COMPUTED_VALUE"""),2372400.0)</f>
        <v>2372400</v>
      </c>
    </row>
    <row r="908">
      <c r="A908" s="2">
        <f>IFERROR(__xludf.DUMMYFUNCTION("""COMPUTED_VALUE"""),37846.666666666664)</f>
        <v>37846.66667</v>
      </c>
      <c r="B908" s="1">
        <f>IFERROR(__xludf.DUMMYFUNCTION("""COMPUTED_VALUE"""),44.83)</f>
        <v>44.83</v>
      </c>
      <c r="C908" s="1">
        <f>IFERROR(__xludf.DUMMYFUNCTION("""COMPUTED_VALUE"""),44.83)</f>
        <v>44.83</v>
      </c>
      <c r="D908" s="1">
        <f>IFERROR(__xludf.DUMMYFUNCTION("""COMPUTED_VALUE"""),44.4)</f>
        <v>44.4</v>
      </c>
      <c r="E908" s="1">
        <f>IFERROR(__xludf.DUMMYFUNCTION("""COMPUTED_VALUE"""),44.56)</f>
        <v>44.56</v>
      </c>
      <c r="F908" s="1">
        <f>IFERROR(__xludf.DUMMYFUNCTION("""COMPUTED_VALUE"""),2593100.0)</f>
        <v>2593100</v>
      </c>
    </row>
    <row r="909">
      <c r="A909" s="2">
        <f>IFERROR(__xludf.DUMMYFUNCTION("""COMPUTED_VALUE"""),37847.666666666664)</f>
        <v>37847.66667</v>
      </c>
      <c r="B909" s="1">
        <f>IFERROR(__xludf.DUMMYFUNCTION("""COMPUTED_VALUE"""),44.73)</f>
        <v>44.73</v>
      </c>
      <c r="C909" s="1">
        <f>IFERROR(__xludf.DUMMYFUNCTION("""COMPUTED_VALUE"""),44.75)</f>
        <v>44.75</v>
      </c>
      <c r="D909" s="1">
        <f>IFERROR(__xludf.DUMMYFUNCTION("""COMPUTED_VALUE"""),44.28)</f>
        <v>44.28</v>
      </c>
      <c r="E909" s="1">
        <f>IFERROR(__xludf.DUMMYFUNCTION("""COMPUTED_VALUE"""),44.45)</f>
        <v>44.45</v>
      </c>
      <c r="F909" s="1">
        <f>IFERROR(__xludf.DUMMYFUNCTION("""COMPUTED_VALUE"""),2459200.0)</f>
        <v>2459200</v>
      </c>
    </row>
    <row r="910">
      <c r="A910" s="2">
        <f>IFERROR(__xludf.DUMMYFUNCTION("""COMPUTED_VALUE"""),37848.666666666664)</f>
        <v>37848.66667</v>
      </c>
      <c r="B910" s="1">
        <f>IFERROR(__xludf.DUMMYFUNCTION("""COMPUTED_VALUE"""),44.68)</f>
        <v>44.68</v>
      </c>
      <c r="C910" s="1">
        <f>IFERROR(__xludf.DUMMYFUNCTION("""COMPUTED_VALUE"""),44.75)</f>
        <v>44.75</v>
      </c>
      <c r="D910" s="1">
        <f>IFERROR(__xludf.DUMMYFUNCTION("""COMPUTED_VALUE"""),44.35)</f>
        <v>44.35</v>
      </c>
      <c r="E910" s="1">
        <f>IFERROR(__xludf.DUMMYFUNCTION("""COMPUTED_VALUE"""),44.56)</f>
        <v>44.56</v>
      </c>
      <c r="F910" s="1">
        <f>IFERROR(__xludf.DUMMYFUNCTION("""COMPUTED_VALUE"""),1400700.0)</f>
        <v>1400700</v>
      </c>
    </row>
    <row r="911">
      <c r="A911" s="2">
        <f>IFERROR(__xludf.DUMMYFUNCTION("""COMPUTED_VALUE"""),37851.666666666664)</f>
        <v>37851.66667</v>
      </c>
      <c r="B911" s="1">
        <f>IFERROR(__xludf.DUMMYFUNCTION("""COMPUTED_VALUE"""),44.83)</f>
        <v>44.83</v>
      </c>
      <c r="C911" s="1">
        <f>IFERROR(__xludf.DUMMYFUNCTION("""COMPUTED_VALUE"""),44.83)</f>
        <v>44.83</v>
      </c>
      <c r="D911" s="1">
        <f>IFERROR(__xludf.DUMMYFUNCTION("""COMPUTED_VALUE"""),44.2)</f>
        <v>44.2</v>
      </c>
      <c r="E911" s="1">
        <f>IFERROR(__xludf.DUMMYFUNCTION("""COMPUTED_VALUE"""),44.2)</f>
        <v>44.2</v>
      </c>
      <c r="F911" s="1">
        <f>IFERROR(__xludf.DUMMYFUNCTION("""COMPUTED_VALUE"""),2948100.0)</f>
        <v>2948100</v>
      </c>
    </row>
    <row r="912">
      <c r="A912" s="2">
        <f>IFERROR(__xludf.DUMMYFUNCTION("""COMPUTED_VALUE"""),37852.666666666664)</f>
        <v>37852.66667</v>
      </c>
      <c r="B912" s="1">
        <f>IFERROR(__xludf.DUMMYFUNCTION("""COMPUTED_VALUE"""),44.2)</f>
        <v>44.2</v>
      </c>
      <c r="C912" s="1">
        <f>IFERROR(__xludf.DUMMYFUNCTION("""COMPUTED_VALUE"""),44.2)</f>
        <v>44.2</v>
      </c>
      <c r="D912" s="1">
        <f>IFERROR(__xludf.DUMMYFUNCTION("""COMPUTED_VALUE"""),43.85)</f>
        <v>43.85</v>
      </c>
      <c r="E912" s="1">
        <f>IFERROR(__xludf.DUMMYFUNCTION("""COMPUTED_VALUE"""),43.9)</f>
        <v>43.9</v>
      </c>
      <c r="F912" s="1">
        <f>IFERROR(__xludf.DUMMYFUNCTION("""COMPUTED_VALUE"""),4610900.0)</f>
        <v>4610900</v>
      </c>
    </row>
    <row r="913">
      <c r="A913" s="2">
        <f>IFERROR(__xludf.DUMMYFUNCTION("""COMPUTED_VALUE"""),37853.666666666664)</f>
        <v>37853.66667</v>
      </c>
      <c r="B913" s="1">
        <f>IFERROR(__xludf.DUMMYFUNCTION("""COMPUTED_VALUE"""),43.92)</f>
        <v>43.92</v>
      </c>
      <c r="C913" s="1">
        <f>IFERROR(__xludf.DUMMYFUNCTION("""COMPUTED_VALUE"""),44.25)</f>
        <v>44.25</v>
      </c>
      <c r="D913" s="1">
        <f>IFERROR(__xludf.DUMMYFUNCTION("""COMPUTED_VALUE"""),43.64)</f>
        <v>43.64</v>
      </c>
      <c r="E913" s="1">
        <f>IFERROR(__xludf.DUMMYFUNCTION("""COMPUTED_VALUE"""),43.69)</f>
        <v>43.69</v>
      </c>
      <c r="F913" s="1">
        <f>IFERROR(__xludf.DUMMYFUNCTION("""COMPUTED_VALUE"""),2412600.0)</f>
        <v>2412600</v>
      </c>
    </row>
    <row r="914">
      <c r="A914" s="2">
        <f>IFERROR(__xludf.DUMMYFUNCTION("""COMPUTED_VALUE"""),37854.666666666664)</f>
        <v>37854.66667</v>
      </c>
      <c r="B914" s="1">
        <f>IFERROR(__xludf.DUMMYFUNCTION("""COMPUTED_VALUE"""),43.69)</f>
        <v>43.69</v>
      </c>
      <c r="C914" s="1">
        <f>IFERROR(__xludf.DUMMYFUNCTION("""COMPUTED_VALUE"""),43.97)</f>
        <v>43.97</v>
      </c>
      <c r="D914" s="1">
        <f>IFERROR(__xludf.DUMMYFUNCTION("""COMPUTED_VALUE"""),43.28)</f>
        <v>43.28</v>
      </c>
      <c r="E914" s="1">
        <f>IFERROR(__xludf.DUMMYFUNCTION("""COMPUTED_VALUE"""),43.35)</f>
        <v>43.35</v>
      </c>
      <c r="F914" s="1">
        <f>IFERROR(__xludf.DUMMYFUNCTION("""COMPUTED_VALUE"""),3813700.0)</f>
        <v>3813700</v>
      </c>
    </row>
    <row r="915">
      <c r="A915" s="2">
        <f>IFERROR(__xludf.DUMMYFUNCTION("""COMPUTED_VALUE"""),37855.666666666664)</f>
        <v>37855.66667</v>
      </c>
      <c r="B915" s="1">
        <f>IFERROR(__xludf.DUMMYFUNCTION("""COMPUTED_VALUE"""),43.6)</f>
        <v>43.6</v>
      </c>
      <c r="C915" s="1">
        <f>IFERROR(__xludf.DUMMYFUNCTION("""COMPUTED_VALUE"""),43.75)</f>
        <v>43.75</v>
      </c>
      <c r="D915" s="1">
        <f>IFERROR(__xludf.DUMMYFUNCTION("""COMPUTED_VALUE"""),43.35)</f>
        <v>43.35</v>
      </c>
      <c r="E915" s="1">
        <f>IFERROR(__xludf.DUMMYFUNCTION("""COMPUTED_VALUE"""),43.36)</f>
        <v>43.36</v>
      </c>
      <c r="F915" s="1">
        <f>IFERROR(__xludf.DUMMYFUNCTION("""COMPUTED_VALUE"""),3091400.0)</f>
        <v>3091400</v>
      </c>
    </row>
    <row r="916">
      <c r="A916" s="2">
        <f>IFERROR(__xludf.DUMMYFUNCTION("""COMPUTED_VALUE"""),37858.666666666664)</f>
        <v>37858.66667</v>
      </c>
      <c r="B916" s="1">
        <f>IFERROR(__xludf.DUMMYFUNCTION("""COMPUTED_VALUE"""),43.33)</f>
        <v>43.33</v>
      </c>
      <c r="C916" s="1">
        <f>IFERROR(__xludf.DUMMYFUNCTION("""COMPUTED_VALUE"""),43.65)</f>
        <v>43.65</v>
      </c>
      <c r="D916" s="1">
        <f>IFERROR(__xludf.DUMMYFUNCTION("""COMPUTED_VALUE"""),43.29)</f>
        <v>43.29</v>
      </c>
      <c r="E916" s="1">
        <f>IFERROR(__xludf.DUMMYFUNCTION("""COMPUTED_VALUE"""),43.59)</f>
        <v>43.59</v>
      </c>
      <c r="F916" s="1">
        <f>IFERROR(__xludf.DUMMYFUNCTION("""COMPUTED_VALUE"""),2521300.0)</f>
        <v>2521300</v>
      </c>
    </row>
    <row r="917">
      <c r="A917" s="2">
        <f>IFERROR(__xludf.DUMMYFUNCTION("""COMPUTED_VALUE"""),37859.666666666664)</f>
        <v>37859.66667</v>
      </c>
      <c r="B917" s="1">
        <f>IFERROR(__xludf.DUMMYFUNCTION("""COMPUTED_VALUE"""),43.44)</f>
        <v>43.44</v>
      </c>
      <c r="C917" s="1">
        <f>IFERROR(__xludf.DUMMYFUNCTION("""COMPUTED_VALUE"""),43.91)</f>
        <v>43.91</v>
      </c>
      <c r="D917" s="1">
        <f>IFERROR(__xludf.DUMMYFUNCTION("""COMPUTED_VALUE"""),43.33)</f>
        <v>43.33</v>
      </c>
      <c r="E917" s="1">
        <f>IFERROR(__xludf.DUMMYFUNCTION("""COMPUTED_VALUE"""),43.84)</f>
        <v>43.84</v>
      </c>
      <c r="F917" s="1">
        <f>IFERROR(__xludf.DUMMYFUNCTION("""COMPUTED_VALUE"""),2730200.0)</f>
        <v>2730200</v>
      </c>
    </row>
    <row r="918">
      <c r="A918" s="2">
        <f>IFERROR(__xludf.DUMMYFUNCTION("""COMPUTED_VALUE"""),37860.666666666664)</f>
        <v>37860.66667</v>
      </c>
      <c r="B918" s="1">
        <f>IFERROR(__xludf.DUMMYFUNCTION("""COMPUTED_VALUE"""),43.58)</f>
        <v>43.58</v>
      </c>
      <c r="C918" s="1">
        <f>IFERROR(__xludf.DUMMYFUNCTION("""COMPUTED_VALUE"""),44.13)</f>
        <v>44.13</v>
      </c>
      <c r="D918" s="1">
        <f>IFERROR(__xludf.DUMMYFUNCTION("""COMPUTED_VALUE"""),43.58)</f>
        <v>43.58</v>
      </c>
      <c r="E918" s="1">
        <f>IFERROR(__xludf.DUMMYFUNCTION("""COMPUTED_VALUE"""),43.63)</f>
        <v>43.63</v>
      </c>
      <c r="F918" s="1">
        <f>IFERROR(__xludf.DUMMYFUNCTION("""COMPUTED_VALUE"""),3191100.0)</f>
        <v>3191100</v>
      </c>
    </row>
    <row r="919">
      <c r="A919" s="2">
        <f>IFERROR(__xludf.DUMMYFUNCTION("""COMPUTED_VALUE"""),37861.666666666664)</f>
        <v>37861.66667</v>
      </c>
      <c r="B919" s="1">
        <f>IFERROR(__xludf.DUMMYFUNCTION("""COMPUTED_VALUE"""),43.56)</f>
        <v>43.56</v>
      </c>
      <c r="C919" s="1">
        <f>IFERROR(__xludf.DUMMYFUNCTION("""COMPUTED_VALUE"""),43.88)</f>
        <v>43.88</v>
      </c>
      <c r="D919" s="1">
        <f>IFERROR(__xludf.DUMMYFUNCTION("""COMPUTED_VALUE"""),43.3)</f>
        <v>43.3</v>
      </c>
      <c r="E919" s="1">
        <f>IFERROR(__xludf.DUMMYFUNCTION("""COMPUTED_VALUE"""),43.7)</f>
        <v>43.7</v>
      </c>
      <c r="F919" s="1">
        <f>IFERROR(__xludf.DUMMYFUNCTION("""COMPUTED_VALUE"""),2124100.0)</f>
        <v>2124100</v>
      </c>
    </row>
    <row r="920">
      <c r="A920" s="2">
        <f>IFERROR(__xludf.DUMMYFUNCTION("""COMPUTED_VALUE"""),37862.666666666664)</f>
        <v>37862.66667</v>
      </c>
      <c r="B920" s="1">
        <f>IFERROR(__xludf.DUMMYFUNCTION("""COMPUTED_VALUE"""),43.49)</f>
        <v>43.49</v>
      </c>
      <c r="C920" s="1">
        <f>IFERROR(__xludf.DUMMYFUNCTION("""COMPUTED_VALUE"""),43.97)</f>
        <v>43.97</v>
      </c>
      <c r="D920" s="1">
        <f>IFERROR(__xludf.DUMMYFUNCTION("""COMPUTED_VALUE"""),43.48)</f>
        <v>43.48</v>
      </c>
      <c r="E920" s="1">
        <f>IFERROR(__xludf.DUMMYFUNCTION("""COMPUTED_VALUE"""),43.65)</f>
        <v>43.65</v>
      </c>
      <c r="F920" s="1">
        <f>IFERROR(__xludf.DUMMYFUNCTION("""COMPUTED_VALUE"""),2351100.0)</f>
        <v>2351100</v>
      </c>
    </row>
    <row r="921">
      <c r="A921" s="2">
        <f>IFERROR(__xludf.DUMMYFUNCTION("""COMPUTED_VALUE"""),37866.666666666664)</f>
        <v>37866.66667</v>
      </c>
      <c r="B921" s="1">
        <f>IFERROR(__xludf.DUMMYFUNCTION("""COMPUTED_VALUE"""),43.58)</f>
        <v>43.58</v>
      </c>
      <c r="C921" s="1">
        <f>IFERROR(__xludf.DUMMYFUNCTION("""COMPUTED_VALUE"""),44.19)</f>
        <v>44.19</v>
      </c>
      <c r="D921" s="1">
        <f>IFERROR(__xludf.DUMMYFUNCTION("""COMPUTED_VALUE"""),43.56)</f>
        <v>43.56</v>
      </c>
      <c r="E921" s="1">
        <f>IFERROR(__xludf.DUMMYFUNCTION("""COMPUTED_VALUE"""),44.04)</f>
        <v>44.04</v>
      </c>
      <c r="F921" s="1">
        <f>IFERROR(__xludf.DUMMYFUNCTION("""COMPUTED_VALUE"""),2903100.0)</f>
        <v>2903100</v>
      </c>
    </row>
    <row r="922">
      <c r="A922" s="2">
        <f>IFERROR(__xludf.DUMMYFUNCTION("""COMPUTED_VALUE"""),37867.666666666664)</f>
        <v>37867.66667</v>
      </c>
      <c r="B922" s="1">
        <f>IFERROR(__xludf.DUMMYFUNCTION("""COMPUTED_VALUE"""),44.05)</f>
        <v>44.05</v>
      </c>
      <c r="C922" s="1">
        <f>IFERROR(__xludf.DUMMYFUNCTION("""COMPUTED_VALUE"""),44.55)</f>
        <v>44.55</v>
      </c>
      <c r="D922" s="1">
        <f>IFERROR(__xludf.DUMMYFUNCTION("""COMPUTED_VALUE"""),44.01)</f>
        <v>44.01</v>
      </c>
      <c r="E922" s="1">
        <f>IFERROR(__xludf.DUMMYFUNCTION("""COMPUTED_VALUE"""),44.4)</f>
        <v>44.4</v>
      </c>
      <c r="F922" s="1">
        <f>IFERROR(__xludf.DUMMYFUNCTION("""COMPUTED_VALUE"""),4196800.0)</f>
        <v>4196800</v>
      </c>
    </row>
    <row r="923">
      <c r="A923" s="2">
        <f>IFERROR(__xludf.DUMMYFUNCTION("""COMPUTED_VALUE"""),37868.666666666664)</f>
        <v>37868.66667</v>
      </c>
      <c r="B923" s="1">
        <f>IFERROR(__xludf.DUMMYFUNCTION("""COMPUTED_VALUE"""),45.0)</f>
        <v>45</v>
      </c>
      <c r="C923" s="1">
        <f>IFERROR(__xludf.DUMMYFUNCTION("""COMPUTED_VALUE"""),46.0)</f>
        <v>46</v>
      </c>
      <c r="D923" s="1">
        <f>IFERROR(__xludf.DUMMYFUNCTION("""COMPUTED_VALUE"""),44.91)</f>
        <v>44.91</v>
      </c>
      <c r="E923" s="1">
        <f>IFERROR(__xludf.DUMMYFUNCTION("""COMPUTED_VALUE"""),45.72)</f>
        <v>45.72</v>
      </c>
      <c r="F923" s="1">
        <f>IFERROR(__xludf.DUMMYFUNCTION("""COMPUTED_VALUE"""),8025100.0)</f>
        <v>8025100</v>
      </c>
    </row>
    <row r="924">
      <c r="A924" s="2">
        <f>IFERROR(__xludf.DUMMYFUNCTION("""COMPUTED_VALUE"""),37869.666666666664)</f>
        <v>37869.66667</v>
      </c>
      <c r="B924" s="1">
        <f>IFERROR(__xludf.DUMMYFUNCTION("""COMPUTED_VALUE"""),45.72)</f>
        <v>45.72</v>
      </c>
      <c r="C924" s="1">
        <f>IFERROR(__xludf.DUMMYFUNCTION("""COMPUTED_VALUE"""),45.85)</f>
        <v>45.85</v>
      </c>
      <c r="D924" s="1">
        <f>IFERROR(__xludf.DUMMYFUNCTION("""COMPUTED_VALUE"""),45.37)</f>
        <v>45.37</v>
      </c>
      <c r="E924" s="1">
        <f>IFERROR(__xludf.DUMMYFUNCTION("""COMPUTED_VALUE"""),45.49)</f>
        <v>45.49</v>
      </c>
      <c r="F924" s="1">
        <f>IFERROR(__xludf.DUMMYFUNCTION("""COMPUTED_VALUE"""),3960000.0)</f>
        <v>3960000</v>
      </c>
    </row>
    <row r="925">
      <c r="A925" s="2">
        <f>IFERROR(__xludf.DUMMYFUNCTION("""COMPUTED_VALUE"""),37872.666666666664)</f>
        <v>37872.66667</v>
      </c>
      <c r="B925" s="1">
        <f>IFERROR(__xludf.DUMMYFUNCTION("""COMPUTED_VALUE"""),45.3)</f>
        <v>45.3</v>
      </c>
      <c r="C925" s="1">
        <f>IFERROR(__xludf.DUMMYFUNCTION("""COMPUTED_VALUE"""),45.85)</f>
        <v>45.85</v>
      </c>
      <c r="D925" s="1">
        <f>IFERROR(__xludf.DUMMYFUNCTION("""COMPUTED_VALUE"""),45.28)</f>
        <v>45.28</v>
      </c>
      <c r="E925" s="1">
        <f>IFERROR(__xludf.DUMMYFUNCTION("""COMPUTED_VALUE"""),45.81)</f>
        <v>45.81</v>
      </c>
      <c r="F925" s="1">
        <f>IFERROR(__xludf.DUMMYFUNCTION("""COMPUTED_VALUE"""),3266000.0)</f>
        <v>3266000</v>
      </c>
    </row>
    <row r="926">
      <c r="A926" s="2">
        <f>IFERROR(__xludf.DUMMYFUNCTION("""COMPUTED_VALUE"""),37873.666666666664)</f>
        <v>37873.66667</v>
      </c>
      <c r="B926" s="1">
        <f>IFERROR(__xludf.DUMMYFUNCTION("""COMPUTED_VALUE"""),45.55)</f>
        <v>45.55</v>
      </c>
      <c r="C926" s="1">
        <f>IFERROR(__xludf.DUMMYFUNCTION("""COMPUTED_VALUE"""),45.78)</f>
        <v>45.78</v>
      </c>
      <c r="D926" s="1">
        <f>IFERROR(__xludf.DUMMYFUNCTION("""COMPUTED_VALUE"""),45.5)</f>
        <v>45.5</v>
      </c>
      <c r="E926" s="1">
        <f>IFERROR(__xludf.DUMMYFUNCTION("""COMPUTED_VALUE"""),45.58)</f>
        <v>45.58</v>
      </c>
      <c r="F926" s="1">
        <f>IFERROR(__xludf.DUMMYFUNCTION("""COMPUTED_VALUE"""),3597200.0)</f>
        <v>3597200</v>
      </c>
    </row>
    <row r="927">
      <c r="A927" s="2">
        <f>IFERROR(__xludf.DUMMYFUNCTION("""COMPUTED_VALUE"""),37874.666666666664)</f>
        <v>37874.66667</v>
      </c>
      <c r="B927" s="1">
        <f>IFERROR(__xludf.DUMMYFUNCTION("""COMPUTED_VALUE"""),45.58)</f>
        <v>45.58</v>
      </c>
      <c r="C927" s="1">
        <f>IFERROR(__xludf.DUMMYFUNCTION("""COMPUTED_VALUE"""),45.95)</f>
        <v>45.95</v>
      </c>
      <c r="D927" s="1">
        <f>IFERROR(__xludf.DUMMYFUNCTION("""COMPUTED_VALUE"""),45.41)</f>
        <v>45.41</v>
      </c>
      <c r="E927" s="1">
        <f>IFERROR(__xludf.DUMMYFUNCTION("""COMPUTED_VALUE"""),45.48)</f>
        <v>45.48</v>
      </c>
      <c r="F927" s="1">
        <f>IFERROR(__xludf.DUMMYFUNCTION("""COMPUTED_VALUE"""),3411900.0)</f>
        <v>3411900</v>
      </c>
    </row>
    <row r="928">
      <c r="A928" s="2">
        <f>IFERROR(__xludf.DUMMYFUNCTION("""COMPUTED_VALUE"""),37875.666666666664)</f>
        <v>37875.66667</v>
      </c>
      <c r="B928" s="1">
        <f>IFERROR(__xludf.DUMMYFUNCTION("""COMPUTED_VALUE"""),45.58)</f>
        <v>45.58</v>
      </c>
      <c r="C928" s="1">
        <f>IFERROR(__xludf.DUMMYFUNCTION("""COMPUTED_VALUE"""),45.93)</f>
        <v>45.93</v>
      </c>
      <c r="D928" s="1">
        <f>IFERROR(__xludf.DUMMYFUNCTION("""COMPUTED_VALUE"""),45.52)</f>
        <v>45.52</v>
      </c>
      <c r="E928" s="1">
        <f>IFERROR(__xludf.DUMMYFUNCTION("""COMPUTED_VALUE"""),45.78)</f>
        <v>45.78</v>
      </c>
      <c r="F928" s="1">
        <f>IFERROR(__xludf.DUMMYFUNCTION("""COMPUTED_VALUE"""),2906000.0)</f>
        <v>2906000</v>
      </c>
    </row>
    <row r="929">
      <c r="A929" s="2">
        <f>IFERROR(__xludf.DUMMYFUNCTION("""COMPUTED_VALUE"""),37876.666666666664)</f>
        <v>37876.66667</v>
      </c>
      <c r="B929" s="1">
        <f>IFERROR(__xludf.DUMMYFUNCTION("""COMPUTED_VALUE"""),45.67)</f>
        <v>45.67</v>
      </c>
      <c r="C929" s="1">
        <f>IFERROR(__xludf.DUMMYFUNCTION("""COMPUTED_VALUE"""),45.96)</f>
        <v>45.96</v>
      </c>
      <c r="D929" s="1">
        <f>IFERROR(__xludf.DUMMYFUNCTION("""COMPUTED_VALUE"""),45.57)</f>
        <v>45.57</v>
      </c>
      <c r="E929" s="1">
        <f>IFERROR(__xludf.DUMMYFUNCTION("""COMPUTED_VALUE"""),45.96)</f>
        <v>45.96</v>
      </c>
      <c r="F929" s="1">
        <f>IFERROR(__xludf.DUMMYFUNCTION("""COMPUTED_VALUE"""),2969800.0)</f>
        <v>2969800</v>
      </c>
    </row>
    <row r="930">
      <c r="A930" s="2">
        <f>IFERROR(__xludf.DUMMYFUNCTION("""COMPUTED_VALUE"""),37879.666666666664)</f>
        <v>37879.66667</v>
      </c>
      <c r="B930" s="1">
        <f>IFERROR(__xludf.DUMMYFUNCTION("""COMPUTED_VALUE"""),45.74)</f>
        <v>45.74</v>
      </c>
      <c r="C930" s="1">
        <f>IFERROR(__xludf.DUMMYFUNCTION("""COMPUTED_VALUE"""),46.21)</f>
        <v>46.21</v>
      </c>
      <c r="D930" s="1">
        <f>IFERROR(__xludf.DUMMYFUNCTION("""COMPUTED_VALUE"""),45.73)</f>
        <v>45.73</v>
      </c>
      <c r="E930" s="1">
        <f>IFERROR(__xludf.DUMMYFUNCTION("""COMPUTED_VALUE"""),45.87)</f>
        <v>45.87</v>
      </c>
      <c r="F930" s="1">
        <f>IFERROR(__xludf.DUMMYFUNCTION("""COMPUTED_VALUE"""),3985900.0)</f>
        <v>3985900</v>
      </c>
    </row>
    <row r="931">
      <c r="A931" s="2">
        <f>IFERROR(__xludf.DUMMYFUNCTION("""COMPUTED_VALUE"""),37880.666666666664)</f>
        <v>37880.66667</v>
      </c>
      <c r="B931" s="1">
        <f>IFERROR(__xludf.DUMMYFUNCTION("""COMPUTED_VALUE"""),45.75)</f>
        <v>45.75</v>
      </c>
      <c r="C931" s="1">
        <f>IFERROR(__xludf.DUMMYFUNCTION("""COMPUTED_VALUE"""),46.31)</f>
        <v>46.31</v>
      </c>
      <c r="D931" s="1">
        <f>IFERROR(__xludf.DUMMYFUNCTION("""COMPUTED_VALUE"""),45.75)</f>
        <v>45.75</v>
      </c>
      <c r="E931" s="1">
        <f>IFERROR(__xludf.DUMMYFUNCTION("""COMPUTED_VALUE"""),46.3)</f>
        <v>46.3</v>
      </c>
      <c r="F931" s="1">
        <f>IFERROR(__xludf.DUMMYFUNCTION("""COMPUTED_VALUE"""),3314900.0)</f>
        <v>3314900</v>
      </c>
    </row>
    <row r="932">
      <c r="A932" s="2">
        <f>IFERROR(__xludf.DUMMYFUNCTION("""COMPUTED_VALUE"""),37881.666666666664)</f>
        <v>37881.66667</v>
      </c>
      <c r="B932" s="1">
        <f>IFERROR(__xludf.DUMMYFUNCTION("""COMPUTED_VALUE"""),46.09)</f>
        <v>46.09</v>
      </c>
      <c r="C932" s="1">
        <f>IFERROR(__xludf.DUMMYFUNCTION("""COMPUTED_VALUE"""),46.36)</f>
        <v>46.36</v>
      </c>
      <c r="D932" s="1">
        <f>IFERROR(__xludf.DUMMYFUNCTION("""COMPUTED_VALUE"""),46.05)</f>
        <v>46.05</v>
      </c>
      <c r="E932" s="1">
        <f>IFERROR(__xludf.DUMMYFUNCTION("""COMPUTED_VALUE"""),46.25)</f>
        <v>46.25</v>
      </c>
      <c r="F932" s="1">
        <f>IFERROR(__xludf.DUMMYFUNCTION("""COMPUTED_VALUE"""),2440000.0)</f>
        <v>2440000</v>
      </c>
    </row>
    <row r="933">
      <c r="A933" s="2">
        <f>IFERROR(__xludf.DUMMYFUNCTION("""COMPUTED_VALUE"""),37882.666666666664)</f>
        <v>37882.66667</v>
      </c>
      <c r="B933" s="1">
        <f>IFERROR(__xludf.DUMMYFUNCTION("""COMPUTED_VALUE"""),46.15)</f>
        <v>46.15</v>
      </c>
      <c r="C933" s="1">
        <f>IFERROR(__xludf.DUMMYFUNCTION("""COMPUTED_VALUE"""),46.72)</f>
        <v>46.72</v>
      </c>
      <c r="D933" s="1">
        <f>IFERROR(__xludf.DUMMYFUNCTION("""COMPUTED_VALUE"""),46.1)</f>
        <v>46.1</v>
      </c>
      <c r="E933" s="1">
        <f>IFERROR(__xludf.DUMMYFUNCTION("""COMPUTED_VALUE"""),46.63)</f>
        <v>46.63</v>
      </c>
      <c r="F933" s="1">
        <f>IFERROR(__xludf.DUMMYFUNCTION("""COMPUTED_VALUE"""),3397700.0)</f>
        <v>3397700</v>
      </c>
    </row>
    <row r="934">
      <c r="A934" s="2">
        <f>IFERROR(__xludf.DUMMYFUNCTION("""COMPUTED_VALUE"""),37883.666666666664)</f>
        <v>37883.66667</v>
      </c>
      <c r="B934" s="1">
        <f>IFERROR(__xludf.DUMMYFUNCTION("""COMPUTED_VALUE"""),46.63)</f>
        <v>46.63</v>
      </c>
      <c r="C934" s="1">
        <f>IFERROR(__xludf.DUMMYFUNCTION("""COMPUTED_VALUE"""),46.69)</f>
        <v>46.69</v>
      </c>
      <c r="D934" s="1">
        <f>IFERROR(__xludf.DUMMYFUNCTION("""COMPUTED_VALUE"""),46.14)</f>
        <v>46.14</v>
      </c>
      <c r="E934" s="1">
        <f>IFERROR(__xludf.DUMMYFUNCTION("""COMPUTED_VALUE"""),46.34)</f>
        <v>46.34</v>
      </c>
      <c r="F934" s="1">
        <f>IFERROR(__xludf.DUMMYFUNCTION("""COMPUTED_VALUE"""),3662900.0)</f>
        <v>3662900</v>
      </c>
    </row>
    <row r="935">
      <c r="A935" s="2">
        <f>IFERROR(__xludf.DUMMYFUNCTION("""COMPUTED_VALUE"""),37886.666666666664)</f>
        <v>37886.66667</v>
      </c>
      <c r="B935" s="1">
        <f>IFERROR(__xludf.DUMMYFUNCTION("""COMPUTED_VALUE"""),46.0)</f>
        <v>46</v>
      </c>
      <c r="C935" s="1">
        <f>IFERROR(__xludf.DUMMYFUNCTION("""COMPUTED_VALUE"""),46.28)</f>
        <v>46.28</v>
      </c>
      <c r="D935" s="1">
        <f>IFERROR(__xludf.DUMMYFUNCTION("""COMPUTED_VALUE"""),45.76)</f>
        <v>45.76</v>
      </c>
      <c r="E935" s="1">
        <f>IFERROR(__xludf.DUMMYFUNCTION("""COMPUTED_VALUE"""),46.1)</f>
        <v>46.1</v>
      </c>
      <c r="F935" s="1">
        <f>IFERROR(__xludf.DUMMYFUNCTION("""COMPUTED_VALUE"""),2824000.0)</f>
        <v>2824000</v>
      </c>
    </row>
    <row r="936">
      <c r="A936" s="2">
        <f>IFERROR(__xludf.DUMMYFUNCTION("""COMPUTED_VALUE"""),37887.666666666664)</f>
        <v>37887.66667</v>
      </c>
      <c r="B936" s="1">
        <f>IFERROR(__xludf.DUMMYFUNCTION("""COMPUTED_VALUE"""),46.0)</f>
        <v>46</v>
      </c>
      <c r="C936" s="1">
        <f>IFERROR(__xludf.DUMMYFUNCTION("""COMPUTED_VALUE"""),46.24)</f>
        <v>46.24</v>
      </c>
      <c r="D936" s="1">
        <f>IFERROR(__xludf.DUMMYFUNCTION("""COMPUTED_VALUE"""),45.9)</f>
        <v>45.9</v>
      </c>
      <c r="E936" s="1">
        <f>IFERROR(__xludf.DUMMYFUNCTION("""COMPUTED_VALUE"""),46.16)</f>
        <v>46.16</v>
      </c>
      <c r="F936" s="1">
        <f>IFERROR(__xludf.DUMMYFUNCTION("""COMPUTED_VALUE"""),2438100.0)</f>
        <v>2438100</v>
      </c>
    </row>
    <row r="937">
      <c r="A937" s="2">
        <f>IFERROR(__xludf.DUMMYFUNCTION("""COMPUTED_VALUE"""),37888.666666666664)</f>
        <v>37888.66667</v>
      </c>
      <c r="B937" s="1">
        <f>IFERROR(__xludf.DUMMYFUNCTION("""COMPUTED_VALUE"""),46.3)</f>
        <v>46.3</v>
      </c>
      <c r="C937" s="1">
        <f>IFERROR(__xludf.DUMMYFUNCTION("""COMPUTED_VALUE"""),46.4)</f>
        <v>46.4</v>
      </c>
      <c r="D937" s="1">
        <f>IFERROR(__xludf.DUMMYFUNCTION("""COMPUTED_VALUE"""),46.0)</f>
        <v>46</v>
      </c>
      <c r="E937" s="1">
        <f>IFERROR(__xludf.DUMMYFUNCTION("""COMPUTED_VALUE"""),46.19)</f>
        <v>46.19</v>
      </c>
      <c r="F937" s="1">
        <f>IFERROR(__xludf.DUMMYFUNCTION("""COMPUTED_VALUE"""),3803200.0)</f>
        <v>3803200</v>
      </c>
    </row>
    <row r="938">
      <c r="A938" s="2">
        <f>IFERROR(__xludf.DUMMYFUNCTION("""COMPUTED_VALUE"""),37889.666666666664)</f>
        <v>37889.66667</v>
      </c>
      <c r="B938" s="1">
        <f>IFERROR(__xludf.DUMMYFUNCTION("""COMPUTED_VALUE"""),46.19)</f>
        <v>46.19</v>
      </c>
      <c r="C938" s="1">
        <f>IFERROR(__xludf.DUMMYFUNCTION("""COMPUTED_VALUE"""),46.37)</f>
        <v>46.37</v>
      </c>
      <c r="D938" s="1">
        <f>IFERROR(__xludf.DUMMYFUNCTION("""COMPUTED_VALUE"""),45.98)</f>
        <v>45.98</v>
      </c>
      <c r="E938" s="1">
        <f>IFERROR(__xludf.DUMMYFUNCTION("""COMPUTED_VALUE"""),46.08)</f>
        <v>46.08</v>
      </c>
      <c r="F938" s="1">
        <f>IFERROR(__xludf.DUMMYFUNCTION("""COMPUTED_VALUE"""),2731600.0)</f>
        <v>2731600</v>
      </c>
    </row>
    <row r="939">
      <c r="A939" s="2">
        <f>IFERROR(__xludf.DUMMYFUNCTION("""COMPUTED_VALUE"""),37890.666666666664)</f>
        <v>37890.66667</v>
      </c>
      <c r="B939" s="1">
        <f>IFERROR(__xludf.DUMMYFUNCTION("""COMPUTED_VALUE"""),46.0)</f>
        <v>46</v>
      </c>
      <c r="C939" s="1">
        <f>IFERROR(__xludf.DUMMYFUNCTION("""COMPUTED_VALUE"""),46.15)</f>
        <v>46.15</v>
      </c>
      <c r="D939" s="1">
        <f>IFERROR(__xludf.DUMMYFUNCTION("""COMPUTED_VALUE"""),45.76)</f>
        <v>45.76</v>
      </c>
      <c r="E939" s="1">
        <f>IFERROR(__xludf.DUMMYFUNCTION("""COMPUTED_VALUE"""),45.86)</f>
        <v>45.86</v>
      </c>
      <c r="F939" s="1">
        <f>IFERROR(__xludf.DUMMYFUNCTION("""COMPUTED_VALUE"""),2624000.0)</f>
        <v>2624000</v>
      </c>
    </row>
    <row r="940">
      <c r="A940" s="2">
        <f>IFERROR(__xludf.DUMMYFUNCTION("""COMPUTED_VALUE"""),37893.666666666664)</f>
        <v>37893.66667</v>
      </c>
      <c r="B940" s="1">
        <f>IFERROR(__xludf.DUMMYFUNCTION("""COMPUTED_VALUE"""),45.88)</f>
        <v>45.88</v>
      </c>
      <c r="C940" s="1">
        <f>IFERROR(__xludf.DUMMYFUNCTION("""COMPUTED_VALUE"""),46.46)</f>
        <v>46.46</v>
      </c>
      <c r="D940" s="1">
        <f>IFERROR(__xludf.DUMMYFUNCTION("""COMPUTED_VALUE"""),45.86)</f>
        <v>45.86</v>
      </c>
      <c r="E940" s="1">
        <f>IFERROR(__xludf.DUMMYFUNCTION("""COMPUTED_VALUE"""),46.45)</f>
        <v>46.45</v>
      </c>
      <c r="F940" s="1">
        <f>IFERROR(__xludf.DUMMYFUNCTION("""COMPUTED_VALUE"""),3155600.0)</f>
        <v>3155600</v>
      </c>
    </row>
    <row r="941">
      <c r="A941" s="2">
        <f>IFERROR(__xludf.DUMMYFUNCTION("""COMPUTED_VALUE"""),37894.666666666664)</f>
        <v>37894.66667</v>
      </c>
      <c r="B941" s="1">
        <f>IFERROR(__xludf.DUMMYFUNCTION("""COMPUTED_VALUE"""),46.38)</f>
        <v>46.38</v>
      </c>
      <c r="C941" s="1">
        <f>IFERROR(__xludf.DUMMYFUNCTION("""COMPUTED_VALUE"""),46.49)</f>
        <v>46.49</v>
      </c>
      <c r="D941" s="1">
        <f>IFERROR(__xludf.DUMMYFUNCTION("""COMPUTED_VALUE"""),46.22)</f>
        <v>46.22</v>
      </c>
      <c r="E941" s="1">
        <f>IFERROR(__xludf.DUMMYFUNCTION("""COMPUTED_VALUE"""),46.41)</f>
        <v>46.41</v>
      </c>
      <c r="F941" s="1">
        <f>IFERROR(__xludf.DUMMYFUNCTION("""COMPUTED_VALUE"""),3484500.0)</f>
        <v>3484500</v>
      </c>
    </row>
    <row r="942">
      <c r="A942" s="2">
        <f>IFERROR(__xludf.DUMMYFUNCTION("""COMPUTED_VALUE"""),37895.666666666664)</f>
        <v>37895.66667</v>
      </c>
      <c r="B942" s="1">
        <f>IFERROR(__xludf.DUMMYFUNCTION("""COMPUTED_VALUE"""),46.41)</f>
        <v>46.41</v>
      </c>
      <c r="C942" s="1">
        <f>IFERROR(__xludf.DUMMYFUNCTION("""COMPUTED_VALUE"""),46.99)</f>
        <v>46.99</v>
      </c>
      <c r="D942" s="1">
        <f>IFERROR(__xludf.DUMMYFUNCTION("""COMPUTED_VALUE"""),46.41)</f>
        <v>46.41</v>
      </c>
      <c r="E942" s="1">
        <f>IFERROR(__xludf.DUMMYFUNCTION("""COMPUTED_VALUE"""),46.99)</f>
        <v>46.99</v>
      </c>
      <c r="F942" s="1">
        <f>IFERROR(__xludf.DUMMYFUNCTION("""COMPUTED_VALUE"""),3603300.0)</f>
        <v>3603300</v>
      </c>
    </row>
    <row r="943">
      <c r="A943" s="2">
        <f>IFERROR(__xludf.DUMMYFUNCTION("""COMPUTED_VALUE"""),37896.666666666664)</f>
        <v>37896.66667</v>
      </c>
      <c r="B943" s="1">
        <f>IFERROR(__xludf.DUMMYFUNCTION("""COMPUTED_VALUE"""),46.78)</f>
        <v>46.78</v>
      </c>
      <c r="C943" s="1">
        <f>IFERROR(__xludf.DUMMYFUNCTION("""COMPUTED_VALUE"""),47.34)</f>
        <v>47.34</v>
      </c>
      <c r="D943" s="1">
        <f>IFERROR(__xludf.DUMMYFUNCTION("""COMPUTED_VALUE"""),46.76)</f>
        <v>46.76</v>
      </c>
      <c r="E943" s="1">
        <f>IFERROR(__xludf.DUMMYFUNCTION("""COMPUTED_VALUE"""),47.24)</f>
        <v>47.24</v>
      </c>
      <c r="F943" s="1">
        <f>IFERROR(__xludf.DUMMYFUNCTION("""COMPUTED_VALUE"""),3297700.0)</f>
        <v>3297700</v>
      </c>
    </row>
    <row r="944">
      <c r="A944" s="2">
        <f>IFERROR(__xludf.DUMMYFUNCTION("""COMPUTED_VALUE"""),37897.666666666664)</f>
        <v>37897.66667</v>
      </c>
      <c r="B944" s="1">
        <f>IFERROR(__xludf.DUMMYFUNCTION("""COMPUTED_VALUE"""),47.4)</f>
        <v>47.4</v>
      </c>
      <c r="C944" s="1">
        <f>IFERROR(__xludf.DUMMYFUNCTION("""COMPUTED_VALUE"""),47.49)</f>
        <v>47.49</v>
      </c>
      <c r="D944" s="1">
        <f>IFERROR(__xludf.DUMMYFUNCTION("""COMPUTED_VALUE"""),47.19)</f>
        <v>47.19</v>
      </c>
      <c r="E944" s="1">
        <f>IFERROR(__xludf.DUMMYFUNCTION("""COMPUTED_VALUE"""),47.45)</f>
        <v>47.45</v>
      </c>
      <c r="F944" s="1">
        <f>IFERROR(__xludf.DUMMYFUNCTION("""COMPUTED_VALUE"""),4340800.0)</f>
        <v>4340800</v>
      </c>
    </row>
    <row r="945">
      <c r="A945" s="2">
        <f>IFERROR(__xludf.DUMMYFUNCTION("""COMPUTED_VALUE"""),37900.666666666664)</f>
        <v>37900.66667</v>
      </c>
      <c r="B945" s="1">
        <f>IFERROR(__xludf.DUMMYFUNCTION("""COMPUTED_VALUE"""),47.35)</f>
        <v>47.35</v>
      </c>
      <c r="C945" s="1">
        <f>IFERROR(__xludf.DUMMYFUNCTION("""COMPUTED_VALUE"""),47.41)</f>
        <v>47.41</v>
      </c>
      <c r="D945" s="1">
        <f>IFERROR(__xludf.DUMMYFUNCTION("""COMPUTED_VALUE"""),46.8)</f>
        <v>46.8</v>
      </c>
      <c r="E945" s="1">
        <f>IFERROR(__xludf.DUMMYFUNCTION("""COMPUTED_VALUE"""),47.01)</f>
        <v>47.01</v>
      </c>
      <c r="F945" s="1">
        <f>IFERROR(__xludf.DUMMYFUNCTION("""COMPUTED_VALUE"""),2529300.0)</f>
        <v>2529300</v>
      </c>
    </row>
    <row r="946">
      <c r="A946" s="2">
        <f>IFERROR(__xludf.DUMMYFUNCTION("""COMPUTED_VALUE"""),37901.666666666664)</f>
        <v>37901.66667</v>
      </c>
      <c r="B946" s="1">
        <f>IFERROR(__xludf.DUMMYFUNCTION("""COMPUTED_VALUE"""),47.01)</f>
        <v>47.01</v>
      </c>
      <c r="C946" s="1">
        <f>IFERROR(__xludf.DUMMYFUNCTION("""COMPUTED_VALUE"""),47.55)</f>
        <v>47.55</v>
      </c>
      <c r="D946" s="1">
        <f>IFERROR(__xludf.DUMMYFUNCTION("""COMPUTED_VALUE"""),46.86)</f>
        <v>46.86</v>
      </c>
      <c r="E946" s="1">
        <f>IFERROR(__xludf.DUMMYFUNCTION("""COMPUTED_VALUE"""),47.55)</f>
        <v>47.55</v>
      </c>
      <c r="F946" s="1">
        <f>IFERROR(__xludf.DUMMYFUNCTION("""COMPUTED_VALUE"""),3646400.0)</f>
        <v>3646400</v>
      </c>
    </row>
    <row r="947">
      <c r="A947" s="2">
        <f>IFERROR(__xludf.DUMMYFUNCTION("""COMPUTED_VALUE"""),37902.666666666664)</f>
        <v>37902.66667</v>
      </c>
      <c r="B947" s="1">
        <f>IFERROR(__xludf.DUMMYFUNCTION("""COMPUTED_VALUE"""),47.3)</f>
        <v>47.3</v>
      </c>
      <c r="C947" s="1">
        <f>IFERROR(__xludf.DUMMYFUNCTION("""COMPUTED_VALUE"""),47.54)</f>
        <v>47.54</v>
      </c>
      <c r="D947" s="1">
        <f>IFERROR(__xludf.DUMMYFUNCTION("""COMPUTED_VALUE"""),47.11)</f>
        <v>47.11</v>
      </c>
      <c r="E947" s="1">
        <f>IFERROR(__xludf.DUMMYFUNCTION("""COMPUTED_VALUE"""),47.49)</f>
        <v>47.49</v>
      </c>
      <c r="F947" s="1">
        <f>IFERROR(__xludf.DUMMYFUNCTION("""COMPUTED_VALUE"""),2826600.0)</f>
        <v>2826600</v>
      </c>
    </row>
    <row r="948">
      <c r="A948" s="2">
        <f>IFERROR(__xludf.DUMMYFUNCTION("""COMPUTED_VALUE"""),37903.666666666664)</f>
        <v>37903.66667</v>
      </c>
      <c r="B948" s="1">
        <f>IFERROR(__xludf.DUMMYFUNCTION("""COMPUTED_VALUE"""),47.74)</f>
        <v>47.74</v>
      </c>
      <c r="C948" s="1">
        <f>IFERROR(__xludf.DUMMYFUNCTION("""COMPUTED_VALUE"""),47.89)</f>
        <v>47.89</v>
      </c>
      <c r="D948" s="1">
        <f>IFERROR(__xludf.DUMMYFUNCTION("""COMPUTED_VALUE"""),47.23)</f>
        <v>47.23</v>
      </c>
      <c r="E948" s="1">
        <f>IFERROR(__xludf.DUMMYFUNCTION("""COMPUTED_VALUE"""),47.5)</f>
        <v>47.5</v>
      </c>
      <c r="F948" s="1">
        <f>IFERROR(__xludf.DUMMYFUNCTION("""COMPUTED_VALUE"""),3342200.0)</f>
        <v>3342200</v>
      </c>
    </row>
    <row r="949">
      <c r="A949" s="2">
        <f>IFERROR(__xludf.DUMMYFUNCTION("""COMPUTED_VALUE"""),37904.666666666664)</f>
        <v>37904.66667</v>
      </c>
      <c r="B949" s="1">
        <f>IFERROR(__xludf.DUMMYFUNCTION("""COMPUTED_VALUE"""),47.4)</f>
        <v>47.4</v>
      </c>
      <c r="C949" s="1">
        <f>IFERROR(__xludf.DUMMYFUNCTION("""COMPUTED_VALUE"""),47.82)</f>
        <v>47.82</v>
      </c>
      <c r="D949" s="1">
        <f>IFERROR(__xludf.DUMMYFUNCTION("""COMPUTED_VALUE"""),47.38)</f>
        <v>47.38</v>
      </c>
      <c r="E949" s="1">
        <f>IFERROR(__xludf.DUMMYFUNCTION("""COMPUTED_VALUE"""),47.8)</f>
        <v>47.8</v>
      </c>
      <c r="F949" s="1">
        <f>IFERROR(__xludf.DUMMYFUNCTION("""COMPUTED_VALUE"""),2056400.0)</f>
        <v>2056400</v>
      </c>
    </row>
    <row r="950">
      <c r="A950" s="2">
        <f>IFERROR(__xludf.DUMMYFUNCTION("""COMPUTED_VALUE"""),37907.666666666664)</f>
        <v>37907.66667</v>
      </c>
      <c r="B950" s="1">
        <f>IFERROR(__xludf.DUMMYFUNCTION("""COMPUTED_VALUE"""),47.75)</f>
        <v>47.75</v>
      </c>
      <c r="C950" s="1">
        <f>IFERROR(__xludf.DUMMYFUNCTION("""COMPUTED_VALUE"""),48.08)</f>
        <v>48.08</v>
      </c>
      <c r="D950" s="1">
        <f>IFERROR(__xludf.DUMMYFUNCTION("""COMPUTED_VALUE"""),47.58)</f>
        <v>47.58</v>
      </c>
      <c r="E950" s="1">
        <f>IFERROR(__xludf.DUMMYFUNCTION("""COMPUTED_VALUE"""),47.75)</f>
        <v>47.75</v>
      </c>
      <c r="F950" s="1">
        <f>IFERROR(__xludf.DUMMYFUNCTION("""COMPUTED_VALUE"""),2515300.0)</f>
        <v>2515300</v>
      </c>
    </row>
    <row r="951">
      <c r="A951" s="2">
        <f>IFERROR(__xludf.DUMMYFUNCTION("""COMPUTED_VALUE"""),37908.666666666664)</f>
        <v>37908.66667</v>
      </c>
      <c r="B951" s="1">
        <f>IFERROR(__xludf.DUMMYFUNCTION("""COMPUTED_VALUE"""),47.64)</f>
        <v>47.64</v>
      </c>
      <c r="C951" s="1">
        <f>IFERROR(__xludf.DUMMYFUNCTION("""COMPUTED_VALUE"""),48.0)</f>
        <v>48</v>
      </c>
      <c r="D951" s="1">
        <f>IFERROR(__xludf.DUMMYFUNCTION("""COMPUTED_VALUE"""),47.58)</f>
        <v>47.58</v>
      </c>
      <c r="E951" s="1">
        <f>IFERROR(__xludf.DUMMYFUNCTION("""COMPUTED_VALUE"""),48.0)</f>
        <v>48</v>
      </c>
      <c r="F951" s="1">
        <f>IFERROR(__xludf.DUMMYFUNCTION("""COMPUTED_VALUE"""),2572700.0)</f>
        <v>2572700</v>
      </c>
    </row>
    <row r="952">
      <c r="A952" s="2">
        <f>IFERROR(__xludf.DUMMYFUNCTION("""COMPUTED_VALUE"""),37909.666666666664)</f>
        <v>37909.66667</v>
      </c>
      <c r="B952" s="1">
        <f>IFERROR(__xludf.DUMMYFUNCTION("""COMPUTED_VALUE"""),47.83)</f>
        <v>47.83</v>
      </c>
      <c r="C952" s="1">
        <f>IFERROR(__xludf.DUMMYFUNCTION("""COMPUTED_VALUE"""),47.93)</f>
        <v>47.93</v>
      </c>
      <c r="D952" s="1">
        <f>IFERROR(__xludf.DUMMYFUNCTION("""COMPUTED_VALUE"""),47.62)</f>
        <v>47.62</v>
      </c>
      <c r="E952" s="1">
        <f>IFERROR(__xludf.DUMMYFUNCTION("""COMPUTED_VALUE"""),47.82)</f>
        <v>47.82</v>
      </c>
      <c r="F952" s="1">
        <f>IFERROR(__xludf.DUMMYFUNCTION("""COMPUTED_VALUE"""),2795800.0)</f>
        <v>2795800</v>
      </c>
    </row>
    <row r="953">
      <c r="A953" s="2">
        <f>IFERROR(__xludf.DUMMYFUNCTION("""COMPUTED_VALUE"""),37910.666666666664)</f>
        <v>37910.66667</v>
      </c>
      <c r="B953" s="1">
        <f>IFERROR(__xludf.DUMMYFUNCTION("""COMPUTED_VALUE"""),47.82)</f>
        <v>47.82</v>
      </c>
      <c r="C953" s="1">
        <f>IFERROR(__xludf.DUMMYFUNCTION("""COMPUTED_VALUE"""),48.31)</f>
        <v>48.31</v>
      </c>
      <c r="D953" s="1">
        <f>IFERROR(__xludf.DUMMYFUNCTION("""COMPUTED_VALUE"""),47.8)</f>
        <v>47.8</v>
      </c>
      <c r="E953" s="1">
        <f>IFERROR(__xludf.DUMMYFUNCTION("""COMPUTED_VALUE"""),48.15)</f>
        <v>48.15</v>
      </c>
      <c r="F953" s="1">
        <f>IFERROR(__xludf.DUMMYFUNCTION("""COMPUTED_VALUE"""),3012200.0)</f>
        <v>3012200</v>
      </c>
    </row>
    <row r="954">
      <c r="A954" s="2">
        <f>IFERROR(__xludf.DUMMYFUNCTION("""COMPUTED_VALUE"""),37911.666666666664)</f>
        <v>37911.66667</v>
      </c>
      <c r="B954" s="1">
        <f>IFERROR(__xludf.DUMMYFUNCTION("""COMPUTED_VALUE"""),48.25)</f>
        <v>48.25</v>
      </c>
      <c r="C954" s="1">
        <f>IFERROR(__xludf.DUMMYFUNCTION("""COMPUTED_VALUE"""),48.5)</f>
        <v>48.5</v>
      </c>
      <c r="D954" s="1">
        <f>IFERROR(__xludf.DUMMYFUNCTION("""COMPUTED_VALUE"""),48.01)</f>
        <v>48.01</v>
      </c>
      <c r="E954" s="1">
        <f>IFERROR(__xludf.DUMMYFUNCTION("""COMPUTED_VALUE"""),48.1)</f>
        <v>48.1</v>
      </c>
      <c r="F954" s="1">
        <f>IFERROR(__xludf.DUMMYFUNCTION("""COMPUTED_VALUE"""),2909800.0)</f>
        <v>2909800</v>
      </c>
    </row>
    <row r="955">
      <c r="A955" s="2">
        <f>IFERROR(__xludf.DUMMYFUNCTION("""COMPUTED_VALUE"""),37914.666666666664)</f>
        <v>37914.66667</v>
      </c>
      <c r="B955" s="1">
        <f>IFERROR(__xludf.DUMMYFUNCTION("""COMPUTED_VALUE"""),48.0)</f>
        <v>48</v>
      </c>
      <c r="C955" s="1">
        <f>IFERROR(__xludf.DUMMYFUNCTION("""COMPUTED_VALUE"""),48.05)</f>
        <v>48.05</v>
      </c>
      <c r="D955" s="1">
        <f>IFERROR(__xludf.DUMMYFUNCTION("""COMPUTED_VALUE"""),47.71)</f>
        <v>47.71</v>
      </c>
      <c r="E955" s="1">
        <f>IFERROR(__xludf.DUMMYFUNCTION("""COMPUTED_VALUE"""),47.99)</f>
        <v>47.99</v>
      </c>
      <c r="F955" s="1">
        <f>IFERROR(__xludf.DUMMYFUNCTION("""COMPUTED_VALUE"""),2973000.0)</f>
        <v>2973000</v>
      </c>
    </row>
    <row r="956">
      <c r="A956" s="2">
        <f>IFERROR(__xludf.DUMMYFUNCTION("""COMPUTED_VALUE"""),37915.666666666664)</f>
        <v>37915.66667</v>
      </c>
      <c r="B956" s="1">
        <f>IFERROR(__xludf.DUMMYFUNCTION("""COMPUTED_VALUE"""),48.12)</f>
        <v>48.12</v>
      </c>
      <c r="C956" s="1">
        <f>IFERROR(__xludf.DUMMYFUNCTION("""COMPUTED_VALUE"""),48.19)</f>
        <v>48.19</v>
      </c>
      <c r="D956" s="1">
        <f>IFERROR(__xludf.DUMMYFUNCTION("""COMPUTED_VALUE"""),47.85)</f>
        <v>47.85</v>
      </c>
      <c r="E956" s="1">
        <f>IFERROR(__xludf.DUMMYFUNCTION("""COMPUTED_VALUE"""),47.86)</f>
        <v>47.86</v>
      </c>
      <c r="F956" s="1">
        <f>IFERROR(__xludf.DUMMYFUNCTION("""COMPUTED_VALUE"""),1928100.0)</f>
        <v>1928100</v>
      </c>
    </row>
    <row r="957">
      <c r="A957" s="2">
        <f>IFERROR(__xludf.DUMMYFUNCTION("""COMPUTED_VALUE"""),37916.666666666664)</f>
        <v>37916.66667</v>
      </c>
      <c r="B957" s="1">
        <f>IFERROR(__xludf.DUMMYFUNCTION("""COMPUTED_VALUE"""),47.37)</f>
        <v>47.37</v>
      </c>
      <c r="C957" s="1">
        <f>IFERROR(__xludf.DUMMYFUNCTION("""COMPUTED_VALUE"""),47.87)</f>
        <v>47.87</v>
      </c>
      <c r="D957" s="1">
        <f>IFERROR(__xludf.DUMMYFUNCTION("""COMPUTED_VALUE"""),47.37)</f>
        <v>47.37</v>
      </c>
      <c r="E957" s="1">
        <f>IFERROR(__xludf.DUMMYFUNCTION("""COMPUTED_VALUE"""),47.63)</f>
        <v>47.63</v>
      </c>
      <c r="F957" s="1">
        <f>IFERROR(__xludf.DUMMYFUNCTION("""COMPUTED_VALUE"""),2732100.0)</f>
        <v>2732100</v>
      </c>
    </row>
    <row r="958">
      <c r="A958" s="2">
        <f>IFERROR(__xludf.DUMMYFUNCTION("""COMPUTED_VALUE"""),37917.666666666664)</f>
        <v>37917.66667</v>
      </c>
      <c r="B958" s="1">
        <f>IFERROR(__xludf.DUMMYFUNCTION("""COMPUTED_VALUE"""),47.63)</f>
        <v>47.63</v>
      </c>
      <c r="C958" s="1">
        <f>IFERROR(__xludf.DUMMYFUNCTION("""COMPUTED_VALUE"""),47.74)</f>
        <v>47.74</v>
      </c>
      <c r="D958" s="1">
        <f>IFERROR(__xludf.DUMMYFUNCTION("""COMPUTED_VALUE"""),47.38)</f>
        <v>47.38</v>
      </c>
      <c r="E958" s="1">
        <f>IFERROR(__xludf.DUMMYFUNCTION("""COMPUTED_VALUE"""),47.58)</f>
        <v>47.58</v>
      </c>
      <c r="F958" s="1">
        <f>IFERROR(__xludf.DUMMYFUNCTION("""COMPUTED_VALUE"""),3506800.0)</f>
        <v>3506800</v>
      </c>
    </row>
    <row r="959">
      <c r="A959" s="2">
        <f>IFERROR(__xludf.DUMMYFUNCTION("""COMPUTED_VALUE"""),37918.666666666664)</f>
        <v>37918.66667</v>
      </c>
      <c r="B959" s="1">
        <f>IFERROR(__xludf.DUMMYFUNCTION("""COMPUTED_VALUE"""),47.35)</f>
        <v>47.35</v>
      </c>
      <c r="C959" s="1">
        <f>IFERROR(__xludf.DUMMYFUNCTION("""COMPUTED_VALUE"""),48.03)</f>
        <v>48.03</v>
      </c>
      <c r="D959" s="1">
        <f>IFERROR(__xludf.DUMMYFUNCTION("""COMPUTED_VALUE"""),47.28)</f>
        <v>47.28</v>
      </c>
      <c r="E959" s="1">
        <f>IFERROR(__xludf.DUMMYFUNCTION("""COMPUTED_VALUE"""),48.03)</f>
        <v>48.03</v>
      </c>
      <c r="F959" s="1">
        <f>IFERROR(__xludf.DUMMYFUNCTION("""COMPUTED_VALUE"""),2934300.0)</f>
        <v>2934300</v>
      </c>
    </row>
    <row r="960">
      <c r="A960" s="2">
        <f>IFERROR(__xludf.DUMMYFUNCTION("""COMPUTED_VALUE"""),37921.666666666664)</f>
        <v>37921.66667</v>
      </c>
      <c r="B960" s="1">
        <f>IFERROR(__xludf.DUMMYFUNCTION("""COMPUTED_VALUE"""),48.05)</f>
        <v>48.05</v>
      </c>
      <c r="C960" s="1">
        <f>IFERROR(__xludf.DUMMYFUNCTION("""COMPUTED_VALUE"""),48.8)</f>
        <v>48.8</v>
      </c>
      <c r="D960" s="1">
        <f>IFERROR(__xludf.DUMMYFUNCTION("""COMPUTED_VALUE"""),47.98)</f>
        <v>47.98</v>
      </c>
      <c r="E960" s="1">
        <f>IFERROR(__xludf.DUMMYFUNCTION("""COMPUTED_VALUE"""),48.4)</f>
        <v>48.4</v>
      </c>
      <c r="F960" s="1">
        <f>IFERROR(__xludf.DUMMYFUNCTION("""COMPUTED_VALUE"""),4383000.0)</f>
        <v>4383000</v>
      </c>
    </row>
    <row r="961">
      <c r="A961" s="2">
        <f>IFERROR(__xludf.DUMMYFUNCTION("""COMPUTED_VALUE"""),37922.666666666664)</f>
        <v>37922.66667</v>
      </c>
      <c r="B961" s="1">
        <f>IFERROR(__xludf.DUMMYFUNCTION("""COMPUTED_VALUE"""),48.63)</f>
        <v>48.63</v>
      </c>
      <c r="C961" s="1">
        <f>IFERROR(__xludf.DUMMYFUNCTION("""COMPUTED_VALUE"""),48.86)</f>
        <v>48.86</v>
      </c>
      <c r="D961" s="1">
        <f>IFERROR(__xludf.DUMMYFUNCTION("""COMPUTED_VALUE"""),48.34)</f>
        <v>48.34</v>
      </c>
      <c r="E961" s="1">
        <f>IFERROR(__xludf.DUMMYFUNCTION("""COMPUTED_VALUE"""),48.75)</f>
        <v>48.75</v>
      </c>
      <c r="F961" s="1">
        <f>IFERROR(__xludf.DUMMYFUNCTION("""COMPUTED_VALUE"""),3189000.0)</f>
        <v>3189000</v>
      </c>
    </row>
    <row r="962">
      <c r="A962" s="2">
        <f>IFERROR(__xludf.DUMMYFUNCTION("""COMPUTED_VALUE"""),37923.666666666664)</f>
        <v>37923.66667</v>
      </c>
      <c r="B962" s="1">
        <f>IFERROR(__xludf.DUMMYFUNCTION("""COMPUTED_VALUE"""),48.75)</f>
        <v>48.75</v>
      </c>
      <c r="C962" s="1">
        <f>IFERROR(__xludf.DUMMYFUNCTION("""COMPUTED_VALUE"""),48.85)</f>
        <v>48.85</v>
      </c>
      <c r="D962" s="1">
        <f>IFERROR(__xludf.DUMMYFUNCTION("""COMPUTED_VALUE"""),48.5)</f>
        <v>48.5</v>
      </c>
      <c r="E962" s="1">
        <f>IFERROR(__xludf.DUMMYFUNCTION("""COMPUTED_VALUE"""),48.63)</f>
        <v>48.63</v>
      </c>
      <c r="F962" s="1">
        <f>IFERROR(__xludf.DUMMYFUNCTION("""COMPUTED_VALUE"""),2713800.0)</f>
        <v>2713800</v>
      </c>
    </row>
    <row r="963">
      <c r="A963" s="2">
        <f>IFERROR(__xludf.DUMMYFUNCTION("""COMPUTED_VALUE"""),37924.666666666664)</f>
        <v>37924.66667</v>
      </c>
      <c r="B963" s="1">
        <f>IFERROR(__xludf.DUMMYFUNCTION("""COMPUTED_VALUE"""),48.63)</f>
        <v>48.63</v>
      </c>
      <c r="C963" s="1">
        <f>IFERROR(__xludf.DUMMYFUNCTION("""COMPUTED_VALUE"""),49.07)</f>
        <v>49.07</v>
      </c>
      <c r="D963" s="1">
        <f>IFERROR(__xludf.DUMMYFUNCTION("""COMPUTED_VALUE"""),48.63)</f>
        <v>48.63</v>
      </c>
      <c r="E963" s="1">
        <f>IFERROR(__xludf.DUMMYFUNCTION("""COMPUTED_VALUE"""),48.97)</f>
        <v>48.97</v>
      </c>
      <c r="F963" s="1">
        <f>IFERROR(__xludf.DUMMYFUNCTION("""COMPUTED_VALUE"""),3078700.0)</f>
        <v>3078700</v>
      </c>
    </row>
    <row r="964">
      <c r="A964" s="2">
        <f>IFERROR(__xludf.DUMMYFUNCTION("""COMPUTED_VALUE"""),37925.666666666664)</f>
        <v>37925.66667</v>
      </c>
      <c r="B964" s="1">
        <f>IFERROR(__xludf.DUMMYFUNCTION("""COMPUTED_VALUE"""),48.97)</f>
        <v>48.97</v>
      </c>
      <c r="C964" s="1">
        <f>IFERROR(__xludf.DUMMYFUNCTION("""COMPUTED_VALUE"""),49.3)</f>
        <v>49.3</v>
      </c>
      <c r="D964" s="1">
        <f>IFERROR(__xludf.DUMMYFUNCTION("""COMPUTED_VALUE"""),48.93)</f>
        <v>48.93</v>
      </c>
      <c r="E964" s="1">
        <f>IFERROR(__xludf.DUMMYFUNCTION("""COMPUTED_VALUE"""),49.15)</f>
        <v>49.15</v>
      </c>
      <c r="F964" s="1">
        <f>IFERROR(__xludf.DUMMYFUNCTION("""COMPUTED_VALUE"""),3652900.0)</f>
        <v>3652900</v>
      </c>
    </row>
    <row r="965">
      <c r="A965" s="2">
        <f>IFERROR(__xludf.DUMMYFUNCTION("""COMPUTED_VALUE"""),37928.666666666664)</f>
        <v>37928.66667</v>
      </c>
      <c r="B965" s="1">
        <f>IFERROR(__xludf.DUMMYFUNCTION("""COMPUTED_VALUE"""),48.93)</f>
        <v>48.93</v>
      </c>
      <c r="C965" s="1">
        <f>IFERROR(__xludf.DUMMYFUNCTION("""COMPUTED_VALUE"""),49.24)</f>
        <v>49.24</v>
      </c>
      <c r="D965" s="1">
        <f>IFERROR(__xludf.DUMMYFUNCTION("""COMPUTED_VALUE"""),48.75)</f>
        <v>48.75</v>
      </c>
      <c r="E965" s="1">
        <f>IFERROR(__xludf.DUMMYFUNCTION("""COMPUTED_VALUE"""),48.75)</f>
        <v>48.75</v>
      </c>
      <c r="F965" s="1">
        <f>IFERROR(__xludf.DUMMYFUNCTION("""COMPUTED_VALUE"""),2564146.0)</f>
        <v>2564146</v>
      </c>
    </row>
    <row r="966">
      <c r="A966" s="2">
        <f>IFERROR(__xludf.DUMMYFUNCTION("""COMPUTED_VALUE"""),37929.666666666664)</f>
        <v>37929.66667</v>
      </c>
      <c r="B966" s="1">
        <f>IFERROR(__xludf.DUMMYFUNCTION("""COMPUTED_VALUE"""),48.75)</f>
        <v>48.75</v>
      </c>
      <c r="C966" s="1">
        <f>IFERROR(__xludf.DUMMYFUNCTION("""COMPUTED_VALUE"""),48.91)</f>
        <v>48.91</v>
      </c>
      <c r="D966" s="1">
        <f>IFERROR(__xludf.DUMMYFUNCTION("""COMPUTED_VALUE"""),48.55)</f>
        <v>48.55</v>
      </c>
      <c r="E966" s="1">
        <f>IFERROR(__xludf.DUMMYFUNCTION("""COMPUTED_VALUE"""),48.68)</f>
        <v>48.68</v>
      </c>
      <c r="F966" s="1">
        <f>IFERROR(__xludf.DUMMYFUNCTION("""COMPUTED_VALUE"""),2387573.0)</f>
        <v>2387573</v>
      </c>
    </row>
    <row r="967">
      <c r="A967" s="2">
        <f>IFERROR(__xludf.DUMMYFUNCTION("""COMPUTED_VALUE"""),37930.666666666664)</f>
        <v>37930.66667</v>
      </c>
      <c r="B967" s="1">
        <f>IFERROR(__xludf.DUMMYFUNCTION("""COMPUTED_VALUE"""),48.55)</f>
        <v>48.55</v>
      </c>
      <c r="C967" s="1">
        <f>IFERROR(__xludf.DUMMYFUNCTION("""COMPUTED_VALUE"""),48.75)</f>
        <v>48.75</v>
      </c>
      <c r="D967" s="1">
        <f>IFERROR(__xludf.DUMMYFUNCTION("""COMPUTED_VALUE"""),48.39)</f>
        <v>48.39</v>
      </c>
      <c r="E967" s="1">
        <f>IFERROR(__xludf.DUMMYFUNCTION("""COMPUTED_VALUE"""),48.58)</f>
        <v>48.58</v>
      </c>
      <c r="F967" s="1">
        <f>IFERROR(__xludf.DUMMYFUNCTION("""COMPUTED_VALUE"""),2505600.0)</f>
        <v>2505600</v>
      </c>
    </row>
    <row r="968">
      <c r="A968" s="2">
        <f>IFERROR(__xludf.DUMMYFUNCTION("""COMPUTED_VALUE"""),37931.666666666664)</f>
        <v>37931.66667</v>
      </c>
      <c r="B968" s="1">
        <f>IFERROR(__xludf.DUMMYFUNCTION("""COMPUTED_VALUE"""),48.43)</f>
        <v>48.43</v>
      </c>
      <c r="C968" s="1">
        <f>IFERROR(__xludf.DUMMYFUNCTION("""COMPUTED_VALUE"""),48.85)</f>
        <v>48.85</v>
      </c>
      <c r="D968" s="1">
        <f>IFERROR(__xludf.DUMMYFUNCTION("""COMPUTED_VALUE"""),48.4)</f>
        <v>48.4</v>
      </c>
      <c r="E968" s="1">
        <f>IFERROR(__xludf.DUMMYFUNCTION("""COMPUTED_VALUE"""),48.78)</f>
        <v>48.78</v>
      </c>
      <c r="F968" s="1">
        <f>IFERROR(__xludf.DUMMYFUNCTION("""COMPUTED_VALUE"""),2619200.0)</f>
        <v>2619200</v>
      </c>
    </row>
    <row r="969">
      <c r="A969" s="2">
        <f>IFERROR(__xludf.DUMMYFUNCTION("""COMPUTED_VALUE"""),37932.666666666664)</f>
        <v>37932.66667</v>
      </c>
      <c r="B969" s="1">
        <f>IFERROR(__xludf.DUMMYFUNCTION("""COMPUTED_VALUE"""),48.78)</f>
        <v>48.78</v>
      </c>
      <c r="C969" s="1">
        <f>IFERROR(__xludf.DUMMYFUNCTION("""COMPUTED_VALUE"""),48.99)</f>
        <v>48.99</v>
      </c>
      <c r="D969" s="1">
        <f>IFERROR(__xludf.DUMMYFUNCTION("""COMPUTED_VALUE"""),48.31)</f>
        <v>48.31</v>
      </c>
      <c r="E969" s="1">
        <f>IFERROR(__xludf.DUMMYFUNCTION("""COMPUTED_VALUE"""),48.41)</f>
        <v>48.41</v>
      </c>
      <c r="F969" s="1">
        <f>IFERROR(__xludf.DUMMYFUNCTION("""COMPUTED_VALUE"""),2754000.0)</f>
        <v>2754000</v>
      </c>
    </row>
    <row r="970">
      <c r="A970" s="2">
        <f>IFERROR(__xludf.DUMMYFUNCTION("""COMPUTED_VALUE"""),37935.666666666664)</f>
        <v>37935.66667</v>
      </c>
      <c r="B970" s="1">
        <f>IFERROR(__xludf.DUMMYFUNCTION("""COMPUTED_VALUE"""),48.41)</f>
        <v>48.41</v>
      </c>
      <c r="C970" s="1">
        <f>IFERROR(__xludf.DUMMYFUNCTION("""COMPUTED_VALUE"""),48.55)</f>
        <v>48.55</v>
      </c>
      <c r="D970" s="1">
        <f>IFERROR(__xludf.DUMMYFUNCTION("""COMPUTED_VALUE"""),47.83)</f>
        <v>47.83</v>
      </c>
      <c r="E970" s="1">
        <f>IFERROR(__xludf.DUMMYFUNCTION("""COMPUTED_VALUE"""),48.0)</f>
        <v>48</v>
      </c>
      <c r="F970" s="1">
        <f>IFERROR(__xludf.DUMMYFUNCTION("""COMPUTED_VALUE"""),3207500.0)</f>
        <v>3207500</v>
      </c>
    </row>
    <row r="971">
      <c r="A971" s="2">
        <f>IFERROR(__xludf.DUMMYFUNCTION("""COMPUTED_VALUE"""),37936.666666666664)</f>
        <v>37936.66667</v>
      </c>
      <c r="B971" s="1">
        <f>IFERROR(__xludf.DUMMYFUNCTION("""COMPUTED_VALUE"""),48.01)</f>
        <v>48.01</v>
      </c>
      <c r="C971" s="1">
        <f>IFERROR(__xludf.DUMMYFUNCTION("""COMPUTED_VALUE"""),48.18)</f>
        <v>48.18</v>
      </c>
      <c r="D971" s="1">
        <f>IFERROR(__xludf.DUMMYFUNCTION("""COMPUTED_VALUE"""),47.91)</f>
        <v>47.91</v>
      </c>
      <c r="E971" s="1">
        <f>IFERROR(__xludf.DUMMYFUNCTION("""COMPUTED_VALUE"""),47.97)</f>
        <v>47.97</v>
      </c>
      <c r="F971" s="1">
        <f>IFERROR(__xludf.DUMMYFUNCTION("""COMPUTED_VALUE"""),3016300.0)</f>
        <v>3016300</v>
      </c>
    </row>
    <row r="972">
      <c r="A972" s="2">
        <f>IFERROR(__xludf.DUMMYFUNCTION("""COMPUTED_VALUE"""),37937.666666666664)</f>
        <v>37937.66667</v>
      </c>
      <c r="B972" s="1">
        <f>IFERROR(__xludf.DUMMYFUNCTION("""COMPUTED_VALUE"""),47.76)</f>
        <v>47.76</v>
      </c>
      <c r="C972" s="1">
        <f>IFERROR(__xludf.DUMMYFUNCTION("""COMPUTED_VALUE"""),48.65)</f>
        <v>48.65</v>
      </c>
      <c r="D972" s="1">
        <f>IFERROR(__xludf.DUMMYFUNCTION("""COMPUTED_VALUE"""),47.76)</f>
        <v>47.76</v>
      </c>
      <c r="E972" s="1">
        <f>IFERROR(__xludf.DUMMYFUNCTION("""COMPUTED_VALUE"""),48.5)</f>
        <v>48.5</v>
      </c>
      <c r="F972" s="1">
        <f>IFERROR(__xludf.DUMMYFUNCTION("""COMPUTED_VALUE"""),2696600.0)</f>
        <v>2696600</v>
      </c>
    </row>
    <row r="973">
      <c r="A973" s="2">
        <f>IFERROR(__xludf.DUMMYFUNCTION("""COMPUTED_VALUE"""),37938.666666666664)</f>
        <v>37938.66667</v>
      </c>
      <c r="B973" s="1">
        <f>IFERROR(__xludf.DUMMYFUNCTION("""COMPUTED_VALUE"""),48.38)</f>
        <v>48.38</v>
      </c>
      <c r="C973" s="1">
        <f>IFERROR(__xludf.DUMMYFUNCTION("""COMPUTED_VALUE"""),48.38)</f>
        <v>48.38</v>
      </c>
      <c r="D973" s="1">
        <f>IFERROR(__xludf.DUMMYFUNCTION("""COMPUTED_VALUE"""),47.97)</f>
        <v>47.97</v>
      </c>
      <c r="E973" s="1">
        <f>IFERROR(__xludf.DUMMYFUNCTION("""COMPUTED_VALUE"""),48.18)</f>
        <v>48.18</v>
      </c>
      <c r="F973" s="1">
        <f>IFERROR(__xludf.DUMMYFUNCTION("""COMPUTED_VALUE"""),2610300.0)</f>
        <v>2610300</v>
      </c>
    </row>
    <row r="974">
      <c r="A974" s="2">
        <f>IFERROR(__xludf.DUMMYFUNCTION("""COMPUTED_VALUE"""),37939.666666666664)</f>
        <v>37939.66667</v>
      </c>
      <c r="B974" s="1">
        <f>IFERROR(__xludf.DUMMYFUNCTION("""COMPUTED_VALUE"""),48.04)</f>
        <v>48.04</v>
      </c>
      <c r="C974" s="1">
        <f>IFERROR(__xludf.DUMMYFUNCTION("""COMPUTED_VALUE"""),48.24)</f>
        <v>48.24</v>
      </c>
      <c r="D974" s="1">
        <f>IFERROR(__xludf.DUMMYFUNCTION("""COMPUTED_VALUE"""),47.66)</f>
        <v>47.66</v>
      </c>
      <c r="E974" s="1">
        <f>IFERROR(__xludf.DUMMYFUNCTION("""COMPUTED_VALUE"""),47.86)</f>
        <v>47.86</v>
      </c>
      <c r="F974" s="1">
        <f>IFERROR(__xludf.DUMMYFUNCTION("""COMPUTED_VALUE"""),2778800.0)</f>
        <v>2778800</v>
      </c>
    </row>
    <row r="975">
      <c r="A975" s="2">
        <f>IFERROR(__xludf.DUMMYFUNCTION("""COMPUTED_VALUE"""),37942.666666666664)</f>
        <v>37942.66667</v>
      </c>
      <c r="B975" s="1">
        <f>IFERROR(__xludf.DUMMYFUNCTION("""COMPUTED_VALUE"""),47.72)</f>
        <v>47.72</v>
      </c>
      <c r="C975" s="1">
        <f>IFERROR(__xludf.DUMMYFUNCTION("""COMPUTED_VALUE"""),48.2)</f>
        <v>48.2</v>
      </c>
      <c r="D975" s="1">
        <f>IFERROR(__xludf.DUMMYFUNCTION("""COMPUTED_VALUE"""),47.6)</f>
        <v>47.6</v>
      </c>
      <c r="E975" s="1">
        <f>IFERROR(__xludf.DUMMYFUNCTION("""COMPUTED_VALUE"""),48.02)</f>
        <v>48.02</v>
      </c>
      <c r="F975" s="1">
        <f>IFERROR(__xludf.DUMMYFUNCTION("""COMPUTED_VALUE"""),2408600.0)</f>
        <v>2408600</v>
      </c>
    </row>
    <row r="976">
      <c r="A976" s="2">
        <f>IFERROR(__xludf.DUMMYFUNCTION("""COMPUTED_VALUE"""),37943.666666666664)</f>
        <v>37943.66667</v>
      </c>
      <c r="B976" s="1">
        <f>IFERROR(__xludf.DUMMYFUNCTION("""COMPUTED_VALUE"""),48.0)</f>
        <v>48</v>
      </c>
      <c r="C976" s="1">
        <f>IFERROR(__xludf.DUMMYFUNCTION("""COMPUTED_VALUE"""),48.36)</f>
        <v>48.36</v>
      </c>
      <c r="D976" s="1">
        <f>IFERROR(__xludf.DUMMYFUNCTION("""COMPUTED_VALUE"""),47.78)</f>
        <v>47.78</v>
      </c>
      <c r="E976" s="1">
        <f>IFERROR(__xludf.DUMMYFUNCTION("""COMPUTED_VALUE"""),47.83)</f>
        <v>47.83</v>
      </c>
      <c r="F976" s="1">
        <f>IFERROR(__xludf.DUMMYFUNCTION("""COMPUTED_VALUE"""),2768600.0)</f>
        <v>2768600</v>
      </c>
    </row>
    <row r="977">
      <c r="A977" s="2">
        <f>IFERROR(__xludf.DUMMYFUNCTION("""COMPUTED_VALUE"""),37944.666666666664)</f>
        <v>37944.66667</v>
      </c>
      <c r="B977" s="1">
        <f>IFERROR(__xludf.DUMMYFUNCTION("""COMPUTED_VALUE"""),47.75)</f>
        <v>47.75</v>
      </c>
      <c r="C977" s="1">
        <f>IFERROR(__xludf.DUMMYFUNCTION("""COMPUTED_VALUE"""),48.24)</f>
        <v>48.24</v>
      </c>
      <c r="D977" s="1">
        <f>IFERROR(__xludf.DUMMYFUNCTION("""COMPUTED_VALUE"""),47.5)</f>
        <v>47.5</v>
      </c>
      <c r="E977" s="1">
        <f>IFERROR(__xludf.DUMMYFUNCTION("""COMPUTED_VALUE"""),48.04)</f>
        <v>48.04</v>
      </c>
      <c r="F977" s="1">
        <f>IFERROR(__xludf.DUMMYFUNCTION("""COMPUTED_VALUE"""),2613000.0)</f>
        <v>2613000</v>
      </c>
    </row>
    <row r="978">
      <c r="A978" s="2">
        <f>IFERROR(__xludf.DUMMYFUNCTION("""COMPUTED_VALUE"""),37945.666666666664)</f>
        <v>37945.66667</v>
      </c>
      <c r="B978" s="1">
        <f>IFERROR(__xludf.DUMMYFUNCTION("""COMPUTED_VALUE"""),47.9)</f>
        <v>47.9</v>
      </c>
      <c r="C978" s="1">
        <f>IFERROR(__xludf.DUMMYFUNCTION("""COMPUTED_VALUE"""),48.11)</f>
        <v>48.11</v>
      </c>
      <c r="D978" s="1">
        <f>IFERROR(__xludf.DUMMYFUNCTION("""COMPUTED_VALUE"""),47.71)</f>
        <v>47.71</v>
      </c>
      <c r="E978" s="1">
        <f>IFERROR(__xludf.DUMMYFUNCTION("""COMPUTED_VALUE"""),47.71)</f>
        <v>47.71</v>
      </c>
      <c r="F978" s="1">
        <f>IFERROR(__xludf.DUMMYFUNCTION("""COMPUTED_VALUE"""),2554800.0)</f>
        <v>2554800</v>
      </c>
    </row>
    <row r="979">
      <c r="A979" s="2">
        <f>IFERROR(__xludf.DUMMYFUNCTION("""COMPUTED_VALUE"""),37946.666666666664)</f>
        <v>37946.66667</v>
      </c>
      <c r="B979" s="1">
        <f>IFERROR(__xludf.DUMMYFUNCTION("""COMPUTED_VALUE"""),47.85)</f>
        <v>47.85</v>
      </c>
      <c r="C979" s="1">
        <f>IFERROR(__xludf.DUMMYFUNCTION("""COMPUTED_VALUE"""),48.25)</f>
        <v>48.25</v>
      </c>
      <c r="D979" s="1">
        <f>IFERROR(__xludf.DUMMYFUNCTION("""COMPUTED_VALUE"""),47.76)</f>
        <v>47.76</v>
      </c>
      <c r="E979" s="1">
        <f>IFERROR(__xludf.DUMMYFUNCTION("""COMPUTED_VALUE"""),47.88)</f>
        <v>47.88</v>
      </c>
      <c r="F979" s="1">
        <f>IFERROR(__xludf.DUMMYFUNCTION("""COMPUTED_VALUE"""),2538100.0)</f>
        <v>2538100</v>
      </c>
    </row>
    <row r="980">
      <c r="A980" s="2">
        <f>IFERROR(__xludf.DUMMYFUNCTION("""COMPUTED_VALUE"""),37949.666666666664)</f>
        <v>37949.66667</v>
      </c>
      <c r="B980" s="1">
        <f>IFERROR(__xludf.DUMMYFUNCTION("""COMPUTED_VALUE"""),47.95)</f>
        <v>47.95</v>
      </c>
      <c r="C980" s="1">
        <f>IFERROR(__xludf.DUMMYFUNCTION("""COMPUTED_VALUE"""),48.74)</f>
        <v>48.74</v>
      </c>
      <c r="D980" s="1">
        <f>IFERROR(__xludf.DUMMYFUNCTION("""COMPUTED_VALUE"""),47.79)</f>
        <v>47.79</v>
      </c>
      <c r="E980" s="1">
        <f>IFERROR(__xludf.DUMMYFUNCTION("""COMPUTED_VALUE"""),48.31)</f>
        <v>48.31</v>
      </c>
      <c r="F980" s="1">
        <f>IFERROR(__xludf.DUMMYFUNCTION("""COMPUTED_VALUE"""),3367300.0)</f>
        <v>3367300</v>
      </c>
    </row>
    <row r="981">
      <c r="A981" s="2">
        <f>IFERROR(__xludf.DUMMYFUNCTION("""COMPUTED_VALUE"""),37950.666666666664)</f>
        <v>37950.66667</v>
      </c>
      <c r="B981" s="1">
        <f>IFERROR(__xludf.DUMMYFUNCTION("""COMPUTED_VALUE"""),48.4)</f>
        <v>48.4</v>
      </c>
      <c r="C981" s="1">
        <f>IFERROR(__xludf.DUMMYFUNCTION("""COMPUTED_VALUE"""),48.63)</f>
        <v>48.63</v>
      </c>
      <c r="D981" s="1">
        <f>IFERROR(__xludf.DUMMYFUNCTION("""COMPUTED_VALUE"""),48.02)</f>
        <v>48.02</v>
      </c>
      <c r="E981" s="1">
        <f>IFERROR(__xludf.DUMMYFUNCTION("""COMPUTED_VALUE"""),48.44)</f>
        <v>48.44</v>
      </c>
      <c r="F981" s="1">
        <f>IFERROR(__xludf.DUMMYFUNCTION("""COMPUTED_VALUE"""),3369700.0)</f>
        <v>3369700</v>
      </c>
    </row>
    <row r="982">
      <c r="A982" s="2">
        <f>IFERROR(__xludf.DUMMYFUNCTION("""COMPUTED_VALUE"""),37951.666666666664)</f>
        <v>37951.66667</v>
      </c>
      <c r="B982" s="1">
        <f>IFERROR(__xludf.DUMMYFUNCTION("""COMPUTED_VALUE"""),48.53)</f>
        <v>48.53</v>
      </c>
      <c r="C982" s="1">
        <f>IFERROR(__xludf.DUMMYFUNCTION("""COMPUTED_VALUE"""),48.53)</f>
        <v>48.53</v>
      </c>
      <c r="D982" s="1">
        <f>IFERROR(__xludf.DUMMYFUNCTION("""COMPUTED_VALUE"""),47.91)</f>
        <v>47.91</v>
      </c>
      <c r="E982" s="1">
        <f>IFERROR(__xludf.DUMMYFUNCTION("""COMPUTED_VALUE"""),47.94)</f>
        <v>47.94</v>
      </c>
      <c r="F982" s="1">
        <f>IFERROR(__xludf.DUMMYFUNCTION("""COMPUTED_VALUE"""),3462300.0)</f>
        <v>3462300</v>
      </c>
    </row>
    <row r="983">
      <c r="A983" s="2">
        <f>IFERROR(__xludf.DUMMYFUNCTION("""COMPUTED_VALUE"""),37953.666666666664)</f>
        <v>37953.66667</v>
      </c>
      <c r="B983" s="1">
        <f>IFERROR(__xludf.DUMMYFUNCTION("""COMPUTED_VALUE"""),47.91)</f>
        <v>47.91</v>
      </c>
      <c r="C983" s="1">
        <f>IFERROR(__xludf.DUMMYFUNCTION("""COMPUTED_VALUE"""),48.28)</f>
        <v>48.28</v>
      </c>
      <c r="D983" s="1">
        <f>IFERROR(__xludf.DUMMYFUNCTION("""COMPUTED_VALUE"""),47.9)</f>
        <v>47.9</v>
      </c>
      <c r="E983" s="1">
        <f>IFERROR(__xludf.DUMMYFUNCTION("""COMPUTED_VALUE"""),48.12)</f>
        <v>48.12</v>
      </c>
      <c r="F983" s="1">
        <f>IFERROR(__xludf.DUMMYFUNCTION("""COMPUTED_VALUE"""),1143600.0)</f>
        <v>1143600</v>
      </c>
    </row>
    <row r="984">
      <c r="A984" s="2">
        <f>IFERROR(__xludf.DUMMYFUNCTION("""COMPUTED_VALUE"""),37956.666666666664)</f>
        <v>37956.66667</v>
      </c>
      <c r="B984" s="1">
        <f>IFERROR(__xludf.DUMMYFUNCTION("""COMPUTED_VALUE"""),48.18)</f>
        <v>48.18</v>
      </c>
      <c r="C984" s="1">
        <f>IFERROR(__xludf.DUMMYFUNCTION("""COMPUTED_VALUE"""),48.55)</f>
        <v>48.55</v>
      </c>
      <c r="D984" s="1">
        <f>IFERROR(__xludf.DUMMYFUNCTION("""COMPUTED_VALUE"""),48.14)</f>
        <v>48.14</v>
      </c>
      <c r="E984" s="1">
        <f>IFERROR(__xludf.DUMMYFUNCTION("""COMPUTED_VALUE"""),48.52)</f>
        <v>48.52</v>
      </c>
      <c r="F984" s="1">
        <f>IFERROR(__xludf.DUMMYFUNCTION("""COMPUTED_VALUE"""),2400200.0)</f>
        <v>2400200</v>
      </c>
    </row>
    <row r="985">
      <c r="A985" s="2">
        <f>IFERROR(__xludf.DUMMYFUNCTION("""COMPUTED_VALUE"""),37957.666666666664)</f>
        <v>37957.66667</v>
      </c>
      <c r="B985" s="1">
        <f>IFERROR(__xludf.DUMMYFUNCTION("""COMPUTED_VALUE"""),48.38)</f>
        <v>48.38</v>
      </c>
      <c r="C985" s="1">
        <f>IFERROR(__xludf.DUMMYFUNCTION("""COMPUTED_VALUE"""),48.62)</f>
        <v>48.62</v>
      </c>
      <c r="D985" s="1">
        <f>IFERROR(__xludf.DUMMYFUNCTION("""COMPUTED_VALUE"""),48.23)</f>
        <v>48.23</v>
      </c>
      <c r="E985" s="1">
        <f>IFERROR(__xludf.DUMMYFUNCTION("""COMPUTED_VALUE"""),48.47)</f>
        <v>48.47</v>
      </c>
      <c r="F985" s="1">
        <f>IFERROR(__xludf.DUMMYFUNCTION("""COMPUTED_VALUE"""),2481100.0)</f>
        <v>2481100</v>
      </c>
    </row>
    <row r="986">
      <c r="A986" s="2">
        <f>IFERROR(__xludf.DUMMYFUNCTION("""COMPUTED_VALUE"""),37958.666666666664)</f>
        <v>37958.66667</v>
      </c>
      <c r="B986" s="1">
        <f>IFERROR(__xludf.DUMMYFUNCTION("""COMPUTED_VALUE"""),48.33)</f>
        <v>48.33</v>
      </c>
      <c r="C986" s="1">
        <f>IFERROR(__xludf.DUMMYFUNCTION("""COMPUTED_VALUE"""),48.55)</f>
        <v>48.55</v>
      </c>
      <c r="D986" s="1">
        <f>IFERROR(__xludf.DUMMYFUNCTION("""COMPUTED_VALUE"""),48.09)</f>
        <v>48.09</v>
      </c>
      <c r="E986" s="1">
        <f>IFERROR(__xludf.DUMMYFUNCTION("""COMPUTED_VALUE"""),48.41)</f>
        <v>48.41</v>
      </c>
      <c r="F986" s="1">
        <f>IFERROR(__xludf.DUMMYFUNCTION("""COMPUTED_VALUE"""),2818100.0)</f>
        <v>2818100</v>
      </c>
    </row>
    <row r="987">
      <c r="A987" s="2">
        <f>IFERROR(__xludf.DUMMYFUNCTION("""COMPUTED_VALUE"""),37959.666666666664)</f>
        <v>37959.66667</v>
      </c>
      <c r="B987" s="1">
        <f>IFERROR(__xludf.DUMMYFUNCTION("""COMPUTED_VALUE"""),48.28)</f>
        <v>48.28</v>
      </c>
      <c r="C987" s="1">
        <f>IFERROR(__xludf.DUMMYFUNCTION("""COMPUTED_VALUE"""),48.61)</f>
        <v>48.61</v>
      </c>
      <c r="D987" s="1">
        <f>IFERROR(__xludf.DUMMYFUNCTION("""COMPUTED_VALUE"""),48.19)</f>
        <v>48.19</v>
      </c>
      <c r="E987" s="1">
        <f>IFERROR(__xludf.DUMMYFUNCTION("""COMPUTED_VALUE"""),48.4)</f>
        <v>48.4</v>
      </c>
      <c r="F987" s="1">
        <f>IFERROR(__xludf.DUMMYFUNCTION("""COMPUTED_VALUE"""),2824200.0)</f>
        <v>2824200</v>
      </c>
    </row>
    <row r="988">
      <c r="A988" s="2">
        <f>IFERROR(__xludf.DUMMYFUNCTION("""COMPUTED_VALUE"""),37960.666666666664)</f>
        <v>37960.66667</v>
      </c>
      <c r="B988" s="1">
        <f>IFERROR(__xludf.DUMMYFUNCTION("""COMPUTED_VALUE"""),48.26)</f>
        <v>48.26</v>
      </c>
      <c r="C988" s="1">
        <f>IFERROR(__xludf.DUMMYFUNCTION("""COMPUTED_VALUE"""),48.38)</f>
        <v>48.38</v>
      </c>
      <c r="D988" s="1">
        <f>IFERROR(__xludf.DUMMYFUNCTION("""COMPUTED_VALUE"""),48.06)</f>
        <v>48.06</v>
      </c>
      <c r="E988" s="1">
        <f>IFERROR(__xludf.DUMMYFUNCTION("""COMPUTED_VALUE"""),48.26)</f>
        <v>48.26</v>
      </c>
      <c r="F988" s="1">
        <f>IFERROR(__xludf.DUMMYFUNCTION("""COMPUTED_VALUE"""),1824600.0)</f>
        <v>1824600</v>
      </c>
    </row>
    <row r="989">
      <c r="A989" s="2">
        <f>IFERROR(__xludf.DUMMYFUNCTION("""COMPUTED_VALUE"""),37963.666666666664)</f>
        <v>37963.66667</v>
      </c>
      <c r="B989" s="1">
        <f>IFERROR(__xludf.DUMMYFUNCTION("""COMPUTED_VALUE"""),48.21)</f>
        <v>48.21</v>
      </c>
      <c r="C989" s="1">
        <f>IFERROR(__xludf.DUMMYFUNCTION("""COMPUTED_VALUE"""),48.45)</f>
        <v>48.45</v>
      </c>
      <c r="D989" s="1">
        <f>IFERROR(__xludf.DUMMYFUNCTION("""COMPUTED_VALUE"""),48.08)</f>
        <v>48.08</v>
      </c>
      <c r="E989" s="1">
        <f>IFERROR(__xludf.DUMMYFUNCTION("""COMPUTED_VALUE"""),48.43)</f>
        <v>48.43</v>
      </c>
      <c r="F989" s="1">
        <f>IFERROR(__xludf.DUMMYFUNCTION("""COMPUTED_VALUE"""),2569100.0)</f>
        <v>2569100</v>
      </c>
    </row>
    <row r="990">
      <c r="A990" s="2">
        <f>IFERROR(__xludf.DUMMYFUNCTION("""COMPUTED_VALUE"""),37964.666666666664)</f>
        <v>37964.66667</v>
      </c>
      <c r="B990" s="1">
        <f>IFERROR(__xludf.DUMMYFUNCTION("""COMPUTED_VALUE"""),48.43)</f>
        <v>48.43</v>
      </c>
      <c r="C990" s="1">
        <f>IFERROR(__xludf.DUMMYFUNCTION("""COMPUTED_VALUE"""),48.47)</f>
        <v>48.47</v>
      </c>
      <c r="D990" s="1">
        <f>IFERROR(__xludf.DUMMYFUNCTION("""COMPUTED_VALUE"""),48.16)</f>
        <v>48.16</v>
      </c>
      <c r="E990" s="1">
        <f>IFERROR(__xludf.DUMMYFUNCTION("""COMPUTED_VALUE"""),48.29)</f>
        <v>48.29</v>
      </c>
      <c r="F990" s="1">
        <f>IFERROR(__xludf.DUMMYFUNCTION("""COMPUTED_VALUE"""),3515600.0)</f>
        <v>3515600</v>
      </c>
    </row>
    <row r="991">
      <c r="A991" s="2">
        <f>IFERROR(__xludf.DUMMYFUNCTION("""COMPUTED_VALUE"""),37965.666666666664)</f>
        <v>37965.66667</v>
      </c>
      <c r="B991" s="1">
        <f>IFERROR(__xludf.DUMMYFUNCTION("""COMPUTED_VALUE"""),48.24)</f>
        <v>48.24</v>
      </c>
      <c r="C991" s="1">
        <f>IFERROR(__xludf.DUMMYFUNCTION("""COMPUTED_VALUE"""),48.49)</f>
        <v>48.49</v>
      </c>
      <c r="D991" s="1">
        <f>IFERROR(__xludf.DUMMYFUNCTION("""COMPUTED_VALUE"""),48.16)</f>
        <v>48.16</v>
      </c>
      <c r="E991" s="1">
        <f>IFERROR(__xludf.DUMMYFUNCTION("""COMPUTED_VALUE"""),48.44)</f>
        <v>48.44</v>
      </c>
      <c r="F991" s="1">
        <f>IFERROR(__xludf.DUMMYFUNCTION("""COMPUTED_VALUE"""),2072900.0)</f>
        <v>2072900</v>
      </c>
    </row>
    <row r="992">
      <c r="A992" s="2">
        <f>IFERROR(__xludf.DUMMYFUNCTION("""COMPUTED_VALUE"""),37966.666666666664)</f>
        <v>37966.66667</v>
      </c>
      <c r="B992" s="1">
        <f>IFERROR(__xludf.DUMMYFUNCTION("""COMPUTED_VALUE"""),48.44)</f>
        <v>48.44</v>
      </c>
      <c r="C992" s="1">
        <f>IFERROR(__xludf.DUMMYFUNCTION("""COMPUTED_VALUE"""),48.44)</f>
        <v>48.44</v>
      </c>
      <c r="D992" s="1">
        <f>IFERROR(__xludf.DUMMYFUNCTION("""COMPUTED_VALUE"""),47.81)</f>
        <v>47.81</v>
      </c>
      <c r="E992" s="1">
        <f>IFERROR(__xludf.DUMMYFUNCTION("""COMPUTED_VALUE"""),48.0)</f>
        <v>48</v>
      </c>
      <c r="F992" s="1">
        <f>IFERROR(__xludf.DUMMYFUNCTION("""COMPUTED_VALUE"""),3869500.0)</f>
        <v>3869500</v>
      </c>
    </row>
    <row r="993">
      <c r="A993" s="2">
        <f>IFERROR(__xludf.DUMMYFUNCTION("""COMPUTED_VALUE"""),37967.666666666664)</f>
        <v>37967.66667</v>
      </c>
      <c r="B993" s="1">
        <f>IFERROR(__xludf.DUMMYFUNCTION("""COMPUTED_VALUE"""),48.0)</f>
        <v>48</v>
      </c>
      <c r="C993" s="1">
        <f>IFERROR(__xludf.DUMMYFUNCTION("""COMPUTED_VALUE"""),48.58)</f>
        <v>48.58</v>
      </c>
      <c r="D993" s="1">
        <f>IFERROR(__xludf.DUMMYFUNCTION("""COMPUTED_VALUE"""),47.9)</f>
        <v>47.9</v>
      </c>
      <c r="E993" s="1">
        <f>IFERROR(__xludf.DUMMYFUNCTION("""COMPUTED_VALUE"""),48.41)</f>
        <v>48.41</v>
      </c>
      <c r="F993" s="1">
        <f>IFERROR(__xludf.DUMMYFUNCTION("""COMPUTED_VALUE"""),3640500.0)</f>
        <v>3640500</v>
      </c>
    </row>
    <row r="994">
      <c r="A994" s="2">
        <f>IFERROR(__xludf.DUMMYFUNCTION("""COMPUTED_VALUE"""),37970.666666666664)</f>
        <v>37970.66667</v>
      </c>
      <c r="B994" s="1">
        <f>IFERROR(__xludf.DUMMYFUNCTION("""COMPUTED_VALUE"""),48.56)</f>
        <v>48.56</v>
      </c>
      <c r="C994" s="1">
        <f>IFERROR(__xludf.DUMMYFUNCTION("""COMPUTED_VALUE"""),49.25)</f>
        <v>49.25</v>
      </c>
      <c r="D994" s="1">
        <f>IFERROR(__xludf.DUMMYFUNCTION("""COMPUTED_VALUE"""),48.56)</f>
        <v>48.56</v>
      </c>
      <c r="E994" s="1">
        <f>IFERROR(__xludf.DUMMYFUNCTION("""COMPUTED_VALUE"""),48.91)</f>
        <v>48.91</v>
      </c>
      <c r="F994" s="1">
        <f>IFERROR(__xludf.DUMMYFUNCTION("""COMPUTED_VALUE"""),4389100.0)</f>
        <v>4389100</v>
      </c>
    </row>
    <row r="995">
      <c r="A995" s="2">
        <f>IFERROR(__xludf.DUMMYFUNCTION("""COMPUTED_VALUE"""),37971.666666666664)</f>
        <v>37971.66667</v>
      </c>
      <c r="B995" s="1">
        <f>IFERROR(__xludf.DUMMYFUNCTION("""COMPUTED_VALUE"""),49.35)</f>
        <v>49.35</v>
      </c>
      <c r="C995" s="1">
        <f>IFERROR(__xludf.DUMMYFUNCTION("""COMPUTED_VALUE"""),49.43)</f>
        <v>49.43</v>
      </c>
      <c r="D995" s="1">
        <f>IFERROR(__xludf.DUMMYFUNCTION("""COMPUTED_VALUE"""),48.96)</f>
        <v>48.96</v>
      </c>
      <c r="E995" s="1">
        <f>IFERROR(__xludf.DUMMYFUNCTION("""COMPUTED_VALUE"""),49.33)</f>
        <v>49.33</v>
      </c>
      <c r="F995" s="1">
        <f>IFERROR(__xludf.DUMMYFUNCTION("""COMPUTED_VALUE"""),4715400.0)</f>
        <v>4715400</v>
      </c>
    </row>
    <row r="996">
      <c r="A996" s="2">
        <f>IFERROR(__xludf.DUMMYFUNCTION("""COMPUTED_VALUE"""),37972.666666666664)</f>
        <v>37972.66667</v>
      </c>
      <c r="B996" s="1">
        <f>IFERROR(__xludf.DUMMYFUNCTION("""COMPUTED_VALUE"""),49.32)</f>
        <v>49.32</v>
      </c>
      <c r="C996" s="1">
        <f>IFERROR(__xludf.DUMMYFUNCTION("""COMPUTED_VALUE"""),49.36)</f>
        <v>49.36</v>
      </c>
      <c r="D996" s="1">
        <f>IFERROR(__xludf.DUMMYFUNCTION("""COMPUTED_VALUE"""),48.98)</f>
        <v>48.98</v>
      </c>
      <c r="E996" s="1">
        <f>IFERROR(__xludf.DUMMYFUNCTION("""COMPUTED_VALUE"""),49.19)</f>
        <v>49.19</v>
      </c>
      <c r="F996" s="1">
        <f>IFERROR(__xludf.DUMMYFUNCTION("""COMPUTED_VALUE"""),3243200.0)</f>
        <v>3243200</v>
      </c>
    </row>
    <row r="997">
      <c r="A997" s="2">
        <f>IFERROR(__xludf.DUMMYFUNCTION("""COMPUTED_VALUE"""),37973.666666666664)</f>
        <v>37973.66667</v>
      </c>
      <c r="B997" s="1">
        <f>IFERROR(__xludf.DUMMYFUNCTION("""COMPUTED_VALUE"""),49.3)</f>
        <v>49.3</v>
      </c>
      <c r="C997" s="1">
        <f>IFERROR(__xludf.DUMMYFUNCTION("""COMPUTED_VALUE"""),49.67)</f>
        <v>49.67</v>
      </c>
      <c r="D997" s="1">
        <f>IFERROR(__xludf.DUMMYFUNCTION("""COMPUTED_VALUE"""),49.1)</f>
        <v>49.1</v>
      </c>
      <c r="E997" s="1">
        <f>IFERROR(__xludf.DUMMYFUNCTION("""COMPUTED_VALUE"""),49.66)</f>
        <v>49.66</v>
      </c>
      <c r="F997" s="1">
        <f>IFERROR(__xludf.DUMMYFUNCTION("""COMPUTED_VALUE"""),3891500.0)</f>
        <v>3891500</v>
      </c>
    </row>
    <row r="998">
      <c r="A998" s="2">
        <f>IFERROR(__xludf.DUMMYFUNCTION("""COMPUTED_VALUE"""),37974.666666666664)</f>
        <v>37974.66667</v>
      </c>
      <c r="B998" s="1">
        <f>IFERROR(__xludf.DUMMYFUNCTION("""COMPUTED_VALUE"""),49.72)</f>
        <v>49.72</v>
      </c>
      <c r="C998" s="1">
        <f>IFERROR(__xludf.DUMMYFUNCTION("""COMPUTED_VALUE"""),49.75)</f>
        <v>49.75</v>
      </c>
      <c r="D998" s="1">
        <f>IFERROR(__xludf.DUMMYFUNCTION("""COMPUTED_VALUE"""),48.63)</f>
        <v>48.63</v>
      </c>
      <c r="E998" s="1">
        <f>IFERROR(__xludf.DUMMYFUNCTION("""COMPUTED_VALUE"""),48.76)</f>
        <v>48.76</v>
      </c>
      <c r="F998" s="1">
        <f>IFERROR(__xludf.DUMMYFUNCTION("""COMPUTED_VALUE"""),6526700.0)</f>
        <v>6526700</v>
      </c>
    </row>
    <row r="999">
      <c r="A999" s="2">
        <f>IFERROR(__xludf.DUMMYFUNCTION("""COMPUTED_VALUE"""),37977.666666666664)</f>
        <v>37977.66667</v>
      </c>
      <c r="B999" s="1">
        <f>IFERROR(__xludf.DUMMYFUNCTION("""COMPUTED_VALUE"""),48.8)</f>
        <v>48.8</v>
      </c>
      <c r="C999" s="1">
        <f>IFERROR(__xludf.DUMMYFUNCTION("""COMPUTED_VALUE"""),49.08)</f>
        <v>49.08</v>
      </c>
      <c r="D999" s="1">
        <f>IFERROR(__xludf.DUMMYFUNCTION("""COMPUTED_VALUE"""),48.65)</f>
        <v>48.65</v>
      </c>
      <c r="E999" s="1">
        <f>IFERROR(__xludf.DUMMYFUNCTION("""COMPUTED_VALUE"""),49.08)</f>
        <v>49.08</v>
      </c>
      <c r="F999" s="1">
        <f>IFERROR(__xludf.DUMMYFUNCTION("""COMPUTED_VALUE"""),2392000.0)</f>
        <v>2392000</v>
      </c>
    </row>
    <row r="1000">
      <c r="A1000" s="2">
        <f>IFERROR(__xludf.DUMMYFUNCTION("""COMPUTED_VALUE"""),37978.666666666664)</f>
        <v>37978.66667</v>
      </c>
      <c r="B1000" s="1">
        <f>IFERROR(__xludf.DUMMYFUNCTION("""COMPUTED_VALUE"""),49.13)</f>
        <v>49.13</v>
      </c>
      <c r="C1000" s="1">
        <f>IFERROR(__xludf.DUMMYFUNCTION("""COMPUTED_VALUE"""),49.3)</f>
        <v>49.3</v>
      </c>
      <c r="D1000" s="1">
        <f>IFERROR(__xludf.DUMMYFUNCTION("""COMPUTED_VALUE"""),49.03)</f>
        <v>49.03</v>
      </c>
      <c r="E1000" s="1">
        <f>IFERROR(__xludf.DUMMYFUNCTION("""COMPUTED_VALUE"""),49.24)</f>
        <v>49.24</v>
      </c>
      <c r="F1000" s="1">
        <f>IFERROR(__xludf.DUMMYFUNCTION("""COMPUTED_VALUE"""),2695500.0)</f>
        <v>2695500</v>
      </c>
    </row>
    <row r="1001">
      <c r="A1001" s="2">
        <f>IFERROR(__xludf.DUMMYFUNCTION("""COMPUTED_VALUE"""),37979.666666666664)</f>
        <v>37979.66667</v>
      </c>
      <c r="B1001" s="1">
        <f>IFERROR(__xludf.DUMMYFUNCTION("""COMPUTED_VALUE"""),49.08)</f>
        <v>49.08</v>
      </c>
      <c r="C1001" s="1">
        <f>IFERROR(__xludf.DUMMYFUNCTION("""COMPUTED_VALUE"""),49.29)</f>
        <v>49.29</v>
      </c>
      <c r="D1001" s="1">
        <f>IFERROR(__xludf.DUMMYFUNCTION("""COMPUTED_VALUE"""),49.03)</f>
        <v>49.03</v>
      </c>
      <c r="E1001" s="1">
        <f>IFERROR(__xludf.DUMMYFUNCTION("""COMPUTED_VALUE"""),49.17)</f>
        <v>49.17</v>
      </c>
      <c r="F1001" s="1">
        <f>IFERROR(__xludf.DUMMYFUNCTION("""COMPUTED_VALUE"""),998600.0)</f>
        <v>998600</v>
      </c>
    </row>
    <row r="1002">
      <c r="A1002" s="2">
        <f>IFERROR(__xludf.DUMMYFUNCTION("""COMPUTED_VALUE"""),37981.666666666664)</f>
        <v>37981.66667</v>
      </c>
      <c r="B1002" s="1">
        <f>IFERROR(__xludf.DUMMYFUNCTION("""COMPUTED_VALUE"""),49.03)</f>
        <v>49.03</v>
      </c>
      <c r="C1002" s="1">
        <f>IFERROR(__xludf.DUMMYFUNCTION("""COMPUTED_VALUE"""),49.18)</f>
        <v>49.18</v>
      </c>
      <c r="D1002" s="1">
        <f>IFERROR(__xludf.DUMMYFUNCTION("""COMPUTED_VALUE"""),48.96)</f>
        <v>48.96</v>
      </c>
      <c r="E1002" s="1">
        <f>IFERROR(__xludf.DUMMYFUNCTION("""COMPUTED_VALUE"""),49.12)</f>
        <v>49.12</v>
      </c>
      <c r="F1002" s="1">
        <f>IFERROR(__xludf.DUMMYFUNCTION("""COMPUTED_VALUE"""),515200.0)</f>
        <v>515200</v>
      </c>
    </row>
    <row r="1003">
      <c r="A1003" s="2">
        <f>IFERROR(__xludf.DUMMYFUNCTION("""COMPUTED_VALUE"""),37984.666666666664)</f>
        <v>37984.66667</v>
      </c>
      <c r="B1003" s="1">
        <f>IFERROR(__xludf.DUMMYFUNCTION("""COMPUTED_VALUE"""),49.05)</f>
        <v>49.05</v>
      </c>
      <c r="C1003" s="1">
        <f>IFERROR(__xludf.DUMMYFUNCTION("""COMPUTED_VALUE"""),49.6)</f>
        <v>49.6</v>
      </c>
      <c r="D1003" s="1">
        <f>IFERROR(__xludf.DUMMYFUNCTION("""COMPUTED_VALUE"""),49.03)</f>
        <v>49.03</v>
      </c>
      <c r="E1003" s="1">
        <f>IFERROR(__xludf.DUMMYFUNCTION("""COMPUTED_VALUE"""),49.6)</f>
        <v>49.6</v>
      </c>
      <c r="F1003" s="1">
        <f>IFERROR(__xludf.DUMMYFUNCTION("""COMPUTED_VALUE"""),2417200.0)</f>
        <v>2417200</v>
      </c>
    </row>
    <row r="1004">
      <c r="A1004" s="2">
        <f>IFERROR(__xludf.DUMMYFUNCTION("""COMPUTED_VALUE"""),37985.666666666664)</f>
        <v>37985.66667</v>
      </c>
      <c r="B1004" s="1">
        <f>IFERROR(__xludf.DUMMYFUNCTION("""COMPUTED_VALUE"""),49.6)</f>
        <v>49.6</v>
      </c>
      <c r="C1004" s="1">
        <f>IFERROR(__xludf.DUMMYFUNCTION("""COMPUTED_VALUE"""),49.85)</f>
        <v>49.85</v>
      </c>
      <c r="D1004" s="1">
        <f>IFERROR(__xludf.DUMMYFUNCTION("""COMPUTED_VALUE"""),49.52)</f>
        <v>49.52</v>
      </c>
      <c r="E1004" s="1">
        <f>IFERROR(__xludf.DUMMYFUNCTION("""COMPUTED_VALUE"""),49.84)</f>
        <v>49.84</v>
      </c>
      <c r="F1004" s="1">
        <f>IFERROR(__xludf.DUMMYFUNCTION("""COMPUTED_VALUE"""),2230700.0)</f>
        <v>2230700</v>
      </c>
    </row>
    <row r="1005">
      <c r="A1005" s="2">
        <f>IFERROR(__xludf.DUMMYFUNCTION("""COMPUTED_VALUE"""),37986.666666666664)</f>
        <v>37986.66667</v>
      </c>
      <c r="B1005" s="1">
        <f>IFERROR(__xludf.DUMMYFUNCTION("""COMPUTED_VALUE"""),49.74)</f>
        <v>49.74</v>
      </c>
      <c r="C1005" s="1">
        <f>IFERROR(__xludf.DUMMYFUNCTION("""COMPUTED_VALUE"""),49.97)</f>
        <v>49.97</v>
      </c>
      <c r="D1005" s="1">
        <f>IFERROR(__xludf.DUMMYFUNCTION("""COMPUTED_VALUE"""),49.74)</f>
        <v>49.74</v>
      </c>
      <c r="E1005" s="1">
        <f>IFERROR(__xludf.DUMMYFUNCTION("""COMPUTED_VALUE"""),49.94)</f>
        <v>49.94</v>
      </c>
      <c r="F1005" s="1">
        <f>IFERROR(__xludf.DUMMYFUNCTION("""COMPUTED_VALUE"""),2236900.0)</f>
        <v>2236900</v>
      </c>
    </row>
    <row r="1006">
      <c r="A1006" s="2">
        <f>IFERROR(__xludf.DUMMYFUNCTION("""COMPUTED_VALUE"""),37988.666666666664)</f>
        <v>37988.66667</v>
      </c>
      <c r="B1006" s="1">
        <f>IFERROR(__xludf.DUMMYFUNCTION("""COMPUTED_VALUE"""),49.83)</f>
        <v>49.83</v>
      </c>
      <c r="C1006" s="1">
        <f>IFERROR(__xludf.DUMMYFUNCTION("""COMPUTED_VALUE"""),50.0)</f>
        <v>50</v>
      </c>
      <c r="D1006" s="1">
        <f>IFERROR(__xludf.DUMMYFUNCTION("""COMPUTED_VALUE"""),49.44)</f>
        <v>49.44</v>
      </c>
      <c r="E1006" s="1">
        <f>IFERROR(__xludf.DUMMYFUNCTION("""COMPUTED_VALUE"""),49.5)</f>
        <v>49.5</v>
      </c>
      <c r="F1006" s="1">
        <f>IFERROR(__xludf.DUMMYFUNCTION("""COMPUTED_VALUE"""),2773700.0)</f>
        <v>2773700</v>
      </c>
    </row>
    <row r="1007">
      <c r="A1007" s="2">
        <f>IFERROR(__xludf.DUMMYFUNCTION("""COMPUTED_VALUE"""),37991.666666666664)</f>
        <v>37991.66667</v>
      </c>
      <c r="B1007" s="1">
        <f>IFERROR(__xludf.DUMMYFUNCTION("""COMPUTED_VALUE"""),49.72)</f>
        <v>49.72</v>
      </c>
      <c r="C1007" s="1">
        <f>IFERROR(__xludf.DUMMYFUNCTION("""COMPUTED_VALUE"""),49.83)</f>
        <v>49.83</v>
      </c>
      <c r="D1007" s="1">
        <f>IFERROR(__xludf.DUMMYFUNCTION("""COMPUTED_VALUE"""),49.41)</f>
        <v>49.41</v>
      </c>
      <c r="E1007" s="1">
        <f>IFERROR(__xludf.DUMMYFUNCTION("""COMPUTED_VALUE"""),49.74)</f>
        <v>49.74</v>
      </c>
      <c r="F1007" s="1">
        <f>IFERROR(__xludf.DUMMYFUNCTION("""COMPUTED_VALUE"""),3361800.0)</f>
        <v>3361800</v>
      </c>
    </row>
    <row r="1008">
      <c r="A1008" s="2">
        <f>IFERROR(__xludf.DUMMYFUNCTION("""COMPUTED_VALUE"""),37992.666666666664)</f>
        <v>37992.66667</v>
      </c>
      <c r="B1008" s="1">
        <f>IFERROR(__xludf.DUMMYFUNCTION("""COMPUTED_VALUE"""),49.41)</f>
        <v>49.41</v>
      </c>
      <c r="C1008" s="1">
        <f>IFERROR(__xludf.DUMMYFUNCTION("""COMPUTED_VALUE"""),49.57)</f>
        <v>49.57</v>
      </c>
      <c r="D1008" s="1">
        <f>IFERROR(__xludf.DUMMYFUNCTION("""COMPUTED_VALUE"""),49.34)</f>
        <v>49.34</v>
      </c>
      <c r="E1008" s="1">
        <f>IFERROR(__xludf.DUMMYFUNCTION("""COMPUTED_VALUE"""),49.49)</f>
        <v>49.49</v>
      </c>
      <c r="F1008" s="1">
        <f>IFERROR(__xludf.DUMMYFUNCTION("""COMPUTED_VALUE"""),2780500.0)</f>
        <v>2780500</v>
      </c>
    </row>
    <row r="1009">
      <c r="A1009" s="2">
        <f>IFERROR(__xludf.DUMMYFUNCTION("""COMPUTED_VALUE"""),37993.666666666664)</f>
        <v>37993.66667</v>
      </c>
      <c r="B1009" s="1">
        <f>IFERROR(__xludf.DUMMYFUNCTION("""COMPUTED_VALUE"""),49.25)</f>
        <v>49.25</v>
      </c>
      <c r="C1009" s="1">
        <f>IFERROR(__xludf.DUMMYFUNCTION("""COMPUTED_VALUE"""),49.34)</f>
        <v>49.34</v>
      </c>
      <c r="D1009" s="1">
        <f>IFERROR(__xludf.DUMMYFUNCTION("""COMPUTED_VALUE"""),48.89)</f>
        <v>48.89</v>
      </c>
      <c r="E1009" s="1">
        <f>IFERROR(__xludf.DUMMYFUNCTION("""COMPUTED_VALUE"""),49.05)</f>
        <v>49.05</v>
      </c>
      <c r="F1009" s="1">
        <f>IFERROR(__xludf.DUMMYFUNCTION("""COMPUTED_VALUE"""),3529000.0)</f>
        <v>3529000</v>
      </c>
    </row>
    <row r="1010">
      <c r="A1010" s="2">
        <f>IFERROR(__xludf.DUMMYFUNCTION("""COMPUTED_VALUE"""),37994.666666666664)</f>
        <v>37994.66667</v>
      </c>
      <c r="B1010" s="1">
        <f>IFERROR(__xludf.DUMMYFUNCTION("""COMPUTED_VALUE"""),49.9)</f>
        <v>49.9</v>
      </c>
      <c r="C1010" s="1">
        <f>IFERROR(__xludf.DUMMYFUNCTION("""COMPUTED_VALUE"""),49.97)</f>
        <v>49.97</v>
      </c>
      <c r="D1010" s="1">
        <f>IFERROR(__xludf.DUMMYFUNCTION("""COMPUTED_VALUE"""),49.32)</f>
        <v>49.32</v>
      </c>
      <c r="E1010" s="1">
        <f>IFERROR(__xludf.DUMMYFUNCTION("""COMPUTED_VALUE"""),49.57)</f>
        <v>49.57</v>
      </c>
      <c r="F1010" s="1">
        <f>IFERROR(__xludf.DUMMYFUNCTION("""COMPUTED_VALUE"""),4724200.0)</f>
        <v>4724200</v>
      </c>
    </row>
    <row r="1011">
      <c r="A1011" s="2">
        <f>IFERROR(__xludf.DUMMYFUNCTION("""COMPUTED_VALUE"""),37995.666666666664)</f>
        <v>37995.66667</v>
      </c>
      <c r="B1011" s="1">
        <f>IFERROR(__xludf.DUMMYFUNCTION("""COMPUTED_VALUE"""),49.44)</f>
        <v>49.44</v>
      </c>
      <c r="C1011" s="1">
        <f>IFERROR(__xludf.DUMMYFUNCTION("""COMPUTED_VALUE"""),50.01)</f>
        <v>50.01</v>
      </c>
      <c r="D1011" s="1">
        <f>IFERROR(__xludf.DUMMYFUNCTION("""COMPUTED_VALUE"""),49.44)</f>
        <v>49.44</v>
      </c>
      <c r="E1011" s="1">
        <f>IFERROR(__xludf.DUMMYFUNCTION("""COMPUTED_VALUE"""),49.82)</f>
        <v>49.82</v>
      </c>
      <c r="F1011" s="1">
        <f>IFERROR(__xludf.DUMMYFUNCTION("""COMPUTED_VALUE"""),4671900.0)</f>
        <v>4671900</v>
      </c>
    </row>
    <row r="1012">
      <c r="A1012" s="2">
        <f>IFERROR(__xludf.DUMMYFUNCTION("""COMPUTED_VALUE"""),37998.666666666664)</f>
        <v>37998.66667</v>
      </c>
      <c r="B1012" s="1">
        <f>IFERROR(__xludf.DUMMYFUNCTION("""COMPUTED_VALUE"""),49.74)</f>
        <v>49.74</v>
      </c>
      <c r="C1012" s="1">
        <f>IFERROR(__xludf.DUMMYFUNCTION("""COMPUTED_VALUE"""),50.14)</f>
        <v>50.14</v>
      </c>
      <c r="D1012" s="1">
        <f>IFERROR(__xludf.DUMMYFUNCTION("""COMPUTED_VALUE"""),49.7)</f>
        <v>49.7</v>
      </c>
      <c r="E1012" s="1">
        <f>IFERROR(__xludf.DUMMYFUNCTION("""COMPUTED_VALUE"""),50.13)</f>
        <v>50.13</v>
      </c>
      <c r="F1012" s="1">
        <f>IFERROR(__xludf.DUMMYFUNCTION("""COMPUTED_VALUE"""),4117000.0)</f>
        <v>4117000</v>
      </c>
    </row>
    <row r="1013">
      <c r="A1013" s="2">
        <f>IFERROR(__xludf.DUMMYFUNCTION("""COMPUTED_VALUE"""),37999.666666666664)</f>
        <v>37999.66667</v>
      </c>
      <c r="B1013" s="1">
        <f>IFERROR(__xludf.DUMMYFUNCTION("""COMPUTED_VALUE"""),50.13)</f>
        <v>50.13</v>
      </c>
      <c r="C1013" s="1">
        <f>IFERROR(__xludf.DUMMYFUNCTION("""COMPUTED_VALUE"""),50.15)</f>
        <v>50.15</v>
      </c>
      <c r="D1013" s="1">
        <f>IFERROR(__xludf.DUMMYFUNCTION("""COMPUTED_VALUE"""),49.63)</f>
        <v>49.63</v>
      </c>
      <c r="E1013" s="1">
        <f>IFERROR(__xludf.DUMMYFUNCTION("""COMPUTED_VALUE"""),49.85)</f>
        <v>49.85</v>
      </c>
      <c r="F1013" s="1">
        <f>IFERROR(__xludf.DUMMYFUNCTION("""COMPUTED_VALUE"""),3326800.0)</f>
        <v>3326800</v>
      </c>
    </row>
    <row r="1014">
      <c r="A1014" s="2">
        <f>IFERROR(__xludf.DUMMYFUNCTION("""COMPUTED_VALUE"""),38000.666666666664)</f>
        <v>38000.66667</v>
      </c>
      <c r="B1014" s="1">
        <f>IFERROR(__xludf.DUMMYFUNCTION("""COMPUTED_VALUE"""),49.88)</f>
        <v>49.88</v>
      </c>
      <c r="C1014" s="1">
        <f>IFERROR(__xludf.DUMMYFUNCTION("""COMPUTED_VALUE"""),50.25)</f>
        <v>50.25</v>
      </c>
      <c r="D1014" s="1">
        <f>IFERROR(__xludf.DUMMYFUNCTION("""COMPUTED_VALUE"""),49.84)</f>
        <v>49.84</v>
      </c>
      <c r="E1014" s="1">
        <f>IFERROR(__xludf.DUMMYFUNCTION("""COMPUTED_VALUE"""),50.02)</f>
        <v>50.02</v>
      </c>
      <c r="F1014" s="1">
        <f>IFERROR(__xludf.DUMMYFUNCTION("""COMPUTED_VALUE"""),3052100.0)</f>
        <v>3052100</v>
      </c>
    </row>
    <row r="1015">
      <c r="A1015" s="2">
        <f>IFERROR(__xludf.DUMMYFUNCTION("""COMPUTED_VALUE"""),38001.666666666664)</f>
        <v>38001.66667</v>
      </c>
      <c r="B1015" s="1">
        <f>IFERROR(__xludf.DUMMYFUNCTION("""COMPUTED_VALUE"""),49.96)</f>
        <v>49.96</v>
      </c>
      <c r="C1015" s="1">
        <f>IFERROR(__xludf.DUMMYFUNCTION("""COMPUTED_VALUE"""),50.09)</f>
        <v>50.09</v>
      </c>
      <c r="D1015" s="1">
        <f>IFERROR(__xludf.DUMMYFUNCTION("""COMPUTED_VALUE"""),49.67)</f>
        <v>49.67</v>
      </c>
      <c r="E1015" s="1">
        <f>IFERROR(__xludf.DUMMYFUNCTION("""COMPUTED_VALUE"""),49.76)</f>
        <v>49.76</v>
      </c>
      <c r="F1015" s="1">
        <f>IFERROR(__xludf.DUMMYFUNCTION("""COMPUTED_VALUE"""),2950300.0)</f>
        <v>2950300</v>
      </c>
    </row>
    <row r="1016">
      <c r="A1016" s="2">
        <f>IFERROR(__xludf.DUMMYFUNCTION("""COMPUTED_VALUE"""),38002.666666666664)</f>
        <v>38002.66667</v>
      </c>
      <c r="B1016" s="1">
        <f>IFERROR(__xludf.DUMMYFUNCTION("""COMPUTED_VALUE"""),49.99)</f>
        <v>49.99</v>
      </c>
      <c r="C1016" s="1">
        <f>IFERROR(__xludf.DUMMYFUNCTION("""COMPUTED_VALUE"""),49.99)</f>
        <v>49.99</v>
      </c>
      <c r="D1016" s="1">
        <f>IFERROR(__xludf.DUMMYFUNCTION("""COMPUTED_VALUE"""),49.31)</f>
        <v>49.31</v>
      </c>
      <c r="E1016" s="1">
        <f>IFERROR(__xludf.DUMMYFUNCTION("""COMPUTED_VALUE"""),49.5)</f>
        <v>49.5</v>
      </c>
      <c r="F1016" s="1">
        <f>IFERROR(__xludf.DUMMYFUNCTION("""COMPUTED_VALUE"""),4135300.0)</f>
        <v>4135300</v>
      </c>
    </row>
    <row r="1017">
      <c r="A1017" s="2">
        <f>IFERROR(__xludf.DUMMYFUNCTION("""COMPUTED_VALUE"""),38006.666666666664)</f>
        <v>38006.66667</v>
      </c>
      <c r="B1017" s="1">
        <f>IFERROR(__xludf.DUMMYFUNCTION("""COMPUTED_VALUE"""),49.2)</f>
        <v>49.2</v>
      </c>
      <c r="C1017" s="1">
        <f>IFERROR(__xludf.DUMMYFUNCTION("""COMPUTED_VALUE"""),49.6)</f>
        <v>49.6</v>
      </c>
      <c r="D1017" s="1">
        <f>IFERROR(__xludf.DUMMYFUNCTION("""COMPUTED_VALUE"""),49.13)</f>
        <v>49.13</v>
      </c>
      <c r="E1017" s="1">
        <f>IFERROR(__xludf.DUMMYFUNCTION("""COMPUTED_VALUE"""),49.34)</f>
        <v>49.34</v>
      </c>
      <c r="F1017" s="1">
        <f>IFERROR(__xludf.DUMMYFUNCTION("""COMPUTED_VALUE"""),3367700.0)</f>
        <v>3367700</v>
      </c>
    </row>
    <row r="1018">
      <c r="A1018" s="2">
        <f>IFERROR(__xludf.DUMMYFUNCTION("""COMPUTED_VALUE"""),38007.666666666664)</f>
        <v>38007.66667</v>
      </c>
      <c r="B1018" s="1">
        <f>IFERROR(__xludf.DUMMYFUNCTION("""COMPUTED_VALUE"""),49.1)</f>
        <v>49.1</v>
      </c>
      <c r="C1018" s="1">
        <f>IFERROR(__xludf.DUMMYFUNCTION("""COMPUTED_VALUE"""),49.58)</f>
        <v>49.58</v>
      </c>
      <c r="D1018" s="1">
        <f>IFERROR(__xludf.DUMMYFUNCTION("""COMPUTED_VALUE"""),49.08)</f>
        <v>49.08</v>
      </c>
      <c r="E1018" s="1">
        <f>IFERROR(__xludf.DUMMYFUNCTION("""COMPUTED_VALUE"""),49.58)</f>
        <v>49.58</v>
      </c>
      <c r="F1018" s="1">
        <f>IFERROR(__xludf.DUMMYFUNCTION("""COMPUTED_VALUE"""),3584900.0)</f>
        <v>3584900</v>
      </c>
    </row>
    <row r="1019">
      <c r="A1019" s="2">
        <f>IFERROR(__xludf.DUMMYFUNCTION("""COMPUTED_VALUE"""),38008.666666666664)</f>
        <v>38008.66667</v>
      </c>
      <c r="B1019" s="1">
        <f>IFERROR(__xludf.DUMMYFUNCTION("""COMPUTED_VALUE"""),49.13)</f>
        <v>49.13</v>
      </c>
      <c r="C1019" s="1">
        <f>IFERROR(__xludf.DUMMYFUNCTION("""COMPUTED_VALUE"""),49.8)</f>
        <v>49.8</v>
      </c>
      <c r="D1019" s="1">
        <f>IFERROR(__xludf.DUMMYFUNCTION("""COMPUTED_VALUE"""),49.13)</f>
        <v>49.13</v>
      </c>
      <c r="E1019" s="1">
        <f>IFERROR(__xludf.DUMMYFUNCTION("""COMPUTED_VALUE"""),49.62)</f>
        <v>49.62</v>
      </c>
      <c r="F1019" s="1">
        <f>IFERROR(__xludf.DUMMYFUNCTION("""COMPUTED_VALUE"""),2649500.0)</f>
        <v>2649500</v>
      </c>
    </row>
    <row r="1020">
      <c r="A1020" s="2">
        <f>IFERROR(__xludf.DUMMYFUNCTION("""COMPUTED_VALUE"""),38009.666666666664)</f>
        <v>38009.66667</v>
      </c>
      <c r="B1020" s="1">
        <f>IFERROR(__xludf.DUMMYFUNCTION("""COMPUTED_VALUE"""),49.74)</f>
        <v>49.74</v>
      </c>
      <c r="C1020" s="1">
        <f>IFERROR(__xludf.DUMMYFUNCTION("""COMPUTED_VALUE"""),49.75)</f>
        <v>49.75</v>
      </c>
      <c r="D1020" s="1">
        <f>IFERROR(__xludf.DUMMYFUNCTION("""COMPUTED_VALUE"""),48.97)</f>
        <v>48.97</v>
      </c>
      <c r="E1020" s="1">
        <f>IFERROR(__xludf.DUMMYFUNCTION("""COMPUTED_VALUE"""),49.18)</f>
        <v>49.18</v>
      </c>
      <c r="F1020" s="1">
        <f>IFERROR(__xludf.DUMMYFUNCTION("""COMPUTED_VALUE"""),3107900.0)</f>
        <v>3107900</v>
      </c>
    </row>
    <row r="1021">
      <c r="A1021" s="2">
        <f>IFERROR(__xludf.DUMMYFUNCTION("""COMPUTED_VALUE"""),38012.666666666664)</f>
        <v>38012.66667</v>
      </c>
      <c r="B1021" s="1">
        <f>IFERROR(__xludf.DUMMYFUNCTION("""COMPUTED_VALUE"""),48.98)</f>
        <v>48.98</v>
      </c>
      <c r="C1021" s="1">
        <f>IFERROR(__xludf.DUMMYFUNCTION("""COMPUTED_VALUE"""),49.99)</f>
        <v>49.99</v>
      </c>
      <c r="D1021" s="1">
        <f>IFERROR(__xludf.DUMMYFUNCTION("""COMPUTED_VALUE"""),48.98)</f>
        <v>48.98</v>
      </c>
      <c r="E1021" s="1">
        <f>IFERROR(__xludf.DUMMYFUNCTION("""COMPUTED_VALUE"""),49.92)</f>
        <v>49.92</v>
      </c>
      <c r="F1021" s="1">
        <f>IFERROR(__xludf.DUMMYFUNCTION("""COMPUTED_VALUE"""),2951500.0)</f>
        <v>2951500</v>
      </c>
    </row>
    <row r="1022">
      <c r="A1022" s="2">
        <f>IFERROR(__xludf.DUMMYFUNCTION("""COMPUTED_VALUE"""),38013.666666666664)</f>
        <v>38013.66667</v>
      </c>
      <c r="B1022" s="1">
        <f>IFERROR(__xludf.DUMMYFUNCTION("""COMPUTED_VALUE"""),49.78)</f>
        <v>49.78</v>
      </c>
      <c r="C1022" s="1">
        <f>IFERROR(__xludf.DUMMYFUNCTION("""COMPUTED_VALUE"""),49.91)</f>
        <v>49.91</v>
      </c>
      <c r="D1022" s="1">
        <f>IFERROR(__xludf.DUMMYFUNCTION("""COMPUTED_VALUE"""),49.55)</f>
        <v>49.55</v>
      </c>
      <c r="E1022" s="1">
        <f>IFERROR(__xludf.DUMMYFUNCTION("""COMPUTED_VALUE"""),49.59)</f>
        <v>49.59</v>
      </c>
      <c r="F1022" s="1">
        <f>IFERROR(__xludf.DUMMYFUNCTION("""COMPUTED_VALUE"""),2722500.0)</f>
        <v>2722500</v>
      </c>
    </row>
    <row r="1023">
      <c r="A1023" s="2">
        <f>IFERROR(__xludf.DUMMYFUNCTION("""COMPUTED_VALUE"""),38014.666666666664)</f>
        <v>38014.66667</v>
      </c>
      <c r="B1023" s="1">
        <f>IFERROR(__xludf.DUMMYFUNCTION("""COMPUTED_VALUE"""),49.59)</f>
        <v>49.59</v>
      </c>
      <c r="C1023" s="1">
        <f>IFERROR(__xludf.DUMMYFUNCTION("""COMPUTED_VALUE"""),49.98)</f>
        <v>49.98</v>
      </c>
      <c r="D1023" s="1">
        <f>IFERROR(__xludf.DUMMYFUNCTION("""COMPUTED_VALUE"""),49.06)</f>
        <v>49.06</v>
      </c>
      <c r="E1023" s="1">
        <f>IFERROR(__xludf.DUMMYFUNCTION("""COMPUTED_VALUE"""),49.31)</f>
        <v>49.31</v>
      </c>
      <c r="F1023" s="1">
        <f>IFERROR(__xludf.DUMMYFUNCTION("""COMPUTED_VALUE"""),3496600.0)</f>
        <v>3496600</v>
      </c>
    </row>
    <row r="1024">
      <c r="A1024" s="2">
        <f>IFERROR(__xludf.DUMMYFUNCTION("""COMPUTED_VALUE"""),38015.666666666664)</f>
        <v>38015.66667</v>
      </c>
      <c r="B1024" s="1">
        <f>IFERROR(__xludf.DUMMYFUNCTION("""COMPUTED_VALUE"""),49.4)</f>
        <v>49.4</v>
      </c>
      <c r="C1024" s="1">
        <f>IFERROR(__xludf.DUMMYFUNCTION("""COMPUTED_VALUE"""),50.56)</f>
        <v>50.56</v>
      </c>
      <c r="D1024" s="1">
        <f>IFERROR(__xludf.DUMMYFUNCTION("""COMPUTED_VALUE"""),49.35)</f>
        <v>49.35</v>
      </c>
      <c r="E1024" s="1">
        <f>IFERROR(__xludf.DUMMYFUNCTION("""COMPUTED_VALUE"""),50.5)</f>
        <v>50.5</v>
      </c>
      <c r="F1024" s="1">
        <f>IFERROR(__xludf.DUMMYFUNCTION("""COMPUTED_VALUE"""),5602100.0)</f>
        <v>5602100</v>
      </c>
    </row>
    <row r="1025">
      <c r="A1025" s="2">
        <f>IFERROR(__xludf.DUMMYFUNCTION("""COMPUTED_VALUE"""),38016.666666666664)</f>
        <v>38016.66667</v>
      </c>
      <c r="B1025" s="1">
        <f>IFERROR(__xludf.DUMMYFUNCTION("""COMPUTED_VALUE"""),50.25)</f>
        <v>50.25</v>
      </c>
      <c r="C1025" s="1">
        <f>IFERROR(__xludf.DUMMYFUNCTION("""COMPUTED_VALUE"""),50.71)</f>
        <v>50.71</v>
      </c>
      <c r="D1025" s="1">
        <f>IFERROR(__xludf.DUMMYFUNCTION("""COMPUTED_VALUE"""),50.25)</f>
        <v>50.25</v>
      </c>
      <c r="E1025" s="1">
        <f>IFERROR(__xludf.DUMMYFUNCTION("""COMPUTED_VALUE"""),50.54)</f>
        <v>50.54</v>
      </c>
      <c r="F1025" s="1">
        <f>IFERROR(__xludf.DUMMYFUNCTION("""COMPUTED_VALUE"""),4233000.0)</f>
        <v>4233000</v>
      </c>
    </row>
    <row r="1026">
      <c r="A1026" s="2">
        <f>IFERROR(__xludf.DUMMYFUNCTION("""COMPUTED_VALUE"""),38019.666666666664)</f>
        <v>38019.66667</v>
      </c>
      <c r="B1026" s="1">
        <f>IFERROR(__xludf.DUMMYFUNCTION("""COMPUTED_VALUE"""),50.41)</f>
        <v>50.41</v>
      </c>
      <c r="C1026" s="1">
        <f>IFERROR(__xludf.DUMMYFUNCTION("""COMPUTED_VALUE"""),50.97)</f>
        <v>50.97</v>
      </c>
      <c r="D1026" s="1">
        <f>IFERROR(__xludf.DUMMYFUNCTION("""COMPUTED_VALUE"""),50.41)</f>
        <v>50.41</v>
      </c>
      <c r="E1026" s="1">
        <f>IFERROR(__xludf.DUMMYFUNCTION("""COMPUTED_VALUE"""),50.84)</f>
        <v>50.84</v>
      </c>
      <c r="F1026" s="1">
        <f>IFERROR(__xludf.DUMMYFUNCTION("""COMPUTED_VALUE"""),3719200.0)</f>
        <v>3719200</v>
      </c>
    </row>
    <row r="1027">
      <c r="A1027" s="2">
        <f>IFERROR(__xludf.DUMMYFUNCTION("""COMPUTED_VALUE"""),38020.666666666664)</f>
        <v>38020.66667</v>
      </c>
      <c r="B1027" s="1">
        <f>IFERROR(__xludf.DUMMYFUNCTION("""COMPUTED_VALUE"""),50.65)</f>
        <v>50.65</v>
      </c>
      <c r="C1027" s="1">
        <f>IFERROR(__xludf.DUMMYFUNCTION("""COMPUTED_VALUE"""),51.02)</f>
        <v>51.02</v>
      </c>
      <c r="D1027" s="1">
        <f>IFERROR(__xludf.DUMMYFUNCTION("""COMPUTED_VALUE"""),50.56)</f>
        <v>50.56</v>
      </c>
      <c r="E1027" s="1">
        <f>IFERROR(__xludf.DUMMYFUNCTION("""COMPUTED_VALUE"""),51.01)</f>
        <v>51.01</v>
      </c>
      <c r="F1027" s="1">
        <f>IFERROR(__xludf.DUMMYFUNCTION("""COMPUTED_VALUE"""),3278600.0)</f>
        <v>3278600</v>
      </c>
    </row>
    <row r="1028">
      <c r="A1028" s="2">
        <f>IFERROR(__xludf.DUMMYFUNCTION("""COMPUTED_VALUE"""),38021.666666666664)</f>
        <v>38021.66667</v>
      </c>
      <c r="B1028" s="1">
        <f>IFERROR(__xludf.DUMMYFUNCTION("""COMPUTED_VALUE"""),51.0)</f>
        <v>51</v>
      </c>
      <c r="C1028" s="1">
        <f>IFERROR(__xludf.DUMMYFUNCTION("""COMPUTED_VALUE"""),51.84)</f>
        <v>51.84</v>
      </c>
      <c r="D1028" s="1">
        <f>IFERROR(__xludf.DUMMYFUNCTION("""COMPUTED_VALUE"""),50.95)</f>
        <v>50.95</v>
      </c>
      <c r="E1028" s="1">
        <f>IFERROR(__xludf.DUMMYFUNCTION("""COMPUTED_VALUE"""),51.6)</f>
        <v>51.6</v>
      </c>
      <c r="F1028" s="1">
        <f>IFERROR(__xludf.DUMMYFUNCTION("""COMPUTED_VALUE"""),4324800.0)</f>
        <v>4324800</v>
      </c>
    </row>
    <row r="1029">
      <c r="A1029" s="2">
        <f>IFERROR(__xludf.DUMMYFUNCTION("""COMPUTED_VALUE"""),38022.666666666664)</f>
        <v>38022.66667</v>
      </c>
      <c r="B1029" s="1">
        <f>IFERROR(__xludf.DUMMYFUNCTION("""COMPUTED_VALUE"""),51.34)</f>
        <v>51.34</v>
      </c>
      <c r="C1029" s="1">
        <f>IFERROR(__xludf.DUMMYFUNCTION("""COMPUTED_VALUE"""),51.79)</f>
        <v>51.79</v>
      </c>
      <c r="D1029" s="1">
        <f>IFERROR(__xludf.DUMMYFUNCTION("""COMPUTED_VALUE"""),51.2)</f>
        <v>51.2</v>
      </c>
      <c r="E1029" s="1">
        <f>IFERROR(__xludf.DUMMYFUNCTION("""COMPUTED_VALUE"""),51.35)</f>
        <v>51.35</v>
      </c>
      <c r="F1029" s="1">
        <f>IFERROR(__xludf.DUMMYFUNCTION("""COMPUTED_VALUE"""),3401200.0)</f>
        <v>3401200</v>
      </c>
    </row>
    <row r="1030">
      <c r="A1030" s="2">
        <f>IFERROR(__xludf.DUMMYFUNCTION("""COMPUTED_VALUE"""),38023.666666666664)</f>
        <v>38023.66667</v>
      </c>
      <c r="B1030" s="1">
        <f>IFERROR(__xludf.DUMMYFUNCTION("""COMPUTED_VALUE"""),51.25)</f>
        <v>51.25</v>
      </c>
      <c r="C1030" s="1">
        <f>IFERROR(__xludf.DUMMYFUNCTION("""COMPUTED_VALUE"""),51.41)</f>
        <v>51.41</v>
      </c>
      <c r="D1030" s="1">
        <f>IFERROR(__xludf.DUMMYFUNCTION("""COMPUTED_VALUE"""),50.64)</f>
        <v>50.64</v>
      </c>
      <c r="E1030" s="1">
        <f>IFERROR(__xludf.DUMMYFUNCTION("""COMPUTED_VALUE"""),51.18)</f>
        <v>51.18</v>
      </c>
      <c r="F1030" s="1">
        <f>IFERROR(__xludf.DUMMYFUNCTION("""COMPUTED_VALUE"""),3010100.0)</f>
        <v>3010100</v>
      </c>
    </row>
    <row r="1031">
      <c r="A1031" s="2">
        <f>IFERROR(__xludf.DUMMYFUNCTION("""COMPUTED_VALUE"""),38026.666666666664)</f>
        <v>38026.66667</v>
      </c>
      <c r="B1031" s="1">
        <f>IFERROR(__xludf.DUMMYFUNCTION("""COMPUTED_VALUE"""),50.93)</f>
        <v>50.93</v>
      </c>
      <c r="C1031" s="1">
        <f>IFERROR(__xludf.DUMMYFUNCTION("""COMPUTED_VALUE"""),51.36)</f>
        <v>51.36</v>
      </c>
      <c r="D1031" s="1">
        <f>IFERROR(__xludf.DUMMYFUNCTION("""COMPUTED_VALUE"""),50.73)</f>
        <v>50.73</v>
      </c>
      <c r="E1031" s="1">
        <f>IFERROR(__xludf.DUMMYFUNCTION("""COMPUTED_VALUE"""),51.28)</f>
        <v>51.28</v>
      </c>
      <c r="F1031" s="1">
        <f>IFERROR(__xludf.DUMMYFUNCTION("""COMPUTED_VALUE"""),2926300.0)</f>
        <v>2926300</v>
      </c>
    </row>
    <row r="1032">
      <c r="A1032" s="2">
        <f>IFERROR(__xludf.DUMMYFUNCTION("""COMPUTED_VALUE"""),38027.666666666664)</f>
        <v>38027.66667</v>
      </c>
      <c r="B1032" s="1">
        <f>IFERROR(__xludf.DUMMYFUNCTION("""COMPUTED_VALUE"""),51.1)</f>
        <v>51.1</v>
      </c>
      <c r="C1032" s="1">
        <f>IFERROR(__xludf.DUMMYFUNCTION("""COMPUTED_VALUE"""),51.3)</f>
        <v>51.3</v>
      </c>
      <c r="D1032" s="1">
        <f>IFERROR(__xludf.DUMMYFUNCTION("""COMPUTED_VALUE"""),51.05)</f>
        <v>51.05</v>
      </c>
      <c r="E1032" s="1">
        <f>IFERROR(__xludf.DUMMYFUNCTION("""COMPUTED_VALUE"""),51.18)</f>
        <v>51.18</v>
      </c>
      <c r="F1032" s="1">
        <f>IFERROR(__xludf.DUMMYFUNCTION("""COMPUTED_VALUE"""),2138100.0)</f>
        <v>2138100</v>
      </c>
    </row>
    <row r="1033">
      <c r="A1033" s="2">
        <f>IFERROR(__xludf.DUMMYFUNCTION("""COMPUTED_VALUE"""),38028.666666666664)</f>
        <v>38028.66667</v>
      </c>
      <c r="B1033" s="1">
        <f>IFERROR(__xludf.DUMMYFUNCTION("""COMPUTED_VALUE"""),51.09)</f>
        <v>51.09</v>
      </c>
      <c r="C1033" s="1">
        <f>IFERROR(__xludf.DUMMYFUNCTION("""COMPUTED_VALUE"""),51.66)</f>
        <v>51.66</v>
      </c>
      <c r="D1033" s="1">
        <f>IFERROR(__xludf.DUMMYFUNCTION("""COMPUTED_VALUE"""),51.01)</f>
        <v>51.01</v>
      </c>
      <c r="E1033" s="1">
        <f>IFERROR(__xludf.DUMMYFUNCTION("""COMPUTED_VALUE"""),51.6)</f>
        <v>51.6</v>
      </c>
      <c r="F1033" s="1">
        <f>IFERROR(__xludf.DUMMYFUNCTION("""COMPUTED_VALUE"""),2609900.0)</f>
        <v>2609900</v>
      </c>
    </row>
    <row r="1034">
      <c r="A1034" s="2">
        <f>IFERROR(__xludf.DUMMYFUNCTION("""COMPUTED_VALUE"""),38029.666666666664)</f>
        <v>38029.66667</v>
      </c>
      <c r="B1034" s="1">
        <f>IFERROR(__xludf.DUMMYFUNCTION("""COMPUTED_VALUE"""),51.48)</f>
        <v>51.48</v>
      </c>
      <c r="C1034" s="1">
        <f>IFERROR(__xludf.DUMMYFUNCTION("""COMPUTED_VALUE"""),51.57)</f>
        <v>51.57</v>
      </c>
      <c r="D1034" s="1">
        <f>IFERROR(__xludf.DUMMYFUNCTION("""COMPUTED_VALUE"""),51.04)</f>
        <v>51.04</v>
      </c>
      <c r="E1034" s="1">
        <f>IFERROR(__xludf.DUMMYFUNCTION("""COMPUTED_VALUE"""),51.2)</f>
        <v>51.2</v>
      </c>
      <c r="F1034" s="1">
        <f>IFERROR(__xludf.DUMMYFUNCTION("""COMPUTED_VALUE"""),2112200.0)</f>
        <v>2112200</v>
      </c>
    </row>
    <row r="1035">
      <c r="A1035" s="2">
        <f>IFERROR(__xludf.DUMMYFUNCTION("""COMPUTED_VALUE"""),38030.666666666664)</f>
        <v>38030.66667</v>
      </c>
      <c r="B1035" s="1">
        <f>IFERROR(__xludf.DUMMYFUNCTION("""COMPUTED_VALUE"""),51.38)</f>
        <v>51.38</v>
      </c>
      <c r="C1035" s="1">
        <f>IFERROR(__xludf.DUMMYFUNCTION("""COMPUTED_VALUE"""),51.65)</f>
        <v>51.65</v>
      </c>
      <c r="D1035" s="1">
        <f>IFERROR(__xludf.DUMMYFUNCTION("""COMPUTED_VALUE"""),50.98)</f>
        <v>50.98</v>
      </c>
      <c r="E1035" s="1">
        <f>IFERROR(__xludf.DUMMYFUNCTION("""COMPUTED_VALUE"""),51.03)</f>
        <v>51.03</v>
      </c>
      <c r="F1035" s="1">
        <f>IFERROR(__xludf.DUMMYFUNCTION("""COMPUTED_VALUE"""),1883900.0)</f>
        <v>1883900</v>
      </c>
    </row>
    <row r="1036">
      <c r="A1036" s="2">
        <f>IFERROR(__xludf.DUMMYFUNCTION("""COMPUTED_VALUE"""),38034.666666666664)</f>
        <v>38034.66667</v>
      </c>
      <c r="B1036" s="1">
        <f>IFERROR(__xludf.DUMMYFUNCTION("""COMPUTED_VALUE"""),51.24)</f>
        <v>51.24</v>
      </c>
      <c r="C1036" s="1">
        <f>IFERROR(__xludf.DUMMYFUNCTION("""COMPUTED_VALUE"""),51.62)</f>
        <v>51.62</v>
      </c>
      <c r="D1036" s="1">
        <f>IFERROR(__xludf.DUMMYFUNCTION("""COMPUTED_VALUE"""),51.05)</f>
        <v>51.05</v>
      </c>
      <c r="E1036" s="1">
        <f>IFERROR(__xludf.DUMMYFUNCTION("""COMPUTED_VALUE"""),51.56)</f>
        <v>51.56</v>
      </c>
      <c r="F1036" s="1">
        <f>IFERROR(__xludf.DUMMYFUNCTION("""COMPUTED_VALUE"""),2251300.0)</f>
        <v>2251300</v>
      </c>
    </row>
    <row r="1037">
      <c r="A1037" s="2">
        <f>IFERROR(__xludf.DUMMYFUNCTION("""COMPUTED_VALUE"""),38035.666666666664)</f>
        <v>38035.66667</v>
      </c>
      <c r="B1037" s="1">
        <f>IFERROR(__xludf.DUMMYFUNCTION("""COMPUTED_VALUE"""),51.71)</f>
        <v>51.71</v>
      </c>
      <c r="C1037" s="1">
        <f>IFERROR(__xludf.DUMMYFUNCTION("""COMPUTED_VALUE"""),51.75)</f>
        <v>51.75</v>
      </c>
      <c r="D1037" s="1">
        <f>IFERROR(__xludf.DUMMYFUNCTION("""COMPUTED_VALUE"""),51.42)</f>
        <v>51.42</v>
      </c>
      <c r="E1037" s="1">
        <f>IFERROR(__xludf.DUMMYFUNCTION("""COMPUTED_VALUE"""),51.48)</f>
        <v>51.48</v>
      </c>
      <c r="F1037" s="1">
        <f>IFERROR(__xludf.DUMMYFUNCTION("""COMPUTED_VALUE"""),2863800.0)</f>
        <v>2863800</v>
      </c>
    </row>
    <row r="1038">
      <c r="A1038" s="2">
        <f>IFERROR(__xludf.DUMMYFUNCTION("""COMPUTED_VALUE"""),38036.666666666664)</f>
        <v>38036.66667</v>
      </c>
      <c r="B1038" s="1">
        <f>IFERROR(__xludf.DUMMYFUNCTION("""COMPUTED_VALUE"""),51.36)</f>
        <v>51.36</v>
      </c>
      <c r="C1038" s="1">
        <f>IFERROR(__xludf.DUMMYFUNCTION("""COMPUTED_VALUE"""),51.87)</f>
        <v>51.87</v>
      </c>
      <c r="D1038" s="1">
        <f>IFERROR(__xludf.DUMMYFUNCTION("""COMPUTED_VALUE"""),51.0)</f>
        <v>51</v>
      </c>
      <c r="E1038" s="1">
        <f>IFERROR(__xludf.DUMMYFUNCTION("""COMPUTED_VALUE"""),51.22)</f>
        <v>51.22</v>
      </c>
      <c r="F1038" s="1">
        <f>IFERROR(__xludf.DUMMYFUNCTION("""COMPUTED_VALUE"""),3147900.0)</f>
        <v>3147900</v>
      </c>
    </row>
    <row r="1039">
      <c r="A1039" s="2">
        <f>IFERROR(__xludf.DUMMYFUNCTION("""COMPUTED_VALUE"""),38037.666666666664)</f>
        <v>38037.66667</v>
      </c>
      <c r="B1039" s="1">
        <f>IFERROR(__xludf.DUMMYFUNCTION("""COMPUTED_VALUE"""),51.37)</f>
        <v>51.37</v>
      </c>
      <c r="C1039" s="1">
        <f>IFERROR(__xludf.DUMMYFUNCTION("""COMPUTED_VALUE"""),51.37)</f>
        <v>51.37</v>
      </c>
      <c r="D1039" s="1">
        <f>IFERROR(__xludf.DUMMYFUNCTION("""COMPUTED_VALUE"""),51.03)</f>
        <v>51.03</v>
      </c>
      <c r="E1039" s="1">
        <f>IFERROR(__xludf.DUMMYFUNCTION("""COMPUTED_VALUE"""),51.25)</f>
        <v>51.25</v>
      </c>
      <c r="F1039" s="1">
        <f>IFERROR(__xludf.DUMMYFUNCTION("""COMPUTED_VALUE"""),3188200.0)</f>
        <v>3188200</v>
      </c>
    </row>
    <row r="1040">
      <c r="A1040" s="2">
        <f>IFERROR(__xludf.DUMMYFUNCTION("""COMPUTED_VALUE"""),38040.666666666664)</f>
        <v>38040.66667</v>
      </c>
      <c r="B1040" s="1">
        <f>IFERROR(__xludf.DUMMYFUNCTION("""COMPUTED_VALUE"""),51.28)</f>
        <v>51.28</v>
      </c>
      <c r="C1040" s="1">
        <f>IFERROR(__xludf.DUMMYFUNCTION("""COMPUTED_VALUE"""),51.85)</f>
        <v>51.85</v>
      </c>
      <c r="D1040" s="1">
        <f>IFERROR(__xludf.DUMMYFUNCTION("""COMPUTED_VALUE"""),51.28)</f>
        <v>51.28</v>
      </c>
      <c r="E1040" s="1">
        <f>IFERROR(__xludf.DUMMYFUNCTION("""COMPUTED_VALUE"""),51.79)</f>
        <v>51.79</v>
      </c>
      <c r="F1040" s="1">
        <f>IFERROR(__xludf.DUMMYFUNCTION("""COMPUTED_VALUE"""),2421000.0)</f>
        <v>2421000</v>
      </c>
    </row>
    <row r="1041">
      <c r="A1041" s="2">
        <f>IFERROR(__xludf.DUMMYFUNCTION("""COMPUTED_VALUE"""),38041.666666666664)</f>
        <v>38041.66667</v>
      </c>
      <c r="B1041" s="1">
        <f>IFERROR(__xludf.DUMMYFUNCTION("""COMPUTED_VALUE"""),51.76)</f>
        <v>51.76</v>
      </c>
      <c r="C1041" s="1">
        <f>IFERROR(__xludf.DUMMYFUNCTION("""COMPUTED_VALUE"""),52.0)</f>
        <v>52</v>
      </c>
      <c r="D1041" s="1">
        <f>IFERROR(__xludf.DUMMYFUNCTION("""COMPUTED_VALUE"""),50.63)</f>
        <v>50.63</v>
      </c>
      <c r="E1041" s="1">
        <f>IFERROR(__xludf.DUMMYFUNCTION("""COMPUTED_VALUE"""),50.89)</f>
        <v>50.89</v>
      </c>
      <c r="F1041" s="1">
        <f>IFERROR(__xludf.DUMMYFUNCTION("""COMPUTED_VALUE"""),4077700.0)</f>
        <v>4077700</v>
      </c>
    </row>
    <row r="1042">
      <c r="A1042" s="2">
        <f>IFERROR(__xludf.DUMMYFUNCTION("""COMPUTED_VALUE"""),38042.666666666664)</f>
        <v>38042.66667</v>
      </c>
      <c r="B1042" s="1">
        <f>IFERROR(__xludf.DUMMYFUNCTION("""COMPUTED_VALUE"""),50.96)</f>
        <v>50.96</v>
      </c>
      <c r="C1042" s="1">
        <f>IFERROR(__xludf.DUMMYFUNCTION("""COMPUTED_VALUE"""),51.52)</f>
        <v>51.52</v>
      </c>
      <c r="D1042" s="1">
        <f>IFERROR(__xludf.DUMMYFUNCTION("""COMPUTED_VALUE"""),50.79)</f>
        <v>50.79</v>
      </c>
      <c r="E1042" s="1">
        <f>IFERROR(__xludf.DUMMYFUNCTION("""COMPUTED_VALUE"""),51.35)</f>
        <v>51.35</v>
      </c>
      <c r="F1042" s="1">
        <f>IFERROR(__xludf.DUMMYFUNCTION("""COMPUTED_VALUE"""),2746100.0)</f>
        <v>2746100</v>
      </c>
    </row>
    <row r="1043">
      <c r="A1043" s="2">
        <f>IFERROR(__xludf.DUMMYFUNCTION("""COMPUTED_VALUE"""),38043.666666666664)</f>
        <v>38043.66667</v>
      </c>
      <c r="B1043" s="1">
        <f>IFERROR(__xludf.DUMMYFUNCTION("""COMPUTED_VALUE"""),51.2)</f>
        <v>51.2</v>
      </c>
      <c r="C1043" s="1">
        <f>IFERROR(__xludf.DUMMYFUNCTION("""COMPUTED_VALUE"""),51.64)</f>
        <v>51.64</v>
      </c>
      <c r="D1043" s="1">
        <f>IFERROR(__xludf.DUMMYFUNCTION("""COMPUTED_VALUE"""),51.19)</f>
        <v>51.19</v>
      </c>
      <c r="E1043" s="1">
        <f>IFERROR(__xludf.DUMMYFUNCTION("""COMPUTED_VALUE"""),51.54)</f>
        <v>51.54</v>
      </c>
      <c r="F1043" s="1">
        <f>IFERROR(__xludf.DUMMYFUNCTION("""COMPUTED_VALUE"""),2755800.0)</f>
        <v>2755800</v>
      </c>
    </row>
    <row r="1044">
      <c r="A1044" s="2">
        <f>IFERROR(__xludf.DUMMYFUNCTION("""COMPUTED_VALUE"""),38044.666666666664)</f>
        <v>38044.66667</v>
      </c>
      <c r="B1044" s="1">
        <f>IFERROR(__xludf.DUMMYFUNCTION("""COMPUTED_VALUE"""),51.4)</f>
        <v>51.4</v>
      </c>
      <c r="C1044" s="1">
        <f>IFERROR(__xludf.DUMMYFUNCTION("""COMPUTED_VALUE"""),51.73)</f>
        <v>51.73</v>
      </c>
      <c r="D1044" s="1">
        <f>IFERROR(__xludf.DUMMYFUNCTION("""COMPUTED_VALUE"""),51.11)</f>
        <v>51.11</v>
      </c>
      <c r="E1044" s="1">
        <f>IFERROR(__xludf.DUMMYFUNCTION("""COMPUTED_VALUE"""),51.26)</f>
        <v>51.26</v>
      </c>
      <c r="F1044" s="1">
        <f>IFERROR(__xludf.DUMMYFUNCTION("""COMPUTED_VALUE"""),4060900.0)</f>
        <v>4060900</v>
      </c>
    </row>
    <row r="1045">
      <c r="A1045" s="2">
        <f>IFERROR(__xludf.DUMMYFUNCTION("""COMPUTED_VALUE"""),38047.666666666664)</f>
        <v>38047.66667</v>
      </c>
      <c r="B1045" s="1">
        <f>IFERROR(__xludf.DUMMYFUNCTION("""COMPUTED_VALUE"""),51.29)</f>
        <v>51.29</v>
      </c>
      <c r="C1045" s="1">
        <f>IFERROR(__xludf.DUMMYFUNCTION("""COMPUTED_VALUE"""),51.93)</f>
        <v>51.93</v>
      </c>
      <c r="D1045" s="1">
        <f>IFERROR(__xludf.DUMMYFUNCTION("""COMPUTED_VALUE"""),51.06)</f>
        <v>51.06</v>
      </c>
      <c r="E1045" s="1">
        <f>IFERROR(__xludf.DUMMYFUNCTION("""COMPUTED_VALUE"""),51.93)</f>
        <v>51.93</v>
      </c>
      <c r="F1045" s="1">
        <f>IFERROR(__xludf.DUMMYFUNCTION("""COMPUTED_VALUE"""),2911000.0)</f>
        <v>2911000</v>
      </c>
    </row>
    <row r="1046">
      <c r="A1046" s="2">
        <f>IFERROR(__xludf.DUMMYFUNCTION("""COMPUTED_VALUE"""),38048.666666666664)</f>
        <v>38048.66667</v>
      </c>
      <c r="B1046" s="1">
        <f>IFERROR(__xludf.DUMMYFUNCTION("""COMPUTED_VALUE"""),51.93)</f>
        <v>51.93</v>
      </c>
      <c r="C1046" s="1">
        <f>IFERROR(__xludf.DUMMYFUNCTION("""COMPUTED_VALUE"""),51.93)</f>
        <v>51.93</v>
      </c>
      <c r="D1046" s="1">
        <f>IFERROR(__xludf.DUMMYFUNCTION("""COMPUTED_VALUE"""),50.88)</f>
        <v>50.88</v>
      </c>
      <c r="E1046" s="1">
        <f>IFERROR(__xludf.DUMMYFUNCTION("""COMPUTED_VALUE"""),51.06)</f>
        <v>51.06</v>
      </c>
      <c r="F1046" s="1">
        <f>IFERROR(__xludf.DUMMYFUNCTION("""COMPUTED_VALUE"""),4318500.0)</f>
        <v>4318500</v>
      </c>
    </row>
    <row r="1047">
      <c r="A1047" s="2">
        <f>IFERROR(__xludf.DUMMYFUNCTION("""COMPUTED_VALUE"""),38049.666666666664)</f>
        <v>38049.66667</v>
      </c>
      <c r="B1047" s="1">
        <f>IFERROR(__xludf.DUMMYFUNCTION("""COMPUTED_VALUE"""),50.83)</f>
        <v>50.83</v>
      </c>
      <c r="C1047" s="1">
        <f>IFERROR(__xludf.DUMMYFUNCTION("""COMPUTED_VALUE"""),51.43)</f>
        <v>51.43</v>
      </c>
      <c r="D1047" s="1">
        <f>IFERROR(__xludf.DUMMYFUNCTION("""COMPUTED_VALUE"""),50.76)</f>
        <v>50.76</v>
      </c>
      <c r="E1047" s="1">
        <f>IFERROR(__xludf.DUMMYFUNCTION("""COMPUTED_VALUE"""),51.23)</f>
        <v>51.23</v>
      </c>
      <c r="F1047" s="1">
        <f>IFERROR(__xludf.DUMMYFUNCTION("""COMPUTED_VALUE"""),3161500.0)</f>
        <v>3161500</v>
      </c>
    </row>
    <row r="1048">
      <c r="A1048" s="2">
        <f>IFERROR(__xludf.DUMMYFUNCTION("""COMPUTED_VALUE"""),38050.666666666664)</f>
        <v>38050.66667</v>
      </c>
      <c r="B1048" s="1">
        <f>IFERROR(__xludf.DUMMYFUNCTION("""COMPUTED_VALUE"""),51.18)</f>
        <v>51.18</v>
      </c>
      <c r="C1048" s="1">
        <f>IFERROR(__xludf.DUMMYFUNCTION("""COMPUTED_VALUE"""),51.32)</f>
        <v>51.32</v>
      </c>
      <c r="D1048" s="1">
        <f>IFERROR(__xludf.DUMMYFUNCTION("""COMPUTED_VALUE"""),50.89)</f>
        <v>50.89</v>
      </c>
      <c r="E1048" s="1">
        <f>IFERROR(__xludf.DUMMYFUNCTION("""COMPUTED_VALUE"""),51.05)</f>
        <v>51.05</v>
      </c>
      <c r="F1048" s="1">
        <f>IFERROR(__xludf.DUMMYFUNCTION("""COMPUTED_VALUE"""),2365800.0)</f>
        <v>2365800</v>
      </c>
    </row>
    <row r="1049">
      <c r="A1049" s="2">
        <f>IFERROR(__xludf.DUMMYFUNCTION("""COMPUTED_VALUE"""),38051.666666666664)</f>
        <v>38051.66667</v>
      </c>
      <c r="B1049" s="1">
        <f>IFERROR(__xludf.DUMMYFUNCTION("""COMPUTED_VALUE"""),50.93)</f>
        <v>50.93</v>
      </c>
      <c r="C1049" s="1">
        <f>IFERROR(__xludf.DUMMYFUNCTION("""COMPUTED_VALUE"""),51.4)</f>
        <v>51.4</v>
      </c>
      <c r="D1049" s="1">
        <f>IFERROR(__xludf.DUMMYFUNCTION("""COMPUTED_VALUE"""),50.55)</f>
        <v>50.55</v>
      </c>
      <c r="E1049" s="1">
        <f>IFERROR(__xludf.DUMMYFUNCTION("""COMPUTED_VALUE"""),50.88)</f>
        <v>50.88</v>
      </c>
      <c r="F1049" s="1">
        <f>IFERROR(__xludf.DUMMYFUNCTION("""COMPUTED_VALUE"""),3947800.0)</f>
        <v>3947800</v>
      </c>
    </row>
    <row r="1050">
      <c r="A1050" s="2">
        <f>IFERROR(__xludf.DUMMYFUNCTION("""COMPUTED_VALUE"""),38054.666666666664)</f>
        <v>38054.66667</v>
      </c>
      <c r="B1050" s="1">
        <f>IFERROR(__xludf.DUMMYFUNCTION("""COMPUTED_VALUE"""),50.88)</f>
        <v>50.88</v>
      </c>
      <c r="C1050" s="1">
        <f>IFERROR(__xludf.DUMMYFUNCTION("""COMPUTED_VALUE"""),51.57)</f>
        <v>51.57</v>
      </c>
      <c r="D1050" s="1">
        <f>IFERROR(__xludf.DUMMYFUNCTION("""COMPUTED_VALUE"""),50.87)</f>
        <v>50.87</v>
      </c>
      <c r="E1050" s="1">
        <f>IFERROR(__xludf.DUMMYFUNCTION("""COMPUTED_VALUE"""),51.24)</f>
        <v>51.24</v>
      </c>
      <c r="F1050" s="1">
        <f>IFERROR(__xludf.DUMMYFUNCTION("""COMPUTED_VALUE"""),2815900.0)</f>
        <v>2815900</v>
      </c>
    </row>
    <row r="1051">
      <c r="A1051" s="2">
        <f>IFERROR(__xludf.DUMMYFUNCTION("""COMPUTED_VALUE"""),38055.666666666664)</f>
        <v>38055.66667</v>
      </c>
      <c r="B1051" s="1">
        <f>IFERROR(__xludf.DUMMYFUNCTION("""COMPUTED_VALUE"""),51.03)</f>
        <v>51.03</v>
      </c>
      <c r="C1051" s="1">
        <f>IFERROR(__xludf.DUMMYFUNCTION("""COMPUTED_VALUE"""),51.39)</f>
        <v>51.39</v>
      </c>
      <c r="D1051" s="1">
        <f>IFERROR(__xludf.DUMMYFUNCTION("""COMPUTED_VALUE"""),50.98)</f>
        <v>50.98</v>
      </c>
      <c r="E1051" s="1">
        <f>IFERROR(__xludf.DUMMYFUNCTION("""COMPUTED_VALUE"""),51.25)</f>
        <v>51.25</v>
      </c>
      <c r="F1051" s="1">
        <f>IFERROR(__xludf.DUMMYFUNCTION("""COMPUTED_VALUE"""),2757900.0)</f>
        <v>2757900</v>
      </c>
    </row>
    <row r="1052">
      <c r="A1052" s="2">
        <f>IFERROR(__xludf.DUMMYFUNCTION("""COMPUTED_VALUE"""),38056.666666666664)</f>
        <v>38056.66667</v>
      </c>
      <c r="B1052" s="1">
        <f>IFERROR(__xludf.DUMMYFUNCTION("""COMPUTED_VALUE"""),52.13)</f>
        <v>52.13</v>
      </c>
      <c r="C1052" s="1">
        <f>IFERROR(__xludf.DUMMYFUNCTION("""COMPUTED_VALUE"""),53.61)</f>
        <v>53.61</v>
      </c>
      <c r="D1052" s="1">
        <f>IFERROR(__xludf.DUMMYFUNCTION("""COMPUTED_VALUE"""),52.13)</f>
        <v>52.13</v>
      </c>
      <c r="E1052" s="1">
        <f>IFERROR(__xludf.DUMMYFUNCTION("""COMPUTED_VALUE"""),52.77)</f>
        <v>52.77</v>
      </c>
      <c r="F1052" s="1">
        <f>IFERROR(__xludf.DUMMYFUNCTION("""COMPUTED_VALUE"""),9464700.0)</f>
        <v>9464700</v>
      </c>
    </row>
    <row r="1053">
      <c r="A1053" s="2">
        <f>IFERROR(__xludf.DUMMYFUNCTION("""COMPUTED_VALUE"""),38057.666666666664)</f>
        <v>38057.66667</v>
      </c>
      <c r="B1053" s="1">
        <f>IFERROR(__xludf.DUMMYFUNCTION("""COMPUTED_VALUE"""),52.65)</f>
        <v>52.65</v>
      </c>
      <c r="C1053" s="1">
        <f>IFERROR(__xludf.DUMMYFUNCTION("""COMPUTED_VALUE"""),53.05)</f>
        <v>53.05</v>
      </c>
      <c r="D1053" s="1">
        <f>IFERROR(__xludf.DUMMYFUNCTION("""COMPUTED_VALUE"""),51.98)</f>
        <v>51.98</v>
      </c>
      <c r="E1053" s="1">
        <f>IFERROR(__xludf.DUMMYFUNCTION("""COMPUTED_VALUE"""),51.98)</f>
        <v>51.98</v>
      </c>
      <c r="F1053" s="1">
        <f>IFERROR(__xludf.DUMMYFUNCTION("""COMPUTED_VALUE"""),5496700.0)</f>
        <v>5496700</v>
      </c>
    </row>
    <row r="1054">
      <c r="A1054" s="2">
        <f>IFERROR(__xludf.DUMMYFUNCTION("""COMPUTED_VALUE"""),38058.666666666664)</f>
        <v>38058.66667</v>
      </c>
      <c r="B1054" s="1">
        <f>IFERROR(__xludf.DUMMYFUNCTION("""COMPUTED_VALUE"""),52.0)</f>
        <v>52</v>
      </c>
      <c r="C1054" s="1">
        <f>IFERROR(__xludf.DUMMYFUNCTION("""COMPUTED_VALUE"""),52.23)</f>
        <v>52.23</v>
      </c>
      <c r="D1054" s="1">
        <f>IFERROR(__xludf.DUMMYFUNCTION("""COMPUTED_VALUE"""),51.46)</f>
        <v>51.46</v>
      </c>
      <c r="E1054" s="1">
        <f>IFERROR(__xludf.DUMMYFUNCTION("""COMPUTED_VALUE"""),52.06)</f>
        <v>52.06</v>
      </c>
      <c r="F1054" s="1">
        <f>IFERROR(__xludf.DUMMYFUNCTION("""COMPUTED_VALUE"""),3693500.0)</f>
        <v>3693500</v>
      </c>
    </row>
    <row r="1055">
      <c r="A1055" s="2">
        <f>IFERROR(__xludf.DUMMYFUNCTION("""COMPUTED_VALUE"""),38061.666666666664)</f>
        <v>38061.66667</v>
      </c>
      <c r="B1055" s="1">
        <f>IFERROR(__xludf.DUMMYFUNCTION("""COMPUTED_VALUE"""),51.65)</f>
        <v>51.65</v>
      </c>
      <c r="C1055" s="1">
        <f>IFERROR(__xludf.DUMMYFUNCTION("""COMPUTED_VALUE"""),52.01)</f>
        <v>52.01</v>
      </c>
      <c r="D1055" s="1">
        <f>IFERROR(__xludf.DUMMYFUNCTION("""COMPUTED_VALUE"""),51.19)</f>
        <v>51.19</v>
      </c>
      <c r="E1055" s="1">
        <f>IFERROR(__xludf.DUMMYFUNCTION("""COMPUTED_VALUE"""),51.26)</f>
        <v>51.26</v>
      </c>
      <c r="F1055" s="1">
        <f>IFERROR(__xludf.DUMMYFUNCTION("""COMPUTED_VALUE"""),3879300.0)</f>
        <v>3879300</v>
      </c>
    </row>
    <row r="1056">
      <c r="A1056" s="2">
        <f>IFERROR(__xludf.DUMMYFUNCTION("""COMPUTED_VALUE"""),38062.666666666664)</f>
        <v>38062.66667</v>
      </c>
      <c r="B1056" s="1">
        <f>IFERROR(__xludf.DUMMYFUNCTION("""COMPUTED_VALUE"""),51.56)</f>
        <v>51.56</v>
      </c>
      <c r="C1056" s="1">
        <f>IFERROR(__xludf.DUMMYFUNCTION("""COMPUTED_VALUE"""),51.73)</f>
        <v>51.73</v>
      </c>
      <c r="D1056" s="1">
        <f>IFERROR(__xludf.DUMMYFUNCTION("""COMPUTED_VALUE"""),51.2)</f>
        <v>51.2</v>
      </c>
      <c r="E1056" s="1">
        <f>IFERROR(__xludf.DUMMYFUNCTION("""COMPUTED_VALUE"""),51.53)</f>
        <v>51.53</v>
      </c>
      <c r="F1056" s="1">
        <f>IFERROR(__xludf.DUMMYFUNCTION("""COMPUTED_VALUE"""),3378200.0)</f>
        <v>3378200</v>
      </c>
    </row>
    <row r="1057">
      <c r="A1057" s="2">
        <f>IFERROR(__xludf.DUMMYFUNCTION("""COMPUTED_VALUE"""),38063.666666666664)</f>
        <v>38063.66667</v>
      </c>
      <c r="B1057" s="1">
        <f>IFERROR(__xludf.DUMMYFUNCTION("""COMPUTED_VALUE"""),51.55)</f>
        <v>51.55</v>
      </c>
      <c r="C1057" s="1">
        <f>IFERROR(__xludf.DUMMYFUNCTION("""COMPUTED_VALUE"""),52.33)</f>
        <v>52.33</v>
      </c>
      <c r="D1057" s="1">
        <f>IFERROR(__xludf.DUMMYFUNCTION("""COMPUTED_VALUE"""),51.53)</f>
        <v>51.53</v>
      </c>
      <c r="E1057" s="1">
        <f>IFERROR(__xludf.DUMMYFUNCTION("""COMPUTED_VALUE"""),52.11)</f>
        <v>52.11</v>
      </c>
      <c r="F1057" s="1">
        <f>IFERROR(__xludf.DUMMYFUNCTION("""COMPUTED_VALUE"""),3022600.0)</f>
        <v>3022600</v>
      </c>
    </row>
    <row r="1058">
      <c r="A1058" s="2">
        <f>IFERROR(__xludf.DUMMYFUNCTION("""COMPUTED_VALUE"""),38064.666666666664)</f>
        <v>38064.66667</v>
      </c>
      <c r="B1058" s="1">
        <f>IFERROR(__xludf.DUMMYFUNCTION("""COMPUTED_VALUE"""),51.81)</f>
        <v>51.81</v>
      </c>
      <c r="C1058" s="1">
        <f>IFERROR(__xludf.DUMMYFUNCTION("""COMPUTED_VALUE"""),52.63)</f>
        <v>52.63</v>
      </c>
      <c r="D1058" s="1">
        <f>IFERROR(__xludf.DUMMYFUNCTION("""COMPUTED_VALUE"""),51.81)</f>
        <v>51.81</v>
      </c>
      <c r="E1058" s="1">
        <f>IFERROR(__xludf.DUMMYFUNCTION("""COMPUTED_VALUE"""),52.22)</f>
        <v>52.22</v>
      </c>
      <c r="F1058" s="1">
        <f>IFERROR(__xludf.DUMMYFUNCTION("""COMPUTED_VALUE"""),3100300.0)</f>
        <v>3100300</v>
      </c>
    </row>
    <row r="1059">
      <c r="A1059" s="2">
        <f>IFERROR(__xludf.DUMMYFUNCTION("""COMPUTED_VALUE"""),38065.666666666664)</f>
        <v>38065.66667</v>
      </c>
      <c r="B1059" s="1">
        <f>IFERROR(__xludf.DUMMYFUNCTION("""COMPUTED_VALUE"""),52.22)</f>
        <v>52.22</v>
      </c>
      <c r="C1059" s="1">
        <f>IFERROR(__xludf.DUMMYFUNCTION("""COMPUTED_VALUE"""),52.5)</f>
        <v>52.5</v>
      </c>
      <c r="D1059" s="1">
        <f>IFERROR(__xludf.DUMMYFUNCTION("""COMPUTED_VALUE"""),52.02)</f>
        <v>52.02</v>
      </c>
      <c r="E1059" s="1">
        <f>IFERROR(__xludf.DUMMYFUNCTION("""COMPUTED_VALUE"""),52.02)</f>
        <v>52.02</v>
      </c>
      <c r="F1059" s="1">
        <f>IFERROR(__xludf.DUMMYFUNCTION("""COMPUTED_VALUE"""),3907200.0)</f>
        <v>3907200</v>
      </c>
    </row>
    <row r="1060">
      <c r="A1060" s="2">
        <f>IFERROR(__xludf.DUMMYFUNCTION("""COMPUTED_VALUE"""),38068.666666666664)</f>
        <v>38068.66667</v>
      </c>
      <c r="B1060" s="1">
        <f>IFERROR(__xludf.DUMMYFUNCTION("""COMPUTED_VALUE"""),51.73)</f>
        <v>51.73</v>
      </c>
      <c r="C1060" s="1">
        <f>IFERROR(__xludf.DUMMYFUNCTION("""COMPUTED_VALUE"""),52.48)</f>
        <v>52.48</v>
      </c>
      <c r="D1060" s="1">
        <f>IFERROR(__xludf.DUMMYFUNCTION("""COMPUTED_VALUE"""),51.51)</f>
        <v>51.51</v>
      </c>
      <c r="E1060" s="1">
        <f>IFERROR(__xludf.DUMMYFUNCTION("""COMPUTED_VALUE"""),51.99)</f>
        <v>51.99</v>
      </c>
      <c r="F1060" s="1">
        <f>IFERROR(__xludf.DUMMYFUNCTION("""COMPUTED_VALUE"""),3663600.0)</f>
        <v>3663600</v>
      </c>
    </row>
    <row r="1061">
      <c r="A1061" s="2">
        <f>IFERROR(__xludf.DUMMYFUNCTION("""COMPUTED_VALUE"""),38069.666666666664)</f>
        <v>38069.66667</v>
      </c>
      <c r="B1061" s="1">
        <f>IFERROR(__xludf.DUMMYFUNCTION("""COMPUTED_VALUE"""),51.23)</f>
        <v>51.23</v>
      </c>
      <c r="C1061" s="1">
        <f>IFERROR(__xludf.DUMMYFUNCTION("""COMPUTED_VALUE"""),51.99)</f>
        <v>51.99</v>
      </c>
      <c r="D1061" s="1">
        <f>IFERROR(__xludf.DUMMYFUNCTION("""COMPUTED_VALUE"""),51.23)</f>
        <v>51.23</v>
      </c>
      <c r="E1061" s="1">
        <f>IFERROR(__xludf.DUMMYFUNCTION("""COMPUTED_VALUE"""),51.68)</f>
        <v>51.68</v>
      </c>
      <c r="F1061" s="1">
        <f>IFERROR(__xludf.DUMMYFUNCTION("""COMPUTED_VALUE"""),3873700.0)</f>
        <v>3873700</v>
      </c>
    </row>
    <row r="1062">
      <c r="A1062" s="2">
        <f>IFERROR(__xludf.DUMMYFUNCTION("""COMPUTED_VALUE"""),38070.666666666664)</f>
        <v>38070.66667</v>
      </c>
      <c r="B1062" s="1">
        <f>IFERROR(__xludf.DUMMYFUNCTION("""COMPUTED_VALUE"""),51.58)</f>
        <v>51.58</v>
      </c>
      <c r="C1062" s="1">
        <f>IFERROR(__xludf.DUMMYFUNCTION("""COMPUTED_VALUE"""),51.71)</f>
        <v>51.71</v>
      </c>
      <c r="D1062" s="1">
        <f>IFERROR(__xludf.DUMMYFUNCTION("""COMPUTED_VALUE"""),51.25)</f>
        <v>51.25</v>
      </c>
      <c r="E1062" s="1">
        <f>IFERROR(__xludf.DUMMYFUNCTION("""COMPUTED_VALUE"""),51.51)</f>
        <v>51.51</v>
      </c>
      <c r="F1062" s="1">
        <f>IFERROR(__xludf.DUMMYFUNCTION("""COMPUTED_VALUE"""),3125100.0)</f>
        <v>3125100</v>
      </c>
    </row>
    <row r="1063">
      <c r="A1063" s="2">
        <f>IFERROR(__xludf.DUMMYFUNCTION("""COMPUTED_VALUE"""),38071.666666666664)</f>
        <v>38071.66667</v>
      </c>
      <c r="B1063" s="1">
        <f>IFERROR(__xludf.DUMMYFUNCTION("""COMPUTED_VALUE"""),51.98)</f>
        <v>51.98</v>
      </c>
      <c r="C1063" s="1">
        <f>IFERROR(__xludf.DUMMYFUNCTION("""COMPUTED_VALUE"""),52.54)</f>
        <v>52.54</v>
      </c>
      <c r="D1063" s="1">
        <f>IFERROR(__xludf.DUMMYFUNCTION("""COMPUTED_VALUE"""),51.78)</f>
        <v>51.78</v>
      </c>
      <c r="E1063" s="1">
        <f>IFERROR(__xludf.DUMMYFUNCTION("""COMPUTED_VALUE"""),52.27)</f>
        <v>52.27</v>
      </c>
      <c r="F1063" s="1">
        <f>IFERROR(__xludf.DUMMYFUNCTION("""COMPUTED_VALUE"""),2949200.0)</f>
        <v>2949200</v>
      </c>
    </row>
    <row r="1064">
      <c r="A1064" s="2">
        <f>IFERROR(__xludf.DUMMYFUNCTION("""COMPUTED_VALUE"""),38072.666666666664)</f>
        <v>38072.66667</v>
      </c>
      <c r="B1064" s="1">
        <f>IFERROR(__xludf.DUMMYFUNCTION("""COMPUTED_VALUE"""),52.23)</f>
        <v>52.23</v>
      </c>
      <c r="C1064" s="1">
        <f>IFERROR(__xludf.DUMMYFUNCTION("""COMPUTED_VALUE"""),52.45)</f>
        <v>52.45</v>
      </c>
      <c r="D1064" s="1">
        <f>IFERROR(__xludf.DUMMYFUNCTION("""COMPUTED_VALUE"""),51.9)</f>
        <v>51.9</v>
      </c>
      <c r="E1064" s="1">
        <f>IFERROR(__xludf.DUMMYFUNCTION("""COMPUTED_VALUE"""),51.98)</f>
        <v>51.98</v>
      </c>
      <c r="F1064" s="1">
        <f>IFERROR(__xludf.DUMMYFUNCTION("""COMPUTED_VALUE"""),2691500.0)</f>
        <v>2691500</v>
      </c>
    </row>
    <row r="1065">
      <c r="A1065" s="2">
        <f>IFERROR(__xludf.DUMMYFUNCTION("""COMPUTED_VALUE"""),38075.666666666664)</f>
        <v>38075.66667</v>
      </c>
      <c r="B1065" s="1">
        <f>IFERROR(__xludf.DUMMYFUNCTION("""COMPUTED_VALUE"""),52.15)</f>
        <v>52.15</v>
      </c>
      <c r="C1065" s="1">
        <f>IFERROR(__xludf.DUMMYFUNCTION("""COMPUTED_VALUE"""),52.46)</f>
        <v>52.46</v>
      </c>
      <c r="D1065" s="1">
        <f>IFERROR(__xludf.DUMMYFUNCTION("""COMPUTED_VALUE"""),51.93)</f>
        <v>51.93</v>
      </c>
      <c r="E1065" s="1">
        <f>IFERROR(__xludf.DUMMYFUNCTION("""COMPUTED_VALUE"""),52.44)</f>
        <v>52.44</v>
      </c>
      <c r="F1065" s="1">
        <f>IFERROR(__xludf.DUMMYFUNCTION("""COMPUTED_VALUE"""),2651800.0)</f>
        <v>2651800</v>
      </c>
    </row>
    <row r="1066">
      <c r="A1066" s="2">
        <f>IFERROR(__xludf.DUMMYFUNCTION("""COMPUTED_VALUE"""),38076.666666666664)</f>
        <v>38076.66667</v>
      </c>
      <c r="B1066" s="1">
        <f>IFERROR(__xludf.DUMMYFUNCTION("""COMPUTED_VALUE"""),52.39)</f>
        <v>52.39</v>
      </c>
      <c r="C1066" s="1">
        <f>IFERROR(__xludf.DUMMYFUNCTION("""COMPUTED_VALUE"""),52.99)</f>
        <v>52.99</v>
      </c>
      <c r="D1066" s="1">
        <f>IFERROR(__xludf.DUMMYFUNCTION("""COMPUTED_VALUE"""),52.31)</f>
        <v>52.31</v>
      </c>
      <c r="E1066" s="1">
        <f>IFERROR(__xludf.DUMMYFUNCTION("""COMPUTED_VALUE"""),52.99)</f>
        <v>52.99</v>
      </c>
      <c r="F1066" s="1">
        <f>IFERROR(__xludf.DUMMYFUNCTION("""COMPUTED_VALUE"""),3215800.0)</f>
        <v>3215800</v>
      </c>
    </row>
    <row r="1067">
      <c r="A1067" s="2">
        <f>IFERROR(__xludf.DUMMYFUNCTION("""COMPUTED_VALUE"""),38077.666666666664)</f>
        <v>38077.66667</v>
      </c>
      <c r="B1067" s="1">
        <f>IFERROR(__xludf.DUMMYFUNCTION("""COMPUTED_VALUE"""),52.88)</f>
        <v>52.88</v>
      </c>
      <c r="C1067" s="1">
        <f>IFERROR(__xludf.DUMMYFUNCTION("""COMPUTED_VALUE"""),52.88)</f>
        <v>52.88</v>
      </c>
      <c r="D1067" s="1">
        <f>IFERROR(__xludf.DUMMYFUNCTION("""COMPUTED_VALUE"""),52.25)</f>
        <v>52.25</v>
      </c>
      <c r="E1067" s="1">
        <f>IFERROR(__xludf.DUMMYFUNCTION("""COMPUTED_VALUE"""),52.44)</f>
        <v>52.44</v>
      </c>
      <c r="F1067" s="1">
        <f>IFERROR(__xludf.DUMMYFUNCTION("""COMPUTED_VALUE"""),3750000.0)</f>
        <v>3750000</v>
      </c>
    </row>
    <row r="1068">
      <c r="A1068" s="2">
        <f>IFERROR(__xludf.DUMMYFUNCTION("""COMPUTED_VALUE"""),38078.666666666664)</f>
        <v>38078.66667</v>
      </c>
      <c r="B1068" s="1">
        <f>IFERROR(__xludf.DUMMYFUNCTION("""COMPUTED_VALUE"""),52.48)</f>
        <v>52.48</v>
      </c>
      <c r="C1068" s="1">
        <f>IFERROR(__xludf.DUMMYFUNCTION("""COMPUTED_VALUE"""),53.02)</f>
        <v>53.02</v>
      </c>
      <c r="D1068" s="1">
        <f>IFERROR(__xludf.DUMMYFUNCTION("""COMPUTED_VALUE"""),52.4)</f>
        <v>52.4</v>
      </c>
      <c r="E1068" s="1">
        <f>IFERROR(__xludf.DUMMYFUNCTION("""COMPUTED_VALUE"""),52.99)</f>
        <v>52.99</v>
      </c>
      <c r="F1068" s="1">
        <f>IFERROR(__xludf.DUMMYFUNCTION("""COMPUTED_VALUE"""),3196900.0)</f>
        <v>3196900</v>
      </c>
    </row>
    <row r="1069">
      <c r="A1069" s="2">
        <f>IFERROR(__xludf.DUMMYFUNCTION("""COMPUTED_VALUE"""),38079.666666666664)</f>
        <v>38079.66667</v>
      </c>
      <c r="B1069" s="1">
        <f>IFERROR(__xludf.DUMMYFUNCTION("""COMPUTED_VALUE"""),53.18)</f>
        <v>53.18</v>
      </c>
      <c r="C1069" s="1">
        <f>IFERROR(__xludf.DUMMYFUNCTION("""COMPUTED_VALUE"""),53.31)</f>
        <v>53.31</v>
      </c>
      <c r="D1069" s="1">
        <f>IFERROR(__xludf.DUMMYFUNCTION("""COMPUTED_VALUE"""),52.86)</f>
        <v>52.86</v>
      </c>
      <c r="E1069" s="1">
        <f>IFERROR(__xludf.DUMMYFUNCTION("""COMPUTED_VALUE"""),53.06)</f>
        <v>53.06</v>
      </c>
      <c r="F1069" s="1">
        <f>IFERROR(__xludf.DUMMYFUNCTION("""COMPUTED_VALUE"""),2894100.0)</f>
        <v>2894100</v>
      </c>
    </row>
    <row r="1070">
      <c r="A1070" s="2">
        <f>IFERROR(__xludf.DUMMYFUNCTION("""COMPUTED_VALUE"""),38082.666666666664)</f>
        <v>38082.66667</v>
      </c>
      <c r="B1070" s="1">
        <f>IFERROR(__xludf.DUMMYFUNCTION("""COMPUTED_VALUE"""),52.83)</f>
        <v>52.83</v>
      </c>
      <c r="C1070" s="1">
        <f>IFERROR(__xludf.DUMMYFUNCTION("""COMPUTED_VALUE"""),53.29)</f>
        <v>53.29</v>
      </c>
      <c r="D1070" s="1">
        <f>IFERROR(__xludf.DUMMYFUNCTION("""COMPUTED_VALUE"""),52.66)</f>
        <v>52.66</v>
      </c>
      <c r="E1070" s="1">
        <f>IFERROR(__xludf.DUMMYFUNCTION("""COMPUTED_VALUE"""),53.18)</f>
        <v>53.18</v>
      </c>
      <c r="F1070" s="1">
        <f>IFERROR(__xludf.DUMMYFUNCTION("""COMPUTED_VALUE"""),2897900.0)</f>
        <v>2897900</v>
      </c>
    </row>
    <row r="1071">
      <c r="A1071" s="2">
        <f>IFERROR(__xludf.DUMMYFUNCTION("""COMPUTED_VALUE"""),38083.666666666664)</f>
        <v>38083.66667</v>
      </c>
      <c r="B1071" s="1">
        <f>IFERROR(__xludf.DUMMYFUNCTION("""COMPUTED_VALUE"""),52.75)</f>
        <v>52.75</v>
      </c>
      <c r="C1071" s="1">
        <f>IFERROR(__xludf.DUMMYFUNCTION("""COMPUTED_VALUE"""),53.5)</f>
        <v>53.5</v>
      </c>
      <c r="D1071" s="1">
        <f>IFERROR(__xludf.DUMMYFUNCTION("""COMPUTED_VALUE"""),52.75)</f>
        <v>52.75</v>
      </c>
      <c r="E1071" s="1">
        <f>IFERROR(__xludf.DUMMYFUNCTION("""COMPUTED_VALUE"""),53.5)</f>
        <v>53.5</v>
      </c>
      <c r="F1071" s="1">
        <f>IFERROR(__xludf.DUMMYFUNCTION("""COMPUTED_VALUE"""),2317800.0)</f>
        <v>2317800</v>
      </c>
    </row>
    <row r="1072">
      <c r="A1072" s="2">
        <f>IFERROR(__xludf.DUMMYFUNCTION("""COMPUTED_VALUE"""),38084.666666666664)</f>
        <v>38084.66667</v>
      </c>
      <c r="B1072" s="1">
        <f>IFERROR(__xludf.DUMMYFUNCTION("""COMPUTED_VALUE"""),53.38)</f>
        <v>53.38</v>
      </c>
      <c r="C1072" s="1">
        <f>IFERROR(__xludf.DUMMYFUNCTION("""COMPUTED_VALUE"""),53.5)</f>
        <v>53.5</v>
      </c>
      <c r="D1072" s="1">
        <f>IFERROR(__xludf.DUMMYFUNCTION("""COMPUTED_VALUE"""),53.13)</f>
        <v>53.13</v>
      </c>
      <c r="E1072" s="1">
        <f>IFERROR(__xludf.DUMMYFUNCTION("""COMPUTED_VALUE"""),53.23)</f>
        <v>53.23</v>
      </c>
      <c r="F1072" s="1">
        <f>IFERROR(__xludf.DUMMYFUNCTION("""COMPUTED_VALUE"""),3128500.0)</f>
        <v>3128500</v>
      </c>
    </row>
    <row r="1073">
      <c r="A1073" s="2">
        <f>IFERROR(__xludf.DUMMYFUNCTION("""COMPUTED_VALUE"""),38085.666666666664)</f>
        <v>38085.66667</v>
      </c>
      <c r="B1073" s="1">
        <f>IFERROR(__xludf.DUMMYFUNCTION("""COMPUTED_VALUE"""),53.35)</f>
        <v>53.35</v>
      </c>
      <c r="C1073" s="1">
        <f>IFERROR(__xludf.DUMMYFUNCTION("""COMPUTED_VALUE"""),53.59)</f>
        <v>53.59</v>
      </c>
      <c r="D1073" s="1">
        <f>IFERROR(__xludf.DUMMYFUNCTION("""COMPUTED_VALUE"""),53.02)</f>
        <v>53.02</v>
      </c>
      <c r="E1073" s="1">
        <f>IFERROR(__xludf.DUMMYFUNCTION("""COMPUTED_VALUE"""),53.2)</f>
        <v>53.2</v>
      </c>
      <c r="F1073" s="1">
        <f>IFERROR(__xludf.DUMMYFUNCTION("""COMPUTED_VALUE"""),2094700.0)</f>
        <v>2094700</v>
      </c>
    </row>
    <row r="1074">
      <c r="A1074" s="2">
        <f>IFERROR(__xludf.DUMMYFUNCTION("""COMPUTED_VALUE"""),38089.666666666664)</f>
        <v>38089.66667</v>
      </c>
      <c r="B1074" s="1">
        <f>IFERROR(__xludf.DUMMYFUNCTION("""COMPUTED_VALUE"""),53.44)</f>
        <v>53.44</v>
      </c>
      <c r="C1074" s="1">
        <f>IFERROR(__xludf.DUMMYFUNCTION("""COMPUTED_VALUE"""),53.7)</f>
        <v>53.7</v>
      </c>
      <c r="D1074" s="1">
        <f>IFERROR(__xludf.DUMMYFUNCTION("""COMPUTED_VALUE"""),53.33)</f>
        <v>53.33</v>
      </c>
      <c r="E1074" s="1">
        <f>IFERROR(__xludf.DUMMYFUNCTION("""COMPUTED_VALUE"""),53.56)</f>
        <v>53.56</v>
      </c>
      <c r="F1074" s="1">
        <f>IFERROR(__xludf.DUMMYFUNCTION("""COMPUTED_VALUE"""),2305800.0)</f>
        <v>2305800</v>
      </c>
    </row>
    <row r="1075">
      <c r="A1075" s="2">
        <f>IFERROR(__xludf.DUMMYFUNCTION("""COMPUTED_VALUE"""),38090.666666666664)</f>
        <v>38090.66667</v>
      </c>
      <c r="B1075" s="1">
        <f>IFERROR(__xludf.DUMMYFUNCTION("""COMPUTED_VALUE"""),53.56)</f>
        <v>53.56</v>
      </c>
      <c r="C1075" s="1">
        <f>IFERROR(__xludf.DUMMYFUNCTION("""COMPUTED_VALUE"""),53.7)</f>
        <v>53.7</v>
      </c>
      <c r="D1075" s="1">
        <f>IFERROR(__xludf.DUMMYFUNCTION("""COMPUTED_VALUE"""),52.87)</f>
        <v>52.87</v>
      </c>
      <c r="E1075" s="1">
        <f>IFERROR(__xludf.DUMMYFUNCTION("""COMPUTED_VALUE"""),52.97)</f>
        <v>52.97</v>
      </c>
      <c r="F1075" s="1">
        <f>IFERROR(__xludf.DUMMYFUNCTION("""COMPUTED_VALUE"""),3797800.0)</f>
        <v>3797800</v>
      </c>
    </row>
    <row r="1076">
      <c r="A1076" s="2">
        <f>IFERROR(__xludf.DUMMYFUNCTION("""COMPUTED_VALUE"""),38091.666666666664)</f>
        <v>38091.66667</v>
      </c>
      <c r="B1076" s="1">
        <f>IFERROR(__xludf.DUMMYFUNCTION("""COMPUTED_VALUE"""),52.53)</f>
        <v>52.53</v>
      </c>
      <c r="C1076" s="1">
        <f>IFERROR(__xludf.DUMMYFUNCTION("""COMPUTED_VALUE"""),53.04)</f>
        <v>53.04</v>
      </c>
      <c r="D1076" s="1">
        <f>IFERROR(__xludf.DUMMYFUNCTION("""COMPUTED_VALUE"""),52.5)</f>
        <v>52.5</v>
      </c>
      <c r="E1076" s="1">
        <f>IFERROR(__xludf.DUMMYFUNCTION("""COMPUTED_VALUE"""),52.91)</f>
        <v>52.91</v>
      </c>
      <c r="F1076" s="1">
        <f>IFERROR(__xludf.DUMMYFUNCTION("""COMPUTED_VALUE"""),3677400.0)</f>
        <v>3677400</v>
      </c>
    </row>
    <row r="1077">
      <c r="A1077" s="2">
        <f>IFERROR(__xludf.DUMMYFUNCTION("""COMPUTED_VALUE"""),38092.666666666664)</f>
        <v>38092.66667</v>
      </c>
      <c r="B1077" s="1">
        <f>IFERROR(__xludf.DUMMYFUNCTION("""COMPUTED_VALUE"""),52.99)</f>
        <v>52.99</v>
      </c>
      <c r="C1077" s="1">
        <f>IFERROR(__xludf.DUMMYFUNCTION("""COMPUTED_VALUE"""),53.38)</f>
        <v>53.38</v>
      </c>
      <c r="D1077" s="1">
        <f>IFERROR(__xludf.DUMMYFUNCTION("""COMPUTED_VALUE"""),52.86)</f>
        <v>52.86</v>
      </c>
      <c r="E1077" s="1">
        <f>IFERROR(__xludf.DUMMYFUNCTION("""COMPUTED_VALUE"""),53.06)</f>
        <v>53.06</v>
      </c>
      <c r="F1077" s="1">
        <f>IFERROR(__xludf.DUMMYFUNCTION("""COMPUTED_VALUE"""),2656500.0)</f>
        <v>2656500</v>
      </c>
    </row>
    <row r="1078">
      <c r="A1078" s="2">
        <f>IFERROR(__xludf.DUMMYFUNCTION("""COMPUTED_VALUE"""),38093.666666666664)</f>
        <v>38093.66667</v>
      </c>
      <c r="B1078" s="1">
        <f>IFERROR(__xludf.DUMMYFUNCTION("""COMPUTED_VALUE"""),53.33)</f>
        <v>53.33</v>
      </c>
      <c r="C1078" s="1">
        <f>IFERROR(__xludf.DUMMYFUNCTION("""COMPUTED_VALUE"""),53.34)</f>
        <v>53.34</v>
      </c>
      <c r="D1078" s="1">
        <f>IFERROR(__xludf.DUMMYFUNCTION("""COMPUTED_VALUE"""),52.95)</f>
        <v>52.95</v>
      </c>
      <c r="E1078" s="1">
        <f>IFERROR(__xludf.DUMMYFUNCTION("""COMPUTED_VALUE"""),52.99)</f>
        <v>52.99</v>
      </c>
      <c r="F1078" s="1">
        <f>IFERROR(__xludf.DUMMYFUNCTION("""COMPUTED_VALUE"""),2727800.0)</f>
        <v>2727800</v>
      </c>
    </row>
    <row r="1079">
      <c r="A1079" s="2">
        <f>IFERROR(__xludf.DUMMYFUNCTION("""COMPUTED_VALUE"""),38096.666666666664)</f>
        <v>38096.66667</v>
      </c>
      <c r="B1079" s="1">
        <f>IFERROR(__xludf.DUMMYFUNCTION("""COMPUTED_VALUE"""),53.27)</f>
        <v>53.27</v>
      </c>
      <c r="C1079" s="1">
        <f>IFERROR(__xludf.DUMMYFUNCTION("""COMPUTED_VALUE"""),53.33)</f>
        <v>53.33</v>
      </c>
      <c r="D1079" s="1">
        <f>IFERROR(__xludf.DUMMYFUNCTION("""COMPUTED_VALUE"""),52.81)</f>
        <v>52.81</v>
      </c>
      <c r="E1079" s="1">
        <f>IFERROR(__xludf.DUMMYFUNCTION("""COMPUTED_VALUE"""),53.01)</f>
        <v>53.01</v>
      </c>
      <c r="F1079" s="1">
        <f>IFERROR(__xludf.DUMMYFUNCTION("""COMPUTED_VALUE"""),2507300.0)</f>
        <v>2507300</v>
      </c>
    </row>
    <row r="1080">
      <c r="A1080" s="2">
        <f>IFERROR(__xludf.DUMMYFUNCTION("""COMPUTED_VALUE"""),38097.666666666664)</f>
        <v>38097.66667</v>
      </c>
      <c r="B1080" s="1">
        <f>IFERROR(__xludf.DUMMYFUNCTION("""COMPUTED_VALUE"""),53.01)</f>
        <v>53.01</v>
      </c>
      <c r="C1080" s="1">
        <f>IFERROR(__xludf.DUMMYFUNCTION("""COMPUTED_VALUE"""),53.19)</f>
        <v>53.19</v>
      </c>
      <c r="D1080" s="1">
        <f>IFERROR(__xludf.DUMMYFUNCTION("""COMPUTED_VALUE"""),52.31)</f>
        <v>52.31</v>
      </c>
      <c r="E1080" s="1">
        <f>IFERROR(__xludf.DUMMYFUNCTION("""COMPUTED_VALUE"""),52.31)</f>
        <v>52.31</v>
      </c>
      <c r="F1080" s="1">
        <f>IFERROR(__xludf.DUMMYFUNCTION("""COMPUTED_VALUE"""),2479800.0)</f>
        <v>2479800</v>
      </c>
    </row>
    <row r="1081">
      <c r="A1081" s="2">
        <f>IFERROR(__xludf.DUMMYFUNCTION("""COMPUTED_VALUE"""),38098.666666666664)</f>
        <v>38098.66667</v>
      </c>
      <c r="B1081" s="1">
        <f>IFERROR(__xludf.DUMMYFUNCTION("""COMPUTED_VALUE"""),52.06)</f>
        <v>52.06</v>
      </c>
      <c r="C1081" s="1">
        <f>IFERROR(__xludf.DUMMYFUNCTION("""COMPUTED_VALUE"""),52.27)</f>
        <v>52.27</v>
      </c>
      <c r="D1081" s="1">
        <f>IFERROR(__xludf.DUMMYFUNCTION("""COMPUTED_VALUE"""),51.77)</f>
        <v>51.77</v>
      </c>
      <c r="E1081" s="1">
        <f>IFERROR(__xludf.DUMMYFUNCTION("""COMPUTED_VALUE"""),51.77)</f>
        <v>51.77</v>
      </c>
      <c r="F1081" s="1">
        <f>IFERROR(__xludf.DUMMYFUNCTION("""COMPUTED_VALUE"""),3667600.0)</f>
        <v>3667600</v>
      </c>
    </row>
    <row r="1082">
      <c r="A1082" s="2">
        <f>IFERROR(__xludf.DUMMYFUNCTION("""COMPUTED_VALUE"""),38099.666666666664)</f>
        <v>38099.66667</v>
      </c>
      <c r="B1082" s="1">
        <f>IFERROR(__xludf.DUMMYFUNCTION("""COMPUTED_VALUE"""),51.64)</f>
        <v>51.64</v>
      </c>
      <c r="C1082" s="1">
        <f>IFERROR(__xludf.DUMMYFUNCTION("""COMPUTED_VALUE"""),52.6)</f>
        <v>52.6</v>
      </c>
      <c r="D1082" s="1">
        <f>IFERROR(__xludf.DUMMYFUNCTION("""COMPUTED_VALUE"""),51.64)</f>
        <v>51.64</v>
      </c>
      <c r="E1082" s="1">
        <f>IFERROR(__xludf.DUMMYFUNCTION("""COMPUTED_VALUE"""),52.32)</f>
        <v>52.32</v>
      </c>
      <c r="F1082" s="1">
        <f>IFERROR(__xludf.DUMMYFUNCTION("""COMPUTED_VALUE"""),3861000.0)</f>
        <v>3861000</v>
      </c>
    </row>
    <row r="1083">
      <c r="A1083" s="2">
        <f>IFERROR(__xludf.DUMMYFUNCTION("""COMPUTED_VALUE"""),38100.666666666664)</f>
        <v>38100.66667</v>
      </c>
      <c r="B1083" s="1">
        <f>IFERROR(__xludf.DUMMYFUNCTION("""COMPUTED_VALUE"""),52.22)</f>
        <v>52.22</v>
      </c>
      <c r="C1083" s="1">
        <f>IFERROR(__xludf.DUMMYFUNCTION("""COMPUTED_VALUE"""),52.56)</f>
        <v>52.56</v>
      </c>
      <c r="D1083" s="1">
        <f>IFERROR(__xludf.DUMMYFUNCTION("""COMPUTED_VALUE"""),52.04)</f>
        <v>52.04</v>
      </c>
      <c r="E1083" s="1">
        <f>IFERROR(__xludf.DUMMYFUNCTION("""COMPUTED_VALUE"""),52.35)</f>
        <v>52.35</v>
      </c>
      <c r="F1083" s="1">
        <f>IFERROR(__xludf.DUMMYFUNCTION("""COMPUTED_VALUE"""),2072200.0)</f>
        <v>2072200</v>
      </c>
    </row>
    <row r="1084">
      <c r="A1084" s="2">
        <f>IFERROR(__xludf.DUMMYFUNCTION("""COMPUTED_VALUE"""),38103.666666666664)</f>
        <v>38103.66667</v>
      </c>
      <c r="B1084" s="1">
        <f>IFERROR(__xludf.DUMMYFUNCTION("""COMPUTED_VALUE"""),52.75)</f>
        <v>52.75</v>
      </c>
      <c r="C1084" s="1">
        <f>IFERROR(__xludf.DUMMYFUNCTION("""COMPUTED_VALUE"""),52.82)</f>
        <v>52.82</v>
      </c>
      <c r="D1084" s="1">
        <f>IFERROR(__xludf.DUMMYFUNCTION("""COMPUTED_VALUE"""),52.39)</f>
        <v>52.39</v>
      </c>
      <c r="E1084" s="1">
        <f>IFERROR(__xludf.DUMMYFUNCTION("""COMPUTED_VALUE"""),52.55)</f>
        <v>52.55</v>
      </c>
      <c r="F1084" s="1">
        <f>IFERROR(__xludf.DUMMYFUNCTION("""COMPUTED_VALUE"""),2031800.0)</f>
        <v>2031800</v>
      </c>
    </row>
    <row r="1085">
      <c r="A1085" s="2">
        <f>IFERROR(__xludf.DUMMYFUNCTION("""COMPUTED_VALUE"""),38104.666666666664)</f>
        <v>38104.66667</v>
      </c>
      <c r="B1085" s="1">
        <f>IFERROR(__xludf.DUMMYFUNCTION("""COMPUTED_VALUE"""),52.63)</f>
        <v>52.63</v>
      </c>
      <c r="C1085" s="1">
        <f>IFERROR(__xludf.DUMMYFUNCTION("""COMPUTED_VALUE"""),53.15)</f>
        <v>53.15</v>
      </c>
      <c r="D1085" s="1">
        <f>IFERROR(__xludf.DUMMYFUNCTION("""COMPUTED_VALUE"""),52.53)</f>
        <v>52.53</v>
      </c>
      <c r="E1085" s="1">
        <f>IFERROR(__xludf.DUMMYFUNCTION("""COMPUTED_VALUE"""),52.79)</f>
        <v>52.79</v>
      </c>
      <c r="F1085" s="1">
        <f>IFERROR(__xludf.DUMMYFUNCTION("""COMPUTED_VALUE"""),2784000.0)</f>
        <v>2784000</v>
      </c>
    </row>
    <row r="1086">
      <c r="A1086" s="2">
        <f>IFERROR(__xludf.DUMMYFUNCTION("""COMPUTED_VALUE"""),38105.666666666664)</f>
        <v>38105.66667</v>
      </c>
      <c r="B1086" s="1">
        <f>IFERROR(__xludf.DUMMYFUNCTION("""COMPUTED_VALUE"""),52.5)</f>
        <v>52.5</v>
      </c>
      <c r="C1086" s="1">
        <f>IFERROR(__xludf.DUMMYFUNCTION("""COMPUTED_VALUE"""),52.67)</f>
        <v>52.67</v>
      </c>
      <c r="D1086" s="1">
        <f>IFERROR(__xludf.DUMMYFUNCTION("""COMPUTED_VALUE"""),52.04)</f>
        <v>52.04</v>
      </c>
      <c r="E1086" s="1">
        <f>IFERROR(__xludf.DUMMYFUNCTION("""COMPUTED_VALUE"""),52.09)</f>
        <v>52.09</v>
      </c>
      <c r="F1086" s="1">
        <f>IFERROR(__xludf.DUMMYFUNCTION("""COMPUTED_VALUE"""),2866500.0)</f>
        <v>2866500</v>
      </c>
    </row>
    <row r="1087">
      <c r="A1087" s="2">
        <f>IFERROR(__xludf.DUMMYFUNCTION("""COMPUTED_VALUE"""),38106.666666666664)</f>
        <v>38106.66667</v>
      </c>
      <c r="B1087" s="1">
        <f>IFERROR(__xludf.DUMMYFUNCTION("""COMPUTED_VALUE"""),52.28)</f>
        <v>52.28</v>
      </c>
      <c r="C1087" s="1">
        <f>IFERROR(__xludf.DUMMYFUNCTION("""COMPUTED_VALUE"""),53.26)</f>
        <v>53.26</v>
      </c>
      <c r="D1087" s="1">
        <f>IFERROR(__xludf.DUMMYFUNCTION("""COMPUTED_VALUE"""),52.14)</f>
        <v>52.14</v>
      </c>
      <c r="E1087" s="1">
        <f>IFERROR(__xludf.DUMMYFUNCTION("""COMPUTED_VALUE"""),53.01)</f>
        <v>53.01</v>
      </c>
      <c r="F1087" s="1">
        <f>IFERROR(__xludf.DUMMYFUNCTION("""COMPUTED_VALUE"""),3529000.0)</f>
        <v>3529000</v>
      </c>
    </row>
    <row r="1088">
      <c r="A1088" s="2">
        <f>IFERROR(__xludf.DUMMYFUNCTION("""COMPUTED_VALUE"""),38107.666666666664)</f>
        <v>38107.66667</v>
      </c>
      <c r="B1088" s="1">
        <f>IFERROR(__xludf.DUMMYFUNCTION("""COMPUTED_VALUE"""),53.3)</f>
        <v>53.3</v>
      </c>
      <c r="C1088" s="1">
        <f>IFERROR(__xludf.DUMMYFUNCTION("""COMPUTED_VALUE"""),53.66)</f>
        <v>53.66</v>
      </c>
      <c r="D1088" s="1">
        <f>IFERROR(__xludf.DUMMYFUNCTION("""COMPUTED_VALUE"""),52.88)</f>
        <v>52.88</v>
      </c>
      <c r="E1088" s="1">
        <f>IFERROR(__xludf.DUMMYFUNCTION("""COMPUTED_VALUE"""),53.42)</f>
        <v>53.42</v>
      </c>
      <c r="F1088" s="1">
        <f>IFERROR(__xludf.DUMMYFUNCTION("""COMPUTED_VALUE"""),4873200.0)</f>
        <v>4873200</v>
      </c>
    </row>
    <row r="1089">
      <c r="A1089" s="2">
        <f>IFERROR(__xludf.DUMMYFUNCTION("""COMPUTED_VALUE"""),38110.666666666664)</f>
        <v>38110.66667</v>
      </c>
      <c r="B1089" s="1">
        <f>IFERROR(__xludf.DUMMYFUNCTION("""COMPUTED_VALUE"""),52.88)</f>
        <v>52.88</v>
      </c>
      <c r="C1089" s="1">
        <f>IFERROR(__xludf.DUMMYFUNCTION("""COMPUTED_VALUE"""),53.4)</f>
        <v>53.4</v>
      </c>
      <c r="D1089" s="1">
        <f>IFERROR(__xludf.DUMMYFUNCTION("""COMPUTED_VALUE"""),52.58)</f>
        <v>52.58</v>
      </c>
      <c r="E1089" s="1">
        <f>IFERROR(__xludf.DUMMYFUNCTION("""COMPUTED_VALUE"""),53.21)</f>
        <v>53.21</v>
      </c>
      <c r="F1089" s="1">
        <f>IFERROR(__xludf.DUMMYFUNCTION("""COMPUTED_VALUE"""),3487200.0)</f>
        <v>3487200</v>
      </c>
    </row>
    <row r="1090">
      <c r="A1090" s="2">
        <f>IFERROR(__xludf.DUMMYFUNCTION("""COMPUTED_VALUE"""),38111.666666666664)</f>
        <v>38111.66667</v>
      </c>
      <c r="B1090" s="1">
        <f>IFERROR(__xludf.DUMMYFUNCTION("""COMPUTED_VALUE"""),53.16)</f>
        <v>53.16</v>
      </c>
      <c r="C1090" s="1">
        <f>IFERROR(__xludf.DUMMYFUNCTION("""COMPUTED_VALUE"""),53.5)</f>
        <v>53.5</v>
      </c>
      <c r="D1090" s="1">
        <f>IFERROR(__xludf.DUMMYFUNCTION("""COMPUTED_VALUE"""),52.8)</f>
        <v>52.8</v>
      </c>
      <c r="E1090" s="1">
        <f>IFERROR(__xludf.DUMMYFUNCTION("""COMPUTED_VALUE"""),53.1)</f>
        <v>53.1</v>
      </c>
      <c r="F1090" s="1">
        <f>IFERROR(__xludf.DUMMYFUNCTION("""COMPUTED_VALUE"""),3468600.0)</f>
        <v>3468600</v>
      </c>
    </row>
    <row r="1091">
      <c r="A1091" s="2">
        <f>IFERROR(__xludf.DUMMYFUNCTION("""COMPUTED_VALUE"""),38112.666666666664)</f>
        <v>38112.66667</v>
      </c>
      <c r="B1091" s="1">
        <f>IFERROR(__xludf.DUMMYFUNCTION("""COMPUTED_VALUE"""),53.21)</f>
        <v>53.21</v>
      </c>
      <c r="C1091" s="1">
        <f>IFERROR(__xludf.DUMMYFUNCTION("""COMPUTED_VALUE"""),53.55)</f>
        <v>53.55</v>
      </c>
      <c r="D1091" s="1">
        <f>IFERROR(__xludf.DUMMYFUNCTION("""COMPUTED_VALUE"""),53.14)</f>
        <v>53.14</v>
      </c>
      <c r="E1091" s="1">
        <f>IFERROR(__xludf.DUMMYFUNCTION("""COMPUTED_VALUE"""),53.37)</f>
        <v>53.37</v>
      </c>
      <c r="F1091" s="1">
        <f>IFERROR(__xludf.DUMMYFUNCTION("""COMPUTED_VALUE"""),2789500.0)</f>
        <v>2789500</v>
      </c>
    </row>
    <row r="1092">
      <c r="A1092" s="2">
        <f>IFERROR(__xludf.DUMMYFUNCTION("""COMPUTED_VALUE"""),38113.666666666664)</f>
        <v>38113.66667</v>
      </c>
      <c r="B1092" s="1">
        <f>IFERROR(__xludf.DUMMYFUNCTION("""COMPUTED_VALUE"""),53.24)</f>
        <v>53.24</v>
      </c>
      <c r="C1092" s="1">
        <f>IFERROR(__xludf.DUMMYFUNCTION("""COMPUTED_VALUE"""),53.92)</f>
        <v>53.92</v>
      </c>
      <c r="D1092" s="1">
        <f>IFERROR(__xludf.DUMMYFUNCTION("""COMPUTED_VALUE"""),53.17)</f>
        <v>53.17</v>
      </c>
      <c r="E1092" s="1">
        <f>IFERROR(__xludf.DUMMYFUNCTION("""COMPUTED_VALUE"""),53.55)</f>
        <v>53.55</v>
      </c>
      <c r="F1092" s="1">
        <f>IFERROR(__xludf.DUMMYFUNCTION("""COMPUTED_VALUE"""),3373000.0)</f>
        <v>3373000</v>
      </c>
    </row>
    <row r="1093">
      <c r="A1093" s="2">
        <f>IFERROR(__xludf.DUMMYFUNCTION("""COMPUTED_VALUE"""),38114.666666666664)</f>
        <v>38114.66667</v>
      </c>
      <c r="B1093" s="1">
        <f>IFERROR(__xludf.DUMMYFUNCTION("""COMPUTED_VALUE"""),53.75)</f>
        <v>53.75</v>
      </c>
      <c r="C1093" s="1">
        <f>IFERROR(__xludf.DUMMYFUNCTION("""COMPUTED_VALUE"""),54.43)</f>
        <v>54.43</v>
      </c>
      <c r="D1093" s="1">
        <f>IFERROR(__xludf.DUMMYFUNCTION("""COMPUTED_VALUE"""),53.36)</f>
        <v>53.36</v>
      </c>
      <c r="E1093" s="1">
        <f>IFERROR(__xludf.DUMMYFUNCTION("""COMPUTED_VALUE"""),53.36)</f>
        <v>53.36</v>
      </c>
      <c r="F1093" s="1">
        <f>IFERROR(__xludf.DUMMYFUNCTION("""COMPUTED_VALUE"""),4466700.0)</f>
        <v>4466700</v>
      </c>
    </row>
    <row r="1094">
      <c r="A1094" s="2">
        <f>IFERROR(__xludf.DUMMYFUNCTION("""COMPUTED_VALUE"""),38117.666666666664)</f>
        <v>38117.66667</v>
      </c>
      <c r="B1094" s="1">
        <f>IFERROR(__xludf.DUMMYFUNCTION("""COMPUTED_VALUE"""),53.36)</f>
        <v>53.36</v>
      </c>
      <c r="C1094" s="1">
        <f>IFERROR(__xludf.DUMMYFUNCTION("""COMPUTED_VALUE"""),53.75)</f>
        <v>53.75</v>
      </c>
      <c r="D1094" s="1">
        <f>IFERROR(__xludf.DUMMYFUNCTION("""COMPUTED_VALUE"""),52.77)</f>
        <v>52.77</v>
      </c>
      <c r="E1094" s="1">
        <f>IFERROR(__xludf.DUMMYFUNCTION("""COMPUTED_VALUE"""),53.14)</f>
        <v>53.14</v>
      </c>
      <c r="F1094" s="1">
        <f>IFERROR(__xludf.DUMMYFUNCTION("""COMPUTED_VALUE"""),3855400.0)</f>
        <v>3855400</v>
      </c>
    </row>
    <row r="1095">
      <c r="A1095" s="2">
        <f>IFERROR(__xludf.DUMMYFUNCTION("""COMPUTED_VALUE"""),38118.666666666664)</f>
        <v>38118.66667</v>
      </c>
      <c r="B1095" s="1">
        <f>IFERROR(__xludf.DUMMYFUNCTION("""COMPUTED_VALUE"""),53.1)</f>
        <v>53.1</v>
      </c>
      <c r="C1095" s="1">
        <f>IFERROR(__xludf.DUMMYFUNCTION("""COMPUTED_VALUE"""),53.21)</f>
        <v>53.21</v>
      </c>
      <c r="D1095" s="1">
        <f>IFERROR(__xludf.DUMMYFUNCTION("""COMPUTED_VALUE"""),52.37)</f>
        <v>52.37</v>
      </c>
      <c r="E1095" s="1">
        <f>IFERROR(__xludf.DUMMYFUNCTION("""COMPUTED_VALUE"""),52.81)</f>
        <v>52.81</v>
      </c>
      <c r="F1095" s="1">
        <f>IFERROR(__xludf.DUMMYFUNCTION("""COMPUTED_VALUE"""),3622900.0)</f>
        <v>3622900</v>
      </c>
    </row>
    <row r="1096">
      <c r="A1096" s="2">
        <f>IFERROR(__xludf.DUMMYFUNCTION("""COMPUTED_VALUE"""),38119.666666666664)</f>
        <v>38119.66667</v>
      </c>
      <c r="B1096" s="1">
        <f>IFERROR(__xludf.DUMMYFUNCTION("""COMPUTED_VALUE"""),52.99)</f>
        <v>52.99</v>
      </c>
      <c r="C1096" s="1">
        <f>IFERROR(__xludf.DUMMYFUNCTION("""COMPUTED_VALUE"""),53.16)</f>
        <v>53.16</v>
      </c>
      <c r="D1096" s="1">
        <f>IFERROR(__xludf.DUMMYFUNCTION("""COMPUTED_VALUE"""),52.44)</f>
        <v>52.44</v>
      </c>
      <c r="E1096" s="1">
        <f>IFERROR(__xludf.DUMMYFUNCTION("""COMPUTED_VALUE"""),53.07)</f>
        <v>53.07</v>
      </c>
      <c r="F1096" s="1">
        <f>IFERROR(__xludf.DUMMYFUNCTION("""COMPUTED_VALUE"""),3461000.0)</f>
        <v>3461000</v>
      </c>
    </row>
    <row r="1097">
      <c r="A1097" s="2">
        <f>IFERROR(__xludf.DUMMYFUNCTION("""COMPUTED_VALUE"""),38120.666666666664)</f>
        <v>38120.66667</v>
      </c>
      <c r="B1097" s="1">
        <f>IFERROR(__xludf.DUMMYFUNCTION("""COMPUTED_VALUE"""),53.08)</f>
        <v>53.08</v>
      </c>
      <c r="C1097" s="1">
        <f>IFERROR(__xludf.DUMMYFUNCTION("""COMPUTED_VALUE"""),53.25)</f>
        <v>53.25</v>
      </c>
      <c r="D1097" s="1">
        <f>IFERROR(__xludf.DUMMYFUNCTION("""COMPUTED_VALUE"""),52.43)</f>
        <v>52.43</v>
      </c>
      <c r="E1097" s="1">
        <f>IFERROR(__xludf.DUMMYFUNCTION("""COMPUTED_VALUE"""),52.8)</f>
        <v>52.8</v>
      </c>
      <c r="F1097" s="1">
        <f>IFERROR(__xludf.DUMMYFUNCTION("""COMPUTED_VALUE"""),2958100.0)</f>
        <v>2958100</v>
      </c>
    </row>
    <row r="1098">
      <c r="A1098" s="2">
        <f>IFERROR(__xludf.DUMMYFUNCTION("""COMPUTED_VALUE"""),38121.666666666664)</f>
        <v>38121.66667</v>
      </c>
      <c r="B1098" s="1">
        <f>IFERROR(__xludf.DUMMYFUNCTION("""COMPUTED_VALUE"""),52.78)</f>
        <v>52.78</v>
      </c>
      <c r="C1098" s="1">
        <f>IFERROR(__xludf.DUMMYFUNCTION("""COMPUTED_VALUE"""),53.35)</f>
        <v>53.35</v>
      </c>
      <c r="D1098" s="1">
        <f>IFERROR(__xludf.DUMMYFUNCTION("""COMPUTED_VALUE"""),52.43)</f>
        <v>52.43</v>
      </c>
      <c r="E1098" s="1">
        <f>IFERROR(__xludf.DUMMYFUNCTION("""COMPUTED_VALUE"""),53.21)</f>
        <v>53.21</v>
      </c>
      <c r="F1098" s="1">
        <f>IFERROR(__xludf.DUMMYFUNCTION("""COMPUTED_VALUE"""),3306800.0)</f>
        <v>3306800</v>
      </c>
    </row>
    <row r="1099">
      <c r="A1099" s="2">
        <f>IFERROR(__xludf.DUMMYFUNCTION("""COMPUTED_VALUE"""),38124.666666666664)</f>
        <v>38124.66667</v>
      </c>
      <c r="B1099" s="1">
        <f>IFERROR(__xludf.DUMMYFUNCTION("""COMPUTED_VALUE"""),52.94)</f>
        <v>52.94</v>
      </c>
      <c r="C1099" s="1">
        <f>IFERROR(__xludf.DUMMYFUNCTION("""COMPUTED_VALUE"""),53.58)</f>
        <v>53.58</v>
      </c>
      <c r="D1099" s="1">
        <f>IFERROR(__xludf.DUMMYFUNCTION("""COMPUTED_VALUE"""),52.91)</f>
        <v>52.91</v>
      </c>
      <c r="E1099" s="1">
        <f>IFERROR(__xludf.DUMMYFUNCTION("""COMPUTED_VALUE"""),53.14)</f>
        <v>53.14</v>
      </c>
      <c r="F1099" s="1">
        <f>IFERROR(__xludf.DUMMYFUNCTION("""COMPUTED_VALUE"""),3485600.0)</f>
        <v>3485600</v>
      </c>
    </row>
    <row r="1100">
      <c r="A1100" s="2">
        <f>IFERROR(__xludf.DUMMYFUNCTION("""COMPUTED_VALUE"""),38125.666666666664)</f>
        <v>38125.66667</v>
      </c>
      <c r="B1100" s="1">
        <f>IFERROR(__xludf.DUMMYFUNCTION("""COMPUTED_VALUE"""),53.11)</f>
        <v>53.11</v>
      </c>
      <c r="C1100" s="1">
        <f>IFERROR(__xludf.DUMMYFUNCTION("""COMPUTED_VALUE"""),53.25)</f>
        <v>53.25</v>
      </c>
      <c r="D1100" s="1">
        <f>IFERROR(__xludf.DUMMYFUNCTION("""COMPUTED_VALUE"""),52.81)</f>
        <v>52.81</v>
      </c>
      <c r="E1100" s="1">
        <f>IFERROR(__xludf.DUMMYFUNCTION("""COMPUTED_VALUE"""),53.04)</f>
        <v>53.04</v>
      </c>
      <c r="F1100" s="1">
        <f>IFERROR(__xludf.DUMMYFUNCTION("""COMPUTED_VALUE"""),3261800.0)</f>
        <v>3261800</v>
      </c>
    </row>
    <row r="1101">
      <c r="A1101" s="2">
        <f>IFERROR(__xludf.DUMMYFUNCTION("""COMPUTED_VALUE"""),38126.666666666664)</f>
        <v>38126.66667</v>
      </c>
      <c r="B1101" s="1">
        <f>IFERROR(__xludf.DUMMYFUNCTION("""COMPUTED_VALUE"""),53.04)</f>
        <v>53.04</v>
      </c>
      <c r="C1101" s="1">
        <f>IFERROR(__xludf.DUMMYFUNCTION("""COMPUTED_VALUE"""),53.2)</f>
        <v>53.2</v>
      </c>
      <c r="D1101" s="1">
        <f>IFERROR(__xludf.DUMMYFUNCTION("""COMPUTED_VALUE"""),52.74)</f>
        <v>52.74</v>
      </c>
      <c r="E1101" s="1">
        <f>IFERROR(__xludf.DUMMYFUNCTION("""COMPUTED_VALUE"""),52.98)</f>
        <v>52.98</v>
      </c>
      <c r="F1101" s="1">
        <f>IFERROR(__xludf.DUMMYFUNCTION("""COMPUTED_VALUE"""),2608200.0)</f>
        <v>2608200</v>
      </c>
    </row>
    <row r="1102">
      <c r="A1102" s="2">
        <f>IFERROR(__xludf.DUMMYFUNCTION("""COMPUTED_VALUE"""),38127.666666666664)</f>
        <v>38127.66667</v>
      </c>
      <c r="B1102" s="1">
        <f>IFERROR(__xludf.DUMMYFUNCTION("""COMPUTED_VALUE"""),52.56)</f>
        <v>52.56</v>
      </c>
      <c r="C1102" s="1">
        <f>IFERROR(__xludf.DUMMYFUNCTION("""COMPUTED_VALUE"""),53.53)</f>
        <v>53.53</v>
      </c>
      <c r="D1102" s="1">
        <f>IFERROR(__xludf.DUMMYFUNCTION("""COMPUTED_VALUE"""),52.56)</f>
        <v>52.56</v>
      </c>
      <c r="E1102" s="1">
        <f>IFERROR(__xludf.DUMMYFUNCTION("""COMPUTED_VALUE"""),53.41)</f>
        <v>53.41</v>
      </c>
      <c r="F1102" s="1">
        <f>IFERROR(__xludf.DUMMYFUNCTION("""COMPUTED_VALUE"""),2719300.0)</f>
        <v>2719300</v>
      </c>
    </row>
    <row r="1103">
      <c r="A1103" s="2">
        <f>IFERROR(__xludf.DUMMYFUNCTION("""COMPUTED_VALUE"""),38128.666666666664)</f>
        <v>38128.66667</v>
      </c>
      <c r="B1103" s="1">
        <f>IFERROR(__xludf.DUMMYFUNCTION("""COMPUTED_VALUE"""),53.43)</f>
        <v>53.43</v>
      </c>
      <c r="C1103" s="1">
        <f>IFERROR(__xludf.DUMMYFUNCTION("""COMPUTED_VALUE"""),54.08)</f>
        <v>54.08</v>
      </c>
      <c r="D1103" s="1">
        <f>IFERROR(__xludf.DUMMYFUNCTION("""COMPUTED_VALUE"""),53.31)</f>
        <v>53.31</v>
      </c>
      <c r="E1103" s="1">
        <f>IFERROR(__xludf.DUMMYFUNCTION("""COMPUTED_VALUE"""),53.51)</f>
        <v>53.51</v>
      </c>
      <c r="F1103" s="1">
        <f>IFERROR(__xludf.DUMMYFUNCTION("""COMPUTED_VALUE"""),3675900.0)</f>
        <v>3675900</v>
      </c>
    </row>
    <row r="1104">
      <c r="A1104" s="2">
        <f>IFERROR(__xludf.DUMMYFUNCTION("""COMPUTED_VALUE"""),38131.666666666664)</f>
        <v>38131.66667</v>
      </c>
      <c r="B1104" s="1">
        <f>IFERROR(__xludf.DUMMYFUNCTION("""COMPUTED_VALUE"""),53.46)</f>
        <v>53.46</v>
      </c>
      <c r="C1104" s="1">
        <f>IFERROR(__xludf.DUMMYFUNCTION("""COMPUTED_VALUE"""),53.73)</f>
        <v>53.73</v>
      </c>
      <c r="D1104" s="1">
        <f>IFERROR(__xludf.DUMMYFUNCTION("""COMPUTED_VALUE"""),53.02)</f>
        <v>53.02</v>
      </c>
      <c r="E1104" s="1">
        <f>IFERROR(__xludf.DUMMYFUNCTION("""COMPUTED_VALUE"""),53.16)</f>
        <v>53.16</v>
      </c>
      <c r="F1104" s="1">
        <f>IFERROR(__xludf.DUMMYFUNCTION("""COMPUTED_VALUE"""),2859200.0)</f>
        <v>2859200</v>
      </c>
    </row>
    <row r="1105">
      <c r="A1105" s="2">
        <f>IFERROR(__xludf.DUMMYFUNCTION("""COMPUTED_VALUE"""),38132.666666666664)</f>
        <v>38132.66667</v>
      </c>
      <c r="B1105" s="1">
        <f>IFERROR(__xludf.DUMMYFUNCTION("""COMPUTED_VALUE"""),52.98)</f>
        <v>52.98</v>
      </c>
      <c r="C1105" s="1">
        <f>IFERROR(__xludf.DUMMYFUNCTION("""COMPUTED_VALUE"""),53.98)</f>
        <v>53.98</v>
      </c>
      <c r="D1105" s="1">
        <f>IFERROR(__xludf.DUMMYFUNCTION("""COMPUTED_VALUE"""),52.98)</f>
        <v>52.98</v>
      </c>
      <c r="E1105" s="1">
        <f>IFERROR(__xludf.DUMMYFUNCTION("""COMPUTED_VALUE"""),53.88)</f>
        <v>53.88</v>
      </c>
      <c r="F1105" s="1">
        <f>IFERROR(__xludf.DUMMYFUNCTION("""COMPUTED_VALUE"""),3011800.0)</f>
        <v>3011800</v>
      </c>
    </row>
    <row r="1106">
      <c r="A1106" s="2">
        <f>IFERROR(__xludf.DUMMYFUNCTION("""COMPUTED_VALUE"""),38133.666666666664)</f>
        <v>38133.66667</v>
      </c>
      <c r="B1106" s="1">
        <f>IFERROR(__xludf.DUMMYFUNCTION("""COMPUTED_VALUE"""),53.51)</f>
        <v>53.51</v>
      </c>
      <c r="C1106" s="1">
        <f>IFERROR(__xludf.DUMMYFUNCTION("""COMPUTED_VALUE"""),54.0)</f>
        <v>54</v>
      </c>
      <c r="D1106" s="1">
        <f>IFERROR(__xludf.DUMMYFUNCTION("""COMPUTED_VALUE"""),53.51)</f>
        <v>53.51</v>
      </c>
      <c r="E1106" s="1">
        <f>IFERROR(__xludf.DUMMYFUNCTION("""COMPUTED_VALUE"""),53.71)</f>
        <v>53.71</v>
      </c>
      <c r="F1106" s="1">
        <f>IFERROR(__xludf.DUMMYFUNCTION("""COMPUTED_VALUE"""),2822900.0)</f>
        <v>2822900</v>
      </c>
    </row>
    <row r="1107">
      <c r="A1107" s="2">
        <f>IFERROR(__xludf.DUMMYFUNCTION("""COMPUTED_VALUE"""),38134.666666666664)</f>
        <v>38134.66667</v>
      </c>
      <c r="B1107" s="1">
        <f>IFERROR(__xludf.DUMMYFUNCTION("""COMPUTED_VALUE"""),53.87)</f>
        <v>53.87</v>
      </c>
      <c r="C1107" s="1">
        <f>IFERROR(__xludf.DUMMYFUNCTION("""COMPUTED_VALUE"""),54.38)</f>
        <v>54.38</v>
      </c>
      <c r="D1107" s="1">
        <f>IFERROR(__xludf.DUMMYFUNCTION("""COMPUTED_VALUE"""),53.82)</f>
        <v>53.82</v>
      </c>
      <c r="E1107" s="1">
        <f>IFERROR(__xludf.DUMMYFUNCTION("""COMPUTED_VALUE"""),54.29)</f>
        <v>54.29</v>
      </c>
      <c r="F1107" s="1">
        <f>IFERROR(__xludf.DUMMYFUNCTION("""COMPUTED_VALUE"""),3034500.0)</f>
        <v>3034500</v>
      </c>
    </row>
    <row r="1108">
      <c r="A1108" s="2">
        <f>IFERROR(__xludf.DUMMYFUNCTION("""COMPUTED_VALUE"""),38135.666666666664)</f>
        <v>38135.66667</v>
      </c>
      <c r="B1108" s="1">
        <f>IFERROR(__xludf.DUMMYFUNCTION("""COMPUTED_VALUE"""),54.15)</f>
        <v>54.15</v>
      </c>
      <c r="C1108" s="1">
        <f>IFERROR(__xludf.DUMMYFUNCTION("""COMPUTED_VALUE"""),54.24)</f>
        <v>54.24</v>
      </c>
      <c r="D1108" s="1">
        <f>IFERROR(__xludf.DUMMYFUNCTION("""COMPUTED_VALUE"""),53.89)</f>
        <v>53.89</v>
      </c>
      <c r="E1108" s="1">
        <f>IFERROR(__xludf.DUMMYFUNCTION("""COMPUTED_VALUE"""),53.91)</f>
        <v>53.91</v>
      </c>
      <c r="F1108" s="1">
        <f>IFERROR(__xludf.DUMMYFUNCTION("""COMPUTED_VALUE"""),1964500.0)</f>
        <v>1964500</v>
      </c>
    </row>
    <row r="1109">
      <c r="A1109" s="2">
        <f>IFERROR(__xludf.DUMMYFUNCTION("""COMPUTED_VALUE"""),38139.666666666664)</f>
        <v>38139.66667</v>
      </c>
      <c r="B1109" s="1">
        <f>IFERROR(__xludf.DUMMYFUNCTION("""COMPUTED_VALUE"""),53.76)</f>
        <v>53.76</v>
      </c>
      <c r="C1109" s="1">
        <f>IFERROR(__xludf.DUMMYFUNCTION("""COMPUTED_VALUE"""),54.38)</f>
        <v>54.38</v>
      </c>
      <c r="D1109" s="1">
        <f>IFERROR(__xludf.DUMMYFUNCTION("""COMPUTED_VALUE"""),53.76)</f>
        <v>53.76</v>
      </c>
      <c r="E1109" s="1">
        <f>IFERROR(__xludf.DUMMYFUNCTION("""COMPUTED_VALUE"""),54.3)</f>
        <v>54.3</v>
      </c>
      <c r="F1109" s="1">
        <f>IFERROR(__xludf.DUMMYFUNCTION("""COMPUTED_VALUE"""),2377200.0)</f>
        <v>2377200</v>
      </c>
    </row>
    <row r="1110">
      <c r="A1110" s="2">
        <f>IFERROR(__xludf.DUMMYFUNCTION("""COMPUTED_VALUE"""),38140.666666666664)</f>
        <v>38140.66667</v>
      </c>
      <c r="B1110" s="1">
        <f>IFERROR(__xludf.DUMMYFUNCTION("""COMPUTED_VALUE"""),54.43)</f>
        <v>54.43</v>
      </c>
      <c r="C1110" s="1">
        <f>IFERROR(__xludf.DUMMYFUNCTION("""COMPUTED_VALUE"""),54.58)</f>
        <v>54.58</v>
      </c>
      <c r="D1110" s="1">
        <f>IFERROR(__xludf.DUMMYFUNCTION("""COMPUTED_VALUE"""),54.3)</f>
        <v>54.3</v>
      </c>
      <c r="E1110" s="1">
        <f>IFERROR(__xludf.DUMMYFUNCTION("""COMPUTED_VALUE"""),54.41)</f>
        <v>54.41</v>
      </c>
      <c r="F1110" s="1">
        <f>IFERROR(__xludf.DUMMYFUNCTION("""COMPUTED_VALUE"""),2729800.0)</f>
        <v>2729800</v>
      </c>
    </row>
    <row r="1111">
      <c r="A1111" s="2">
        <f>IFERROR(__xludf.DUMMYFUNCTION("""COMPUTED_VALUE"""),38141.666666666664)</f>
        <v>38141.66667</v>
      </c>
      <c r="B1111" s="1">
        <f>IFERROR(__xludf.DUMMYFUNCTION("""COMPUTED_VALUE"""),54.35)</f>
        <v>54.35</v>
      </c>
      <c r="C1111" s="1">
        <f>IFERROR(__xludf.DUMMYFUNCTION("""COMPUTED_VALUE"""),54.59)</f>
        <v>54.59</v>
      </c>
      <c r="D1111" s="1">
        <f>IFERROR(__xludf.DUMMYFUNCTION("""COMPUTED_VALUE"""),53.98)</f>
        <v>53.98</v>
      </c>
      <c r="E1111" s="1">
        <f>IFERROR(__xludf.DUMMYFUNCTION("""COMPUTED_VALUE"""),54.11)</f>
        <v>54.11</v>
      </c>
      <c r="F1111" s="1">
        <f>IFERROR(__xludf.DUMMYFUNCTION("""COMPUTED_VALUE"""),2095100.0)</f>
        <v>2095100</v>
      </c>
    </row>
    <row r="1112">
      <c r="A1112" s="2">
        <f>IFERROR(__xludf.DUMMYFUNCTION("""COMPUTED_VALUE"""),38142.666666666664)</f>
        <v>38142.66667</v>
      </c>
      <c r="B1112" s="1">
        <f>IFERROR(__xludf.DUMMYFUNCTION("""COMPUTED_VALUE"""),54.24)</f>
        <v>54.24</v>
      </c>
      <c r="C1112" s="1">
        <f>IFERROR(__xludf.DUMMYFUNCTION("""COMPUTED_VALUE"""),54.25)</f>
        <v>54.25</v>
      </c>
      <c r="D1112" s="1">
        <f>IFERROR(__xludf.DUMMYFUNCTION("""COMPUTED_VALUE"""),53.81)</f>
        <v>53.81</v>
      </c>
      <c r="E1112" s="1">
        <f>IFERROR(__xludf.DUMMYFUNCTION("""COMPUTED_VALUE"""),53.88)</f>
        <v>53.88</v>
      </c>
      <c r="F1112" s="1">
        <f>IFERROR(__xludf.DUMMYFUNCTION("""COMPUTED_VALUE"""),2208900.0)</f>
        <v>2208900</v>
      </c>
    </row>
    <row r="1113">
      <c r="A1113" s="2">
        <f>IFERROR(__xludf.DUMMYFUNCTION("""COMPUTED_VALUE"""),38145.666666666664)</f>
        <v>38145.66667</v>
      </c>
      <c r="B1113" s="1">
        <f>IFERROR(__xludf.DUMMYFUNCTION("""COMPUTED_VALUE"""),54.13)</f>
        <v>54.13</v>
      </c>
      <c r="C1113" s="1">
        <f>IFERROR(__xludf.DUMMYFUNCTION("""COMPUTED_VALUE"""),54.75)</f>
        <v>54.75</v>
      </c>
      <c r="D1113" s="1">
        <f>IFERROR(__xludf.DUMMYFUNCTION("""COMPUTED_VALUE"""),53.99)</f>
        <v>53.99</v>
      </c>
      <c r="E1113" s="1">
        <f>IFERROR(__xludf.DUMMYFUNCTION("""COMPUTED_VALUE"""),54.75)</f>
        <v>54.75</v>
      </c>
      <c r="F1113" s="1">
        <f>IFERROR(__xludf.DUMMYFUNCTION("""COMPUTED_VALUE"""),2208500.0)</f>
        <v>2208500</v>
      </c>
    </row>
    <row r="1114">
      <c r="A1114" s="2">
        <f>IFERROR(__xludf.DUMMYFUNCTION("""COMPUTED_VALUE"""),38146.666666666664)</f>
        <v>38146.66667</v>
      </c>
      <c r="B1114" s="1">
        <f>IFERROR(__xludf.DUMMYFUNCTION("""COMPUTED_VALUE"""),54.68)</f>
        <v>54.68</v>
      </c>
      <c r="C1114" s="1">
        <f>IFERROR(__xludf.DUMMYFUNCTION("""COMPUTED_VALUE"""),55.15)</f>
        <v>55.15</v>
      </c>
      <c r="D1114" s="1">
        <f>IFERROR(__xludf.DUMMYFUNCTION("""COMPUTED_VALUE"""),54.67)</f>
        <v>54.67</v>
      </c>
      <c r="E1114" s="1">
        <f>IFERROR(__xludf.DUMMYFUNCTION("""COMPUTED_VALUE"""),55.08)</f>
        <v>55.08</v>
      </c>
      <c r="F1114" s="1">
        <f>IFERROR(__xludf.DUMMYFUNCTION("""COMPUTED_VALUE"""),3042800.0)</f>
        <v>3042800</v>
      </c>
    </row>
    <row r="1115">
      <c r="A1115" s="2">
        <f>IFERROR(__xludf.DUMMYFUNCTION("""COMPUTED_VALUE"""),38147.666666666664)</f>
        <v>38147.66667</v>
      </c>
      <c r="B1115" s="1">
        <f>IFERROR(__xludf.DUMMYFUNCTION("""COMPUTED_VALUE"""),55.03)</f>
        <v>55.03</v>
      </c>
      <c r="C1115" s="1">
        <f>IFERROR(__xludf.DUMMYFUNCTION("""COMPUTED_VALUE"""),55.48)</f>
        <v>55.48</v>
      </c>
      <c r="D1115" s="1">
        <f>IFERROR(__xludf.DUMMYFUNCTION("""COMPUTED_VALUE"""),55.0)</f>
        <v>55</v>
      </c>
      <c r="E1115" s="1">
        <f>IFERROR(__xludf.DUMMYFUNCTION("""COMPUTED_VALUE"""),55.38)</f>
        <v>55.38</v>
      </c>
      <c r="F1115" s="1">
        <f>IFERROR(__xludf.DUMMYFUNCTION("""COMPUTED_VALUE"""),2598800.0)</f>
        <v>2598800</v>
      </c>
    </row>
    <row r="1116">
      <c r="A1116" s="2">
        <f>IFERROR(__xludf.DUMMYFUNCTION("""COMPUTED_VALUE"""),38148.666666666664)</f>
        <v>38148.66667</v>
      </c>
      <c r="B1116" s="1">
        <f>IFERROR(__xludf.DUMMYFUNCTION("""COMPUTED_VALUE"""),55.38)</f>
        <v>55.38</v>
      </c>
      <c r="C1116" s="1">
        <f>IFERROR(__xludf.DUMMYFUNCTION("""COMPUTED_VALUE"""),55.38)</f>
        <v>55.38</v>
      </c>
      <c r="D1116" s="1">
        <f>IFERROR(__xludf.DUMMYFUNCTION("""COMPUTED_VALUE"""),54.88)</f>
        <v>54.88</v>
      </c>
      <c r="E1116" s="1">
        <f>IFERROR(__xludf.DUMMYFUNCTION("""COMPUTED_VALUE"""),55.01)</f>
        <v>55.01</v>
      </c>
      <c r="F1116" s="1">
        <f>IFERROR(__xludf.DUMMYFUNCTION("""COMPUTED_VALUE"""),3021100.0)</f>
        <v>3021100</v>
      </c>
    </row>
    <row r="1117">
      <c r="A1117" s="2">
        <f>IFERROR(__xludf.DUMMYFUNCTION("""COMPUTED_VALUE"""),38152.666666666664)</f>
        <v>38152.66667</v>
      </c>
      <c r="B1117" s="1">
        <f>IFERROR(__xludf.DUMMYFUNCTION("""COMPUTED_VALUE"""),55.0)</f>
        <v>55</v>
      </c>
      <c r="C1117" s="1">
        <f>IFERROR(__xludf.DUMMYFUNCTION("""COMPUTED_VALUE"""),55.3)</f>
        <v>55.3</v>
      </c>
      <c r="D1117" s="1">
        <f>IFERROR(__xludf.DUMMYFUNCTION("""COMPUTED_VALUE"""),55.0)</f>
        <v>55</v>
      </c>
      <c r="E1117" s="1">
        <f>IFERROR(__xludf.DUMMYFUNCTION("""COMPUTED_VALUE"""),55.18)</f>
        <v>55.18</v>
      </c>
      <c r="F1117" s="1">
        <f>IFERROR(__xludf.DUMMYFUNCTION("""COMPUTED_VALUE"""),2411300.0)</f>
        <v>2411300</v>
      </c>
    </row>
    <row r="1118">
      <c r="A1118" s="2">
        <f>IFERROR(__xludf.DUMMYFUNCTION("""COMPUTED_VALUE"""),38153.666666666664)</f>
        <v>38153.66667</v>
      </c>
      <c r="B1118" s="1">
        <f>IFERROR(__xludf.DUMMYFUNCTION("""COMPUTED_VALUE"""),55.3)</f>
        <v>55.3</v>
      </c>
      <c r="C1118" s="1">
        <f>IFERROR(__xludf.DUMMYFUNCTION("""COMPUTED_VALUE"""),55.8)</f>
        <v>55.8</v>
      </c>
      <c r="D1118" s="1">
        <f>IFERROR(__xludf.DUMMYFUNCTION("""COMPUTED_VALUE"""),55.23)</f>
        <v>55.23</v>
      </c>
      <c r="E1118" s="1">
        <f>IFERROR(__xludf.DUMMYFUNCTION("""COMPUTED_VALUE"""),55.46)</f>
        <v>55.46</v>
      </c>
      <c r="F1118" s="1">
        <f>IFERROR(__xludf.DUMMYFUNCTION("""COMPUTED_VALUE"""),3342200.0)</f>
        <v>3342200</v>
      </c>
    </row>
    <row r="1119">
      <c r="A1119" s="2">
        <f>IFERROR(__xludf.DUMMYFUNCTION("""COMPUTED_VALUE"""),38154.666666666664)</f>
        <v>38154.66667</v>
      </c>
      <c r="B1119" s="1">
        <f>IFERROR(__xludf.DUMMYFUNCTION("""COMPUTED_VALUE"""),55.5)</f>
        <v>55.5</v>
      </c>
      <c r="C1119" s="1">
        <f>IFERROR(__xludf.DUMMYFUNCTION("""COMPUTED_VALUE"""),55.68)</f>
        <v>55.68</v>
      </c>
      <c r="D1119" s="1">
        <f>IFERROR(__xludf.DUMMYFUNCTION("""COMPUTED_VALUE"""),55.43)</f>
        <v>55.43</v>
      </c>
      <c r="E1119" s="1">
        <f>IFERROR(__xludf.DUMMYFUNCTION("""COMPUTED_VALUE"""),55.56)</f>
        <v>55.56</v>
      </c>
      <c r="F1119" s="1">
        <f>IFERROR(__xludf.DUMMYFUNCTION("""COMPUTED_VALUE"""),1804500.0)</f>
        <v>1804500</v>
      </c>
    </row>
    <row r="1120">
      <c r="A1120" s="2">
        <f>IFERROR(__xludf.DUMMYFUNCTION("""COMPUTED_VALUE"""),38155.666666666664)</f>
        <v>38155.66667</v>
      </c>
      <c r="B1120" s="1">
        <f>IFERROR(__xludf.DUMMYFUNCTION("""COMPUTED_VALUE"""),55.59)</f>
        <v>55.59</v>
      </c>
      <c r="C1120" s="1">
        <f>IFERROR(__xludf.DUMMYFUNCTION("""COMPUTED_VALUE"""),55.64)</f>
        <v>55.64</v>
      </c>
      <c r="D1120" s="1">
        <f>IFERROR(__xludf.DUMMYFUNCTION("""COMPUTED_VALUE"""),55.19)</f>
        <v>55.19</v>
      </c>
      <c r="E1120" s="1">
        <f>IFERROR(__xludf.DUMMYFUNCTION("""COMPUTED_VALUE"""),55.25)</f>
        <v>55.25</v>
      </c>
      <c r="F1120" s="1">
        <f>IFERROR(__xludf.DUMMYFUNCTION("""COMPUTED_VALUE"""),2825100.0)</f>
        <v>2825100</v>
      </c>
    </row>
    <row r="1121">
      <c r="A1121" s="2">
        <f>IFERROR(__xludf.DUMMYFUNCTION("""COMPUTED_VALUE"""),38156.666666666664)</f>
        <v>38156.66667</v>
      </c>
      <c r="B1121" s="1">
        <f>IFERROR(__xludf.DUMMYFUNCTION("""COMPUTED_VALUE"""),55.19)</f>
        <v>55.19</v>
      </c>
      <c r="C1121" s="1">
        <f>IFERROR(__xludf.DUMMYFUNCTION("""COMPUTED_VALUE"""),55.75)</f>
        <v>55.75</v>
      </c>
      <c r="D1121" s="1">
        <f>IFERROR(__xludf.DUMMYFUNCTION("""COMPUTED_VALUE"""),54.98)</f>
        <v>54.98</v>
      </c>
      <c r="E1121" s="1">
        <f>IFERROR(__xludf.DUMMYFUNCTION("""COMPUTED_VALUE"""),55.11)</f>
        <v>55.11</v>
      </c>
      <c r="F1121" s="1">
        <f>IFERROR(__xludf.DUMMYFUNCTION("""COMPUTED_VALUE"""),1.0152E7)</f>
        <v>10152000</v>
      </c>
    </row>
    <row r="1122">
      <c r="A1122" s="2">
        <f>IFERROR(__xludf.DUMMYFUNCTION("""COMPUTED_VALUE"""),38159.666666666664)</f>
        <v>38159.66667</v>
      </c>
      <c r="B1122" s="1">
        <f>IFERROR(__xludf.DUMMYFUNCTION("""COMPUTED_VALUE"""),55.09)</f>
        <v>55.09</v>
      </c>
      <c r="C1122" s="1">
        <f>IFERROR(__xludf.DUMMYFUNCTION("""COMPUTED_VALUE"""),56.04)</f>
        <v>56.04</v>
      </c>
      <c r="D1122" s="1">
        <f>IFERROR(__xludf.DUMMYFUNCTION("""COMPUTED_VALUE"""),55.07)</f>
        <v>55.07</v>
      </c>
      <c r="E1122" s="1">
        <f>IFERROR(__xludf.DUMMYFUNCTION("""COMPUTED_VALUE"""),55.51)</f>
        <v>55.51</v>
      </c>
      <c r="F1122" s="1">
        <f>IFERROR(__xludf.DUMMYFUNCTION("""COMPUTED_VALUE"""),6288800.0)</f>
        <v>6288800</v>
      </c>
    </row>
    <row r="1123">
      <c r="A1123" s="2">
        <f>IFERROR(__xludf.DUMMYFUNCTION("""COMPUTED_VALUE"""),38160.666666666664)</f>
        <v>38160.66667</v>
      </c>
      <c r="B1123" s="1">
        <f>IFERROR(__xludf.DUMMYFUNCTION("""COMPUTED_VALUE"""),56.34)</f>
        <v>56.34</v>
      </c>
      <c r="C1123" s="1">
        <f>IFERROR(__xludf.DUMMYFUNCTION("""COMPUTED_VALUE"""),56.34)</f>
        <v>56.34</v>
      </c>
      <c r="D1123" s="1">
        <f>IFERROR(__xludf.DUMMYFUNCTION("""COMPUTED_VALUE"""),55.55)</f>
        <v>55.55</v>
      </c>
      <c r="E1123" s="1">
        <f>IFERROR(__xludf.DUMMYFUNCTION("""COMPUTED_VALUE"""),55.88)</f>
        <v>55.88</v>
      </c>
      <c r="F1123" s="1">
        <f>IFERROR(__xludf.DUMMYFUNCTION("""COMPUTED_VALUE"""),6507000.0)</f>
        <v>6507000</v>
      </c>
    </row>
    <row r="1124">
      <c r="A1124" s="2">
        <f>IFERROR(__xludf.DUMMYFUNCTION("""COMPUTED_VALUE"""),38161.666666666664)</f>
        <v>38161.66667</v>
      </c>
      <c r="B1124" s="1">
        <f>IFERROR(__xludf.DUMMYFUNCTION("""COMPUTED_VALUE"""),56.05)</f>
        <v>56.05</v>
      </c>
      <c r="C1124" s="1">
        <f>IFERROR(__xludf.DUMMYFUNCTION("""COMPUTED_VALUE"""),56.1)</f>
        <v>56.1</v>
      </c>
      <c r="D1124" s="1">
        <f>IFERROR(__xludf.DUMMYFUNCTION("""COMPUTED_VALUE"""),55.46)</f>
        <v>55.46</v>
      </c>
      <c r="E1124" s="1">
        <f>IFERROR(__xludf.DUMMYFUNCTION("""COMPUTED_VALUE"""),55.96)</f>
        <v>55.96</v>
      </c>
      <c r="F1124" s="1">
        <f>IFERROR(__xludf.DUMMYFUNCTION("""COMPUTED_VALUE"""),5267600.0)</f>
        <v>5267600</v>
      </c>
    </row>
    <row r="1125">
      <c r="A1125" s="2">
        <f>IFERROR(__xludf.DUMMYFUNCTION("""COMPUTED_VALUE"""),38162.666666666664)</f>
        <v>38162.66667</v>
      </c>
      <c r="B1125" s="1">
        <f>IFERROR(__xludf.DUMMYFUNCTION("""COMPUTED_VALUE"""),55.71)</f>
        <v>55.71</v>
      </c>
      <c r="C1125" s="1">
        <f>IFERROR(__xludf.DUMMYFUNCTION("""COMPUTED_VALUE"""),55.83)</f>
        <v>55.83</v>
      </c>
      <c r="D1125" s="1">
        <f>IFERROR(__xludf.DUMMYFUNCTION("""COMPUTED_VALUE"""),55.26)</f>
        <v>55.26</v>
      </c>
      <c r="E1125" s="1">
        <f>IFERROR(__xludf.DUMMYFUNCTION("""COMPUTED_VALUE"""),55.48)</f>
        <v>55.48</v>
      </c>
      <c r="F1125" s="1">
        <f>IFERROR(__xludf.DUMMYFUNCTION("""COMPUTED_VALUE"""),5909000.0)</f>
        <v>5909000</v>
      </c>
    </row>
    <row r="1126">
      <c r="A1126" s="2">
        <f>IFERROR(__xludf.DUMMYFUNCTION("""COMPUTED_VALUE"""),38163.666666666664)</f>
        <v>38163.66667</v>
      </c>
      <c r="B1126" s="1">
        <f>IFERROR(__xludf.DUMMYFUNCTION("""COMPUTED_VALUE"""),55.38)</f>
        <v>55.38</v>
      </c>
      <c r="C1126" s="1">
        <f>IFERROR(__xludf.DUMMYFUNCTION("""COMPUTED_VALUE"""),55.41)</f>
        <v>55.41</v>
      </c>
      <c r="D1126" s="1">
        <f>IFERROR(__xludf.DUMMYFUNCTION("""COMPUTED_VALUE"""),54.3)</f>
        <v>54.3</v>
      </c>
      <c r="E1126" s="1">
        <f>IFERROR(__xludf.DUMMYFUNCTION("""COMPUTED_VALUE"""),54.75)</f>
        <v>54.75</v>
      </c>
      <c r="F1126" s="1">
        <f>IFERROR(__xludf.DUMMYFUNCTION("""COMPUTED_VALUE"""),8972800.0)</f>
        <v>8972800</v>
      </c>
    </row>
    <row r="1127">
      <c r="A1127" s="2">
        <f>IFERROR(__xludf.DUMMYFUNCTION("""COMPUTED_VALUE"""),38166.666666666664)</f>
        <v>38166.66667</v>
      </c>
      <c r="B1127" s="1">
        <f>IFERROR(__xludf.DUMMYFUNCTION("""COMPUTED_VALUE"""),55.16)</f>
        <v>55.16</v>
      </c>
      <c r="C1127" s="1">
        <f>IFERROR(__xludf.DUMMYFUNCTION("""COMPUTED_VALUE"""),55.18)</f>
        <v>55.18</v>
      </c>
      <c r="D1127" s="1">
        <f>IFERROR(__xludf.DUMMYFUNCTION("""COMPUTED_VALUE"""),54.29)</f>
        <v>54.29</v>
      </c>
      <c r="E1127" s="1">
        <f>IFERROR(__xludf.DUMMYFUNCTION("""COMPUTED_VALUE"""),54.6)</f>
        <v>54.6</v>
      </c>
      <c r="F1127" s="1">
        <f>IFERROR(__xludf.DUMMYFUNCTION("""COMPUTED_VALUE"""),6260600.0)</f>
        <v>6260600</v>
      </c>
    </row>
    <row r="1128">
      <c r="A1128" s="2">
        <f>IFERROR(__xludf.DUMMYFUNCTION("""COMPUTED_VALUE"""),38167.666666666664)</f>
        <v>38167.66667</v>
      </c>
      <c r="B1128" s="1">
        <f>IFERROR(__xludf.DUMMYFUNCTION("""COMPUTED_VALUE"""),54.45)</f>
        <v>54.45</v>
      </c>
      <c r="C1128" s="1">
        <f>IFERROR(__xludf.DUMMYFUNCTION("""COMPUTED_VALUE"""),55.05)</f>
        <v>55.05</v>
      </c>
      <c r="D1128" s="1">
        <f>IFERROR(__xludf.DUMMYFUNCTION("""COMPUTED_VALUE"""),54.43)</f>
        <v>54.43</v>
      </c>
      <c r="E1128" s="1">
        <f>IFERROR(__xludf.DUMMYFUNCTION("""COMPUTED_VALUE"""),54.85)</f>
        <v>54.85</v>
      </c>
      <c r="F1128" s="1">
        <f>IFERROR(__xludf.DUMMYFUNCTION("""COMPUTED_VALUE"""),4689600.0)</f>
        <v>4689600</v>
      </c>
    </row>
    <row r="1129">
      <c r="A1129" s="2">
        <f>IFERROR(__xludf.DUMMYFUNCTION("""COMPUTED_VALUE"""),38168.666666666664)</f>
        <v>38168.66667</v>
      </c>
      <c r="B1129" s="1">
        <f>IFERROR(__xludf.DUMMYFUNCTION("""COMPUTED_VALUE"""),54.78)</f>
        <v>54.78</v>
      </c>
      <c r="C1129" s="1">
        <f>IFERROR(__xludf.DUMMYFUNCTION("""COMPUTED_VALUE"""),54.85)</f>
        <v>54.85</v>
      </c>
      <c r="D1129" s="1">
        <f>IFERROR(__xludf.DUMMYFUNCTION("""COMPUTED_VALUE"""),54.22)</f>
        <v>54.22</v>
      </c>
      <c r="E1129" s="1">
        <f>IFERROR(__xludf.DUMMYFUNCTION("""COMPUTED_VALUE"""),54.55)</f>
        <v>54.55</v>
      </c>
      <c r="F1129" s="1">
        <f>IFERROR(__xludf.DUMMYFUNCTION("""COMPUTED_VALUE"""),6422800.0)</f>
        <v>6422800</v>
      </c>
    </row>
    <row r="1130">
      <c r="A1130" s="2">
        <f>IFERROR(__xludf.DUMMYFUNCTION("""COMPUTED_VALUE"""),38169.666666666664)</f>
        <v>38169.66667</v>
      </c>
      <c r="B1130" s="1">
        <f>IFERROR(__xludf.DUMMYFUNCTION("""COMPUTED_VALUE"""),54.56)</f>
        <v>54.56</v>
      </c>
      <c r="C1130" s="1">
        <f>IFERROR(__xludf.DUMMYFUNCTION("""COMPUTED_VALUE"""),54.85)</f>
        <v>54.85</v>
      </c>
      <c r="D1130" s="1">
        <f>IFERROR(__xludf.DUMMYFUNCTION("""COMPUTED_VALUE"""),54.0)</f>
        <v>54</v>
      </c>
      <c r="E1130" s="1">
        <f>IFERROR(__xludf.DUMMYFUNCTION("""COMPUTED_VALUE"""),54.25)</f>
        <v>54.25</v>
      </c>
      <c r="F1130" s="1">
        <f>IFERROR(__xludf.DUMMYFUNCTION("""COMPUTED_VALUE"""),6102200.0)</f>
        <v>6102200</v>
      </c>
    </row>
    <row r="1131">
      <c r="A1131" s="2">
        <f>IFERROR(__xludf.DUMMYFUNCTION("""COMPUTED_VALUE"""),38170.666666666664)</f>
        <v>38170.66667</v>
      </c>
      <c r="B1131" s="1">
        <f>IFERROR(__xludf.DUMMYFUNCTION("""COMPUTED_VALUE"""),54.28)</f>
        <v>54.28</v>
      </c>
      <c r="C1131" s="1">
        <f>IFERROR(__xludf.DUMMYFUNCTION("""COMPUTED_VALUE"""),54.59)</f>
        <v>54.59</v>
      </c>
      <c r="D1131" s="1">
        <f>IFERROR(__xludf.DUMMYFUNCTION("""COMPUTED_VALUE"""),54.0)</f>
        <v>54</v>
      </c>
      <c r="E1131" s="1">
        <f>IFERROR(__xludf.DUMMYFUNCTION("""COMPUTED_VALUE"""),54.34)</f>
        <v>54.34</v>
      </c>
      <c r="F1131" s="1">
        <f>IFERROR(__xludf.DUMMYFUNCTION("""COMPUTED_VALUE"""),4263000.0)</f>
        <v>4263000</v>
      </c>
    </row>
    <row r="1132">
      <c r="A1132" s="2">
        <f>IFERROR(__xludf.DUMMYFUNCTION("""COMPUTED_VALUE"""),38174.666666666664)</f>
        <v>38174.66667</v>
      </c>
      <c r="B1132" s="1">
        <f>IFERROR(__xludf.DUMMYFUNCTION("""COMPUTED_VALUE"""),54.26)</f>
        <v>54.26</v>
      </c>
      <c r="C1132" s="1">
        <f>IFERROR(__xludf.DUMMYFUNCTION("""COMPUTED_VALUE"""),54.75)</f>
        <v>54.75</v>
      </c>
      <c r="D1132" s="1">
        <f>IFERROR(__xludf.DUMMYFUNCTION("""COMPUTED_VALUE"""),54.04)</f>
        <v>54.04</v>
      </c>
      <c r="E1132" s="1">
        <f>IFERROR(__xludf.DUMMYFUNCTION("""COMPUTED_VALUE"""),54.29)</f>
        <v>54.29</v>
      </c>
      <c r="F1132" s="1">
        <f>IFERROR(__xludf.DUMMYFUNCTION("""COMPUTED_VALUE"""),5081500.0)</f>
        <v>5081500</v>
      </c>
    </row>
    <row r="1133">
      <c r="A1133" s="2">
        <f>IFERROR(__xludf.DUMMYFUNCTION("""COMPUTED_VALUE"""),38175.666666666664)</f>
        <v>38175.66667</v>
      </c>
      <c r="B1133" s="1">
        <f>IFERROR(__xludf.DUMMYFUNCTION("""COMPUTED_VALUE"""),54.15)</f>
        <v>54.15</v>
      </c>
      <c r="C1133" s="1">
        <f>IFERROR(__xludf.DUMMYFUNCTION("""COMPUTED_VALUE"""),54.61)</f>
        <v>54.61</v>
      </c>
      <c r="D1133" s="1">
        <f>IFERROR(__xludf.DUMMYFUNCTION("""COMPUTED_VALUE"""),54.1)</f>
        <v>54.1</v>
      </c>
      <c r="E1133" s="1">
        <f>IFERROR(__xludf.DUMMYFUNCTION("""COMPUTED_VALUE"""),54.42)</f>
        <v>54.42</v>
      </c>
      <c r="F1133" s="1">
        <f>IFERROR(__xludf.DUMMYFUNCTION("""COMPUTED_VALUE"""),4357900.0)</f>
        <v>4357900</v>
      </c>
    </row>
    <row r="1134">
      <c r="A1134" s="2">
        <f>IFERROR(__xludf.DUMMYFUNCTION("""COMPUTED_VALUE"""),38176.666666666664)</f>
        <v>38176.66667</v>
      </c>
      <c r="B1134" s="1">
        <f>IFERROR(__xludf.DUMMYFUNCTION("""COMPUTED_VALUE"""),54.45)</f>
        <v>54.45</v>
      </c>
      <c r="C1134" s="1">
        <f>IFERROR(__xludf.DUMMYFUNCTION("""COMPUTED_VALUE"""),55.08)</f>
        <v>55.08</v>
      </c>
      <c r="D1134" s="1">
        <f>IFERROR(__xludf.DUMMYFUNCTION("""COMPUTED_VALUE"""),54.37)</f>
        <v>54.37</v>
      </c>
      <c r="E1134" s="1">
        <f>IFERROR(__xludf.DUMMYFUNCTION("""COMPUTED_VALUE"""),54.55)</f>
        <v>54.55</v>
      </c>
      <c r="F1134" s="1">
        <f>IFERROR(__xludf.DUMMYFUNCTION("""COMPUTED_VALUE"""),5227000.0)</f>
        <v>5227000</v>
      </c>
    </row>
    <row r="1135">
      <c r="A1135" s="2">
        <f>IFERROR(__xludf.DUMMYFUNCTION("""COMPUTED_VALUE"""),38177.666666666664)</f>
        <v>38177.66667</v>
      </c>
      <c r="B1135" s="1">
        <f>IFERROR(__xludf.DUMMYFUNCTION("""COMPUTED_VALUE"""),54.46)</f>
        <v>54.46</v>
      </c>
      <c r="C1135" s="1">
        <f>IFERROR(__xludf.DUMMYFUNCTION("""COMPUTED_VALUE"""),54.9)</f>
        <v>54.9</v>
      </c>
      <c r="D1135" s="1">
        <f>IFERROR(__xludf.DUMMYFUNCTION("""COMPUTED_VALUE"""),54.46)</f>
        <v>54.46</v>
      </c>
      <c r="E1135" s="1">
        <f>IFERROR(__xludf.DUMMYFUNCTION("""COMPUTED_VALUE"""),54.72)</f>
        <v>54.72</v>
      </c>
      <c r="F1135" s="1">
        <f>IFERROR(__xludf.DUMMYFUNCTION("""COMPUTED_VALUE"""),4055900.0)</f>
        <v>4055900</v>
      </c>
    </row>
    <row r="1136">
      <c r="A1136" s="2">
        <f>IFERROR(__xludf.DUMMYFUNCTION("""COMPUTED_VALUE"""),38180.666666666664)</f>
        <v>38180.66667</v>
      </c>
      <c r="B1136" s="1">
        <f>IFERROR(__xludf.DUMMYFUNCTION("""COMPUTED_VALUE"""),54.79)</f>
        <v>54.79</v>
      </c>
      <c r="C1136" s="1">
        <f>IFERROR(__xludf.DUMMYFUNCTION("""COMPUTED_VALUE"""),55.02)</f>
        <v>55.02</v>
      </c>
      <c r="D1136" s="1">
        <f>IFERROR(__xludf.DUMMYFUNCTION("""COMPUTED_VALUE"""),54.37)</f>
        <v>54.37</v>
      </c>
      <c r="E1136" s="1">
        <f>IFERROR(__xludf.DUMMYFUNCTION("""COMPUTED_VALUE"""),54.67)</f>
        <v>54.67</v>
      </c>
      <c r="F1136" s="1">
        <f>IFERROR(__xludf.DUMMYFUNCTION("""COMPUTED_VALUE"""),4921300.0)</f>
        <v>4921300</v>
      </c>
    </row>
    <row r="1137">
      <c r="A1137" s="2">
        <f>IFERROR(__xludf.DUMMYFUNCTION("""COMPUTED_VALUE"""),38181.666666666664)</f>
        <v>38181.66667</v>
      </c>
      <c r="B1137" s="1">
        <f>IFERROR(__xludf.DUMMYFUNCTION("""COMPUTED_VALUE"""),54.56)</f>
        <v>54.56</v>
      </c>
      <c r="C1137" s="1">
        <f>IFERROR(__xludf.DUMMYFUNCTION("""COMPUTED_VALUE"""),54.94)</f>
        <v>54.94</v>
      </c>
      <c r="D1137" s="1">
        <f>IFERROR(__xludf.DUMMYFUNCTION("""COMPUTED_VALUE"""),54.56)</f>
        <v>54.56</v>
      </c>
      <c r="E1137" s="1">
        <f>IFERROR(__xludf.DUMMYFUNCTION("""COMPUTED_VALUE"""),54.81)</f>
        <v>54.81</v>
      </c>
      <c r="F1137" s="1">
        <f>IFERROR(__xludf.DUMMYFUNCTION("""COMPUTED_VALUE"""),3421500.0)</f>
        <v>3421500</v>
      </c>
    </row>
    <row r="1138">
      <c r="A1138" s="2">
        <f>IFERROR(__xludf.DUMMYFUNCTION("""COMPUTED_VALUE"""),38182.666666666664)</f>
        <v>38182.66667</v>
      </c>
      <c r="B1138" s="1">
        <f>IFERROR(__xludf.DUMMYFUNCTION("""COMPUTED_VALUE"""),54.58)</f>
        <v>54.58</v>
      </c>
      <c r="C1138" s="1">
        <f>IFERROR(__xludf.DUMMYFUNCTION("""COMPUTED_VALUE"""),55.2)</f>
        <v>55.2</v>
      </c>
      <c r="D1138" s="1">
        <f>IFERROR(__xludf.DUMMYFUNCTION("""COMPUTED_VALUE"""),54.57)</f>
        <v>54.57</v>
      </c>
      <c r="E1138" s="1">
        <f>IFERROR(__xludf.DUMMYFUNCTION("""COMPUTED_VALUE"""),55.08)</f>
        <v>55.08</v>
      </c>
      <c r="F1138" s="1">
        <f>IFERROR(__xludf.DUMMYFUNCTION("""COMPUTED_VALUE"""),4781900.0)</f>
        <v>4781900</v>
      </c>
    </row>
    <row r="1139">
      <c r="A1139" s="2">
        <f>IFERROR(__xludf.DUMMYFUNCTION("""COMPUTED_VALUE"""),38183.666666666664)</f>
        <v>38183.66667</v>
      </c>
      <c r="B1139" s="1">
        <f>IFERROR(__xludf.DUMMYFUNCTION("""COMPUTED_VALUE"""),55.08)</f>
        <v>55.08</v>
      </c>
      <c r="C1139" s="1">
        <f>IFERROR(__xludf.DUMMYFUNCTION("""COMPUTED_VALUE"""),55.35)</f>
        <v>55.35</v>
      </c>
      <c r="D1139" s="1">
        <f>IFERROR(__xludf.DUMMYFUNCTION("""COMPUTED_VALUE"""),54.95)</f>
        <v>54.95</v>
      </c>
      <c r="E1139" s="1">
        <f>IFERROR(__xludf.DUMMYFUNCTION("""COMPUTED_VALUE"""),55.1)</f>
        <v>55.1</v>
      </c>
      <c r="F1139" s="1">
        <f>IFERROR(__xludf.DUMMYFUNCTION("""COMPUTED_VALUE"""),5538400.0)</f>
        <v>5538400</v>
      </c>
    </row>
    <row r="1140">
      <c r="A1140" s="2">
        <f>IFERROR(__xludf.DUMMYFUNCTION("""COMPUTED_VALUE"""),38184.666666666664)</f>
        <v>38184.66667</v>
      </c>
      <c r="B1140" s="1">
        <f>IFERROR(__xludf.DUMMYFUNCTION("""COMPUTED_VALUE"""),55.52)</f>
        <v>55.52</v>
      </c>
      <c r="C1140" s="1">
        <f>IFERROR(__xludf.DUMMYFUNCTION("""COMPUTED_VALUE"""),55.58)</f>
        <v>55.58</v>
      </c>
      <c r="D1140" s="1">
        <f>IFERROR(__xludf.DUMMYFUNCTION("""COMPUTED_VALUE"""),55.01)</f>
        <v>55.01</v>
      </c>
      <c r="E1140" s="1">
        <f>IFERROR(__xludf.DUMMYFUNCTION("""COMPUTED_VALUE"""),55.33)</f>
        <v>55.33</v>
      </c>
      <c r="F1140" s="1">
        <f>IFERROR(__xludf.DUMMYFUNCTION("""COMPUTED_VALUE"""),5550300.0)</f>
        <v>5550300</v>
      </c>
    </row>
    <row r="1141">
      <c r="A1141" s="2">
        <f>IFERROR(__xludf.DUMMYFUNCTION("""COMPUTED_VALUE"""),38187.666666666664)</f>
        <v>38187.66667</v>
      </c>
      <c r="B1141" s="1">
        <f>IFERROR(__xludf.DUMMYFUNCTION("""COMPUTED_VALUE"""),55.5)</f>
        <v>55.5</v>
      </c>
      <c r="C1141" s="1">
        <f>IFERROR(__xludf.DUMMYFUNCTION("""COMPUTED_VALUE"""),55.5)</f>
        <v>55.5</v>
      </c>
      <c r="D1141" s="1">
        <f>IFERROR(__xludf.DUMMYFUNCTION("""COMPUTED_VALUE"""),54.6)</f>
        <v>54.6</v>
      </c>
      <c r="E1141" s="1">
        <f>IFERROR(__xludf.DUMMYFUNCTION("""COMPUTED_VALUE"""),55.03)</f>
        <v>55.03</v>
      </c>
      <c r="F1141" s="1">
        <f>IFERROR(__xludf.DUMMYFUNCTION("""COMPUTED_VALUE"""),4458000.0)</f>
        <v>4458000</v>
      </c>
    </row>
    <row r="1142">
      <c r="A1142" s="2">
        <f>IFERROR(__xludf.DUMMYFUNCTION("""COMPUTED_VALUE"""),38188.666666666664)</f>
        <v>38188.66667</v>
      </c>
      <c r="B1142" s="1">
        <f>IFERROR(__xludf.DUMMYFUNCTION("""COMPUTED_VALUE"""),54.89)</f>
        <v>54.89</v>
      </c>
      <c r="C1142" s="1">
        <f>IFERROR(__xludf.DUMMYFUNCTION("""COMPUTED_VALUE"""),54.97)</f>
        <v>54.97</v>
      </c>
      <c r="D1142" s="1">
        <f>IFERROR(__xludf.DUMMYFUNCTION("""COMPUTED_VALUE"""),54.26)</f>
        <v>54.26</v>
      </c>
      <c r="E1142" s="1">
        <f>IFERROR(__xludf.DUMMYFUNCTION("""COMPUTED_VALUE"""),54.47)</f>
        <v>54.47</v>
      </c>
      <c r="F1142" s="1">
        <f>IFERROR(__xludf.DUMMYFUNCTION("""COMPUTED_VALUE"""),5089900.0)</f>
        <v>5089900</v>
      </c>
    </row>
    <row r="1143">
      <c r="A1143" s="2">
        <f>IFERROR(__xludf.DUMMYFUNCTION("""COMPUTED_VALUE"""),38189.666666666664)</f>
        <v>38189.66667</v>
      </c>
      <c r="B1143" s="1">
        <f>IFERROR(__xludf.DUMMYFUNCTION("""COMPUTED_VALUE"""),54.4)</f>
        <v>54.4</v>
      </c>
      <c r="C1143" s="1">
        <f>IFERROR(__xludf.DUMMYFUNCTION("""COMPUTED_VALUE"""),54.47)</f>
        <v>54.47</v>
      </c>
      <c r="D1143" s="1">
        <f>IFERROR(__xludf.DUMMYFUNCTION("""COMPUTED_VALUE"""),53.1)</f>
        <v>53.1</v>
      </c>
      <c r="E1143" s="1">
        <f>IFERROR(__xludf.DUMMYFUNCTION("""COMPUTED_VALUE"""),53.24)</f>
        <v>53.24</v>
      </c>
      <c r="F1143" s="1">
        <f>IFERROR(__xludf.DUMMYFUNCTION("""COMPUTED_VALUE"""),6935600.0)</f>
        <v>6935600</v>
      </c>
    </row>
    <row r="1144">
      <c r="A1144" s="2">
        <f>IFERROR(__xludf.DUMMYFUNCTION("""COMPUTED_VALUE"""),38190.666666666664)</f>
        <v>38190.66667</v>
      </c>
      <c r="B1144" s="1">
        <f>IFERROR(__xludf.DUMMYFUNCTION("""COMPUTED_VALUE"""),53.2)</f>
        <v>53.2</v>
      </c>
      <c r="C1144" s="1">
        <f>IFERROR(__xludf.DUMMYFUNCTION("""COMPUTED_VALUE"""),53.77)</f>
        <v>53.77</v>
      </c>
      <c r="D1144" s="1">
        <f>IFERROR(__xludf.DUMMYFUNCTION("""COMPUTED_VALUE"""),53.03)</f>
        <v>53.03</v>
      </c>
      <c r="E1144" s="1">
        <f>IFERROR(__xludf.DUMMYFUNCTION("""COMPUTED_VALUE"""),53.44)</f>
        <v>53.44</v>
      </c>
      <c r="F1144" s="1">
        <f>IFERROR(__xludf.DUMMYFUNCTION("""COMPUTED_VALUE"""),4421600.0)</f>
        <v>4421600</v>
      </c>
    </row>
    <row r="1145">
      <c r="A1145" s="2">
        <f>IFERROR(__xludf.DUMMYFUNCTION("""COMPUTED_VALUE"""),38191.666666666664)</f>
        <v>38191.66667</v>
      </c>
      <c r="B1145" s="1">
        <f>IFERROR(__xludf.DUMMYFUNCTION("""COMPUTED_VALUE"""),55.97)</f>
        <v>55.97</v>
      </c>
      <c r="C1145" s="1">
        <f>IFERROR(__xludf.DUMMYFUNCTION("""COMPUTED_VALUE"""),55.97)</f>
        <v>55.97</v>
      </c>
      <c r="D1145" s="1">
        <f>IFERROR(__xludf.DUMMYFUNCTION("""COMPUTED_VALUE"""),52.01)</f>
        <v>52.01</v>
      </c>
      <c r="E1145" s="1">
        <f>IFERROR(__xludf.DUMMYFUNCTION("""COMPUTED_VALUE"""),52.43)</f>
        <v>52.43</v>
      </c>
      <c r="F1145" s="1">
        <f>IFERROR(__xludf.DUMMYFUNCTION("""COMPUTED_VALUE"""),6131900.0)</f>
        <v>6131900</v>
      </c>
    </row>
    <row r="1146">
      <c r="A1146" s="2">
        <f>IFERROR(__xludf.DUMMYFUNCTION("""COMPUTED_VALUE"""),38194.666666666664)</f>
        <v>38194.66667</v>
      </c>
      <c r="B1146" s="1">
        <f>IFERROR(__xludf.DUMMYFUNCTION("""COMPUTED_VALUE"""),52.62)</f>
        <v>52.62</v>
      </c>
      <c r="C1146" s="1">
        <f>IFERROR(__xludf.DUMMYFUNCTION("""COMPUTED_VALUE"""),53.15)</f>
        <v>53.15</v>
      </c>
      <c r="D1146" s="1">
        <f>IFERROR(__xludf.DUMMYFUNCTION("""COMPUTED_VALUE"""),52.24)</f>
        <v>52.24</v>
      </c>
      <c r="E1146" s="1">
        <f>IFERROR(__xludf.DUMMYFUNCTION("""COMPUTED_VALUE"""),52.96)</f>
        <v>52.96</v>
      </c>
      <c r="F1146" s="1">
        <f>IFERROR(__xludf.DUMMYFUNCTION("""COMPUTED_VALUE"""),4859000.0)</f>
        <v>4859000</v>
      </c>
    </row>
    <row r="1147">
      <c r="A1147" s="2">
        <f>IFERROR(__xludf.DUMMYFUNCTION("""COMPUTED_VALUE"""),38195.666666666664)</f>
        <v>38195.66667</v>
      </c>
      <c r="B1147" s="1">
        <f>IFERROR(__xludf.DUMMYFUNCTION("""COMPUTED_VALUE"""),53.12)</f>
        <v>53.12</v>
      </c>
      <c r="C1147" s="1">
        <f>IFERROR(__xludf.DUMMYFUNCTION("""COMPUTED_VALUE"""),53.89)</f>
        <v>53.89</v>
      </c>
      <c r="D1147" s="1">
        <f>IFERROR(__xludf.DUMMYFUNCTION("""COMPUTED_VALUE"""),53.04)</f>
        <v>53.04</v>
      </c>
      <c r="E1147" s="1">
        <f>IFERROR(__xludf.DUMMYFUNCTION("""COMPUTED_VALUE"""),53.89)</f>
        <v>53.89</v>
      </c>
      <c r="F1147" s="1">
        <f>IFERROR(__xludf.DUMMYFUNCTION("""COMPUTED_VALUE"""),5074600.0)</f>
        <v>5074600</v>
      </c>
    </row>
    <row r="1148">
      <c r="A1148" s="2">
        <f>IFERROR(__xludf.DUMMYFUNCTION("""COMPUTED_VALUE"""),38196.666666666664)</f>
        <v>38196.66667</v>
      </c>
      <c r="B1148" s="1">
        <f>IFERROR(__xludf.DUMMYFUNCTION("""COMPUTED_VALUE"""),53.05)</f>
        <v>53.05</v>
      </c>
      <c r="C1148" s="1">
        <f>IFERROR(__xludf.DUMMYFUNCTION("""COMPUTED_VALUE"""),53.55)</f>
        <v>53.55</v>
      </c>
      <c r="D1148" s="1">
        <f>IFERROR(__xludf.DUMMYFUNCTION("""COMPUTED_VALUE"""),52.62)</f>
        <v>52.62</v>
      </c>
      <c r="E1148" s="1">
        <f>IFERROR(__xludf.DUMMYFUNCTION("""COMPUTED_VALUE"""),53.05)</f>
        <v>53.05</v>
      </c>
      <c r="F1148" s="1">
        <f>IFERROR(__xludf.DUMMYFUNCTION("""COMPUTED_VALUE"""),6276700.0)</f>
        <v>6276700</v>
      </c>
    </row>
    <row r="1149">
      <c r="A1149" s="2">
        <f>IFERROR(__xludf.DUMMYFUNCTION("""COMPUTED_VALUE"""),38197.666666666664)</f>
        <v>38197.66667</v>
      </c>
      <c r="B1149" s="1">
        <f>IFERROR(__xludf.DUMMYFUNCTION("""COMPUTED_VALUE"""),53.38)</f>
        <v>53.38</v>
      </c>
      <c r="C1149" s="1">
        <f>IFERROR(__xludf.DUMMYFUNCTION("""COMPUTED_VALUE"""),53.39)</f>
        <v>53.39</v>
      </c>
      <c r="D1149" s="1">
        <f>IFERROR(__xludf.DUMMYFUNCTION("""COMPUTED_VALUE"""),52.5)</f>
        <v>52.5</v>
      </c>
      <c r="E1149" s="1">
        <f>IFERROR(__xludf.DUMMYFUNCTION("""COMPUTED_VALUE"""),52.82)</f>
        <v>52.82</v>
      </c>
      <c r="F1149" s="1">
        <f>IFERROR(__xludf.DUMMYFUNCTION("""COMPUTED_VALUE"""),4913700.0)</f>
        <v>4913700</v>
      </c>
    </row>
    <row r="1150">
      <c r="A1150" s="2">
        <f>IFERROR(__xludf.DUMMYFUNCTION("""COMPUTED_VALUE"""),38198.666666666664)</f>
        <v>38198.66667</v>
      </c>
      <c r="B1150" s="1">
        <f>IFERROR(__xludf.DUMMYFUNCTION("""COMPUTED_VALUE"""),52.78)</f>
        <v>52.78</v>
      </c>
      <c r="C1150" s="1">
        <f>IFERROR(__xludf.DUMMYFUNCTION("""COMPUTED_VALUE"""),52.99)</f>
        <v>52.99</v>
      </c>
      <c r="D1150" s="1">
        <f>IFERROR(__xludf.DUMMYFUNCTION("""COMPUTED_VALUE"""),51.5)</f>
        <v>51.5</v>
      </c>
      <c r="E1150" s="1">
        <f>IFERROR(__xludf.DUMMYFUNCTION("""COMPUTED_VALUE"""),52.14)</f>
        <v>52.14</v>
      </c>
      <c r="F1150" s="1">
        <f>IFERROR(__xludf.DUMMYFUNCTION("""COMPUTED_VALUE"""),7434800.0)</f>
        <v>7434800</v>
      </c>
    </row>
    <row r="1151">
      <c r="A1151" s="2">
        <f>IFERROR(__xludf.DUMMYFUNCTION("""COMPUTED_VALUE"""),38201.666666666664)</f>
        <v>38201.66667</v>
      </c>
      <c r="B1151" s="1">
        <f>IFERROR(__xludf.DUMMYFUNCTION("""COMPUTED_VALUE"""),52.76)</f>
        <v>52.76</v>
      </c>
      <c r="C1151" s="1">
        <f>IFERROR(__xludf.DUMMYFUNCTION("""COMPUTED_VALUE"""),54.1)</f>
        <v>54.1</v>
      </c>
      <c r="D1151" s="1">
        <f>IFERROR(__xludf.DUMMYFUNCTION("""COMPUTED_VALUE"""),52.68)</f>
        <v>52.68</v>
      </c>
      <c r="E1151" s="1">
        <f>IFERROR(__xludf.DUMMYFUNCTION("""COMPUTED_VALUE"""),53.45)</f>
        <v>53.45</v>
      </c>
      <c r="F1151" s="1">
        <f>IFERROR(__xludf.DUMMYFUNCTION("""COMPUTED_VALUE"""),6817600.0)</f>
        <v>6817600</v>
      </c>
    </row>
    <row r="1152">
      <c r="A1152" s="2">
        <f>IFERROR(__xludf.DUMMYFUNCTION("""COMPUTED_VALUE"""),38202.666666666664)</f>
        <v>38202.66667</v>
      </c>
      <c r="B1152" s="1">
        <f>IFERROR(__xludf.DUMMYFUNCTION("""COMPUTED_VALUE"""),53.0)</f>
        <v>53</v>
      </c>
      <c r="C1152" s="1">
        <f>IFERROR(__xludf.DUMMYFUNCTION("""COMPUTED_VALUE"""),54.17)</f>
        <v>54.17</v>
      </c>
      <c r="D1152" s="1">
        <f>IFERROR(__xludf.DUMMYFUNCTION("""COMPUTED_VALUE"""),52.99)</f>
        <v>52.99</v>
      </c>
      <c r="E1152" s="1">
        <f>IFERROR(__xludf.DUMMYFUNCTION("""COMPUTED_VALUE"""),53.65)</f>
        <v>53.65</v>
      </c>
      <c r="F1152" s="1">
        <f>IFERROR(__xludf.DUMMYFUNCTION("""COMPUTED_VALUE"""),5597100.0)</f>
        <v>5597100</v>
      </c>
    </row>
    <row r="1153">
      <c r="A1153" s="2">
        <f>IFERROR(__xludf.DUMMYFUNCTION("""COMPUTED_VALUE"""),38203.666666666664)</f>
        <v>38203.66667</v>
      </c>
      <c r="B1153" s="1">
        <f>IFERROR(__xludf.DUMMYFUNCTION("""COMPUTED_VALUE"""),53.61)</f>
        <v>53.61</v>
      </c>
      <c r="C1153" s="1">
        <f>IFERROR(__xludf.DUMMYFUNCTION("""COMPUTED_VALUE"""),54.38)</f>
        <v>54.38</v>
      </c>
      <c r="D1153" s="1">
        <f>IFERROR(__xludf.DUMMYFUNCTION("""COMPUTED_VALUE"""),53.53)</f>
        <v>53.53</v>
      </c>
      <c r="E1153" s="1">
        <f>IFERROR(__xludf.DUMMYFUNCTION("""COMPUTED_VALUE"""),54.1)</f>
        <v>54.1</v>
      </c>
      <c r="F1153" s="1">
        <f>IFERROR(__xludf.DUMMYFUNCTION("""COMPUTED_VALUE"""),5097800.0)</f>
        <v>5097800</v>
      </c>
    </row>
    <row r="1154">
      <c r="A1154" s="2">
        <f>IFERROR(__xludf.DUMMYFUNCTION("""COMPUTED_VALUE"""),38204.666666666664)</f>
        <v>38204.66667</v>
      </c>
      <c r="B1154" s="1">
        <f>IFERROR(__xludf.DUMMYFUNCTION("""COMPUTED_VALUE"""),53.93)</f>
        <v>53.93</v>
      </c>
      <c r="C1154" s="1">
        <f>IFERROR(__xludf.DUMMYFUNCTION("""COMPUTED_VALUE"""),54.14)</f>
        <v>54.14</v>
      </c>
      <c r="D1154" s="1">
        <f>IFERROR(__xludf.DUMMYFUNCTION("""COMPUTED_VALUE"""),53.14)</f>
        <v>53.14</v>
      </c>
      <c r="E1154" s="1">
        <f>IFERROR(__xludf.DUMMYFUNCTION("""COMPUTED_VALUE"""),53.15)</f>
        <v>53.15</v>
      </c>
      <c r="F1154" s="1">
        <f>IFERROR(__xludf.DUMMYFUNCTION("""COMPUTED_VALUE"""),3842900.0)</f>
        <v>3842900</v>
      </c>
    </row>
    <row r="1155">
      <c r="A1155" s="2">
        <f>IFERROR(__xludf.DUMMYFUNCTION("""COMPUTED_VALUE"""),38205.666666666664)</f>
        <v>38205.66667</v>
      </c>
      <c r="B1155" s="1">
        <f>IFERROR(__xludf.DUMMYFUNCTION("""COMPUTED_VALUE"""),53.0)</f>
        <v>53</v>
      </c>
      <c r="C1155" s="1">
        <f>IFERROR(__xludf.DUMMYFUNCTION("""COMPUTED_VALUE"""),53.54)</f>
        <v>53.54</v>
      </c>
      <c r="D1155" s="1">
        <f>IFERROR(__xludf.DUMMYFUNCTION("""COMPUTED_VALUE"""),52.61)</f>
        <v>52.61</v>
      </c>
      <c r="E1155" s="1">
        <f>IFERROR(__xludf.DUMMYFUNCTION("""COMPUTED_VALUE"""),53.03)</f>
        <v>53.03</v>
      </c>
      <c r="F1155" s="1">
        <f>IFERROR(__xludf.DUMMYFUNCTION("""COMPUTED_VALUE"""),4921100.0)</f>
        <v>4921100</v>
      </c>
    </row>
    <row r="1156">
      <c r="A1156" s="2">
        <f>IFERROR(__xludf.DUMMYFUNCTION("""COMPUTED_VALUE"""),38208.666666666664)</f>
        <v>38208.66667</v>
      </c>
      <c r="B1156" s="1">
        <f>IFERROR(__xludf.DUMMYFUNCTION("""COMPUTED_VALUE"""),53.1)</f>
        <v>53.1</v>
      </c>
      <c r="C1156" s="1">
        <f>IFERROR(__xludf.DUMMYFUNCTION("""COMPUTED_VALUE"""),53.46)</f>
        <v>53.46</v>
      </c>
      <c r="D1156" s="1">
        <f>IFERROR(__xludf.DUMMYFUNCTION("""COMPUTED_VALUE"""),52.77)</f>
        <v>52.77</v>
      </c>
      <c r="E1156" s="1">
        <f>IFERROR(__xludf.DUMMYFUNCTION("""COMPUTED_VALUE"""),53.22)</f>
        <v>53.22</v>
      </c>
      <c r="F1156" s="1">
        <f>IFERROR(__xludf.DUMMYFUNCTION("""COMPUTED_VALUE"""),3417600.0)</f>
        <v>3417600</v>
      </c>
    </row>
    <row r="1157">
      <c r="A1157" s="2">
        <f>IFERROR(__xludf.DUMMYFUNCTION("""COMPUTED_VALUE"""),38209.666666666664)</f>
        <v>38209.66667</v>
      </c>
      <c r="B1157" s="1">
        <f>IFERROR(__xludf.DUMMYFUNCTION("""COMPUTED_VALUE"""),53.04)</f>
        <v>53.04</v>
      </c>
      <c r="C1157" s="1">
        <f>IFERROR(__xludf.DUMMYFUNCTION("""COMPUTED_VALUE"""),54.2)</f>
        <v>54.2</v>
      </c>
      <c r="D1157" s="1">
        <f>IFERROR(__xludf.DUMMYFUNCTION("""COMPUTED_VALUE"""),53.01)</f>
        <v>53.01</v>
      </c>
      <c r="E1157" s="1">
        <f>IFERROR(__xludf.DUMMYFUNCTION("""COMPUTED_VALUE"""),53.98)</f>
        <v>53.98</v>
      </c>
      <c r="F1157" s="1">
        <f>IFERROR(__xludf.DUMMYFUNCTION("""COMPUTED_VALUE"""),4625700.0)</f>
        <v>4625700</v>
      </c>
    </row>
    <row r="1158">
      <c r="A1158" s="2">
        <f>IFERROR(__xludf.DUMMYFUNCTION("""COMPUTED_VALUE"""),38210.666666666664)</f>
        <v>38210.66667</v>
      </c>
      <c r="B1158" s="1">
        <f>IFERROR(__xludf.DUMMYFUNCTION("""COMPUTED_VALUE"""),54.18)</f>
        <v>54.18</v>
      </c>
      <c r="C1158" s="1">
        <f>IFERROR(__xludf.DUMMYFUNCTION("""COMPUTED_VALUE"""),54.67)</f>
        <v>54.67</v>
      </c>
      <c r="D1158" s="1">
        <f>IFERROR(__xludf.DUMMYFUNCTION("""COMPUTED_VALUE"""),53.8)</f>
        <v>53.8</v>
      </c>
      <c r="E1158" s="1">
        <f>IFERROR(__xludf.DUMMYFUNCTION("""COMPUTED_VALUE"""),54.28)</f>
        <v>54.28</v>
      </c>
      <c r="F1158" s="1">
        <f>IFERROR(__xludf.DUMMYFUNCTION("""COMPUTED_VALUE"""),6866300.0)</f>
        <v>6866300</v>
      </c>
    </row>
    <row r="1159">
      <c r="A1159" s="2">
        <f>IFERROR(__xludf.DUMMYFUNCTION("""COMPUTED_VALUE"""),38211.666666666664)</f>
        <v>38211.66667</v>
      </c>
      <c r="B1159" s="1">
        <f>IFERROR(__xludf.DUMMYFUNCTION("""COMPUTED_VALUE"""),54.43)</f>
        <v>54.43</v>
      </c>
      <c r="C1159" s="1">
        <f>IFERROR(__xludf.DUMMYFUNCTION("""COMPUTED_VALUE"""),54.79)</f>
        <v>54.79</v>
      </c>
      <c r="D1159" s="1">
        <f>IFERROR(__xludf.DUMMYFUNCTION("""COMPUTED_VALUE"""),54.29)</f>
        <v>54.29</v>
      </c>
      <c r="E1159" s="1">
        <f>IFERROR(__xludf.DUMMYFUNCTION("""COMPUTED_VALUE"""),54.55)</f>
        <v>54.55</v>
      </c>
      <c r="F1159" s="1">
        <f>IFERROR(__xludf.DUMMYFUNCTION("""COMPUTED_VALUE"""),4684100.0)</f>
        <v>4684100</v>
      </c>
    </row>
    <row r="1160">
      <c r="A1160" s="2">
        <f>IFERROR(__xludf.DUMMYFUNCTION("""COMPUTED_VALUE"""),38212.666666666664)</f>
        <v>38212.66667</v>
      </c>
      <c r="B1160" s="1">
        <f>IFERROR(__xludf.DUMMYFUNCTION("""COMPUTED_VALUE"""),54.5)</f>
        <v>54.5</v>
      </c>
      <c r="C1160" s="1">
        <f>IFERROR(__xludf.DUMMYFUNCTION("""COMPUTED_VALUE"""),54.77)</f>
        <v>54.77</v>
      </c>
      <c r="D1160" s="1">
        <f>IFERROR(__xludf.DUMMYFUNCTION("""COMPUTED_VALUE"""),54.12)</f>
        <v>54.12</v>
      </c>
      <c r="E1160" s="1">
        <f>IFERROR(__xludf.DUMMYFUNCTION("""COMPUTED_VALUE"""),54.23)</f>
        <v>54.23</v>
      </c>
      <c r="F1160" s="1">
        <f>IFERROR(__xludf.DUMMYFUNCTION("""COMPUTED_VALUE"""),3812600.0)</f>
        <v>3812600</v>
      </c>
    </row>
    <row r="1161">
      <c r="A1161" s="2">
        <f>IFERROR(__xludf.DUMMYFUNCTION("""COMPUTED_VALUE"""),38215.666666666664)</f>
        <v>38215.66667</v>
      </c>
      <c r="B1161" s="1">
        <f>IFERROR(__xludf.DUMMYFUNCTION("""COMPUTED_VALUE"""),54.71)</f>
        <v>54.71</v>
      </c>
      <c r="C1161" s="1">
        <f>IFERROR(__xludf.DUMMYFUNCTION("""COMPUTED_VALUE"""),54.98)</f>
        <v>54.98</v>
      </c>
      <c r="D1161" s="1">
        <f>IFERROR(__xludf.DUMMYFUNCTION("""COMPUTED_VALUE"""),54.2)</f>
        <v>54.2</v>
      </c>
      <c r="E1161" s="1">
        <f>IFERROR(__xludf.DUMMYFUNCTION("""COMPUTED_VALUE"""),54.97)</f>
        <v>54.97</v>
      </c>
      <c r="F1161" s="1">
        <f>IFERROR(__xludf.DUMMYFUNCTION("""COMPUTED_VALUE"""),4767800.0)</f>
        <v>4767800</v>
      </c>
    </row>
    <row r="1162">
      <c r="A1162" s="2">
        <f>IFERROR(__xludf.DUMMYFUNCTION("""COMPUTED_VALUE"""),38216.666666666664)</f>
        <v>38216.66667</v>
      </c>
      <c r="B1162" s="1">
        <f>IFERROR(__xludf.DUMMYFUNCTION("""COMPUTED_VALUE"""),54.97)</f>
        <v>54.97</v>
      </c>
      <c r="C1162" s="1">
        <f>IFERROR(__xludf.DUMMYFUNCTION("""COMPUTED_VALUE"""),54.99)</f>
        <v>54.99</v>
      </c>
      <c r="D1162" s="1">
        <f>IFERROR(__xludf.DUMMYFUNCTION("""COMPUTED_VALUE"""),54.47)</f>
        <v>54.47</v>
      </c>
      <c r="E1162" s="1">
        <f>IFERROR(__xludf.DUMMYFUNCTION("""COMPUTED_VALUE"""),54.69)</f>
        <v>54.69</v>
      </c>
      <c r="F1162" s="1">
        <f>IFERROR(__xludf.DUMMYFUNCTION("""COMPUTED_VALUE"""),4866000.0)</f>
        <v>4866000</v>
      </c>
    </row>
    <row r="1163">
      <c r="A1163" s="2">
        <f>IFERROR(__xludf.DUMMYFUNCTION("""COMPUTED_VALUE"""),38217.666666666664)</f>
        <v>38217.66667</v>
      </c>
      <c r="B1163" s="1">
        <f>IFERROR(__xludf.DUMMYFUNCTION("""COMPUTED_VALUE"""),54.75)</f>
        <v>54.75</v>
      </c>
      <c r="C1163" s="1">
        <f>IFERROR(__xludf.DUMMYFUNCTION("""COMPUTED_VALUE"""),55.25)</f>
        <v>55.25</v>
      </c>
      <c r="D1163" s="1">
        <f>IFERROR(__xludf.DUMMYFUNCTION("""COMPUTED_VALUE"""),54.68)</f>
        <v>54.68</v>
      </c>
      <c r="E1163" s="1">
        <f>IFERROR(__xludf.DUMMYFUNCTION("""COMPUTED_VALUE"""),55.2)</f>
        <v>55.2</v>
      </c>
      <c r="F1163" s="1">
        <f>IFERROR(__xludf.DUMMYFUNCTION("""COMPUTED_VALUE"""),4701900.0)</f>
        <v>4701900</v>
      </c>
    </row>
    <row r="1164">
      <c r="A1164" s="2">
        <f>IFERROR(__xludf.DUMMYFUNCTION("""COMPUTED_VALUE"""),38218.666666666664)</f>
        <v>38218.66667</v>
      </c>
      <c r="B1164" s="1">
        <f>IFERROR(__xludf.DUMMYFUNCTION("""COMPUTED_VALUE"""),55.0)</f>
        <v>55</v>
      </c>
      <c r="C1164" s="1">
        <f>IFERROR(__xludf.DUMMYFUNCTION("""COMPUTED_VALUE"""),55.06)</f>
        <v>55.06</v>
      </c>
      <c r="D1164" s="1">
        <f>IFERROR(__xludf.DUMMYFUNCTION("""COMPUTED_VALUE"""),54.29)</f>
        <v>54.29</v>
      </c>
      <c r="E1164" s="1">
        <f>IFERROR(__xludf.DUMMYFUNCTION("""COMPUTED_VALUE"""),54.48)</f>
        <v>54.48</v>
      </c>
      <c r="F1164" s="1">
        <f>IFERROR(__xludf.DUMMYFUNCTION("""COMPUTED_VALUE"""),4283700.0)</f>
        <v>4283700</v>
      </c>
    </row>
    <row r="1165">
      <c r="A1165" s="2">
        <f>IFERROR(__xludf.DUMMYFUNCTION("""COMPUTED_VALUE"""),38219.666666666664)</f>
        <v>38219.66667</v>
      </c>
      <c r="B1165" s="1">
        <f>IFERROR(__xludf.DUMMYFUNCTION("""COMPUTED_VALUE"""),54.38)</f>
        <v>54.38</v>
      </c>
      <c r="C1165" s="1">
        <f>IFERROR(__xludf.DUMMYFUNCTION("""COMPUTED_VALUE"""),54.89)</f>
        <v>54.89</v>
      </c>
      <c r="D1165" s="1">
        <f>IFERROR(__xludf.DUMMYFUNCTION("""COMPUTED_VALUE"""),54.09)</f>
        <v>54.09</v>
      </c>
      <c r="E1165" s="1">
        <f>IFERROR(__xludf.DUMMYFUNCTION("""COMPUTED_VALUE"""),54.85)</f>
        <v>54.85</v>
      </c>
      <c r="F1165" s="1">
        <f>IFERROR(__xludf.DUMMYFUNCTION("""COMPUTED_VALUE"""),3923700.0)</f>
        <v>3923700</v>
      </c>
    </row>
    <row r="1166">
      <c r="A1166" s="2">
        <f>IFERROR(__xludf.DUMMYFUNCTION("""COMPUTED_VALUE"""),38222.666666666664)</f>
        <v>38222.66667</v>
      </c>
      <c r="B1166" s="1">
        <f>IFERROR(__xludf.DUMMYFUNCTION("""COMPUTED_VALUE"""),54.76)</f>
        <v>54.76</v>
      </c>
      <c r="C1166" s="1">
        <f>IFERROR(__xludf.DUMMYFUNCTION("""COMPUTED_VALUE"""),55.05)</f>
        <v>55.05</v>
      </c>
      <c r="D1166" s="1">
        <f>IFERROR(__xludf.DUMMYFUNCTION("""COMPUTED_VALUE"""),54.71)</f>
        <v>54.71</v>
      </c>
      <c r="E1166" s="1">
        <f>IFERROR(__xludf.DUMMYFUNCTION("""COMPUTED_VALUE"""),54.75)</f>
        <v>54.75</v>
      </c>
      <c r="F1166" s="1">
        <f>IFERROR(__xludf.DUMMYFUNCTION("""COMPUTED_VALUE"""),2614500.0)</f>
        <v>2614500</v>
      </c>
    </row>
    <row r="1167">
      <c r="A1167" s="2">
        <f>IFERROR(__xludf.DUMMYFUNCTION("""COMPUTED_VALUE"""),38223.666666666664)</f>
        <v>38223.66667</v>
      </c>
      <c r="B1167" s="1">
        <f>IFERROR(__xludf.DUMMYFUNCTION("""COMPUTED_VALUE"""),54.7)</f>
        <v>54.7</v>
      </c>
      <c r="C1167" s="1">
        <f>IFERROR(__xludf.DUMMYFUNCTION("""COMPUTED_VALUE"""),55.02)</f>
        <v>55.02</v>
      </c>
      <c r="D1167" s="1">
        <f>IFERROR(__xludf.DUMMYFUNCTION("""COMPUTED_VALUE"""),54.66)</f>
        <v>54.66</v>
      </c>
      <c r="E1167" s="1">
        <f>IFERROR(__xludf.DUMMYFUNCTION("""COMPUTED_VALUE"""),54.95)</f>
        <v>54.95</v>
      </c>
      <c r="F1167" s="1">
        <f>IFERROR(__xludf.DUMMYFUNCTION("""COMPUTED_VALUE"""),3445900.0)</f>
        <v>3445900</v>
      </c>
    </row>
    <row r="1168">
      <c r="A1168" s="2">
        <f>IFERROR(__xludf.DUMMYFUNCTION("""COMPUTED_VALUE"""),38224.666666666664)</f>
        <v>38224.66667</v>
      </c>
      <c r="B1168" s="1">
        <f>IFERROR(__xludf.DUMMYFUNCTION("""COMPUTED_VALUE"""),54.95)</f>
        <v>54.95</v>
      </c>
      <c r="C1168" s="1">
        <f>IFERROR(__xludf.DUMMYFUNCTION("""COMPUTED_VALUE"""),55.43)</f>
        <v>55.43</v>
      </c>
      <c r="D1168" s="1">
        <f>IFERROR(__xludf.DUMMYFUNCTION("""COMPUTED_VALUE"""),54.77)</f>
        <v>54.77</v>
      </c>
      <c r="E1168" s="1">
        <f>IFERROR(__xludf.DUMMYFUNCTION("""COMPUTED_VALUE"""),55.3)</f>
        <v>55.3</v>
      </c>
      <c r="F1168" s="1">
        <f>IFERROR(__xludf.DUMMYFUNCTION("""COMPUTED_VALUE"""),3547300.0)</f>
        <v>3547300</v>
      </c>
    </row>
    <row r="1169">
      <c r="A1169" s="2">
        <f>IFERROR(__xludf.DUMMYFUNCTION("""COMPUTED_VALUE"""),38225.666666666664)</f>
        <v>38225.66667</v>
      </c>
      <c r="B1169" s="1">
        <f>IFERROR(__xludf.DUMMYFUNCTION("""COMPUTED_VALUE"""),55.5)</f>
        <v>55.5</v>
      </c>
      <c r="C1169" s="1">
        <f>IFERROR(__xludf.DUMMYFUNCTION("""COMPUTED_VALUE"""),55.8)</f>
        <v>55.8</v>
      </c>
      <c r="D1169" s="1">
        <f>IFERROR(__xludf.DUMMYFUNCTION("""COMPUTED_VALUE"""),55.33)</f>
        <v>55.33</v>
      </c>
      <c r="E1169" s="1">
        <f>IFERROR(__xludf.DUMMYFUNCTION("""COMPUTED_VALUE"""),55.7)</f>
        <v>55.7</v>
      </c>
      <c r="F1169" s="1">
        <f>IFERROR(__xludf.DUMMYFUNCTION("""COMPUTED_VALUE"""),3220300.0)</f>
        <v>3220300</v>
      </c>
    </row>
    <row r="1170">
      <c r="A1170" s="2">
        <f>IFERROR(__xludf.DUMMYFUNCTION("""COMPUTED_VALUE"""),38226.666666666664)</f>
        <v>38226.66667</v>
      </c>
      <c r="B1170" s="1">
        <f>IFERROR(__xludf.DUMMYFUNCTION("""COMPUTED_VALUE"""),55.6)</f>
        <v>55.6</v>
      </c>
      <c r="C1170" s="1">
        <f>IFERROR(__xludf.DUMMYFUNCTION("""COMPUTED_VALUE"""),56.0)</f>
        <v>56</v>
      </c>
      <c r="D1170" s="1">
        <f>IFERROR(__xludf.DUMMYFUNCTION("""COMPUTED_VALUE"""),55.5)</f>
        <v>55.5</v>
      </c>
      <c r="E1170" s="1">
        <f>IFERROR(__xludf.DUMMYFUNCTION("""COMPUTED_VALUE"""),55.98)</f>
        <v>55.98</v>
      </c>
      <c r="F1170" s="1">
        <f>IFERROR(__xludf.DUMMYFUNCTION("""COMPUTED_VALUE"""),3364800.0)</f>
        <v>3364800</v>
      </c>
    </row>
    <row r="1171">
      <c r="A1171" s="2">
        <f>IFERROR(__xludf.DUMMYFUNCTION("""COMPUTED_VALUE"""),38229.666666666664)</f>
        <v>38229.66667</v>
      </c>
      <c r="B1171" s="1">
        <f>IFERROR(__xludf.DUMMYFUNCTION("""COMPUTED_VALUE"""),55.7)</f>
        <v>55.7</v>
      </c>
      <c r="C1171" s="1">
        <f>IFERROR(__xludf.DUMMYFUNCTION("""COMPUTED_VALUE"""),56.09)</f>
        <v>56.09</v>
      </c>
      <c r="D1171" s="1">
        <f>IFERROR(__xludf.DUMMYFUNCTION("""COMPUTED_VALUE"""),55.5)</f>
        <v>55.5</v>
      </c>
      <c r="E1171" s="1">
        <f>IFERROR(__xludf.DUMMYFUNCTION("""COMPUTED_VALUE"""),55.51)</f>
        <v>55.51</v>
      </c>
      <c r="F1171" s="1">
        <f>IFERROR(__xludf.DUMMYFUNCTION("""COMPUTED_VALUE"""),2796300.0)</f>
        <v>2796300</v>
      </c>
    </row>
    <row r="1172">
      <c r="A1172" s="2">
        <f>IFERROR(__xludf.DUMMYFUNCTION("""COMPUTED_VALUE"""),38230.666666666664)</f>
        <v>38230.66667</v>
      </c>
      <c r="B1172" s="1">
        <f>IFERROR(__xludf.DUMMYFUNCTION("""COMPUTED_VALUE"""),55.5)</f>
        <v>55.5</v>
      </c>
      <c r="C1172" s="1">
        <f>IFERROR(__xludf.DUMMYFUNCTION("""COMPUTED_VALUE"""),55.97)</f>
        <v>55.97</v>
      </c>
      <c r="D1172" s="1">
        <f>IFERROR(__xludf.DUMMYFUNCTION("""COMPUTED_VALUE"""),55.22)</f>
        <v>55.22</v>
      </c>
      <c r="E1172" s="1">
        <f>IFERROR(__xludf.DUMMYFUNCTION("""COMPUTED_VALUE"""),55.97)</f>
        <v>55.97</v>
      </c>
      <c r="F1172" s="1">
        <f>IFERROR(__xludf.DUMMYFUNCTION("""COMPUTED_VALUE"""),3277900.0)</f>
        <v>3277900</v>
      </c>
    </row>
    <row r="1173">
      <c r="A1173" s="2">
        <f>IFERROR(__xludf.DUMMYFUNCTION("""COMPUTED_VALUE"""),38231.666666666664)</f>
        <v>38231.66667</v>
      </c>
      <c r="B1173" s="1">
        <f>IFERROR(__xludf.DUMMYFUNCTION("""COMPUTED_VALUE"""),55.97)</f>
        <v>55.97</v>
      </c>
      <c r="C1173" s="1">
        <f>IFERROR(__xludf.DUMMYFUNCTION("""COMPUTED_VALUE"""),56.21)</f>
        <v>56.21</v>
      </c>
      <c r="D1173" s="1">
        <f>IFERROR(__xludf.DUMMYFUNCTION("""COMPUTED_VALUE"""),55.49)</f>
        <v>55.49</v>
      </c>
      <c r="E1173" s="1">
        <f>IFERROR(__xludf.DUMMYFUNCTION("""COMPUTED_VALUE"""),56.2)</f>
        <v>56.2</v>
      </c>
      <c r="F1173" s="1">
        <f>IFERROR(__xludf.DUMMYFUNCTION("""COMPUTED_VALUE"""),3833200.0)</f>
        <v>3833200</v>
      </c>
    </row>
    <row r="1174">
      <c r="A1174" s="2">
        <f>IFERROR(__xludf.DUMMYFUNCTION("""COMPUTED_VALUE"""),38232.666666666664)</f>
        <v>38232.66667</v>
      </c>
      <c r="B1174" s="1">
        <f>IFERROR(__xludf.DUMMYFUNCTION("""COMPUTED_VALUE"""),56.17)</f>
        <v>56.17</v>
      </c>
      <c r="C1174" s="1">
        <f>IFERROR(__xludf.DUMMYFUNCTION("""COMPUTED_VALUE"""),56.54)</f>
        <v>56.54</v>
      </c>
      <c r="D1174" s="1">
        <f>IFERROR(__xludf.DUMMYFUNCTION("""COMPUTED_VALUE"""),55.89)</f>
        <v>55.89</v>
      </c>
      <c r="E1174" s="1">
        <f>IFERROR(__xludf.DUMMYFUNCTION("""COMPUTED_VALUE"""),56.49)</f>
        <v>56.49</v>
      </c>
      <c r="F1174" s="1">
        <f>IFERROR(__xludf.DUMMYFUNCTION("""COMPUTED_VALUE"""),2796600.0)</f>
        <v>2796600</v>
      </c>
    </row>
    <row r="1175">
      <c r="A1175" s="2">
        <f>IFERROR(__xludf.DUMMYFUNCTION("""COMPUTED_VALUE"""),38233.666666666664)</f>
        <v>38233.66667</v>
      </c>
      <c r="B1175" s="1">
        <f>IFERROR(__xludf.DUMMYFUNCTION("""COMPUTED_VALUE"""),56.6)</f>
        <v>56.6</v>
      </c>
      <c r="C1175" s="1">
        <f>IFERROR(__xludf.DUMMYFUNCTION("""COMPUTED_VALUE"""),56.9)</f>
        <v>56.9</v>
      </c>
      <c r="D1175" s="1">
        <f>IFERROR(__xludf.DUMMYFUNCTION("""COMPUTED_VALUE"""),56.49)</f>
        <v>56.49</v>
      </c>
      <c r="E1175" s="1">
        <f>IFERROR(__xludf.DUMMYFUNCTION("""COMPUTED_VALUE"""),56.55)</f>
        <v>56.55</v>
      </c>
      <c r="F1175" s="1">
        <f>IFERROR(__xludf.DUMMYFUNCTION("""COMPUTED_VALUE"""),3580600.0)</f>
        <v>3580600</v>
      </c>
    </row>
    <row r="1176">
      <c r="A1176" s="2">
        <f>IFERROR(__xludf.DUMMYFUNCTION("""COMPUTED_VALUE"""),38237.666666666664)</f>
        <v>38237.66667</v>
      </c>
      <c r="B1176" s="1">
        <f>IFERROR(__xludf.DUMMYFUNCTION("""COMPUTED_VALUE"""),56.35)</f>
        <v>56.35</v>
      </c>
      <c r="C1176" s="1">
        <f>IFERROR(__xludf.DUMMYFUNCTION("""COMPUTED_VALUE"""),56.9)</f>
        <v>56.9</v>
      </c>
      <c r="D1176" s="1">
        <f>IFERROR(__xludf.DUMMYFUNCTION("""COMPUTED_VALUE"""),56.31)</f>
        <v>56.31</v>
      </c>
      <c r="E1176" s="1">
        <f>IFERROR(__xludf.DUMMYFUNCTION("""COMPUTED_VALUE"""),56.65)</f>
        <v>56.65</v>
      </c>
      <c r="F1176" s="1">
        <f>IFERROR(__xludf.DUMMYFUNCTION("""COMPUTED_VALUE"""),3656500.0)</f>
        <v>3656500</v>
      </c>
    </row>
    <row r="1177">
      <c r="A1177" s="2">
        <f>IFERROR(__xludf.DUMMYFUNCTION("""COMPUTED_VALUE"""),38238.666666666664)</f>
        <v>38238.66667</v>
      </c>
      <c r="B1177" s="1">
        <f>IFERROR(__xludf.DUMMYFUNCTION("""COMPUTED_VALUE"""),56.55)</f>
        <v>56.55</v>
      </c>
      <c r="C1177" s="1">
        <f>IFERROR(__xludf.DUMMYFUNCTION("""COMPUTED_VALUE"""),56.9)</f>
        <v>56.9</v>
      </c>
      <c r="D1177" s="1">
        <f>IFERROR(__xludf.DUMMYFUNCTION("""COMPUTED_VALUE"""),56.2)</f>
        <v>56.2</v>
      </c>
      <c r="E1177" s="1">
        <f>IFERROR(__xludf.DUMMYFUNCTION("""COMPUTED_VALUE"""),56.73)</f>
        <v>56.73</v>
      </c>
      <c r="F1177" s="1">
        <f>IFERROR(__xludf.DUMMYFUNCTION("""COMPUTED_VALUE"""),4507500.0)</f>
        <v>4507500</v>
      </c>
    </row>
    <row r="1178">
      <c r="A1178" s="2">
        <f>IFERROR(__xludf.DUMMYFUNCTION("""COMPUTED_VALUE"""),38239.666666666664)</f>
        <v>38239.66667</v>
      </c>
      <c r="B1178" s="1">
        <f>IFERROR(__xludf.DUMMYFUNCTION("""COMPUTED_VALUE"""),56.61)</f>
        <v>56.61</v>
      </c>
      <c r="C1178" s="1">
        <f>IFERROR(__xludf.DUMMYFUNCTION("""COMPUTED_VALUE"""),56.67)</f>
        <v>56.67</v>
      </c>
      <c r="D1178" s="1">
        <f>IFERROR(__xludf.DUMMYFUNCTION("""COMPUTED_VALUE"""),55.93)</f>
        <v>55.93</v>
      </c>
      <c r="E1178" s="1">
        <f>IFERROR(__xludf.DUMMYFUNCTION("""COMPUTED_VALUE"""),56.09)</f>
        <v>56.09</v>
      </c>
      <c r="F1178" s="1">
        <f>IFERROR(__xludf.DUMMYFUNCTION("""COMPUTED_VALUE"""),5241600.0)</f>
        <v>5241600</v>
      </c>
    </row>
    <row r="1179">
      <c r="A1179" s="2">
        <f>IFERROR(__xludf.DUMMYFUNCTION("""COMPUTED_VALUE"""),38240.666666666664)</f>
        <v>38240.66667</v>
      </c>
      <c r="B1179" s="1">
        <f>IFERROR(__xludf.DUMMYFUNCTION("""COMPUTED_VALUE"""),56.05)</f>
        <v>56.05</v>
      </c>
      <c r="C1179" s="1">
        <f>IFERROR(__xludf.DUMMYFUNCTION("""COMPUTED_VALUE"""),56.22)</f>
        <v>56.22</v>
      </c>
      <c r="D1179" s="1">
        <f>IFERROR(__xludf.DUMMYFUNCTION("""COMPUTED_VALUE"""),55.62)</f>
        <v>55.62</v>
      </c>
      <c r="E1179" s="1">
        <f>IFERROR(__xludf.DUMMYFUNCTION("""COMPUTED_VALUE"""),56.18)</f>
        <v>56.18</v>
      </c>
      <c r="F1179" s="1">
        <f>IFERROR(__xludf.DUMMYFUNCTION("""COMPUTED_VALUE"""),3656200.0)</f>
        <v>3656200</v>
      </c>
    </row>
    <row r="1180">
      <c r="A1180" s="2">
        <f>IFERROR(__xludf.DUMMYFUNCTION("""COMPUTED_VALUE"""),38243.666666666664)</f>
        <v>38243.66667</v>
      </c>
      <c r="B1180" s="1">
        <f>IFERROR(__xludf.DUMMYFUNCTION("""COMPUTED_VALUE"""),56.19)</f>
        <v>56.19</v>
      </c>
      <c r="C1180" s="1">
        <f>IFERROR(__xludf.DUMMYFUNCTION("""COMPUTED_VALUE"""),56.34)</f>
        <v>56.34</v>
      </c>
      <c r="D1180" s="1">
        <f>IFERROR(__xludf.DUMMYFUNCTION("""COMPUTED_VALUE"""),55.7)</f>
        <v>55.7</v>
      </c>
      <c r="E1180" s="1">
        <f>IFERROR(__xludf.DUMMYFUNCTION("""COMPUTED_VALUE"""),56.27)</f>
        <v>56.27</v>
      </c>
      <c r="F1180" s="1">
        <f>IFERROR(__xludf.DUMMYFUNCTION("""COMPUTED_VALUE"""),4171500.0)</f>
        <v>4171500</v>
      </c>
    </row>
    <row r="1181">
      <c r="A1181" s="2">
        <f>IFERROR(__xludf.DUMMYFUNCTION("""COMPUTED_VALUE"""),38244.666666666664)</f>
        <v>38244.66667</v>
      </c>
      <c r="B1181" s="1">
        <f>IFERROR(__xludf.DUMMYFUNCTION("""COMPUTED_VALUE"""),56.48)</f>
        <v>56.48</v>
      </c>
      <c r="C1181" s="1">
        <f>IFERROR(__xludf.DUMMYFUNCTION("""COMPUTED_VALUE"""),56.86)</f>
        <v>56.86</v>
      </c>
      <c r="D1181" s="1">
        <f>IFERROR(__xludf.DUMMYFUNCTION("""COMPUTED_VALUE"""),56.21)</f>
        <v>56.21</v>
      </c>
      <c r="E1181" s="1">
        <f>IFERROR(__xludf.DUMMYFUNCTION("""COMPUTED_VALUE"""),56.65)</f>
        <v>56.65</v>
      </c>
      <c r="F1181" s="1">
        <f>IFERROR(__xludf.DUMMYFUNCTION("""COMPUTED_VALUE"""),3989700.0)</f>
        <v>3989700</v>
      </c>
    </row>
    <row r="1182">
      <c r="A1182" s="2">
        <f>IFERROR(__xludf.DUMMYFUNCTION("""COMPUTED_VALUE"""),38245.666666666664)</f>
        <v>38245.66667</v>
      </c>
      <c r="B1182" s="1">
        <f>IFERROR(__xludf.DUMMYFUNCTION("""COMPUTED_VALUE"""),56.55)</f>
        <v>56.55</v>
      </c>
      <c r="C1182" s="1">
        <f>IFERROR(__xludf.DUMMYFUNCTION("""COMPUTED_VALUE"""),56.73)</f>
        <v>56.73</v>
      </c>
      <c r="D1182" s="1">
        <f>IFERROR(__xludf.DUMMYFUNCTION("""COMPUTED_VALUE"""),56.3)</f>
        <v>56.3</v>
      </c>
      <c r="E1182" s="1">
        <f>IFERROR(__xludf.DUMMYFUNCTION("""COMPUTED_VALUE"""),56.3)</f>
        <v>56.3</v>
      </c>
      <c r="F1182" s="1">
        <f>IFERROR(__xludf.DUMMYFUNCTION("""COMPUTED_VALUE"""),3681800.0)</f>
        <v>3681800</v>
      </c>
    </row>
    <row r="1183">
      <c r="A1183" s="2">
        <f>IFERROR(__xludf.DUMMYFUNCTION("""COMPUTED_VALUE"""),38246.666666666664)</f>
        <v>38246.66667</v>
      </c>
      <c r="B1183" s="1">
        <f>IFERROR(__xludf.DUMMYFUNCTION("""COMPUTED_VALUE"""),55.85)</f>
        <v>55.85</v>
      </c>
      <c r="C1183" s="1">
        <f>IFERROR(__xludf.DUMMYFUNCTION("""COMPUTED_VALUE"""),56.04)</f>
        <v>56.04</v>
      </c>
      <c r="D1183" s="1">
        <f>IFERROR(__xludf.DUMMYFUNCTION("""COMPUTED_VALUE"""),55.68)</f>
        <v>55.68</v>
      </c>
      <c r="E1183" s="1">
        <f>IFERROR(__xludf.DUMMYFUNCTION("""COMPUTED_VALUE"""),55.91)</f>
        <v>55.91</v>
      </c>
      <c r="F1183" s="1">
        <f>IFERROR(__xludf.DUMMYFUNCTION("""COMPUTED_VALUE"""),3769400.0)</f>
        <v>3769400</v>
      </c>
    </row>
    <row r="1184">
      <c r="A1184" s="2">
        <f>IFERROR(__xludf.DUMMYFUNCTION("""COMPUTED_VALUE"""),38247.666666666664)</f>
        <v>38247.66667</v>
      </c>
      <c r="B1184" s="1">
        <f>IFERROR(__xludf.DUMMYFUNCTION("""COMPUTED_VALUE"""),56.19)</f>
        <v>56.19</v>
      </c>
      <c r="C1184" s="1">
        <f>IFERROR(__xludf.DUMMYFUNCTION("""COMPUTED_VALUE"""),56.95)</f>
        <v>56.95</v>
      </c>
      <c r="D1184" s="1">
        <f>IFERROR(__xludf.DUMMYFUNCTION("""COMPUTED_VALUE"""),55.86)</f>
        <v>55.86</v>
      </c>
      <c r="E1184" s="1">
        <f>IFERROR(__xludf.DUMMYFUNCTION("""COMPUTED_VALUE"""),56.26)</f>
        <v>56.26</v>
      </c>
      <c r="F1184" s="1">
        <f>IFERROR(__xludf.DUMMYFUNCTION("""COMPUTED_VALUE"""),8065600.0)</f>
        <v>8065600</v>
      </c>
    </row>
    <row r="1185">
      <c r="A1185" s="2">
        <f>IFERROR(__xludf.DUMMYFUNCTION("""COMPUTED_VALUE"""),38250.666666666664)</f>
        <v>38250.66667</v>
      </c>
      <c r="B1185" s="1">
        <f>IFERROR(__xludf.DUMMYFUNCTION("""COMPUTED_VALUE"""),55.71)</f>
        <v>55.71</v>
      </c>
      <c r="C1185" s="1">
        <f>IFERROR(__xludf.DUMMYFUNCTION("""COMPUTED_VALUE"""),55.72)</f>
        <v>55.72</v>
      </c>
      <c r="D1185" s="1">
        <f>IFERROR(__xludf.DUMMYFUNCTION("""COMPUTED_VALUE"""),54.24)</f>
        <v>54.24</v>
      </c>
      <c r="E1185" s="1">
        <f>IFERROR(__xludf.DUMMYFUNCTION("""COMPUTED_VALUE"""),54.38)</f>
        <v>54.38</v>
      </c>
      <c r="F1185" s="1">
        <f>IFERROR(__xludf.DUMMYFUNCTION("""COMPUTED_VALUE"""),1.08148E7)</f>
        <v>10814800</v>
      </c>
    </row>
    <row r="1186">
      <c r="A1186" s="2">
        <f>IFERROR(__xludf.DUMMYFUNCTION("""COMPUTED_VALUE"""),38251.666666666664)</f>
        <v>38251.66667</v>
      </c>
      <c r="B1186" s="1">
        <f>IFERROR(__xludf.DUMMYFUNCTION("""COMPUTED_VALUE"""),54.35)</f>
        <v>54.35</v>
      </c>
      <c r="C1186" s="1">
        <f>IFERROR(__xludf.DUMMYFUNCTION("""COMPUTED_VALUE"""),54.91)</f>
        <v>54.91</v>
      </c>
      <c r="D1186" s="1">
        <f>IFERROR(__xludf.DUMMYFUNCTION("""COMPUTED_VALUE"""),53.82)</f>
        <v>53.82</v>
      </c>
      <c r="E1186" s="1">
        <f>IFERROR(__xludf.DUMMYFUNCTION("""COMPUTED_VALUE"""),54.88)</f>
        <v>54.88</v>
      </c>
      <c r="F1186" s="1">
        <f>IFERROR(__xludf.DUMMYFUNCTION("""COMPUTED_VALUE"""),7669000.0)</f>
        <v>7669000</v>
      </c>
    </row>
    <row r="1187">
      <c r="A1187" s="2">
        <f>IFERROR(__xludf.DUMMYFUNCTION("""COMPUTED_VALUE"""),38252.666666666664)</f>
        <v>38252.66667</v>
      </c>
      <c r="B1187" s="1">
        <f>IFERROR(__xludf.DUMMYFUNCTION("""COMPUTED_VALUE"""),54.3)</f>
        <v>54.3</v>
      </c>
      <c r="C1187" s="1">
        <f>IFERROR(__xludf.DUMMYFUNCTION("""COMPUTED_VALUE"""),54.65)</f>
        <v>54.65</v>
      </c>
      <c r="D1187" s="1">
        <f>IFERROR(__xludf.DUMMYFUNCTION("""COMPUTED_VALUE"""),54.07)</f>
        <v>54.07</v>
      </c>
      <c r="E1187" s="1">
        <f>IFERROR(__xludf.DUMMYFUNCTION("""COMPUTED_VALUE"""),54.3)</f>
        <v>54.3</v>
      </c>
      <c r="F1187" s="1">
        <f>IFERROR(__xludf.DUMMYFUNCTION("""COMPUTED_VALUE"""),5887600.0)</f>
        <v>5887600</v>
      </c>
    </row>
    <row r="1188">
      <c r="A1188" s="2">
        <f>IFERROR(__xludf.DUMMYFUNCTION("""COMPUTED_VALUE"""),38253.666666666664)</f>
        <v>38253.66667</v>
      </c>
      <c r="B1188" s="1">
        <f>IFERROR(__xludf.DUMMYFUNCTION("""COMPUTED_VALUE"""),54.29)</f>
        <v>54.29</v>
      </c>
      <c r="C1188" s="1">
        <f>IFERROR(__xludf.DUMMYFUNCTION("""COMPUTED_VALUE"""),54.52)</f>
        <v>54.52</v>
      </c>
      <c r="D1188" s="1">
        <f>IFERROR(__xludf.DUMMYFUNCTION("""COMPUTED_VALUE"""),54.15)</f>
        <v>54.15</v>
      </c>
      <c r="E1188" s="1">
        <f>IFERROR(__xludf.DUMMYFUNCTION("""COMPUTED_VALUE"""),54.28)</f>
        <v>54.28</v>
      </c>
      <c r="F1188" s="1">
        <f>IFERROR(__xludf.DUMMYFUNCTION("""COMPUTED_VALUE"""),4792900.0)</f>
        <v>4792900</v>
      </c>
    </row>
    <row r="1189">
      <c r="A1189" s="2">
        <f>IFERROR(__xludf.DUMMYFUNCTION("""COMPUTED_VALUE"""),38254.666666666664)</f>
        <v>38254.66667</v>
      </c>
      <c r="B1189" s="1">
        <f>IFERROR(__xludf.DUMMYFUNCTION("""COMPUTED_VALUE"""),53.96)</f>
        <v>53.96</v>
      </c>
      <c r="C1189" s="1">
        <f>IFERROR(__xludf.DUMMYFUNCTION("""COMPUTED_VALUE"""),54.4)</f>
        <v>54.4</v>
      </c>
      <c r="D1189" s="1">
        <f>IFERROR(__xludf.DUMMYFUNCTION("""COMPUTED_VALUE"""),53.83)</f>
        <v>53.83</v>
      </c>
      <c r="E1189" s="1">
        <f>IFERROR(__xludf.DUMMYFUNCTION("""COMPUTED_VALUE"""),54.08)</f>
        <v>54.08</v>
      </c>
      <c r="F1189" s="1">
        <f>IFERROR(__xludf.DUMMYFUNCTION("""COMPUTED_VALUE"""),5703900.0)</f>
        <v>5703900</v>
      </c>
    </row>
    <row r="1190">
      <c r="A1190" s="2">
        <f>IFERROR(__xludf.DUMMYFUNCTION("""COMPUTED_VALUE"""),38257.666666666664)</f>
        <v>38257.66667</v>
      </c>
      <c r="B1190" s="1">
        <f>IFERROR(__xludf.DUMMYFUNCTION("""COMPUTED_VALUE"""),53.92)</f>
        <v>53.92</v>
      </c>
      <c r="C1190" s="1">
        <f>IFERROR(__xludf.DUMMYFUNCTION("""COMPUTED_VALUE"""),54.15)</f>
        <v>54.15</v>
      </c>
      <c r="D1190" s="1">
        <f>IFERROR(__xludf.DUMMYFUNCTION("""COMPUTED_VALUE"""),53.6)</f>
        <v>53.6</v>
      </c>
      <c r="E1190" s="1">
        <f>IFERROR(__xludf.DUMMYFUNCTION("""COMPUTED_VALUE"""),53.63)</f>
        <v>53.63</v>
      </c>
      <c r="F1190" s="1">
        <f>IFERROR(__xludf.DUMMYFUNCTION("""COMPUTED_VALUE"""),5009600.0)</f>
        <v>5009600</v>
      </c>
    </row>
    <row r="1191">
      <c r="A1191" s="2">
        <f>IFERROR(__xludf.DUMMYFUNCTION("""COMPUTED_VALUE"""),38258.666666666664)</f>
        <v>38258.66667</v>
      </c>
      <c r="B1191" s="1">
        <f>IFERROR(__xludf.DUMMYFUNCTION("""COMPUTED_VALUE"""),53.75)</f>
        <v>53.75</v>
      </c>
      <c r="C1191" s="1">
        <f>IFERROR(__xludf.DUMMYFUNCTION("""COMPUTED_VALUE"""),53.82)</f>
        <v>53.82</v>
      </c>
      <c r="D1191" s="1">
        <f>IFERROR(__xludf.DUMMYFUNCTION("""COMPUTED_VALUE"""),53.27)</f>
        <v>53.27</v>
      </c>
      <c r="E1191" s="1">
        <f>IFERROR(__xludf.DUMMYFUNCTION("""COMPUTED_VALUE"""),53.77)</f>
        <v>53.77</v>
      </c>
      <c r="F1191" s="1">
        <f>IFERROR(__xludf.DUMMYFUNCTION("""COMPUTED_VALUE"""),4893300.0)</f>
        <v>4893300</v>
      </c>
    </row>
    <row r="1192">
      <c r="A1192" s="2">
        <f>IFERROR(__xludf.DUMMYFUNCTION("""COMPUTED_VALUE"""),38259.666666666664)</f>
        <v>38259.66667</v>
      </c>
      <c r="B1192" s="1">
        <f>IFERROR(__xludf.DUMMYFUNCTION("""COMPUTED_VALUE"""),53.55)</f>
        <v>53.55</v>
      </c>
      <c r="C1192" s="1">
        <f>IFERROR(__xludf.DUMMYFUNCTION("""COMPUTED_VALUE"""),54.48)</f>
        <v>54.48</v>
      </c>
      <c r="D1192" s="1">
        <f>IFERROR(__xludf.DUMMYFUNCTION("""COMPUTED_VALUE"""),53.37)</f>
        <v>53.37</v>
      </c>
      <c r="E1192" s="1">
        <f>IFERROR(__xludf.DUMMYFUNCTION("""COMPUTED_VALUE"""),54.46)</f>
        <v>54.46</v>
      </c>
      <c r="F1192" s="1">
        <f>IFERROR(__xludf.DUMMYFUNCTION("""COMPUTED_VALUE"""),7213600.0)</f>
        <v>7213600</v>
      </c>
    </row>
    <row r="1193">
      <c r="A1193" s="2">
        <f>IFERROR(__xludf.DUMMYFUNCTION("""COMPUTED_VALUE"""),38260.666666666664)</f>
        <v>38260.66667</v>
      </c>
      <c r="B1193" s="1">
        <f>IFERROR(__xludf.DUMMYFUNCTION("""COMPUTED_VALUE"""),54.08)</f>
        <v>54.08</v>
      </c>
      <c r="C1193" s="1">
        <f>IFERROR(__xludf.DUMMYFUNCTION("""COMPUTED_VALUE"""),54.72)</f>
        <v>54.72</v>
      </c>
      <c r="D1193" s="1">
        <f>IFERROR(__xludf.DUMMYFUNCTION("""COMPUTED_VALUE"""),53.88)</f>
        <v>53.88</v>
      </c>
      <c r="E1193" s="1">
        <f>IFERROR(__xludf.DUMMYFUNCTION("""COMPUTED_VALUE"""),54.12)</f>
        <v>54.12</v>
      </c>
      <c r="F1193" s="1">
        <f>IFERROR(__xludf.DUMMYFUNCTION("""COMPUTED_VALUE"""),6611400.0)</f>
        <v>6611400</v>
      </c>
    </row>
    <row r="1194">
      <c r="A1194" s="2">
        <f>IFERROR(__xludf.DUMMYFUNCTION("""COMPUTED_VALUE"""),38261.666666666664)</f>
        <v>38261.66667</v>
      </c>
      <c r="B1194" s="1">
        <f>IFERROR(__xludf.DUMMYFUNCTION("""COMPUTED_VALUE"""),54.35)</f>
        <v>54.35</v>
      </c>
      <c r="C1194" s="1">
        <f>IFERROR(__xludf.DUMMYFUNCTION("""COMPUTED_VALUE"""),54.67)</f>
        <v>54.67</v>
      </c>
      <c r="D1194" s="1">
        <f>IFERROR(__xludf.DUMMYFUNCTION("""COMPUTED_VALUE"""),54.15)</f>
        <v>54.15</v>
      </c>
      <c r="E1194" s="1">
        <f>IFERROR(__xludf.DUMMYFUNCTION("""COMPUTED_VALUE"""),54.66)</f>
        <v>54.66</v>
      </c>
      <c r="F1194" s="1">
        <f>IFERROR(__xludf.DUMMYFUNCTION("""COMPUTED_VALUE"""),4848200.0)</f>
        <v>4848200</v>
      </c>
    </row>
    <row r="1195">
      <c r="A1195" s="2">
        <f>IFERROR(__xludf.DUMMYFUNCTION("""COMPUTED_VALUE"""),38264.666666666664)</f>
        <v>38264.66667</v>
      </c>
      <c r="B1195" s="1">
        <f>IFERROR(__xludf.DUMMYFUNCTION("""COMPUTED_VALUE"""),54.74)</f>
        <v>54.74</v>
      </c>
      <c r="C1195" s="1">
        <f>IFERROR(__xludf.DUMMYFUNCTION("""COMPUTED_VALUE"""),54.9)</f>
        <v>54.9</v>
      </c>
      <c r="D1195" s="1">
        <f>IFERROR(__xludf.DUMMYFUNCTION("""COMPUTED_VALUE"""),54.3)</f>
        <v>54.3</v>
      </c>
      <c r="E1195" s="1">
        <f>IFERROR(__xludf.DUMMYFUNCTION("""COMPUTED_VALUE"""),54.35)</f>
        <v>54.35</v>
      </c>
      <c r="F1195" s="1">
        <f>IFERROR(__xludf.DUMMYFUNCTION("""COMPUTED_VALUE"""),5697400.0)</f>
        <v>5697400</v>
      </c>
    </row>
    <row r="1196">
      <c r="A1196" s="2">
        <f>IFERROR(__xludf.DUMMYFUNCTION("""COMPUTED_VALUE"""),38265.666666666664)</f>
        <v>38265.66667</v>
      </c>
      <c r="B1196" s="1">
        <f>IFERROR(__xludf.DUMMYFUNCTION("""COMPUTED_VALUE"""),54.2)</f>
        <v>54.2</v>
      </c>
      <c r="C1196" s="1">
        <f>IFERROR(__xludf.DUMMYFUNCTION("""COMPUTED_VALUE"""),54.36)</f>
        <v>54.36</v>
      </c>
      <c r="D1196" s="1">
        <f>IFERROR(__xludf.DUMMYFUNCTION("""COMPUTED_VALUE"""),54.02)</f>
        <v>54.02</v>
      </c>
      <c r="E1196" s="1">
        <f>IFERROR(__xludf.DUMMYFUNCTION("""COMPUTED_VALUE"""),54.26)</f>
        <v>54.26</v>
      </c>
      <c r="F1196" s="1">
        <f>IFERROR(__xludf.DUMMYFUNCTION("""COMPUTED_VALUE"""),3871100.0)</f>
        <v>3871100</v>
      </c>
    </row>
    <row r="1197">
      <c r="A1197" s="2">
        <f>IFERROR(__xludf.DUMMYFUNCTION("""COMPUTED_VALUE"""),38266.666666666664)</f>
        <v>38266.66667</v>
      </c>
      <c r="B1197" s="1">
        <f>IFERROR(__xludf.DUMMYFUNCTION("""COMPUTED_VALUE"""),54.26)</f>
        <v>54.26</v>
      </c>
      <c r="C1197" s="1">
        <f>IFERROR(__xludf.DUMMYFUNCTION("""COMPUTED_VALUE"""),54.37)</f>
        <v>54.37</v>
      </c>
      <c r="D1197" s="1">
        <f>IFERROR(__xludf.DUMMYFUNCTION("""COMPUTED_VALUE"""),54.0)</f>
        <v>54</v>
      </c>
      <c r="E1197" s="1">
        <f>IFERROR(__xludf.DUMMYFUNCTION("""COMPUTED_VALUE"""),54.3)</f>
        <v>54.3</v>
      </c>
      <c r="F1197" s="1">
        <f>IFERROR(__xludf.DUMMYFUNCTION("""COMPUTED_VALUE"""),4372300.0)</f>
        <v>4372300</v>
      </c>
    </row>
    <row r="1198">
      <c r="A1198" s="2">
        <f>IFERROR(__xludf.DUMMYFUNCTION("""COMPUTED_VALUE"""),38267.666666666664)</f>
        <v>38267.66667</v>
      </c>
      <c r="B1198" s="1">
        <f>IFERROR(__xludf.DUMMYFUNCTION("""COMPUTED_VALUE"""),54.35)</f>
        <v>54.35</v>
      </c>
      <c r="C1198" s="1">
        <f>IFERROR(__xludf.DUMMYFUNCTION("""COMPUTED_VALUE"""),54.4)</f>
        <v>54.4</v>
      </c>
      <c r="D1198" s="1">
        <f>IFERROR(__xludf.DUMMYFUNCTION("""COMPUTED_VALUE"""),53.6)</f>
        <v>53.6</v>
      </c>
      <c r="E1198" s="1">
        <f>IFERROR(__xludf.DUMMYFUNCTION("""COMPUTED_VALUE"""),53.64)</f>
        <v>53.64</v>
      </c>
      <c r="F1198" s="1">
        <f>IFERROR(__xludf.DUMMYFUNCTION("""COMPUTED_VALUE"""),3844800.0)</f>
        <v>3844800</v>
      </c>
    </row>
    <row r="1199">
      <c r="A1199" s="2">
        <f>IFERROR(__xludf.DUMMYFUNCTION("""COMPUTED_VALUE"""),38268.666666666664)</f>
        <v>38268.66667</v>
      </c>
      <c r="B1199" s="1">
        <f>IFERROR(__xludf.DUMMYFUNCTION("""COMPUTED_VALUE"""),53.42)</f>
        <v>53.42</v>
      </c>
      <c r="C1199" s="1">
        <f>IFERROR(__xludf.DUMMYFUNCTION("""COMPUTED_VALUE"""),54.02)</f>
        <v>54.02</v>
      </c>
      <c r="D1199" s="1">
        <f>IFERROR(__xludf.DUMMYFUNCTION("""COMPUTED_VALUE"""),53.22)</f>
        <v>53.22</v>
      </c>
      <c r="E1199" s="1">
        <f>IFERROR(__xludf.DUMMYFUNCTION("""COMPUTED_VALUE"""),53.45)</f>
        <v>53.45</v>
      </c>
      <c r="F1199" s="1">
        <f>IFERROR(__xludf.DUMMYFUNCTION("""COMPUTED_VALUE"""),5804700.0)</f>
        <v>5804700</v>
      </c>
    </row>
    <row r="1200">
      <c r="A1200" s="2">
        <f>IFERROR(__xludf.DUMMYFUNCTION("""COMPUTED_VALUE"""),38271.666666666664)</f>
        <v>38271.66667</v>
      </c>
      <c r="B1200" s="1">
        <f>IFERROR(__xludf.DUMMYFUNCTION("""COMPUTED_VALUE"""),53.64)</f>
        <v>53.64</v>
      </c>
      <c r="C1200" s="1">
        <f>IFERROR(__xludf.DUMMYFUNCTION("""COMPUTED_VALUE"""),53.9)</f>
        <v>53.9</v>
      </c>
      <c r="D1200" s="1">
        <f>IFERROR(__xludf.DUMMYFUNCTION("""COMPUTED_VALUE"""),53.1)</f>
        <v>53.1</v>
      </c>
      <c r="E1200" s="1">
        <f>IFERROR(__xludf.DUMMYFUNCTION("""COMPUTED_VALUE"""),53.67)</f>
        <v>53.67</v>
      </c>
      <c r="F1200" s="1">
        <f>IFERROR(__xludf.DUMMYFUNCTION("""COMPUTED_VALUE"""),3895100.0)</f>
        <v>3895100</v>
      </c>
    </row>
    <row r="1201">
      <c r="A1201" s="2">
        <f>IFERROR(__xludf.DUMMYFUNCTION("""COMPUTED_VALUE"""),38272.666666666664)</f>
        <v>38272.66667</v>
      </c>
      <c r="B1201" s="1">
        <f>IFERROR(__xludf.DUMMYFUNCTION("""COMPUTED_VALUE"""),53.4)</f>
        <v>53.4</v>
      </c>
      <c r="C1201" s="1">
        <f>IFERROR(__xludf.DUMMYFUNCTION("""COMPUTED_VALUE"""),53.98)</f>
        <v>53.98</v>
      </c>
      <c r="D1201" s="1">
        <f>IFERROR(__xludf.DUMMYFUNCTION("""COMPUTED_VALUE"""),53.4)</f>
        <v>53.4</v>
      </c>
      <c r="E1201" s="1">
        <f>IFERROR(__xludf.DUMMYFUNCTION("""COMPUTED_VALUE"""),53.53)</f>
        <v>53.53</v>
      </c>
      <c r="F1201" s="1">
        <f>IFERROR(__xludf.DUMMYFUNCTION("""COMPUTED_VALUE"""),4792600.0)</f>
        <v>4792600</v>
      </c>
    </row>
    <row r="1202">
      <c r="A1202" s="2">
        <f>IFERROR(__xludf.DUMMYFUNCTION("""COMPUTED_VALUE"""),38273.666666666664)</f>
        <v>38273.66667</v>
      </c>
      <c r="B1202" s="1">
        <f>IFERROR(__xludf.DUMMYFUNCTION("""COMPUTED_VALUE"""),53.5)</f>
        <v>53.5</v>
      </c>
      <c r="C1202" s="1">
        <f>IFERROR(__xludf.DUMMYFUNCTION("""COMPUTED_VALUE"""),53.54)</f>
        <v>53.54</v>
      </c>
      <c r="D1202" s="1">
        <f>IFERROR(__xludf.DUMMYFUNCTION("""COMPUTED_VALUE"""),52.77)</f>
        <v>52.77</v>
      </c>
      <c r="E1202" s="1">
        <f>IFERROR(__xludf.DUMMYFUNCTION("""COMPUTED_VALUE"""),53.02)</f>
        <v>53.02</v>
      </c>
      <c r="F1202" s="1">
        <f>IFERROR(__xludf.DUMMYFUNCTION("""COMPUTED_VALUE"""),4949800.0)</f>
        <v>4949800</v>
      </c>
    </row>
    <row r="1203">
      <c r="A1203" s="2">
        <f>IFERROR(__xludf.DUMMYFUNCTION("""COMPUTED_VALUE"""),38274.666666666664)</f>
        <v>38274.66667</v>
      </c>
      <c r="B1203" s="1">
        <f>IFERROR(__xludf.DUMMYFUNCTION("""COMPUTED_VALUE"""),52.85)</f>
        <v>52.85</v>
      </c>
      <c r="C1203" s="1">
        <f>IFERROR(__xludf.DUMMYFUNCTION("""COMPUTED_VALUE"""),53.22)</f>
        <v>53.22</v>
      </c>
      <c r="D1203" s="1">
        <f>IFERROR(__xludf.DUMMYFUNCTION("""COMPUTED_VALUE"""),52.84)</f>
        <v>52.84</v>
      </c>
      <c r="E1203" s="1">
        <f>IFERROR(__xludf.DUMMYFUNCTION("""COMPUTED_VALUE"""),52.97)</f>
        <v>52.97</v>
      </c>
      <c r="F1203" s="1">
        <f>IFERROR(__xludf.DUMMYFUNCTION("""COMPUTED_VALUE"""),3914100.0)</f>
        <v>3914100</v>
      </c>
    </row>
    <row r="1204">
      <c r="A1204" s="2">
        <f>IFERROR(__xludf.DUMMYFUNCTION("""COMPUTED_VALUE"""),38275.666666666664)</f>
        <v>38275.66667</v>
      </c>
      <c r="B1204" s="1">
        <f>IFERROR(__xludf.DUMMYFUNCTION("""COMPUTED_VALUE"""),53.54)</f>
        <v>53.54</v>
      </c>
      <c r="C1204" s="1">
        <f>IFERROR(__xludf.DUMMYFUNCTION("""COMPUTED_VALUE"""),54.38)</f>
        <v>54.38</v>
      </c>
      <c r="D1204" s="1">
        <f>IFERROR(__xludf.DUMMYFUNCTION("""COMPUTED_VALUE"""),53.47)</f>
        <v>53.47</v>
      </c>
      <c r="E1204" s="1">
        <f>IFERROR(__xludf.DUMMYFUNCTION("""COMPUTED_VALUE"""),53.69)</f>
        <v>53.69</v>
      </c>
      <c r="F1204" s="1">
        <f>IFERROR(__xludf.DUMMYFUNCTION("""COMPUTED_VALUE"""),5136600.0)</f>
        <v>5136600</v>
      </c>
    </row>
    <row r="1205">
      <c r="A1205" s="2">
        <f>IFERROR(__xludf.DUMMYFUNCTION("""COMPUTED_VALUE"""),38278.666666666664)</f>
        <v>38278.66667</v>
      </c>
      <c r="B1205" s="1">
        <f>IFERROR(__xludf.DUMMYFUNCTION("""COMPUTED_VALUE"""),53.61)</f>
        <v>53.61</v>
      </c>
      <c r="C1205" s="1">
        <f>IFERROR(__xludf.DUMMYFUNCTION("""COMPUTED_VALUE"""),53.79)</f>
        <v>53.79</v>
      </c>
      <c r="D1205" s="1">
        <f>IFERROR(__xludf.DUMMYFUNCTION("""COMPUTED_VALUE"""),53.25)</f>
        <v>53.25</v>
      </c>
      <c r="E1205" s="1">
        <f>IFERROR(__xludf.DUMMYFUNCTION("""COMPUTED_VALUE"""),53.66)</f>
        <v>53.66</v>
      </c>
      <c r="F1205" s="1">
        <f>IFERROR(__xludf.DUMMYFUNCTION("""COMPUTED_VALUE"""),4807600.0)</f>
        <v>4807600</v>
      </c>
    </row>
    <row r="1206">
      <c r="A1206" s="2">
        <f>IFERROR(__xludf.DUMMYFUNCTION("""COMPUTED_VALUE"""),38279.666666666664)</f>
        <v>38279.66667</v>
      </c>
      <c r="B1206" s="1">
        <f>IFERROR(__xludf.DUMMYFUNCTION("""COMPUTED_VALUE"""),53.66)</f>
        <v>53.66</v>
      </c>
      <c r="C1206" s="1">
        <f>IFERROR(__xludf.DUMMYFUNCTION("""COMPUTED_VALUE"""),53.95)</f>
        <v>53.95</v>
      </c>
      <c r="D1206" s="1">
        <f>IFERROR(__xludf.DUMMYFUNCTION("""COMPUTED_VALUE"""),53.0)</f>
        <v>53</v>
      </c>
      <c r="E1206" s="1">
        <f>IFERROR(__xludf.DUMMYFUNCTION("""COMPUTED_VALUE"""),53.0)</f>
        <v>53</v>
      </c>
      <c r="F1206" s="1">
        <f>IFERROR(__xludf.DUMMYFUNCTION("""COMPUTED_VALUE"""),3933900.0)</f>
        <v>3933900</v>
      </c>
    </row>
    <row r="1207">
      <c r="A1207" s="2">
        <f>IFERROR(__xludf.DUMMYFUNCTION("""COMPUTED_VALUE"""),38280.666666666664)</f>
        <v>38280.66667</v>
      </c>
      <c r="B1207" s="1">
        <f>IFERROR(__xludf.DUMMYFUNCTION("""COMPUTED_VALUE"""),52.8)</f>
        <v>52.8</v>
      </c>
      <c r="C1207" s="1">
        <f>IFERROR(__xludf.DUMMYFUNCTION("""COMPUTED_VALUE"""),53.57)</f>
        <v>53.57</v>
      </c>
      <c r="D1207" s="1">
        <f>IFERROR(__xludf.DUMMYFUNCTION("""COMPUTED_VALUE"""),52.77)</f>
        <v>52.77</v>
      </c>
      <c r="E1207" s="1">
        <f>IFERROR(__xludf.DUMMYFUNCTION("""COMPUTED_VALUE"""),53.56)</f>
        <v>53.56</v>
      </c>
      <c r="F1207" s="1">
        <f>IFERROR(__xludf.DUMMYFUNCTION("""COMPUTED_VALUE"""),4197000.0)</f>
        <v>4197000</v>
      </c>
    </row>
    <row r="1208">
      <c r="A1208" s="2">
        <f>IFERROR(__xludf.DUMMYFUNCTION("""COMPUTED_VALUE"""),38281.666666666664)</f>
        <v>38281.66667</v>
      </c>
      <c r="B1208" s="1">
        <f>IFERROR(__xludf.DUMMYFUNCTION("""COMPUTED_VALUE"""),53.31)</f>
        <v>53.31</v>
      </c>
      <c r="C1208" s="1">
        <f>IFERROR(__xludf.DUMMYFUNCTION("""COMPUTED_VALUE"""),53.98)</f>
        <v>53.98</v>
      </c>
      <c r="D1208" s="1">
        <f>IFERROR(__xludf.DUMMYFUNCTION("""COMPUTED_VALUE"""),52.89)</f>
        <v>52.89</v>
      </c>
      <c r="E1208" s="1">
        <f>IFERROR(__xludf.DUMMYFUNCTION("""COMPUTED_VALUE"""),53.62)</f>
        <v>53.62</v>
      </c>
      <c r="F1208" s="1">
        <f>IFERROR(__xludf.DUMMYFUNCTION("""COMPUTED_VALUE"""),4644300.0)</f>
        <v>4644300</v>
      </c>
    </row>
    <row r="1209">
      <c r="A1209" s="2">
        <f>IFERROR(__xludf.DUMMYFUNCTION("""COMPUTED_VALUE"""),38282.666666666664)</f>
        <v>38282.66667</v>
      </c>
      <c r="B1209" s="1">
        <f>IFERROR(__xludf.DUMMYFUNCTION("""COMPUTED_VALUE"""),53.7)</f>
        <v>53.7</v>
      </c>
      <c r="C1209" s="1">
        <f>IFERROR(__xludf.DUMMYFUNCTION("""COMPUTED_VALUE"""),53.82)</f>
        <v>53.82</v>
      </c>
      <c r="D1209" s="1">
        <f>IFERROR(__xludf.DUMMYFUNCTION("""COMPUTED_VALUE"""),53.0)</f>
        <v>53</v>
      </c>
      <c r="E1209" s="1">
        <f>IFERROR(__xludf.DUMMYFUNCTION("""COMPUTED_VALUE"""),53.05)</f>
        <v>53.05</v>
      </c>
      <c r="F1209" s="1">
        <f>IFERROR(__xludf.DUMMYFUNCTION("""COMPUTED_VALUE"""),3577500.0)</f>
        <v>3577500</v>
      </c>
    </row>
    <row r="1210">
      <c r="A1210" s="2">
        <f>IFERROR(__xludf.DUMMYFUNCTION("""COMPUTED_VALUE"""),38285.666666666664)</f>
        <v>38285.66667</v>
      </c>
      <c r="B1210" s="1">
        <f>IFERROR(__xludf.DUMMYFUNCTION("""COMPUTED_VALUE"""),53.0)</f>
        <v>53</v>
      </c>
      <c r="C1210" s="1">
        <f>IFERROR(__xludf.DUMMYFUNCTION("""COMPUTED_VALUE"""),53.01)</f>
        <v>53.01</v>
      </c>
      <c r="D1210" s="1">
        <f>IFERROR(__xludf.DUMMYFUNCTION("""COMPUTED_VALUE"""),52.2)</f>
        <v>52.2</v>
      </c>
      <c r="E1210" s="1">
        <f>IFERROR(__xludf.DUMMYFUNCTION("""COMPUTED_VALUE"""),52.33)</f>
        <v>52.33</v>
      </c>
      <c r="F1210" s="1">
        <f>IFERROR(__xludf.DUMMYFUNCTION("""COMPUTED_VALUE"""),5176700.0)</f>
        <v>5176700</v>
      </c>
    </row>
    <row r="1211">
      <c r="A1211" s="2">
        <f>IFERROR(__xludf.DUMMYFUNCTION("""COMPUTED_VALUE"""),38286.666666666664)</f>
        <v>38286.66667</v>
      </c>
      <c r="B1211" s="1">
        <f>IFERROR(__xludf.DUMMYFUNCTION("""COMPUTED_VALUE"""),51.85)</f>
        <v>51.85</v>
      </c>
      <c r="C1211" s="1">
        <f>IFERROR(__xludf.DUMMYFUNCTION("""COMPUTED_VALUE"""),53.21)</f>
        <v>53.21</v>
      </c>
      <c r="D1211" s="1">
        <f>IFERROR(__xludf.DUMMYFUNCTION("""COMPUTED_VALUE"""),51.53)</f>
        <v>51.53</v>
      </c>
      <c r="E1211" s="1">
        <f>IFERROR(__xludf.DUMMYFUNCTION("""COMPUTED_VALUE"""),53.21)</f>
        <v>53.21</v>
      </c>
      <c r="F1211" s="1">
        <f>IFERROR(__xludf.DUMMYFUNCTION("""COMPUTED_VALUE"""),8732300.0)</f>
        <v>8732300</v>
      </c>
    </row>
    <row r="1212">
      <c r="A1212" s="2">
        <f>IFERROR(__xludf.DUMMYFUNCTION("""COMPUTED_VALUE"""),38287.666666666664)</f>
        <v>38287.66667</v>
      </c>
      <c r="B1212" s="1">
        <f>IFERROR(__xludf.DUMMYFUNCTION("""COMPUTED_VALUE"""),52.25)</f>
        <v>52.25</v>
      </c>
      <c r="C1212" s="1">
        <f>IFERROR(__xludf.DUMMYFUNCTION("""COMPUTED_VALUE"""),52.75)</f>
        <v>52.75</v>
      </c>
      <c r="D1212" s="1">
        <f>IFERROR(__xludf.DUMMYFUNCTION("""COMPUTED_VALUE"""),50.81)</f>
        <v>50.81</v>
      </c>
      <c r="E1212" s="1">
        <f>IFERROR(__xludf.DUMMYFUNCTION("""COMPUTED_VALUE"""),51.78)</f>
        <v>51.78</v>
      </c>
      <c r="F1212" s="1">
        <f>IFERROR(__xludf.DUMMYFUNCTION("""COMPUTED_VALUE"""),1.566E7)</f>
        <v>15660000</v>
      </c>
    </row>
    <row r="1213">
      <c r="A1213" s="2">
        <f>IFERROR(__xludf.DUMMYFUNCTION("""COMPUTED_VALUE"""),38288.666666666664)</f>
        <v>38288.66667</v>
      </c>
      <c r="B1213" s="1">
        <f>IFERROR(__xludf.DUMMYFUNCTION("""COMPUTED_VALUE"""),52.5)</f>
        <v>52.5</v>
      </c>
      <c r="C1213" s="1">
        <f>IFERROR(__xludf.DUMMYFUNCTION("""COMPUTED_VALUE"""),52.5)</f>
        <v>52.5</v>
      </c>
      <c r="D1213" s="1">
        <f>IFERROR(__xludf.DUMMYFUNCTION("""COMPUTED_VALUE"""),50.53)</f>
        <v>50.53</v>
      </c>
      <c r="E1213" s="1">
        <f>IFERROR(__xludf.DUMMYFUNCTION("""COMPUTED_VALUE"""),51.31)</f>
        <v>51.31</v>
      </c>
      <c r="F1213" s="1">
        <f>IFERROR(__xludf.DUMMYFUNCTION("""COMPUTED_VALUE"""),1.46237E7)</f>
        <v>14623700</v>
      </c>
    </row>
    <row r="1214">
      <c r="A1214" s="2">
        <f>IFERROR(__xludf.DUMMYFUNCTION("""COMPUTED_VALUE"""),38289.666666666664)</f>
        <v>38289.66667</v>
      </c>
      <c r="B1214" s="1">
        <f>IFERROR(__xludf.DUMMYFUNCTION("""COMPUTED_VALUE"""),51.0)</f>
        <v>51</v>
      </c>
      <c r="C1214" s="1">
        <f>IFERROR(__xludf.DUMMYFUNCTION("""COMPUTED_VALUE"""),51.51)</f>
        <v>51.51</v>
      </c>
      <c r="D1214" s="1">
        <f>IFERROR(__xludf.DUMMYFUNCTION("""COMPUTED_VALUE"""),51.0)</f>
        <v>51</v>
      </c>
      <c r="E1214" s="1">
        <f>IFERROR(__xludf.DUMMYFUNCTION("""COMPUTED_VALUE"""),51.18)</f>
        <v>51.18</v>
      </c>
      <c r="F1214" s="1">
        <f>IFERROR(__xludf.DUMMYFUNCTION("""COMPUTED_VALUE"""),8496100.0)</f>
        <v>8496100</v>
      </c>
    </row>
    <row r="1215">
      <c r="A1215" s="2">
        <f>IFERROR(__xludf.DUMMYFUNCTION("""COMPUTED_VALUE"""),38292.666666666664)</f>
        <v>38292.66667</v>
      </c>
      <c r="B1215" s="1">
        <f>IFERROR(__xludf.DUMMYFUNCTION("""COMPUTED_VALUE"""),51.25)</f>
        <v>51.25</v>
      </c>
      <c r="C1215" s="1">
        <f>IFERROR(__xludf.DUMMYFUNCTION("""COMPUTED_VALUE"""),51.48)</f>
        <v>51.48</v>
      </c>
      <c r="D1215" s="1">
        <f>IFERROR(__xludf.DUMMYFUNCTION("""COMPUTED_VALUE"""),50.85)</f>
        <v>50.85</v>
      </c>
      <c r="E1215" s="1">
        <f>IFERROR(__xludf.DUMMYFUNCTION("""COMPUTED_VALUE"""),51.0)</f>
        <v>51</v>
      </c>
      <c r="F1215" s="1">
        <f>IFERROR(__xludf.DUMMYFUNCTION("""COMPUTED_VALUE"""),7285700.0)</f>
        <v>7285700</v>
      </c>
    </row>
    <row r="1216">
      <c r="A1216" s="2">
        <f>IFERROR(__xludf.DUMMYFUNCTION("""COMPUTED_VALUE"""),38293.666666666664)</f>
        <v>38293.66667</v>
      </c>
      <c r="B1216" s="1">
        <f>IFERROR(__xludf.DUMMYFUNCTION("""COMPUTED_VALUE"""),51.0)</f>
        <v>51</v>
      </c>
      <c r="C1216" s="1">
        <f>IFERROR(__xludf.DUMMYFUNCTION("""COMPUTED_VALUE"""),51.15)</f>
        <v>51.15</v>
      </c>
      <c r="D1216" s="1">
        <f>IFERROR(__xludf.DUMMYFUNCTION("""COMPUTED_VALUE"""),50.79)</f>
        <v>50.79</v>
      </c>
      <c r="E1216" s="1">
        <f>IFERROR(__xludf.DUMMYFUNCTION("""COMPUTED_VALUE"""),50.97)</f>
        <v>50.97</v>
      </c>
      <c r="F1216" s="1">
        <f>IFERROR(__xludf.DUMMYFUNCTION("""COMPUTED_VALUE"""),8559400.0)</f>
        <v>8559400</v>
      </c>
    </row>
    <row r="1217">
      <c r="A1217" s="2">
        <f>IFERROR(__xludf.DUMMYFUNCTION("""COMPUTED_VALUE"""),38294.666666666664)</f>
        <v>38294.66667</v>
      </c>
      <c r="B1217" s="1">
        <f>IFERROR(__xludf.DUMMYFUNCTION("""COMPUTED_VALUE"""),51.95)</f>
        <v>51.95</v>
      </c>
      <c r="C1217" s="1">
        <f>IFERROR(__xludf.DUMMYFUNCTION("""COMPUTED_VALUE"""),51.95)</f>
        <v>51.95</v>
      </c>
      <c r="D1217" s="1">
        <f>IFERROR(__xludf.DUMMYFUNCTION("""COMPUTED_VALUE"""),51.22)</f>
        <v>51.22</v>
      </c>
      <c r="E1217" s="1">
        <f>IFERROR(__xludf.DUMMYFUNCTION("""COMPUTED_VALUE"""),51.86)</f>
        <v>51.86</v>
      </c>
      <c r="F1217" s="1">
        <f>IFERROR(__xludf.DUMMYFUNCTION("""COMPUTED_VALUE"""),6475300.0)</f>
        <v>6475300</v>
      </c>
    </row>
    <row r="1218">
      <c r="A1218" s="2">
        <f>IFERROR(__xludf.DUMMYFUNCTION("""COMPUTED_VALUE"""),38295.666666666664)</f>
        <v>38295.66667</v>
      </c>
      <c r="B1218" s="1">
        <f>IFERROR(__xludf.DUMMYFUNCTION("""COMPUTED_VALUE"""),52.0)</f>
        <v>52</v>
      </c>
      <c r="C1218" s="1">
        <f>IFERROR(__xludf.DUMMYFUNCTION("""COMPUTED_VALUE"""),53.27)</f>
        <v>53.27</v>
      </c>
      <c r="D1218" s="1">
        <f>IFERROR(__xludf.DUMMYFUNCTION("""COMPUTED_VALUE"""),51.83)</f>
        <v>51.83</v>
      </c>
      <c r="E1218" s="1">
        <f>IFERROR(__xludf.DUMMYFUNCTION("""COMPUTED_VALUE"""),53.19)</f>
        <v>53.19</v>
      </c>
      <c r="F1218" s="1">
        <f>IFERROR(__xludf.DUMMYFUNCTION("""COMPUTED_VALUE"""),7271300.0)</f>
        <v>7271300</v>
      </c>
    </row>
    <row r="1219">
      <c r="A1219" s="2">
        <f>IFERROR(__xludf.DUMMYFUNCTION("""COMPUTED_VALUE"""),38296.666666666664)</f>
        <v>38296.66667</v>
      </c>
      <c r="B1219" s="1">
        <f>IFERROR(__xludf.DUMMYFUNCTION("""COMPUTED_VALUE"""),53.39)</f>
        <v>53.39</v>
      </c>
      <c r="C1219" s="1">
        <f>IFERROR(__xludf.DUMMYFUNCTION("""COMPUTED_VALUE"""),53.89)</f>
        <v>53.89</v>
      </c>
      <c r="D1219" s="1">
        <f>IFERROR(__xludf.DUMMYFUNCTION("""COMPUTED_VALUE"""),53.19)</f>
        <v>53.19</v>
      </c>
      <c r="E1219" s="1">
        <f>IFERROR(__xludf.DUMMYFUNCTION("""COMPUTED_VALUE"""),53.52)</f>
        <v>53.52</v>
      </c>
      <c r="F1219" s="1">
        <f>IFERROR(__xludf.DUMMYFUNCTION("""COMPUTED_VALUE"""),5918700.0)</f>
        <v>5918700</v>
      </c>
    </row>
    <row r="1220">
      <c r="A1220" s="2">
        <f>IFERROR(__xludf.DUMMYFUNCTION("""COMPUTED_VALUE"""),38299.666666666664)</f>
        <v>38299.66667</v>
      </c>
      <c r="B1220" s="1">
        <f>IFERROR(__xludf.DUMMYFUNCTION("""COMPUTED_VALUE"""),53.52)</f>
        <v>53.52</v>
      </c>
      <c r="C1220" s="1">
        <f>IFERROR(__xludf.DUMMYFUNCTION("""COMPUTED_VALUE"""),53.52)</f>
        <v>53.52</v>
      </c>
      <c r="D1220" s="1">
        <f>IFERROR(__xludf.DUMMYFUNCTION("""COMPUTED_VALUE"""),52.89)</f>
        <v>52.89</v>
      </c>
      <c r="E1220" s="1">
        <f>IFERROR(__xludf.DUMMYFUNCTION("""COMPUTED_VALUE"""),53.29)</f>
        <v>53.29</v>
      </c>
      <c r="F1220" s="1">
        <f>IFERROR(__xludf.DUMMYFUNCTION("""COMPUTED_VALUE"""),5415700.0)</f>
        <v>5415700</v>
      </c>
    </row>
    <row r="1221">
      <c r="A1221" s="2">
        <f>IFERROR(__xludf.DUMMYFUNCTION("""COMPUTED_VALUE"""),38300.666666666664)</f>
        <v>38300.66667</v>
      </c>
      <c r="B1221" s="1">
        <f>IFERROR(__xludf.DUMMYFUNCTION("""COMPUTED_VALUE"""),53.39)</f>
        <v>53.39</v>
      </c>
      <c r="C1221" s="1">
        <f>IFERROR(__xludf.DUMMYFUNCTION("""COMPUTED_VALUE"""),53.64)</f>
        <v>53.64</v>
      </c>
      <c r="D1221" s="1">
        <f>IFERROR(__xludf.DUMMYFUNCTION("""COMPUTED_VALUE"""),52.7)</f>
        <v>52.7</v>
      </c>
      <c r="E1221" s="1">
        <f>IFERROR(__xludf.DUMMYFUNCTION("""COMPUTED_VALUE"""),52.77)</f>
        <v>52.77</v>
      </c>
      <c r="F1221" s="1">
        <f>IFERROR(__xludf.DUMMYFUNCTION("""COMPUTED_VALUE"""),5673000.0)</f>
        <v>5673000</v>
      </c>
    </row>
    <row r="1222">
      <c r="A1222" s="2">
        <f>IFERROR(__xludf.DUMMYFUNCTION("""COMPUTED_VALUE"""),38301.666666666664)</f>
        <v>38301.66667</v>
      </c>
      <c r="B1222" s="1">
        <f>IFERROR(__xludf.DUMMYFUNCTION("""COMPUTED_VALUE"""),52.85)</f>
        <v>52.85</v>
      </c>
      <c r="C1222" s="1">
        <f>IFERROR(__xludf.DUMMYFUNCTION("""COMPUTED_VALUE"""),53.57)</f>
        <v>53.57</v>
      </c>
      <c r="D1222" s="1">
        <f>IFERROR(__xludf.DUMMYFUNCTION("""COMPUTED_VALUE"""),52.8)</f>
        <v>52.8</v>
      </c>
      <c r="E1222" s="1">
        <f>IFERROR(__xludf.DUMMYFUNCTION("""COMPUTED_VALUE"""),53.0)</f>
        <v>53</v>
      </c>
      <c r="F1222" s="1">
        <f>IFERROR(__xludf.DUMMYFUNCTION("""COMPUTED_VALUE"""),5397400.0)</f>
        <v>5397400</v>
      </c>
    </row>
    <row r="1223">
      <c r="A1223" s="2">
        <f>IFERROR(__xludf.DUMMYFUNCTION("""COMPUTED_VALUE"""),38302.666666666664)</f>
        <v>38302.66667</v>
      </c>
      <c r="B1223" s="1">
        <f>IFERROR(__xludf.DUMMYFUNCTION("""COMPUTED_VALUE"""),53.38)</f>
        <v>53.38</v>
      </c>
      <c r="C1223" s="1">
        <f>IFERROR(__xludf.DUMMYFUNCTION("""COMPUTED_VALUE"""),54.17)</f>
        <v>54.17</v>
      </c>
      <c r="D1223" s="1">
        <f>IFERROR(__xludf.DUMMYFUNCTION("""COMPUTED_VALUE"""),53.23)</f>
        <v>53.23</v>
      </c>
      <c r="E1223" s="1">
        <f>IFERROR(__xludf.DUMMYFUNCTION("""COMPUTED_VALUE"""),54.0)</f>
        <v>54</v>
      </c>
      <c r="F1223" s="1">
        <f>IFERROR(__xludf.DUMMYFUNCTION("""COMPUTED_VALUE"""),5025600.0)</f>
        <v>5025600</v>
      </c>
    </row>
    <row r="1224">
      <c r="A1224" s="2">
        <f>IFERROR(__xludf.DUMMYFUNCTION("""COMPUTED_VALUE"""),38303.666666666664)</f>
        <v>38303.66667</v>
      </c>
      <c r="B1224" s="1">
        <f>IFERROR(__xludf.DUMMYFUNCTION("""COMPUTED_VALUE"""),54.01)</f>
        <v>54.01</v>
      </c>
      <c r="C1224" s="1">
        <f>IFERROR(__xludf.DUMMYFUNCTION("""COMPUTED_VALUE"""),54.76)</f>
        <v>54.76</v>
      </c>
      <c r="D1224" s="1">
        <f>IFERROR(__xludf.DUMMYFUNCTION("""COMPUTED_VALUE"""),53.91)</f>
        <v>53.91</v>
      </c>
      <c r="E1224" s="1">
        <f>IFERROR(__xludf.DUMMYFUNCTION("""COMPUTED_VALUE"""),54.6)</f>
        <v>54.6</v>
      </c>
      <c r="F1224" s="1">
        <f>IFERROR(__xludf.DUMMYFUNCTION("""COMPUTED_VALUE"""),5693200.0)</f>
        <v>5693200</v>
      </c>
    </row>
    <row r="1225">
      <c r="A1225" s="2">
        <f>IFERROR(__xludf.DUMMYFUNCTION("""COMPUTED_VALUE"""),38306.666666666664)</f>
        <v>38306.66667</v>
      </c>
      <c r="B1225" s="1">
        <f>IFERROR(__xludf.DUMMYFUNCTION("""COMPUTED_VALUE"""),54.6)</f>
        <v>54.6</v>
      </c>
      <c r="C1225" s="1">
        <f>IFERROR(__xludf.DUMMYFUNCTION("""COMPUTED_VALUE"""),54.82)</f>
        <v>54.82</v>
      </c>
      <c r="D1225" s="1">
        <f>IFERROR(__xludf.DUMMYFUNCTION("""COMPUTED_VALUE"""),54.07)</f>
        <v>54.07</v>
      </c>
      <c r="E1225" s="1">
        <f>IFERROR(__xludf.DUMMYFUNCTION("""COMPUTED_VALUE"""),54.48)</f>
        <v>54.48</v>
      </c>
      <c r="F1225" s="1">
        <f>IFERROR(__xludf.DUMMYFUNCTION("""COMPUTED_VALUE"""),5108300.0)</f>
        <v>5108300</v>
      </c>
    </row>
    <row r="1226">
      <c r="A1226" s="2">
        <f>IFERROR(__xludf.DUMMYFUNCTION("""COMPUTED_VALUE"""),38307.666666666664)</f>
        <v>38307.66667</v>
      </c>
      <c r="B1226" s="1">
        <f>IFERROR(__xludf.DUMMYFUNCTION("""COMPUTED_VALUE"""),54.5)</f>
        <v>54.5</v>
      </c>
      <c r="C1226" s="1">
        <f>IFERROR(__xludf.DUMMYFUNCTION("""COMPUTED_VALUE"""),54.65)</f>
        <v>54.65</v>
      </c>
      <c r="D1226" s="1">
        <f>IFERROR(__xludf.DUMMYFUNCTION("""COMPUTED_VALUE"""),54.22)</f>
        <v>54.22</v>
      </c>
      <c r="E1226" s="1">
        <f>IFERROR(__xludf.DUMMYFUNCTION("""COMPUTED_VALUE"""),54.35)</f>
        <v>54.35</v>
      </c>
      <c r="F1226" s="1">
        <f>IFERROR(__xludf.DUMMYFUNCTION("""COMPUTED_VALUE"""),4340400.0)</f>
        <v>4340400</v>
      </c>
    </row>
    <row r="1227">
      <c r="A1227" s="2">
        <f>IFERROR(__xludf.DUMMYFUNCTION("""COMPUTED_VALUE"""),38308.666666666664)</f>
        <v>38308.66667</v>
      </c>
      <c r="B1227" s="1">
        <f>IFERROR(__xludf.DUMMYFUNCTION("""COMPUTED_VALUE"""),54.48)</f>
        <v>54.48</v>
      </c>
      <c r="C1227" s="1">
        <f>IFERROR(__xludf.DUMMYFUNCTION("""COMPUTED_VALUE"""),54.74)</f>
        <v>54.74</v>
      </c>
      <c r="D1227" s="1">
        <f>IFERROR(__xludf.DUMMYFUNCTION("""COMPUTED_VALUE"""),54.17)</f>
        <v>54.17</v>
      </c>
      <c r="E1227" s="1">
        <f>IFERROR(__xludf.DUMMYFUNCTION("""COMPUTED_VALUE"""),54.49)</f>
        <v>54.49</v>
      </c>
      <c r="F1227" s="1">
        <f>IFERROR(__xludf.DUMMYFUNCTION("""COMPUTED_VALUE"""),4369100.0)</f>
        <v>4369100</v>
      </c>
    </row>
    <row r="1228">
      <c r="A1228" s="2">
        <f>IFERROR(__xludf.DUMMYFUNCTION("""COMPUTED_VALUE"""),38309.666666666664)</f>
        <v>38309.66667</v>
      </c>
      <c r="B1228" s="1">
        <f>IFERROR(__xludf.DUMMYFUNCTION("""COMPUTED_VALUE"""),54.38)</f>
        <v>54.38</v>
      </c>
      <c r="C1228" s="1">
        <f>IFERROR(__xludf.DUMMYFUNCTION("""COMPUTED_VALUE"""),54.95)</f>
        <v>54.95</v>
      </c>
      <c r="D1228" s="1">
        <f>IFERROR(__xludf.DUMMYFUNCTION("""COMPUTED_VALUE"""),54.23)</f>
        <v>54.23</v>
      </c>
      <c r="E1228" s="1">
        <f>IFERROR(__xludf.DUMMYFUNCTION("""COMPUTED_VALUE"""),54.77)</f>
        <v>54.77</v>
      </c>
      <c r="F1228" s="1">
        <f>IFERROR(__xludf.DUMMYFUNCTION("""COMPUTED_VALUE"""),3825300.0)</f>
        <v>3825300</v>
      </c>
    </row>
    <row r="1229">
      <c r="A1229" s="2">
        <f>IFERROR(__xludf.DUMMYFUNCTION("""COMPUTED_VALUE"""),38310.666666666664)</f>
        <v>38310.66667</v>
      </c>
      <c r="B1229" s="1">
        <f>IFERROR(__xludf.DUMMYFUNCTION("""COMPUTED_VALUE"""),54.78)</f>
        <v>54.78</v>
      </c>
      <c r="C1229" s="1">
        <f>IFERROR(__xludf.DUMMYFUNCTION("""COMPUTED_VALUE"""),54.95)</f>
        <v>54.95</v>
      </c>
      <c r="D1229" s="1">
        <f>IFERROR(__xludf.DUMMYFUNCTION("""COMPUTED_VALUE"""),54.04)</f>
        <v>54.04</v>
      </c>
      <c r="E1229" s="1">
        <f>IFERROR(__xludf.DUMMYFUNCTION("""COMPUTED_VALUE"""),54.32)</f>
        <v>54.32</v>
      </c>
      <c r="F1229" s="1">
        <f>IFERROR(__xludf.DUMMYFUNCTION("""COMPUTED_VALUE"""),4903100.0)</f>
        <v>4903100</v>
      </c>
    </row>
    <row r="1230">
      <c r="A1230" s="2">
        <f>IFERROR(__xludf.DUMMYFUNCTION("""COMPUTED_VALUE"""),38313.666666666664)</f>
        <v>38313.66667</v>
      </c>
      <c r="B1230" s="1">
        <f>IFERROR(__xludf.DUMMYFUNCTION("""COMPUTED_VALUE"""),54.08)</f>
        <v>54.08</v>
      </c>
      <c r="C1230" s="1">
        <f>IFERROR(__xludf.DUMMYFUNCTION("""COMPUTED_VALUE"""),54.58)</f>
        <v>54.58</v>
      </c>
      <c r="D1230" s="1">
        <f>IFERROR(__xludf.DUMMYFUNCTION("""COMPUTED_VALUE"""),54.02)</f>
        <v>54.02</v>
      </c>
      <c r="E1230" s="1">
        <f>IFERROR(__xludf.DUMMYFUNCTION("""COMPUTED_VALUE"""),54.46)</f>
        <v>54.46</v>
      </c>
      <c r="F1230" s="1">
        <f>IFERROR(__xludf.DUMMYFUNCTION("""COMPUTED_VALUE"""),4004600.0)</f>
        <v>4004600</v>
      </c>
    </row>
    <row r="1231">
      <c r="A1231" s="2">
        <f>IFERROR(__xludf.DUMMYFUNCTION("""COMPUTED_VALUE"""),38314.666666666664)</f>
        <v>38314.66667</v>
      </c>
      <c r="B1231" s="1">
        <f>IFERROR(__xludf.DUMMYFUNCTION("""COMPUTED_VALUE"""),54.46)</f>
        <v>54.46</v>
      </c>
      <c r="C1231" s="1">
        <f>IFERROR(__xludf.DUMMYFUNCTION("""COMPUTED_VALUE"""),54.51)</f>
        <v>54.51</v>
      </c>
      <c r="D1231" s="1">
        <f>IFERROR(__xludf.DUMMYFUNCTION("""COMPUTED_VALUE"""),53.75)</f>
        <v>53.75</v>
      </c>
      <c r="E1231" s="1">
        <f>IFERROR(__xludf.DUMMYFUNCTION("""COMPUTED_VALUE"""),54.06)</f>
        <v>54.06</v>
      </c>
      <c r="F1231" s="1">
        <f>IFERROR(__xludf.DUMMYFUNCTION("""COMPUTED_VALUE"""),4242900.0)</f>
        <v>4242900</v>
      </c>
    </row>
    <row r="1232">
      <c r="A1232" s="2">
        <f>IFERROR(__xludf.DUMMYFUNCTION("""COMPUTED_VALUE"""),38315.666666666664)</f>
        <v>38315.66667</v>
      </c>
      <c r="B1232" s="1">
        <f>IFERROR(__xludf.DUMMYFUNCTION("""COMPUTED_VALUE"""),54.15)</f>
        <v>54.15</v>
      </c>
      <c r="C1232" s="1">
        <f>IFERROR(__xludf.DUMMYFUNCTION("""COMPUTED_VALUE"""),54.29)</f>
        <v>54.29</v>
      </c>
      <c r="D1232" s="1">
        <f>IFERROR(__xludf.DUMMYFUNCTION("""COMPUTED_VALUE"""),53.77)</f>
        <v>53.77</v>
      </c>
      <c r="E1232" s="1">
        <f>IFERROR(__xludf.DUMMYFUNCTION("""COMPUTED_VALUE"""),53.94)</f>
        <v>53.94</v>
      </c>
      <c r="F1232" s="1">
        <f>IFERROR(__xludf.DUMMYFUNCTION("""COMPUTED_VALUE"""),3257100.0)</f>
        <v>3257100</v>
      </c>
    </row>
    <row r="1233">
      <c r="A1233" s="2">
        <f>IFERROR(__xludf.DUMMYFUNCTION("""COMPUTED_VALUE"""),38317.666666666664)</f>
        <v>38317.66667</v>
      </c>
      <c r="B1233" s="1">
        <f>IFERROR(__xludf.DUMMYFUNCTION("""COMPUTED_VALUE"""),53.95)</f>
        <v>53.95</v>
      </c>
      <c r="C1233" s="1">
        <f>IFERROR(__xludf.DUMMYFUNCTION("""COMPUTED_VALUE"""),54.05)</f>
        <v>54.05</v>
      </c>
      <c r="D1233" s="1">
        <f>IFERROR(__xludf.DUMMYFUNCTION("""COMPUTED_VALUE"""),53.64)</f>
        <v>53.64</v>
      </c>
      <c r="E1233" s="1">
        <f>IFERROR(__xludf.DUMMYFUNCTION("""COMPUTED_VALUE"""),53.64)</f>
        <v>53.64</v>
      </c>
      <c r="F1233" s="1">
        <f>IFERROR(__xludf.DUMMYFUNCTION("""COMPUTED_VALUE"""),1609900.0)</f>
        <v>1609900</v>
      </c>
    </row>
    <row r="1234">
      <c r="A1234" s="2">
        <f>IFERROR(__xludf.DUMMYFUNCTION("""COMPUTED_VALUE"""),38320.666666666664)</f>
        <v>38320.66667</v>
      </c>
      <c r="B1234" s="1">
        <f>IFERROR(__xludf.DUMMYFUNCTION("""COMPUTED_VALUE"""),53.97)</f>
        <v>53.97</v>
      </c>
      <c r="C1234" s="1">
        <f>IFERROR(__xludf.DUMMYFUNCTION("""COMPUTED_VALUE"""),54.44)</f>
        <v>54.44</v>
      </c>
      <c r="D1234" s="1">
        <f>IFERROR(__xludf.DUMMYFUNCTION("""COMPUTED_VALUE"""),53.52)</f>
        <v>53.52</v>
      </c>
      <c r="E1234" s="1">
        <f>IFERROR(__xludf.DUMMYFUNCTION("""COMPUTED_VALUE"""),54.1)</f>
        <v>54.1</v>
      </c>
      <c r="F1234" s="1">
        <f>IFERROR(__xludf.DUMMYFUNCTION("""COMPUTED_VALUE"""),5204200.0)</f>
        <v>5204200</v>
      </c>
    </row>
    <row r="1235">
      <c r="A1235" s="2">
        <f>IFERROR(__xludf.DUMMYFUNCTION("""COMPUTED_VALUE"""),38321.666666666664)</f>
        <v>38321.66667</v>
      </c>
      <c r="B1235" s="1">
        <f>IFERROR(__xludf.DUMMYFUNCTION("""COMPUTED_VALUE"""),54.02)</f>
        <v>54.02</v>
      </c>
      <c r="C1235" s="1">
        <f>IFERROR(__xludf.DUMMYFUNCTION("""COMPUTED_VALUE"""),54.2)</f>
        <v>54.2</v>
      </c>
      <c r="D1235" s="1">
        <f>IFERROR(__xludf.DUMMYFUNCTION("""COMPUTED_VALUE"""),53.48)</f>
        <v>53.48</v>
      </c>
      <c r="E1235" s="1">
        <f>IFERROR(__xludf.DUMMYFUNCTION("""COMPUTED_VALUE"""),53.48)</f>
        <v>53.48</v>
      </c>
      <c r="F1235" s="1">
        <f>IFERROR(__xludf.DUMMYFUNCTION("""COMPUTED_VALUE"""),5176700.0)</f>
        <v>5176700</v>
      </c>
    </row>
    <row r="1236">
      <c r="A1236" s="2">
        <f>IFERROR(__xludf.DUMMYFUNCTION("""COMPUTED_VALUE"""),38322.666666666664)</f>
        <v>38322.66667</v>
      </c>
      <c r="B1236" s="1">
        <f>IFERROR(__xludf.DUMMYFUNCTION("""COMPUTED_VALUE"""),53.56)</f>
        <v>53.56</v>
      </c>
      <c r="C1236" s="1">
        <f>IFERROR(__xludf.DUMMYFUNCTION("""COMPUTED_VALUE"""),54.79)</f>
        <v>54.79</v>
      </c>
      <c r="D1236" s="1">
        <f>IFERROR(__xludf.DUMMYFUNCTION("""COMPUTED_VALUE"""),53.55)</f>
        <v>53.55</v>
      </c>
      <c r="E1236" s="1">
        <f>IFERROR(__xludf.DUMMYFUNCTION("""COMPUTED_VALUE"""),54.66)</f>
        <v>54.66</v>
      </c>
      <c r="F1236" s="1">
        <f>IFERROR(__xludf.DUMMYFUNCTION("""COMPUTED_VALUE"""),6519600.0)</f>
        <v>6519600</v>
      </c>
    </row>
    <row r="1237">
      <c r="A1237" s="2">
        <f>IFERROR(__xludf.DUMMYFUNCTION("""COMPUTED_VALUE"""),38323.666666666664)</f>
        <v>38323.66667</v>
      </c>
      <c r="B1237" s="1">
        <f>IFERROR(__xludf.DUMMYFUNCTION("""COMPUTED_VALUE"""),54.35)</f>
        <v>54.35</v>
      </c>
      <c r="C1237" s="1">
        <f>IFERROR(__xludf.DUMMYFUNCTION("""COMPUTED_VALUE"""),55.82)</f>
        <v>55.82</v>
      </c>
      <c r="D1237" s="1">
        <f>IFERROR(__xludf.DUMMYFUNCTION("""COMPUTED_VALUE"""),54.15)</f>
        <v>54.15</v>
      </c>
      <c r="E1237" s="1">
        <f>IFERROR(__xludf.DUMMYFUNCTION("""COMPUTED_VALUE"""),55.82)</f>
        <v>55.82</v>
      </c>
      <c r="F1237" s="1">
        <f>IFERROR(__xludf.DUMMYFUNCTION("""COMPUTED_VALUE"""),7423600.0)</f>
        <v>7423600</v>
      </c>
    </row>
    <row r="1238">
      <c r="A1238" s="2">
        <f>IFERROR(__xludf.DUMMYFUNCTION("""COMPUTED_VALUE"""),38324.666666666664)</f>
        <v>38324.66667</v>
      </c>
      <c r="B1238" s="1">
        <f>IFERROR(__xludf.DUMMYFUNCTION("""COMPUTED_VALUE"""),55.0)</f>
        <v>55</v>
      </c>
      <c r="C1238" s="1">
        <f>IFERROR(__xludf.DUMMYFUNCTION("""COMPUTED_VALUE"""),55.42)</f>
        <v>55.42</v>
      </c>
      <c r="D1238" s="1">
        <f>IFERROR(__xludf.DUMMYFUNCTION("""COMPUTED_VALUE"""),54.95)</f>
        <v>54.95</v>
      </c>
      <c r="E1238" s="1">
        <f>IFERROR(__xludf.DUMMYFUNCTION("""COMPUTED_VALUE"""),55.39)</f>
        <v>55.39</v>
      </c>
      <c r="F1238" s="1">
        <f>IFERROR(__xludf.DUMMYFUNCTION("""COMPUTED_VALUE"""),6512000.0)</f>
        <v>6512000</v>
      </c>
    </row>
    <row r="1239">
      <c r="A1239" s="2">
        <f>IFERROR(__xludf.DUMMYFUNCTION("""COMPUTED_VALUE"""),38327.666666666664)</f>
        <v>38327.66667</v>
      </c>
      <c r="B1239" s="1">
        <f>IFERROR(__xludf.DUMMYFUNCTION("""COMPUTED_VALUE"""),55.1)</f>
        <v>55.1</v>
      </c>
      <c r="C1239" s="1">
        <f>IFERROR(__xludf.DUMMYFUNCTION("""COMPUTED_VALUE"""),55.26)</f>
        <v>55.26</v>
      </c>
      <c r="D1239" s="1">
        <f>IFERROR(__xludf.DUMMYFUNCTION("""COMPUTED_VALUE"""),54.04)</f>
        <v>54.04</v>
      </c>
      <c r="E1239" s="1">
        <f>IFERROR(__xludf.DUMMYFUNCTION("""COMPUTED_VALUE"""),54.3)</f>
        <v>54.3</v>
      </c>
      <c r="F1239" s="1">
        <f>IFERROR(__xludf.DUMMYFUNCTION("""COMPUTED_VALUE"""),5021200.0)</f>
        <v>5021200</v>
      </c>
    </row>
    <row r="1240">
      <c r="A1240" s="2">
        <f>IFERROR(__xludf.DUMMYFUNCTION("""COMPUTED_VALUE"""),38328.666666666664)</f>
        <v>38328.66667</v>
      </c>
      <c r="B1240" s="1">
        <f>IFERROR(__xludf.DUMMYFUNCTION("""COMPUTED_VALUE"""),54.21)</f>
        <v>54.21</v>
      </c>
      <c r="C1240" s="1">
        <f>IFERROR(__xludf.DUMMYFUNCTION("""COMPUTED_VALUE"""),54.66)</f>
        <v>54.66</v>
      </c>
      <c r="D1240" s="1">
        <f>IFERROR(__xludf.DUMMYFUNCTION("""COMPUTED_VALUE"""),54.04)</f>
        <v>54.04</v>
      </c>
      <c r="E1240" s="1">
        <f>IFERROR(__xludf.DUMMYFUNCTION("""COMPUTED_VALUE"""),54.04)</f>
        <v>54.04</v>
      </c>
      <c r="F1240" s="1">
        <f>IFERROR(__xludf.DUMMYFUNCTION("""COMPUTED_VALUE"""),5388800.0)</f>
        <v>5388800</v>
      </c>
    </row>
    <row r="1241">
      <c r="A1241" s="2">
        <f>IFERROR(__xludf.DUMMYFUNCTION("""COMPUTED_VALUE"""),38329.666666666664)</f>
        <v>38329.66667</v>
      </c>
      <c r="B1241" s="1">
        <f>IFERROR(__xludf.DUMMYFUNCTION("""COMPUTED_VALUE"""),54.12)</f>
        <v>54.12</v>
      </c>
      <c r="C1241" s="1">
        <f>IFERROR(__xludf.DUMMYFUNCTION("""COMPUTED_VALUE"""),55.03)</f>
        <v>55.03</v>
      </c>
      <c r="D1241" s="1">
        <f>IFERROR(__xludf.DUMMYFUNCTION("""COMPUTED_VALUE"""),54.02)</f>
        <v>54.02</v>
      </c>
      <c r="E1241" s="1">
        <f>IFERROR(__xludf.DUMMYFUNCTION("""COMPUTED_VALUE"""),55.03)</f>
        <v>55.03</v>
      </c>
      <c r="F1241" s="1">
        <f>IFERROR(__xludf.DUMMYFUNCTION("""COMPUTED_VALUE"""),6878400.0)</f>
        <v>6878400</v>
      </c>
    </row>
    <row r="1242">
      <c r="A1242" s="2">
        <f>IFERROR(__xludf.DUMMYFUNCTION("""COMPUTED_VALUE"""),38330.666666666664)</f>
        <v>38330.66667</v>
      </c>
      <c r="B1242" s="1">
        <f>IFERROR(__xludf.DUMMYFUNCTION("""COMPUTED_VALUE"""),55.07)</f>
        <v>55.07</v>
      </c>
      <c r="C1242" s="1">
        <f>IFERROR(__xludf.DUMMYFUNCTION("""COMPUTED_VALUE"""),56.48)</f>
        <v>56.48</v>
      </c>
      <c r="D1242" s="1">
        <f>IFERROR(__xludf.DUMMYFUNCTION("""COMPUTED_VALUE"""),55.01)</f>
        <v>55.01</v>
      </c>
      <c r="E1242" s="1">
        <f>IFERROR(__xludf.DUMMYFUNCTION("""COMPUTED_VALUE"""),56.38)</f>
        <v>56.38</v>
      </c>
      <c r="F1242" s="1">
        <f>IFERROR(__xludf.DUMMYFUNCTION("""COMPUTED_VALUE"""),9439800.0)</f>
        <v>9439800</v>
      </c>
    </row>
    <row r="1243">
      <c r="A1243" s="2">
        <f>IFERROR(__xludf.DUMMYFUNCTION("""COMPUTED_VALUE"""),38331.666666666664)</f>
        <v>38331.66667</v>
      </c>
      <c r="B1243" s="1">
        <f>IFERROR(__xludf.DUMMYFUNCTION("""COMPUTED_VALUE"""),57.4)</f>
        <v>57.4</v>
      </c>
      <c r="C1243" s="1">
        <f>IFERROR(__xludf.DUMMYFUNCTION("""COMPUTED_VALUE"""),57.4)</f>
        <v>57.4</v>
      </c>
      <c r="D1243" s="1">
        <f>IFERROR(__xludf.DUMMYFUNCTION("""COMPUTED_VALUE"""),55.52)</f>
        <v>55.52</v>
      </c>
      <c r="E1243" s="1">
        <f>IFERROR(__xludf.DUMMYFUNCTION("""COMPUTED_VALUE"""),56.44)</f>
        <v>56.44</v>
      </c>
      <c r="F1243" s="1">
        <f>IFERROR(__xludf.DUMMYFUNCTION("""COMPUTED_VALUE"""),5080300.0)</f>
        <v>5080300</v>
      </c>
    </row>
    <row r="1244">
      <c r="A1244" s="2">
        <f>IFERROR(__xludf.DUMMYFUNCTION("""COMPUTED_VALUE"""),38334.666666666664)</f>
        <v>38334.66667</v>
      </c>
      <c r="B1244" s="1">
        <f>IFERROR(__xludf.DUMMYFUNCTION("""COMPUTED_VALUE"""),56.44)</f>
        <v>56.44</v>
      </c>
      <c r="C1244" s="1">
        <f>IFERROR(__xludf.DUMMYFUNCTION("""COMPUTED_VALUE"""),56.69)</f>
        <v>56.69</v>
      </c>
      <c r="D1244" s="1">
        <f>IFERROR(__xludf.DUMMYFUNCTION("""COMPUTED_VALUE"""),56.1)</f>
        <v>56.1</v>
      </c>
      <c r="E1244" s="1">
        <f>IFERROR(__xludf.DUMMYFUNCTION("""COMPUTED_VALUE"""),56.49)</f>
        <v>56.49</v>
      </c>
      <c r="F1244" s="1">
        <f>IFERROR(__xludf.DUMMYFUNCTION("""COMPUTED_VALUE"""),4471200.0)</f>
        <v>4471200</v>
      </c>
    </row>
    <row r="1245">
      <c r="A1245" s="2">
        <f>IFERROR(__xludf.DUMMYFUNCTION("""COMPUTED_VALUE"""),38335.666666666664)</f>
        <v>38335.66667</v>
      </c>
      <c r="B1245" s="1">
        <f>IFERROR(__xludf.DUMMYFUNCTION("""COMPUTED_VALUE"""),56.27)</f>
        <v>56.27</v>
      </c>
      <c r="C1245" s="1">
        <f>IFERROR(__xludf.DUMMYFUNCTION("""COMPUTED_VALUE"""),56.55)</f>
        <v>56.55</v>
      </c>
      <c r="D1245" s="1">
        <f>IFERROR(__xludf.DUMMYFUNCTION("""COMPUTED_VALUE"""),55.75)</f>
        <v>55.75</v>
      </c>
      <c r="E1245" s="1">
        <f>IFERROR(__xludf.DUMMYFUNCTION("""COMPUTED_VALUE"""),56.49)</f>
        <v>56.49</v>
      </c>
      <c r="F1245" s="1">
        <f>IFERROR(__xludf.DUMMYFUNCTION("""COMPUTED_VALUE"""),4430800.0)</f>
        <v>4430800</v>
      </c>
    </row>
    <row r="1246">
      <c r="A1246" s="2">
        <f>IFERROR(__xludf.DUMMYFUNCTION("""COMPUTED_VALUE"""),38336.666666666664)</f>
        <v>38336.66667</v>
      </c>
      <c r="B1246" s="1">
        <f>IFERROR(__xludf.DUMMYFUNCTION("""COMPUTED_VALUE"""),56.18)</f>
        <v>56.18</v>
      </c>
      <c r="C1246" s="1">
        <f>IFERROR(__xludf.DUMMYFUNCTION("""COMPUTED_VALUE"""),56.3)</f>
        <v>56.3</v>
      </c>
      <c r="D1246" s="1">
        <f>IFERROR(__xludf.DUMMYFUNCTION("""COMPUTED_VALUE"""),55.61)</f>
        <v>55.61</v>
      </c>
      <c r="E1246" s="1">
        <f>IFERROR(__xludf.DUMMYFUNCTION("""COMPUTED_VALUE"""),56.12)</f>
        <v>56.12</v>
      </c>
      <c r="F1246" s="1">
        <f>IFERROR(__xludf.DUMMYFUNCTION("""COMPUTED_VALUE"""),5477500.0)</f>
        <v>5477500</v>
      </c>
    </row>
    <row r="1247">
      <c r="A1247" s="2">
        <f>IFERROR(__xludf.DUMMYFUNCTION("""COMPUTED_VALUE"""),38337.666666666664)</f>
        <v>38337.66667</v>
      </c>
      <c r="B1247" s="1">
        <f>IFERROR(__xludf.DUMMYFUNCTION("""COMPUTED_VALUE"""),55.9)</f>
        <v>55.9</v>
      </c>
      <c r="C1247" s="1">
        <f>IFERROR(__xludf.DUMMYFUNCTION("""COMPUTED_VALUE"""),56.4)</f>
        <v>56.4</v>
      </c>
      <c r="D1247" s="1">
        <f>IFERROR(__xludf.DUMMYFUNCTION("""COMPUTED_VALUE"""),55.64)</f>
        <v>55.64</v>
      </c>
      <c r="E1247" s="1">
        <f>IFERROR(__xludf.DUMMYFUNCTION("""COMPUTED_VALUE"""),56.1)</f>
        <v>56.1</v>
      </c>
      <c r="F1247" s="1">
        <f>IFERROR(__xludf.DUMMYFUNCTION("""COMPUTED_VALUE"""),4829900.0)</f>
        <v>4829900</v>
      </c>
    </row>
    <row r="1248">
      <c r="A1248" s="2">
        <f>IFERROR(__xludf.DUMMYFUNCTION("""COMPUTED_VALUE"""),38338.666666666664)</f>
        <v>38338.66667</v>
      </c>
      <c r="B1248" s="1">
        <f>IFERROR(__xludf.DUMMYFUNCTION("""COMPUTED_VALUE"""),55.95)</f>
        <v>55.95</v>
      </c>
      <c r="C1248" s="1">
        <f>IFERROR(__xludf.DUMMYFUNCTION("""COMPUTED_VALUE"""),56.55)</f>
        <v>56.55</v>
      </c>
      <c r="D1248" s="1">
        <f>IFERROR(__xludf.DUMMYFUNCTION("""COMPUTED_VALUE"""),55.35)</f>
        <v>55.35</v>
      </c>
      <c r="E1248" s="1">
        <f>IFERROR(__xludf.DUMMYFUNCTION("""COMPUTED_VALUE"""),55.44)</f>
        <v>55.44</v>
      </c>
      <c r="F1248" s="1">
        <f>IFERROR(__xludf.DUMMYFUNCTION("""COMPUTED_VALUE"""),9312600.0)</f>
        <v>9312600</v>
      </c>
    </row>
    <row r="1249">
      <c r="A1249" s="2">
        <f>IFERROR(__xludf.DUMMYFUNCTION("""COMPUTED_VALUE"""),38341.666666666664)</f>
        <v>38341.66667</v>
      </c>
      <c r="B1249" s="1">
        <f>IFERROR(__xludf.DUMMYFUNCTION("""COMPUTED_VALUE"""),55.7)</f>
        <v>55.7</v>
      </c>
      <c r="C1249" s="1">
        <f>IFERROR(__xludf.DUMMYFUNCTION("""COMPUTED_VALUE"""),56.24)</f>
        <v>56.24</v>
      </c>
      <c r="D1249" s="1">
        <f>IFERROR(__xludf.DUMMYFUNCTION("""COMPUTED_VALUE"""),55.35)</f>
        <v>55.35</v>
      </c>
      <c r="E1249" s="1">
        <f>IFERROR(__xludf.DUMMYFUNCTION("""COMPUTED_VALUE"""),55.59)</f>
        <v>55.59</v>
      </c>
      <c r="F1249" s="1">
        <f>IFERROR(__xludf.DUMMYFUNCTION("""COMPUTED_VALUE"""),4372700.0)</f>
        <v>4372700</v>
      </c>
    </row>
    <row r="1250">
      <c r="A1250" s="2">
        <f>IFERROR(__xludf.DUMMYFUNCTION("""COMPUTED_VALUE"""),38342.666666666664)</f>
        <v>38342.66667</v>
      </c>
      <c r="B1250" s="1">
        <f>IFERROR(__xludf.DUMMYFUNCTION("""COMPUTED_VALUE"""),55.57)</f>
        <v>55.57</v>
      </c>
      <c r="C1250" s="1">
        <f>IFERROR(__xludf.DUMMYFUNCTION("""COMPUTED_VALUE"""),56.14)</f>
        <v>56.14</v>
      </c>
      <c r="D1250" s="1">
        <f>IFERROR(__xludf.DUMMYFUNCTION("""COMPUTED_VALUE"""),55.47)</f>
        <v>55.47</v>
      </c>
      <c r="E1250" s="1">
        <f>IFERROR(__xludf.DUMMYFUNCTION("""COMPUTED_VALUE"""),56.07)</f>
        <v>56.07</v>
      </c>
      <c r="F1250" s="1">
        <f>IFERROR(__xludf.DUMMYFUNCTION("""COMPUTED_VALUE"""),4615000.0)</f>
        <v>4615000</v>
      </c>
    </row>
    <row r="1251">
      <c r="A1251" s="2">
        <f>IFERROR(__xludf.DUMMYFUNCTION("""COMPUTED_VALUE"""),38343.666666666664)</f>
        <v>38343.66667</v>
      </c>
      <c r="B1251" s="1">
        <f>IFERROR(__xludf.DUMMYFUNCTION("""COMPUTED_VALUE"""),55.65)</f>
        <v>55.65</v>
      </c>
      <c r="C1251" s="1">
        <f>IFERROR(__xludf.DUMMYFUNCTION("""COMPUTED_VALUE"""),56.09)</f>
        <v>56.09</v>
      </c>
      <c r="D1251" s="1">
        <f>IFERROR(__xludf.DUMMYFUNCTION("""COMPUTED_VALUE"""),55.35)</f>
        <v>55.35</v>
      </c>
      <c r="E1251" s="1">
        <f>IFERROR(__xludf.DUMMYFUNCTION("""COMPUTED_VALUE"""),55.92)</f>
        <v>55.92</v>
      </c>
      <c r="F1251" s="1">
        <f>IFERROR(__xludf.DUMMYFUNCTION("""COMPUTED_VALUE"""),4592900.0)</f>
        <v>4592900</v>
      </c>
    </row>
    <row r="1252">
      <c r="A1252" s="2">
        <f>IFERROR(__xludf.DUMMYFUNCTION("""COMPUTED_VALUE"""),38344.666666666664)</f>
        <v>38344.66667</v>
      </c>
      <c r="B1252" s="1">
        <f>IFERROR(__xludf.DUMMYFUNCTION("""COMPUTED_VALUE"""),55.9)</f>
        <v>55.9</v>
      </c>
      <c r="C1252" s="1">
        <f>IFERROR(__xludf.DUMMYFUNCTION("""COMPUTED_VALUE"""),56.09)</f>
        <v>56.09</v>
      </c>
      <c r="D1252" s="1">
        <f>IFERROR(__xludf.DUMMYFUNCTION("""COMPUTED_VALUE"""),55.5)</f>
        <v>55.5</v>
      </c>
      <c r="E1252" s="1">
        <f>IFERROR(__xludf.DUMMYFUNCTION("""COMPUTED_VALUE"""),55.59)</f>
        <v>55.59</v>
      </c>
      <c r="F1252" s="1">
        <f>IFERROR(__xludf.DUMMYFUNCTION("""COMPUTED_VALUE"""),2868100.0)</f>
        <v>2868100</v>
      </c>
    </row>
    <row r="1253">
      <c r="A1253" s="2">
        <f>IFERROR(__xludf.DUMMYFUNCTION("""COMPUTED_VALUE"""),38348.666666666664)</f>
        <v>38348.66667</v>
      </c>
      <c r="B1253" s="1">
        <f>IFERROR(__xludf.DUMMYFUNCTION("""COMPUTED_VALUE"""),55.8)</f>
        <v>55.8</v>
      </c>
      <c r="C1253" s="1">
        <f>IFERROR(__xludf.DUMMYFUNCTION("""COMPUTED_VALUE"""),55.96)</f>
        <v>55.96</v>
      </c>
      <c r="D1253" s="1">
        <f>IFERROR(__xludf.DUMMYFUNCTION("""COMPUTED_VALUE"""),55.36)</f>
        <v>55.36</v>
      </c>
      <c r="E1253" s="1">
        <f>IFERROR(__xludf.DUMMYFUNCTION("""COMPUTED_VALUE"""),55.4)</f>
        <v>55.4</v>
      </c>
      <c r="F1253" s="1">
        <f>IFERROR(__xludf.DUMMYFUNCTION("""COMPUTED_VALUE"""),3311800.0)</f>
        <v>3311800</v>
      </c>
    </row>
    <row r="1254">
      <c r="A1254" s="2">
        <f>IFERROR(__xludf.DUMMYFUNCTION("""COMPUTED_VALUE"""),38349.666666666664)</f>
        <v>38349.66667</v>
      </c>
      <c r="B1254" s="1">
        <f>IFERROR(__xludf.DUMMYFUNCTION("""COMPUTED_VALUE"""),55.5)</f>
        <v>55.5</v>
      </c>
      <c r="C1254" s="1">
        <f>IFERROR(__xludf.DUMMYFUNCTION("""COMPUTED_VALUE"""),55.69)</f>
        <v>55.69</v>
      </c>
      <c r="D1254" s="1">
        <f>IFERROR(__xludf.DUMMYFUNCTION("""COMPUTED_VALUE"""),55.28)</f>
        <v>55.28</v>
      </c>
      <c r="E1254" s="1">
        <f>IFERROR(__xludf.DUMMYFUNCTION("""COMPUTED_VALUE"""),55.44)</f>
        <v>55.44</v>
      </c>
      <c r="F1254" s="1">
        <f>IFERROR(__xludf.DUMMYFUNCTION("""COMPUTED_VALUE"""),3866900.0)</f>
        <v>3866900</v>
      </c>
    </row>
    <row r="1255">
      <c r="A1255" s="2">
        <f>IFERROR(__xludf.DUMMYFUNCTION("""COMPUTED_VALUE"""),38350.666666666664)</f>
        <v>38350.66667</v>
      </c>
      <c r="B1255" s="1">
        <f>IFERROR(__xludf.DUMMYFUNCTION("""COMPUTED_VALUE"""),55.3)</f>
        <v>55.3</v>
      </c>
      <c r="C1255" s="1">
        <f>IFERROR(__xludf.DUMMYFUNCTION("""COMPUTED_VALUE"""),55.35)</f>
        <v>55.35</v>
      </c>
      <c r="D1255" s="1">
        <f>IFERROR(__xludf.DUMMYFUNCTION("""COMPUTED_VALUE"""),55.01)</f>
        <v>55.01</v>
      </c>
      <c r="E1255" s="1">
        <f>IFERROR(__xludf.DUMMYFUNCTION("""COMPUTED_VALUE"""),55.24)</f>
        <v>55.24</v>
      </c>
      <c r="F1255" s="1">
        <f>IFERROR(__xludf.DUMMYFUNCTION("""COMPUTED_VALUE"""),3516200.0)</f>
        <v>3516200</v>
      </c>
    </row>
    <row r="1256">
      <c r="A1256" s="2">
        <f>IFERROR(__xludf.DUMMYFUNCTION("""COMPUTED_VALUE"""),38351.666666666664)</f>
        <v>38351.66667</v>
      </c>
      <c r="B1256" s="1">
        <f>IFERROR(__xludf.DUMMYFUNCTION("""COMPUTED_VALUE"""),55.1)</f>
        <v>55.1</v>
      </c>
      <c r="C1256" s="1">
        <f>IFERROR(__xludf.DUMMYFUNCTION("""COMPUTED_VALUE"""),55.67)</f>
        <v>55.67</v>
      </c>
      <c r="D1256" s="1">
        <f>IFERROR(__xludf.DUMMYFUNCTION("""COMPUTED_VALUE"""),55.05)</f>
        <v>55.05</v>
      </c>
      <c r="E1256" s="1">
        <f>IFERROR(__xludf.DUMMYFUNCTION("""COMPUTED_VALUE"""),55.45)</f>
        <v>55.45</v>
      </c>
      <c r="F1256" s="1">
        <f>IFERROR(__xludf.DUMMYFUNCTION("""COMPUTED_VALUE"""),2769500.0)</f>
        <v>2769500</v>
      </c>
    </row>
    <row r="1257">
      <c r="A1257" s="2">
        <f>IFERROR(__xludf.DUMMYFUNCTION("""COMPUTED_VALUE"""),38352.666666666664)</f>
        <v>38352.66667</v>
      </c>
      <c r="B1257" s="1">
        <f>IFERROR(__xludf.DUMMYFUNCTION("""COMPUTED_VALUE"""),55.5)</f>
        <v>55.5</v>
      </c>
      <c r="C1257" s="1">
        <f>IFERROR(__xludf.DUMMYFUNCTION("""COMPUTED_VALUE"""),55.5)</f>
        <v>55.5</v>
      </c>
      <c r="D1257" s="1">
        <f>IFERROR(__xludf.DUMMYFUNCTION("""COMPUTED_VALUE"""),55.04)</f>
        <v>55.04</v>
      </c>
      <c r="E1257" s="1">
        <f>IFERROR(__xludf.DUMMYFUNCTION("""COMPUTED_VALUE"""),55.08)</f>
        <v>55.08</v>
      </c>
      <c r="F1257" s="1">
        <f>IFERROR(__xludf.DUMMYFUNCTION("""COMPUTED_VALUE"""),3291300.0)</f>
        <v>3291300</v>
      </c>
    </row>
    <row r="1258">
      <c r="A1258" s="2">
        <f>IFERROR(__xludf.DUMMYFUNCTION("""COMPUTED_VALUE"""),38355.666666666664)</f>
        <v>38355.66667</v>
      </c>
      <c r="B1258" s="1">
        <f>IFERROR(__xludf.DUMMYFUNCTION("""COMPUTED_VALUE"""),55.65)</f>
        <v>55.65</v>
      </c>
      <c r="C1258" s="1">
        <f>IFERROR(__xludf.DUMMYFUNCTION("""COMPUTED_VALUE"""),55.75)</f>
        <v>55.75</v>
      </c>
      <c r="D1258" s="1">
        <f>IFERROR(__xludf.DUMMYFUNCTION("""COMPUTED_VALUE"""),55.1)</f>
        <v>55.1</v>
      </c>
      <c r="E1258" s="1">
        <f>IFERROR(__xludf.DUMMYFUNCTION("""COMPUTED_VALUE"""),55.19)</f>
        <v>55.19</v>
      </c>
      <c r="F1258" s="1">
        <f>IFERROR(__xludf.DUMMYFUNCTION("""COMPUTED_VALUE"""),4858500.0)</f>
        <v>4858500</v>
      </c>
    </row>
    <row r="1259">
      <c r="A1259" s="2">
        <f>IFERROR(__xludf.DUMMYFUNCTION("""COMPUTED_VALUE"""),38356.666666666664)</f>
        <v>38356.66667</v>
      </c>
      <c r="B1259" s="1">
        <f>IFERROR(__xludf.DUMMYFUNCTION("""COMPUTED_VALUE"""),55.12)</f>
        <v>55.12</v>
      </c>
      <c r="C1259" s="1">
        <f>IFERROR(__xludf.DUMMYFUNCTION("""COMPUTED_VALUE"""),55.48)</f>
        <v>55.48</v>
      </c>
      <c r="D1259" s="1">
        <f>IFERROR(__xludf.DUMMYFUNCTION("""COMPUTED_VALUE"""),54.49)</f>
        <v>54.49</v>
      </c>
      <c r="E1259" s="1">
        <f>IFERROR(__xludf.DUMMYFUNCTION("""COMPUTED_VALUE"""),54.5)</f>
        <v>54.5</v>
      </c>
      <c r="F1259" s="1">
        <f>IFERROR(__xludf.DUMMYFUNCTION("""COMPUTED_VALUE"""),5548600.0)</f>
        <v>5548600</v>
      </c>
    </row>
    <row r="1260">
      <c r="A1260" s="2">
        <f>IFERROR(__xludf.DUMMYFUNCTION("""COMPUTED_VALUE"""),38357.666666666664)</f>
        <v>38357.66667</v>
      </c>
      <c r="B1260" s="1">
        <f>IFERROR(__xludf.DUMMYFUNCTION("""COMPUTED_VALUE"""),55.28)</f>
        <v>55.28</v>
      </c>
      <c r="C1260" s="1">
        <f>IFERROR(__xludf.DUMMYFUNCTION("""COMPUTED_VALUE"""),55.89)</f>
        <v>55.89</v>
      </c>
      <c r="D1260" s="1">
        <f>IFERROR(__xludf.DUMMYFUNCTION("""COMPUTED_VALUE"""),55.0)</f>
        <v>55</v>
      </c>
      <c r="E1260" s="1">
        <f>IFERROR(__xludf.DUMMYFUNCTION("""COMPUTED_VALUE"""),55.07)</f>
        <v>55.07</v>
      </c>
      <c r="F1260" s="1">
        <f>IFERROR(__xludf.DUMMYFUNCTION("""COMPUTED_VALUE"""),7277300.0)</f>
        <v>7277300</v>
      </c>
    </row>
    <row r="1261">
      <c r="A1261" s="2">
        <f>IFERROR(__xludf.DUMMYFUNCTION("""COMPUTED_VALUE"""),38358.666666666664)</f>
        <v>38358.66667</v>
      </c>
      <c r="B1261" s="1">
        <f>IFERROR(__xludf.DUMMYFUNCTION("""COMPUTED_VALUE"""),54.82)</f>
        <v>54.82</v>
      </c>
      <c r="C1261" s="1">
        <f>IFERROR(__xludf.DUMMYFUNCTION("""COMPUTED_VALUE"""),55.54)</f>
        <v>55.54</v>
      </c>
      <c r="D1261" s="1">
        <f>IFERROR(__xludf.DUMMYFUNCTION("""COMPUTED_VALUE"""),54.66)</f>
        <v>54.66</v>
      </c>
      <c r="E1261" s="1">
        <f>IFERROR(__xludf.DUMMYFUNCTION("""COMPUTED_VALUE"""),55.34)</f>
        <v>55.34</v>
      </c>
      <c r="F1261" s="1">
        <f>IFERROR(__xludf.DUMMYFUNCTION("""COMPUTED_VALUE"""),5261200.0)</f>
        <v>5261200</v>
      </c>
    </row>
    <row r="1262">
      <c r="A1262" s="2">
        <f>IFERROR(__xludf.DUMMYFUNCTION("""COMPUTED_VALUE"""),38359.666666666664)</f>
        <v>38359.66667</v>
      </c>
      <c r="B1262" s="1">
        <f>IFERROR(__xludf.DUMMYFUNCTION("""COMPUTED_VALUE"""),55.15)</f>
        <v>55.15</v>
      </c>
      <c r="C1262" s="1">
        <f>IFERROR(__xludf.DUMMYFUNCTION("""COMPUTED_VALUE"""),56.15)</f>
        <v>56.15</v>
      </c>
      <c r="D1262" s="1">
        <f>IFERROR(__xludf.DUMMYFUNCTION("""COMPUTED_VALUE"""),55.02)</f>
        <v>55.02</v>
      </c>
      <c r="E1262" s="1">
        <f>IFERROR(__xludf.DUMMYFUNCTION("""COMPUTED_VALUE"""),55.92)</f>
        <v>55.92</v>
      </c>
      <c r="F1262" s="1">
        <f>IFERROR(__xludf.DUMMYFUNCTION("""COMPUTED_VALUE"""),6250500.0)</f>
        <v>6250500</v>
      </c>
    </row>
    <row r="1263">
      <c r="A1263" s="2">
        <f>IFERROR(__xludf.DUMMYFUNCTION("""COMPUTED_VALUE"""),38362.666666666664)</f>
        <v>38362.66667</v>
      </c>
      <c r="B1263" s="1">
        <f>IFERROR(__xludf.DUMMYFUNCTION("""COMPUTED_VALUE"""),56.02)</f>
        <v>56.02</v>
      </c>
      <c r="C1263" s="1">
        <f>IFERROR(__xludf.DUMMYFUNCTION("""COMPUTED_VALUE"""),56.57)</f>
        <v>56.57</v>
      </c>
      <c r="D1263" s="1">
        <f>IFERROR(__xludf.DUMMYFUNCTION("""COMPUTED_VALUE"""),55.89)</f>
        <v>55.89</v>
      </c>
      <c r="E1263" s="1">
        <f>IFERROR(__xludf.DUMMYFUNCTION("""COMPUTED_VALUE"""),56.36)</f>
        <v>56.36</v>
      </c>
      <c r="F1263" s="1">
        <f>IFERROR(__xludf.DUMMYFUNCTION("""COMPUTED_VALUE"""),5802500.0)</f>
        <v>5802500</v>
      </c>
    </row>
    <row r="1264">
      <c r="A1264" s="2">
        <f>IFERROR(__xludf.DUMMYFUNCTION("""COMPUTED_VALUE"""),38363.666666666664)</f>
        <v>38363.66667</v>
      </c>
      <c r="B1264" s="1">
        <f>IFERROR(__xludf.DUMMYFUNCTION("""COMPUTED_VALUE"""),55.92)</f>
        <v>55.92</v>
      </c>
      <c r="C1264" s="1">
        <f>IFERROR(__xludf.DUMMYFUNCTION("""COMPUTED_VALUE"""),56.64)</f>
        <v>56.64</v>
      </c>
      <c r="D1264" s="1">
        <f>IFERROR(__xludf.DUMMYFUNCTION("""COMPUTED_VALUE"""),55.84)</f>
        <v>55.84</v>
      </c>
      <c r="E1264" s="1">
        <f>IFERROR(__xludf.DUMMYFUNCTION("""COMPUTED_VALUE"""),56.3)</f>
        <v>56.3</v>
      </c>
      <c r="F1264" s="1">
        <f>IFERROR(__xludf.DUMMYFUNCTION("""COMPUTED_VALUE"""),5558500.0)</f>
        <v>5558500</v>
      </c>
    </row>
    <row r="1265">
      <c r="A1265" s="2">
        <f>IFERROR(__xludf.DUMMYFUNCTION("""COMPUTED_VALUE"""),38364.666666666664)</f>
        <v>38364.66667</v>
      </c>
      <c r="B1265" s="1">
        <f>IFERROR(__xludf.DUMMYFUNCTION("""COMPUTED_VALUE"""),56.26)</f>
        <v>56.26</v>
      </c>
      <c r="C1265" s="1">
        <f>IFERROR(__xludf.DUMMYFUNCTION("""COMPUTED_VALUE"""),56.58)</f>
        <v>56.58</v>
      </c>
      <c r="D1265" s="1">
        <f>IFERROR(__xludf.DUMMYFUNCTION("""COMPUTED_VALUE"""),55.78)</f>
        <v>55.78</v>
      </c>
      <c r="E1265" s="1">
        <f>IFERROR(__xludf.DUMMYFUNCTION("""COMPUTED_VALUE"""),56.51)</f>
        <v>56.51</v>
      </c>
      <c r="F1265" s="1">
        <f>IFERROR(__xludf.DUMMYFUNCTION("""COMPUTED_VALUE"""),5784500.0)</f>
        <v>5784500</v>
      </c>
    </row>
    <row r="1266">
      <c r="A1266" s="2">
        <f>IFERROR(__xludf.DUMMYFUNCTION("""COMPUTED_VALUE"""),38365.666666666664)</f>
        <v>38365.66667</v>
      </c>
      <c r="B1266" s="1">
        <f>IFERROR(__xludf.DUMMYFUNCTION("""COMPUTED_VALUE"""),56.0)</f>
        <v>56</v>
      </c>
      <c r="C1266" s="1">
        <f>IFERROR(__xludf.DUMMYFUNCTION("""COMPUTED_VALUE"""),56.25)</f>
        <v>56.25</v>
      </c>
      <c r="D1266" s="1">
        <f>IFERROR(__xludf.DUMMYFUNCTION("""COMPUTED_VALUE"""),55.34)</f>
        <v>55.34</v>
      </c>
      <c r="E1266" s="1">
        <f>IFERROR(__xludf.DUMMYFUNCTION("""COMPUTED_VALUE"""),55.53)</f>
        <v>55.53</v>
      </c>
      <c r="F1266" s="1">
        <f>IFERROR(__xludf.DUMMYFUNCTION("""COMPUTED_VALUE"""),5222600.0)</f>
        <v>5222600</v>
      </c>
    </row>
    <row r="1267">
      <c r="A1267" s="2">
        <f>IFERROR(__xludf.DUMMYFUNCTION("""COMPUTED_VALUE"""),38366.666666666664)</f>
        <v>38366.66667</v>
      </c>
      <c r="B1267" s="1">
        <f>IFERROR(__xludf.DUMMYFUNCTION("""COMPUTED_VALUE"""),55.5)</f>
        <v>55.5</v>
      </c>
      <c r="C1267" s="1">
        <f>IFERROR(__xludf.DUMMYFUNCTION("""COMPUTED_VALUE"""),55.98)</f>
        <v>55.98</v>
      </c>
      <c r="D1267" s="1">
        <f>IFERROR(__xludf.DUMMYFUNCTION("""COMPUTED_VALUE"""),55.43)</f>
        <v>55.43</v>
      </c>
      <c r="E1267" s="1">
        <f>IFERROR(__xludf.DUMMYFUNCTION("""COMPUTED_VALUE"""),55.88)</f>
        <v>55.88</v>
      </c>
      <c r="F1267" s="1">
        <f>IFERROR(__xludf.DUMMYFUNCTION("""COMPUTED_VALUE"""),4318000.0)</f>
        <v>4318000</v>
      </c>
    </row>
    <row r="1268">
      <c r="A1268" s="2">
        <f>IFERROR(__xludf.DUMMYFUNCTION("""COMPUTED_VALUE"""),38370.666666666664)</f>
        <v>38370.66667</v>
      </c>
      <c r="B1268" s="1">
        <f>IFERROR(__xludf.DUMMYFUNCTION("""COMPUTED_VALUE"""),55.48)</f>
        <v>55.48</v>
      </c>
      <c r="C1268" s="1">
        <f>IFERROR(__xludf.DUMMYFUNCTION("""COMPUTED_VALUE"""),56.04)</f>
        <v>56.04</v>
      </c>
      <c r="D1268" s="1">
        <f>IFERROR(__xludf.DUMMYFUNCTION("""COMPUTED_VALUE"""),53.03)</f>
        <v>53.03</v>
      </c>
      <c r="E1268" s="1">
        <f>IFERROR(__xludf.DUMMYFUNCTION("""COMPUTED_VALUE"""),55.99)</f>
        <v>55.99</v>
      </c>
      <c r="F1268" s="1">
        <f>IFERROR(__xludf.DUMMYFUNCTION("""COMPUTED_VALUE"""),5519300.0)</f>
        <v>5519300</v>
      </c>
    </row>
    <row r="1269">
      <c r="A1269" s="2">
        <f>IFERROR(__xludf.DUMMYFUNCTION("""COMPUTED_VALUE"""),38371.666666666664)</f>
        <v>38371.66667</v>
      </c>
      <c r="B1269" s="1">
        <f>IFERROR(__xludf.DUMMYFUNCTION("""COMPUTED_VALUE"""),55.84)</f>
        <v>55.84</v>
      </c>
      <c r="C1269" s="1">
        <f>IFERROR(__xludf.DUMMYFUNCTION("""COMPUTED_VALUE"""),56.85)</f>
        <v>56.85</v>
      </c>
      <c r="D1269" s="1">
        <f>IFERROR(__xludf.DUMMYFUNCTION("""COMPUTED_VALUE"""),55.76)</f>
        <v>55.76</v>
      </c>
      <c r="E1269" s="1">
        <f>IFERROR(__xludf.DUMMYFUNCTION("""COMPUTED_VALUE"""),56.68)</f>
        <v>56.68</v>
      </c>
      <c r="F1269" s="1">
        <f>IFERROR(__xludf.DUMMYFUNCTION("""COMPUTED_VALUE"""),7814600.0)</f>
        <v>7814600</v>
      </c>
    </row>
    <row r="1270">
      <c r="A1270" s="2">
        <f>IFERROR(__xludf.DUMMYFUNCTION("""COMPUTED_VALUE"""),38372.666666666664)</f>
        <v>38372.66667</v>
      </c>
      <c r="B1270" s="1">
        <f>IFERROR(__xludf.DUMMYFUNCTION("""COMPUTED_VALUE"""),56.3)</f>
        <v>56.3</v>
      </c>
      <c r="C1270" s="1">
        <f>IFERROR(__xludf.DUMMYFUNCTION("""COMPUTED_VALUE"""),57.04)</f>
        <v>57.04</v>
      </c>
      <c r="D1270" s="1">
        <f>IFERROR(__xludf.DUMMYFUNCTION("""COMPUTED_VALUE"""),56.28)</f>
        <v>56.28</v>
      </c>
      <c r="E1270" s="1">
        <f>IFERROR(__xludf.DUMMYFUNCTION("""COMPUTED_VALUE"""),56.7)</f>
        <v>56.7</v>
      </c>
      <c r="F1270" s="1">
        <f>IFERROR(__xludf.DUMMYFUNCTION("""COMPUTED_VALUE"""),6108100.0)</f>
        <v>6108100</v>
      </c>
    </row>
    <row r="1271">
      <c r="A1271" s="2">
        <f>IFERROR(__xludf.DUMMYFUNCTION("""COMPUTED_VALUE"""),38373.666666666664)</f>
        <v>38373.66667</v>
      </c>
      <c r="B1271" s="1">
        <f>IFERROR(__xludf.DUMMYFUNCTION("""COMPUTED_VALUE"""),56.43)</f>
        <v>56.43</v>
      </c>
      <c r="C1271" s="1">
        <f>IFERROR(__xludf.DUMMYFUNCTION("""COMPUTED_VALUE"""),56.53)</f>
        <v>56.53</v>
      </c>
      <c r="D1271" s="1">
        <f>IFERROR(__xludf.DUMMYFUNCTION("""COMPUTED_VALUE"""),55.35)</f>
        <v>55.35</v>
      </c>
      <c r="E1271" s="1">
        <f>IFERROR(__xludf.DUMMYFUNCTION("""COMPUTED_VALUE"""),55.65)</f>
        <v>55.65</v>
      </c>
      <c r="F1271" s="1">
        <f>IFERROR(__xludf.DUMMYFUNCTION("""COMPUTED_VALUE"""),5788000.0)</f>
        <v>5788000</v>
      </c>
    </row>
    <row r="1272">
      <c r="A1272" s="2">
        <f>IFERROR(__xludf.DUMMYFUNCTION("""COMPUTED_VALUE"""),38376.666666666664)</f>
        <v>38376.66667</v>
      </c>
      <c r="B1272" s="1">
        <f>IFERROR(__xludf.DUMMYFUNCTION("""COMPUTED_VALUE"""),54.9)</f>
        <v>54.9</v>
      </c>
      <c r="C1272" s="1">
        <f>IFERROR(__xludf.DUMMYFUNCTION("""COMPUTED_VALUE"""),55.55)</f>
        <v>55.55</v>
      </c>
      <c r="D1272" s="1">
        <f>IFERROR(__xludf.DUMMYFUNCTION("""COMPUTED_VALUE"""),54.33)</f>
        <v>54.33</v>
      </c>
      <c r="E1272" s="1">
        <f>IFERROR(__xludf.DUMMYFUNCTION("""COMPUTED_VALUE"""),55.21)</f>
        <v>55.21</v>
      </c>
      <c r="F1272" s="1">
        <f>IFERROR(__xludf.DUMMYFUNCTION("""COMPUTED_VALUE"""),7494600.0)</f>
        <v>7494600</v>
      </c>
    </row>
    <row r="1273">
      <c r="A1273" s="2">
        <f>IFERROR(__xludf.DUMMYFUNCTION("""COMPUTED_VALUE"""),38377.666666666664)</f>
        <v>38377.66667</v>
      </c>
      <c r="B1273" s="1">
        <f>IFERROR(__xludf.DUMMYFUNCTION("""COMPUTED_VALUE"""),55.2)</f>
        <v>55.2</v>
      </c>
      <c r="C1273" s="1">
        <f>IFERROR(__xludf.DUMMYFUNCTION("""COMPUTED_VALUE"""),55.92)</f>
        <v>55.92</v>
      </c>
      <c r="D1273" s="1">
        <f>IFERROR(__xludf.DUMMYFUNCTION("""COMPUTED_VALUE"""),55.2)</f>
        <v>55.2</v>
      </c>
      <c r="E1273" s="1">
        <f>IFERROR(__xludf.DUMMYFUNCTION("""COMPUTED_VALUE"""),55.73)</f>
        <v>55.73</v>
      </c>
      <c r="F1273" s="1">
        <f>IFERROR(__xludf.DUMMYFUNCTION("""COMPUTED_VALUE"""),5719800.0)</f>
        <v>5719800</v>
      </c>
    </row>
    <row r="1274">
      <c r="A1274" s="2">
        <f>IFERROR(__xludf.DUMMYFUNCTION("""COMPUTED_VALUE"""),38378.666666666664)</f>
        <v>38378.66667</v>
      </c>
      <c r="B1274" s="1">
        <f>IFERROR(__xludf.DUMMYFUNCTION("""COMPUTED_VALUE"""),55.71)</f>
        <v>55.71</v>
      </c>
      <c r="C1274" s="1">
        <f>IFERROR(__xludf.DUMMYFUNCTION("""COMPUTED_VALUE"""),56.18)</f>
        <v>56.18</v>
      </c>
      <c r="D1274" s="1">
        <f>IFERROR(__xludf.DUMMYFUNCTION("""COMPUTED_VALUE"""),55.44)</f>
        <v>55.44</v>
      </c>
      <c r="E1274" s="1">
        <f>IFERROR(__xludf.DUMMYFUNCTION("""COMPUTED_VALUE"""),55.44)</f>
        <v>55.44</v>
      </c>
      <c r="F1274" s="1">
        <f>IFERROR(__xludf.DUMMYFUNCTION("""COMPUTED_VALUE"""),6183500.0)</f>
        <v>6183500</v>
      </c>
    </row>
    <row r="1275">
      <c r="A1275" s="2">
        <f>IFERROR(__xludf.DUMMYFUNCTION("""COMPUTED_VALUE"""),38379.666666666664)</f>
        <v>38379.66667</v>
      </c>
      <c r="B1275" s="1">
        <f>IFERROR(__xludf.DUMMYFUNCTION("""COMPUTED_VALUE"""),55.05)</f>
        <v>55.05</v>
      </c>
      <c r="C1275" s="1">
        <f>IFERROR(__xludf.DUMMYFUNCTION("""COMPUTED_VALUE"""),55.55)</f>
        <v>55.55</v>
      </c>
      <c r="D1275" s="1">
        <f>IFERROR(__xludf.DUMMYFUNCTION("""COMPUTED_VALUE"""),54.73)</f>
        <v>54.73</v>
      </c>
      <c r="E1275" s="1">
        <f>IFERROR(__xludf.DUMMYFUNCTION("""COMPUTED_VALUE"""),55.32)</f>
        <v>55.32</v>
      </c>
      <c r="F1275" s="1">
        <f>IFERROR(__xludf.DUMMYFUNCTION("""COMPUTED_VALUE"""),5279900.0)</f>
        <v>5279900</v>
      </c>
    </row>
    <row r="1276">
      <c r="A1276" s="2">
        <f>IFERROR(__xludf.DUMMYFUNCTION("""COMPUTED_VALUE"""),38380.666666666664)</f>
        <v>38380.66667</v>
      </c>
      <c r="B1276" s="1">
        <f>IFERROR(__xludf.DUMMYFUNCTION("""COMPUTED_VALUE"""),53.5)</f>
        <v>53.5</v>
      </c>
      <c r="C1276" s="1">
        <f>IFERROR(__xludf.DUMMYFUNCTION("""COMPUTED_VALUE"""),54.37)</f>
        <v>54.37</v>
      </c>
      <c r="D1276" s="1">
        <f>IFERROR(__xludf.DUMMYFUNCTION("""COMPUTED_VALUE"""),52.14)</f>
        <v>52.14</v>
      </c>
      <c r="E1276" s="1">
        <f>IFERROR(__xludf.DUMMYFUNCTION("""COMPUTED_VALUE"""),54.15)</f>
        <v>54.15</v>
      </c>
      <c r="F1276" s="1">
        <f>IFERROR(__xludf.DUMMYFUNCTION("""COMPUTED_VALUE"""),5.38253E7)</f>
        <v>53825300</v>
      </c>
    </row>
    <row r="1277">
      <c r="A1277" s="2">
        <f>IFERROR(__xludf.DUMMYFUNCTION("""COMPUTED_VALUE"""),38383.666666666664)</f>
        <v>38383.66667</v>
      </c>
      <c r="B1277" s="1">
        <f>IFERROR(__xludf.DUMMYFUNCTION("""COMPUTED_VALUE"""),54.4)</f>
        <v>54.4</v>
      </c>
      <c r="C1277" s="1">
        <f>IFERROR(__xludf.DUMMYFUNCTION("""COMPUTED_VALUE"""),54.52)</f>
        <v>54.52</v>
      </c>
      <c r="D1277" s="1">
        <f>IFERROR(__xludf.DUMMYFUNCTION("""COMPUTED_VALUE"""),52.99)</f>
        <v>52.99</v>
      </c>
      <c r="E1277" s="1">
        <f>IFERROR(__xludf.DUMMYFUNCTION("""COMPUTED_VALUE"""),53.23)</f>
        <v>53.23</v>
      </c>
      <c r="F1277" s="1">
        <f>IFERROR(__xludf.DUMMYFUNCTION("""COMPUTED_VALUE"""),2.00366E7)</f>
        <v>20036600</v>
      </c>
    </row>
    <row r="1278">
      <c r="A1278" s="2">
        <f>IFERROR(__xludf.DUMMYFUNCTION("""COMPUTED_VALUE"""),38384.666666666664)</f>
        <v>38384.66667</v>
      </c>
      <c r="B1278" s="1">
        <f>IFERROR(__xludf.DUMMYFUNCTION("""COMPUTED_VALUE"""),53.45)</f>
        <v>53.45</v>
      </c>
      <c r="C1278" s="1">
        <f>IFERROR(__xludf.DUMMYFUNCTION("""COMPUTED_VALUE"""),53.45)</f>
        <v>53.45</v>
      </c>
      <c r="D1278" s="1">
        <f>IFERROR(__xludf.DUMMYFUNCTION("""COMPUTED_VALUE"""),52.69)</f>
        <v>52.69</v>
      </c>
      <c r="E1278" s="1">
        <f>IFERROR(__xludf.DUMMYFUNCTION("""COMPUTED_VALUE"""),52.87)</f>
        <v>52.87</v>
      </c>
      <c r="F1278" s="1">
        <f>IFERROR(__xludf.DUMMYFUNCTION("""COMPUTED_VALUE"""),1.39831E7)</f>
        <v>13983100</v>
      </c>
    </row>
    <row r="1279">
      <c r="A1279" s="2">
        <f>IFERROR(__xludf.DUMMYFUNCTION("""COMPUTED_VALUE"""),38385.666666666664)</f>
        <v>38385.66667</v>
      </c>
      <c r="B1279" s="1">
        <f>IFERROR(__xludf.DUMMYFUNCTION("""COMPUTED_VALUE"""),53.01)</f>
        <v>53.01</v>
      </c>
      <c r="C1279" s="1">
        <f>IFERROR(__xludf.DUMMYFUNCTION("""COMPUTED_VALUE"""),53.6)</f>
        <v>53.6</v>
      </c>
      <c r="D1279" s="1">
        <f>IFERROR(__xludf.DUMMYFUNCTION("""COMPUTED_VALUE"""),52.99)</f>
        <v>52.99</v>
      </c>
      <c r="E1279" s="1">
        <f>IFERROR(__xludf.DUMMYFUNCTION("""COMPUTED_VALUE"""),53.4)</f>
        <v>53.4</v>
      </c>
      <c r="F1279" s="1">
        <f>IFERROR(__xludf.DUMMYFUNCTION("""COMPUTED_VALUE"""),1.31506E7)</f>
        <v>13150600</v>
      </c>
    </row>
    <row r="1280">
      <c r="A1280" s="2">
        <f>IFERROR(__xludf.DUMMYFUNCTION("""COMPUTED_VALUE"""),38386.666666666664)</f>
        <v>38386.66667</v>
      </c>
      <c r="B1280" s="1">
        <f>IFERROR(__xludf.DUMMYFUNCTION("""COMPUTED_VALUE"""),53.34)</f>
        <v>53.34</v>
      </c>
      <c r="C1280" s="1">
        <f>IFERROR(__xludf.DUMMYFUNCTION("""COMPUTED_VALUE"""),53.44)</f>
        <v>53.44</v>
      </c>
      <c r="D1280" s="1">
        <f>IFERROR(__xludf.DUMMYFUNCTION("""COMPUTED_VALUE"""),53.09)</f>
        <v>53.09</v>
      </c>
      <c r="E1280" s="1">
        <f>IFERROR(__xludf.DUMMYFUNCTION("""COMPUTED_VALUE"""),53.24)</f>
        <v>53.24</v>
      </c>
      <c r="F1280" s="1">
        <f>IFERROR(__xludf.DUMMYFUNCTION("""COMPUTED_VALUE"""),1.34256E7)</f>
        <v>13425600</v>
      </c>
    </row>
    <row r="1281">
      <c r="A1281" s="2">
        <f>IFERROR(__xludf.DUMMYFUNCTION("""COMPUTED_VALUE"""),38387.666666666664)</f>
        <v>38387.66667</v>
      </c>
      <c r="B1281" s="1">
        <f>IFERROR(__xludf.DUMMYFUNCTION("""COMPUTED_VALUE"""),53.23)</f>
        <v>53.23</v>
      </c>
      <c r="C1281" s="1">
        <f>IFERROR(__xludf.DUMMYFUNCTION("""COMPUTED_VALUE"""),53.24)</f>
        <v>53.24</v>
      </c>
      <c r="D1281" s="1">
        <f>IFERROR(__xludf.DUMMYFUNCTION("""COMPUTED_VALUE"""),52.34)</f>
        <v>52.34</v>
      </c>
      <c r="E1281" s="1">
        <f>IFERROR(__xludf.DUMMYFUNCTION("""COMPUTED_VALUE"""),52.62)</f>
        <v>52.62</v>
      </c>
      <c r="F1281" s="1">
        <f>IFERROR(__xludf.DUMMYFUNCTION("""COMPUTED_VALUE"""),1.11407E7)</f>
        <v>11140700</v>
      </c>
    </row>
    <row r="1282">
      <c r="A1282" s="2">
        <f>IFERROR(__xludf.DUMMYFUNCTION("""COMPUTED_VALUE"""),38390.666666666664)</f>
        <v>38390.66667</v>
      </c>
      <c r="B1282" s="1">
        <f>IFERROR(__xludf.DUMMYFUNCTION("""COMPUTED_VALUE"""),52.62)</f>
        <v>52.62</v>
      </c>
      <c r="C1282" s="1">
        <f>IFERROR(__xludf.DUMMYFUNCTION("""COMPUTED_VALUE"""),52.99)</f>
        <v>52.99</v>
      </c>
      <c r="D1282" s="1">
        <f>IFERROR(__xludf.DUMMYFUNCTION("""COMPUTED_VALUE"""),52.35)</f>
        <v>52.35</v>
      </c>
      <c r="E1282" s="1">
        <f>IFERROR(__xludf.DUMMYFUNCTION("""COMPUTED_VALUE"""),52.53)</f>
        <v>52.53</v>
      </c>
      <c r="F1282" s="1">
        <f>IFERROR(__xludf.DUMMYFUNCTION("""COMPUTED_VALUE"""),1.05655E7)</f>
        <v>10565500</v>
      </c>
    </row>
    <row r="1283">
      <c r="A1283" s="2">
        <f>IFERROR(__xludf.DUMMYFUNCTION("""COMPUTED_VALUE"""),38391.666666666664)</f>
        <v>38391.66667</v>
      </c>
      <c r="B1283" s="1">
        <f>IFERROR(__xludf.DUMMYFUNCTION("""COMPUTED_VALUE"""),52.53)</f>
        <v>52.53</v>
      </c>
      <c r="C1283" s="1">
        <f>IFERROR(__xludf.DUMMYFUNCTION("""COMPUTED_VALUE"""),52.54)</f>
        <v>52.54</v>
      </c>
      <c r="D1283" s="1">
        <f>IFERROR(__xludf.DUMMYFUNCTION("""COMPUTED_VALUE"""),51.75)</f>
        <v>51.75</v>
      </c>
      <c r="E1283" s="1">
        <f>IFERROR(__xludf.DUMMYFUNCTION("""COMPUTED_VALUE"""),51.98)</f>
        <v>51.98</v>
      </c>
      <c r="F1283" s="1">
        <f>IFERROR(__xludf.DUMMYFUNCTION("""COMPUTED_VALUE"""),1.41048E7)</f>
        <v>14104800</v>
      </c>
    </row>
    <row r="1284">
      <c r="A1284" s="2">
        <f>IFERROR(__xludf.DUMMYFUNCTION("""COMPUTED_VALUE"""),38392.666666666664)</f>
        <v>38392.66667</v>
      </c>
      <c r="B1284" s="1">
        <f>IFERROR(__xludf.DUMMYFUNCTION("""COMPUTED_VALUE"""),52.0)</f>
        <v>52</v>
      </c>
      <c r="C1284" s="1">
        <f>IFERROR(__xludf.DUMMYFUNCTION("""COMPUTED_VALUE"""),52.09)</f>
        <v>52.09</v>
      </c>
      <c r="D1284" s="1">
        <f>IFERROR(__xludf.DUMMYFUNCTION("""COMPUTED_VALUE"""),51.51)</f>
        <v>51.51</v>
      </c>
      <c r="E1284" s="1">
        <f>IFERROR(__xludf.DUMMYFUNCTION("""COMPUTED_VALUE"""),51.51)</f>
        <v>51.51</v>
      </c>
      <c r="F1284" s="1">
        <f>IFERROR(__xludf.DUMMYFUNCTION("""COMPUTED_VALUE"""),1.06392E7)</f>
        <v>10639200</v>
      </c>
    </row>
    <row r="1285">
      <c r="A1285" s="2">
        <f>IFERROR(__xludf.DUMMYFUNCTION("""COMPUTED_VALUE"""),38393.666666666664)</f>
        <v>38393.66667</v>
      </c>
      <c r="B1285" s="1">
        <f>IFERROR(__xludf.DUMMYFUNCTION("""COMPUTED_VALUE"""),51.69)</f>
        <v>51.69</v>
      </c>
      <c r="C1285" s="1">
        <f>IFERROR(__xludf.DUMMYFUNCTION("""COMPUTED_VALUE"""),51.89)</f>
        <v>51.89</v>
      </c>
      <c r="D1285" s="1">
        <f>IFERROR(__xludf.DUMMYFUNCTION("""COMPUTED_VALUE"""),51.16)</f>
        <v>51.16</v>
      </c>
      <c r="E1285" s="1">
        <f>IFERROR(__xludf.DUMMYFUNCTION("""COMPUTED_VALUE"""),51.62)</f>
        <v>51.62</v>
      </c>
      <c r="F1285" s="1">
        <f>IFERROR(__xludf.DUMMYFUNCTION("""COMPUTED_VALUE"""),1.32246E7)</f>
        <v>13224600</v>
      </c>
    </row>
    <row r="1286">
      <c r="A1286" s="2">
        <f>IFERROR(__xludf.DUMMYFUNCTION("""COMPUTED_VALUE"""),38394.666666666664)</f>
        <v>38394.66667</v>
      </c>
      <c r="B1286" s="1">
        <f>IFERROR(__xludf.DUMMYFUNCTION("""COMPUTED_VALUE"""),51.7)</f>
        <v>51.7</v>
      </c>
      <c r="C1286" s="1">
        <f>IFERROR(__xludf.DUMMYFUNCTION("""COMPUTED_VALUE"""),52.28)</f>
        <v>52.28</v>
      </c>
      <c r="D1286" s="1">
        <f>IFERROR(__xludf.DUMMYFUNCTION("""COMPUTED_VALUE"""),51.56)</f>
        <v>51.56</v>
      </c>
      <c r="E1286" s="1">
        <f>IFERROR(__xludf.DUMMYFUNCTION("""COMPUTED_VALUE"""),52.15)</f>
        <v>52.15</v>
      </c>
      <c r="F1286" s="1">
        <f>IFERROR(__xludf.DUMMYFUNCTION("""COMPUTED_VALUE"""),1.03505E7)</f>
        <v>10350500</v>
      </c>
    </row>
    <row r="1287">
      <c r="A1287" s="2">
        <f>IFERROR(__xludf.DUMMYFUNCTION("""COMPUTED_VALUE"""),38397.666666666664)</f>
        <v>38397.66667</v>
      </c>
      <c r="B1287" s="1">
        <f>IFERROR(__xludf.DUMMYFUNCTION("""COMPUTED_VALUE"""),52.41)</f>
        <v>52.41</v>
      </c>
      <c r="C1287" s="1">
        <f>IFERROR(__xludf.DUMMYFUNCTION("""COMPUTED_VALUE"""),52.82)</f>
        <v>52.82</v>
      </c>
      <c r="D1287" s="1">
        <f>IFERROR(__xludf.DUMMYFUNCTION("""COMPUTED_VALUE"""),52.33)</f>
        <v>52.33</v>
      </c>
      <c r="E1287" s="1">
        <f>IFERROR(__xludf.DUMMYFUNCTION("""COMPUTED_VALUE"""),52.7)</f>
        <v>52.7</v>
      </c>
      <c r="F1287" s="1">
        <f>IFERROR(__xludf.DUMMYFUNCTION("""COMPUTED_VALUE"""),1.37315E7)</f>
        <v>13731500</v>
      </c>
    </row>
    <row r="1288">
      <c r="A1288" s="2">
        <f>IFERROR(__xludf.DUMMYFUNCTION("""COMPUTED_VALUE"""),38398.666666666664)</f>
        <v>38398.66667</v>
      </c>
      <c r="B1288" s="1">
        <f>IFERROR(__xludf.DUMMYFUNCTION("""COMPUTED_VALUE"""),52.89)</f>
        <v>52.89</v>
      </c>
      <c r="C1288" s="1">
        <f>IFERROR(__xludf.DUMMYFUNCTION("""COMPUTED_VALUE"""),53.62)</f>
        <v>53.62</v>
      </c>
      <c r="D1288" s="1">
        <f>IFERROR(__xludf.DUMMYFUNCTION("""COMPUTED_VALUE"""),52.71)</f>
        <v>52.71</v>
      </c>
      <c r="E1288" s="1">
        <f>IFERROR(__xludf.DUMMYFUNCTION("""COMPUTED_VALUE"""),53.48)</f>
        <v>53.48</v>
      </c>
      <c r="F1288" s="1">
        <f>IFERROR(__xludf.DUMMYFUNCTION("""COMPUTED_VALUE"""),9686100.0)</f>
        <v>9686100</v>
      </c>
    </row>
    <row r="1289">
      <c r="A1289" s="2">
        <f>IFERROR(__xludf.DUMMYFUNCTION("""COMPUTED_VALUE"""),38399.666666666664)</f>
        <v>38399.66667</v>
      </c>
      <c r="B1289" s="1">
        <f>IFERROR(__xludf.DUMMYFUNCTION("""COMPUTED_VALUE"""),53.49)</f>
        <v>53.49</v>
      </c>
      <c r="C1289" s="1">
        <f>IFERROR(__xludf.DUMMYFUNCTION("""COMPUTED_VALUE"""),53.49)</f>
        <v>53.49</v>
      </c>
      <c r="D1289" s="1">
        <f>IFERROR(__xludf.DUMMYFUNCTION("""COMPUTED_VALUE"""),53.15)</f>
        <v>53.15</v>
      </c>
      <c r="E1289" s="1">
        <f>IFERROR(__xludf.DUMMYFUNCTION("""COMPUTED_VALUE"""),53.31)</f>
        <v>53.31</v>
      </c>
      <c r="F1289" s="1">
        <f>IFERROR(__xludf.DUMMYFUNCTION("""COMPUTED_VALUE"""),9477200.0)</f>
        <v>9477200</v>
      </c>
    </row>
    <row r="1290">
      <c r="A1290" s="2">
        <f>IFERROR(__xludf.DUMMYFUNCTION("""COMPUTED_VALUE"""),38400.666666666664)</f>
        <v>38400.66667</v>
      </c>
      <c r="B1290" s="1">
        <f>IFERROR(__xludf.DUMMYFUNCTION("""COMPUTED_VALUE"""),53.29)</f>
        <v>53.29</v>
      </c>
      <c r="C1290" s="1">
        <f>IFERROR(__xludf.DUMMYFUNCTION("""COMPUTED_VALUE"""),53.46)</f>
        <v>53.46</v>
      </c>
      <c r="D1290" s="1">
        <f>IFERROR(__xludf.DUMMYFUNCTION("""COMPUTED_VALUE"""),53.09)</f>
        <v>53.09</v>
      </c>
      <c r="E1290" s="1">
        <f>IFERROR(__xludf.DUMMYFUNCTION("""COMPUTED_VALUE"""),53.33)</f>
        <v>53.33</v>
      </c>
      <c r="F1290" s="1">
        <f>IFERROR(__xludf.DUMMYFUNCTION("""COMPUTED_VALUE"""),6178600.0)</f>
        <v>6178600</v>
      </c>
    </row>
    <row r="1291">
      <c r="A1291" s="2">
        <f>IFERROR(__xludf.DUMMYFUNCTION("""COMPUTED_VALUE"""),38401.666666666664)</f>
        <v>38401.66667</v>
      </c>
      <c r="B1291" s="1">
        <f>IFERROR(__xludf.DUMMYFUNCTION("""COMPUTED_VALUE"""),53.33)</f>
        <v>53.33</v>
      </c>
      <c r="C1291" s="1">
        <f>IFERROR(__xludf.DUMMYFUNCTION("""COMPUTED_VALUE"""),53.92)</f>
        <v>53.92</v>
      </c>
      <c r="D1291" s="1">
        <f>IFERROR(__xludf.DUMMYFUNCTION("""COMPUTED_VALUE"""),53.22)</f>
        <v>53.22</v>
      </c>
      <c r="E1291" s="1">
        <f>IFERROR(__xludf.DUMMYFUNCTION("""COMPUTED_VALUE"""),53.5)</f>
        <v>53.5</v>
      </c>
      <c r="F1291" s="1">
        <f>IFERROR(__xludf.DUMMYFUNCTION("""COMPUTED_VALUE"""),9683600.0)</f>
        <v>9683600</v>
      </c>
    </row>
    <row r="1292">
      <c r="A1292" s="2">
        <f>IFERROR(__xludf.DUMMYFUNCTION("""COMPUTED_VALUE"""),38405.666666666664)</f>
        <v>38405.66667</v>
      </c>
      <c r="B1292" s="1">
        <f>IFERROR(__xludf.DUMMYFUNCTION("""COMPUTED_VALUE"""),53.15)</f>
        <v>53.15</v>
      </c>
      <c r="C1292" s="1">
        <f>IFERROR(__xludf.DUMMYFUNCTION("""COMPUTED_VALUE"""),53.33)</f>
        <v>53.33</v>
      </c>
      <c r="D1292" s="1">
        <f>IFERROR(__xludf.DUMMYFUNCTION("""COMPUTED_VALUE"""),52.25)</f>
        <v>52.25</v>
      </c>
      <c r="E1292" s="1">
        <f>IFERROR(__xludf.DUMMYFUNCTION("""COMPUTED_VALUE"""),52.25)</f>
        <v>52.25</v>
      </c>
      <c r="F1292" s="1">
        <f>IFERROR(__xludf.DUMMYFUNCTION("""COMPUTED_VALUE"""),9412300.0)</f>
        <v>9412300</v>
      </c>
    </row>
    <row r="1293">
      <c r="A1293" s="2">
        <f>IFERROR(__xludf.DUMMYFUNCTION("""COMPUTED_VALUE"""),38406.666666666664)</f>
        <v>38406.66667</v>
      </c>
      <c r="B1293" s="1">
        <f>IFERROR(__xludf.DUMMYFUNCTION("""COMPUTED_VALUE"""),53.15)</f>
        <v>53.15</v>
      </c>
      <c r="C1293" s="1">
        <f>IFERROR(__xludf.DUMMYFUNCTION("""COMPUTED_VALUE"""),53.72)</f>
        <v>53.72</v>
      </c>
      <c r="D1293" s="1">
        <f>IFERROR(__xludf.DUMMYFUNCTION("""COMPUTED_VALUE"""),52.89)</f>
        <v>52.89</v>
      </c>
      <c r="E1293" s="1">
        <f>IFERROR(__xludf.DUMMYFUNCTION("""COMPUTED_VALUE"""),53.49)</f>
        <v>53.49</v>
      </c>
      <c r="F1293" s="1">
        <f>IFERROR(__xludf.DUMMYFUNCTION("""COMPUTED_VALUE"""),8675600.0)</f>
        <v>8675600</v>
      </c>
    </row>
    <row r="1294">
      <c r="A1294" s="2">
        <f>IFERROR(__xludf.DUMMYFUNCTION("""COMPUTED_VALUE"""),38407.666666666664)</f>
        <v>38407.66667</v>
      </c>
      <c r="B1294" s="1">
        <f>IFERROR(__xludf.DUMMYFUNCTION("""COMPUTED_VALUE"""),53.6)</f>
        <v>53.6</v>
      </c>
      <c r="C1294" s="1">
        <f>IFERROR(__xludf.DUMMYFUNCTION("""COMPUTED_VALUE"""),53.9)</f>
        <v>53.9</v>
      </c>
      <c r="D1294" s="1">
        <f>IFERROR(__xludf.DUMMYFUNCTION("""COMPUTED_VALUE"""),53.49)</f>
        <v>53.49</v>
      </c>
      <c r="E1294" s="1">
        <f>IFERROR(__xludf.DUMMYFUNCTION("""COMPUTED_VALUE"""),53.83)</f>
        <v>53.83</v>
      </c>
      <c r="F1294" s="1">
        <f>IFERROR(__xludf.DUMMYFUNCTION("""COMPUTED_VALUE"""),1.00818E7)</f>
        <v>10081800</v>
      </c>
    </row>
    <row r="1295">
      <c r="A1295" s="2">
        <f>IFERROR(__xludf.DUMMYFUNCTION("""COMPUTED_VALUE"""),38408.666666666664)</f>
        <v>38408.66667</v>
      </c>
      <c r="B1295" s="1">
        <f>IFERROR(__xludf.DUMMYFUNCTION("""COMPUTED_VALUE"""),53.83)</f>
        <v>53.83</v>
      </c>
      <c r="C1295" s="1">
        <f>IFERROR(__xludf.DUMMYFUNCTION("""COMPUTED_VALUE"""),54.19)</f>
        <v>54.19</v>
      </c>
      <c r="D1295" s="1">
        <f>IFERROR(__xludf.DUMMYFUNCTION("""COMPUTED_VALUE"""),53.76)</f>
        <v>53.76</v>
      </c>
      <c r="E1295" s="1">
        <f>IFERROR(__xludf.DUMMYFUNCTION("""COMPUTED_VALUE"""),54.19)</f>
        <v>54.19</v>
      </c>
      <c r="F1295" s="1">
        <f>IFERROR(__xludf.DUMMYFUNCTION("""COMPUTED_VALUE"""),6688000.0)</f>
        <v>6688000</v>
      </c>
    </row>
    <row r="1296">
      <c r="A1296" s="2">
        <f>IFERROR(__xludf.DUMMYFUNCTION("""COMPUTED_VALUE"""),38411.666666666664)</f>
        <v>38411.66667</v>
      </c>
      <c r="B1296" s="1">
        <f>IFERROR(__xludf.DUMMYFUNCTION("""COMPUTED_VALUE"""),54.19)</f>
        <v>54.19</v>
      </c>
      <c r="C1296" s="1">
        <f>IFERROR(__xludf.DUMMYFUNCTION("""COMPUTED_VALUE"""),54.2)</f>
        <v>54.2</v>
      </c>
      <c r="D1296" s="1">
        <f>IFERROR(__xludf.DUMMYFUNCTION("""COMPUTED_VALUE"""),53.0)</f>
        <v>53</v>
      </c>
      <c r="E1296" s="1">
        <f>IFERROR(__xludf.DUMMYFUNCTION("""COMPUTED_VALUE"""),53.09)</f>
        <v>53.09</v>
      </c>
      <c r="F1296" s="1">
        <f>IFERROR(__xludf.DUMMYFUNCTION("""COMPUTED_VALUE"""),8731200.0)</f>
        <v>8731200</v>
      </c>
    </row>
    <row r="1297">
      <c r="A1297" s="2">
        <f>IFERROR(__xludf.DUMMYFUNCTION("""COMPUTED_VALUE"""),38412.666666666664)</f>
        <v>38412.66667</v>
      </c>
      <c r="B1297" s="1">
        <f>IFERROR(__xludf.DUMMYFUNCTION("""COMPUTED_VALUE"""),53.09)</f>
        <v>53.09</v>
      </c>
      <c r="C1297" s="1">
        <f>IFERROR(__xludf.DUMMYFUNCTION("""COMPUTED_VALUE"""),53.55)</f>
        <v>53.55</v>
      </c>
      <c r="D1297" s="1">
        <f>IFERROR(__xludf.DUMMYFUNCTION("""COMPUTED_VALUE"""),53.09)</f>
        <v>53.09</v>
      </c>
      <c r="E1297" s="1">
        <f>IFERROR(__xludf.DUMMYFUNCTION("""COMPUTED_VALUE"""),53.51)</f>
        <v>53.51</v>
      </c>
      <c r="F1297" s="1">
        <f>IFERROR(__xludf.DUMMYFUNCTION("""COMPUTED_VALUE"""),7072500.0)</f>
        <v>7072500</v>
      </c>
    </row>
    <row r="1298">
      <c r="A1298" s="2">
        <f>IFERROR(__xludf.DUMMYFUNCTION("""COMPUTED_VALUE"""),38413.666666666664)</f>
        <v>38413.66667</v>
      </c>
      <c r="B1298" s="1">
        <f>IFERROR(__xludf.DUMMYFUNCTION("""COMPUTED_VALUE"""),53.26)</f>
        <v>53.26</v>
      </c>
      <c r="C1298" s="1">
        <f>IFERROR(__xludf.DUMMYFUNCTION("""COMPUTED_VALUE"""),53.79)</f>
        <v>53.79</v>
      </c>
      <c r="D1298" s="1">
        <f>IFERROR(__xludf.DUMMYFUNCTION("""COMPUTED_VALUE"""),53.25)</f>
        <v>53.25</v>
      </c>
      <c r="E1298" s="1">
        <f>IFERROR(__xludf.DUMMYFUNCTION("""COMPUTED_VALUE"""),53.59)</f>
        <v>53.59</v>
      </c>
      <c r="F1298" s="1">
        <f>IFERROR(__xludf.DUMMYFUNCTION("""COMPUTED_VALUE"""),5151600.0)</f>
        <v>5151600</v>
      </c>
    </row>
    <row r="1299">
      <c r="A1299" s="2">
        <f>IFERROR(__xludf.DUMMYFUNCTION("""COMPUTED_VALUE"""),38414.666666666664)</f>
        <v>38414.66667</v>
      </c>
      <c r="B1299" s="1">
        <f>IFERROR(__xludf.DUMMYFUNCTION("""COMPUTED_VALUE"""),53.78)</f>
        <v>53.78</v>
      </c>
      <c r="C1299" s="1">
        <f>IFERROR(__xludf.DUMMYFUNCTION("""COMPUTED_VALUE"""),53.84)</f>
        <v>53.84</v>
      </c>
      <c r="D1299" s="1">
        <f>IFERROR(__xludf.DUMMYFUNCTION("""COMPUTED_VALUE"""),53.35)</f>
        <v>53.35</v>
      </c>
      <c r="E1299" s="1">
        <f>IFERROR(__xludf.DUMMYFUNCTION("""COMPUTED_VALUE"""),53.48)</f>
        <v>53.48</v>
      </c>
      <c r="F1299" s="1">
        <f>IFERROR(__xludf.DUMMYFUNCTION("""COMPUTED_VALUE"""),6382700.0)</f>
        <v>6382700</v>
      </c>
    </row>
    <row r="1300">
      <c r="A1300" s="2">
        <f>IFERROR(__xludf.DUMMYFUNCTION("""COMPUTED_VALUE"""),38415.666666666664)</f>
        <v>38415.66667</v>
      </c>
      <c r="B1300" s="1">
        <f>IFERROR(__xludf.DUMMYFUNCTION("""COMPUTED_VALUE"""),53.87)</f>
        <v>53.87</v>
      </c>
      <c r="C1300" s="1">
        <f>IFERROR(__xludf.DUMMYFUNCTION("""COMPUTED_VALUE"""),54.0)</f>
        <v>54</v>
      </c>
      <c r="D1300" s="1">
        <f>IFERROR(__xludf.DUMMYFUNCTION("""COMPUTED_VALUE"""),53.68)</f>
        <v>53.68</v>
      </c>
      <c r="E1300" s="1">
        <f>IFERROR(__xludf.DUMMYFUNCTION("""COMPUTED_VALUE"""),53.85)</f>
        <v>53.85</v>
      </c>
      <c r="F1300" s="1">
        <f>IFERROR(__xludf.DUMMYFUNCTION("""COMPUTED_VALUE"""),4552200.0)</f>
        <v>4552200</v>
      </c>
    </row>
    <row r="1301">
      <c r="A1301" s="2">
        <f>IFERROR(__xludf.DUMMYFUNCTION("""COMPUTED_VALUE"""),38418.666666666664)</f>
        <v>38418.66667</v>
      </c>
      <c r="B1301" s="1">
        <f>IFERROR(__xludf.DUMMYFUNCTION("""COMPUTED_VALUE"""),53.98)</f>
        <v>53.98</v>
      </c>
      <c r="C1301" s="1">
        <f>IFERROR(__xludf.DUMMYFUNCTION("""COMPUTED_VALUE"""),53.98)</f>
        <v>53.98</v>
      </c>
      <c r="D1301" s="1">
        <f>IFERROR(__xludf.DUMMYFUNCTION("""COMPUTED_VALUE"""),53.68)</f>
        <v>53.68</v>
      </c>
      <c r="E1301" s="1">
        <f>IFERROR(__xludf.DUMMYFUNCTION("""COMPUTED_VALUE"""),53.7)</f>
        <v>53.7</v>
      </c>
      <c r="F1301" s="1">
        <f>IFERROR(__xludf.DUMMYFUNCTION("""COMPUTED_VALUE"""),4420400.0)</f>
        <v>4420400</v>
      </c>
    </row>
    <row r="1302">
      <c r="A1302" s="2">
        <f>IFERROR(__xludf.DUMMYFUNCTION("""COMPUTED_VALUE"""),38419.666666666664)</f>
        <v>38419.66667</v>
      </c>
      <c r="B1302" s="1">
        <f>IFERROR(__xludf.DUMMYFUNCTION("""COMPUTED_VALUE"""),53.7)</f>
        <v>53.7</v>
      </c>
      <c r="C1302" s="1">
        <f>IFERROR(__xludf.DUMMYFUNCTION("""COMPUTED_VALUE"""),53.76)</f>
        <v>53.76</v>
      </c>
      <c r="D1302" s="1">
        <f>IFERROR(__xludf.DUMMYFUNCTION("""COMPUTED_VALUE"""),53.3)</f>
        <v>53.3</v>
      </c>
      <c r="E1302" s="1">
        <f>IFERROR(__xludf.DUMMYFUNCTION("""COMPUTED_VALUE"""),53.35)</f>
        <v>53.35</v>
      </c>
      <c r="F1302" s="1">
        <f>IFERROR(__xludf.DUMMYFUNCTION("""COMPUTED_VALUE"""),4997300.0)</f>
        <v>4997300</v>
      </c>
    </row>
    <row r="1303">
      <c r="A1303" s="2">
        <f>IFERROR(__xludf.DUMMYFUNCTION("""COMPUTED_VALUE"""),38420.666666666664)</f>
        <v>38420.66667</v>
      </c>
      <c r="B1303" s="1">
        <f>IFERROR(__xludf.DUMMYFUNCTION("""COMPUTED_VALUE"""),53.35)</f>
        <v>53.35</v>
      </c>
      <c r="C1303" s="1">
        <f>IFERROR(__xludf.DUMMYFUNCTION("""COMPUTED_VALUE"""),53.5)</f>
        <v>53.5</v>
      </c>
      <c r="D1303" s="1">
        <f>IFERROR(__xludf.DUMMYFUNCTION("""COMPUTED_VALUE"""),52.8)</f>
        <v>52.8</v>
      </c>
      <c r="E1303" s="1">
        <f>IFERROR(__xludf.DUMMYFUNCTION("""COMPUTED_VALUE"""),53.0)</f>
        <v>53</v>
      </c>
      <c r="F1303" s="1">
        <f>IFERROR(__xludf.DUMMYFUNCTION("""COMPUTED_VALUE"""),5103300.0)</f>
        <v>5103300</v>
      </c>
    </row>
    <row r="1304">
      <c r="A1304" s="2">
        <f>IFERROR(__xludf.DUMMYFUNCTION("""COMPUTED_VALUE"""),38421.666666666664)</f>
        <v>38421.66667</v>
      </c>
      <c r="B1304" s="1">
        <f>IFERROR(__xludf.DUMMYFUNCTION("""COMPUTED_VALUE"""),53.04)</f>
        <v>53.04</v>
      </c>
      <c r="C1304" s="1">
        <f>IFERROR(__xludf.DUMMYFUNCTION("""COMPUTED_VALUE"""),53.86)</f>
        <v>53.86</v>
      </c>
      <c r="D1304" s="1">
        <f>IFERROR(__xludf.DUMMYFUNCTION("""COMPUTED_VALUE"""),52.89)</f>
        <v>52.89</v>
      </c>
      <c r="E1304" s="1">
        <f>IFERROR(__xludf.DUMMYFUNCTION("""COMPUTED_VALUE"""),53.27)</f>
        <v>53.27</v>
      </c>
      <c r="F1304" s="1">
        <f>IFERROR(__xludf.DUMMYFUNCTION("""COMPUTED_VALUE"""),6955600.0)</f>
        <v>6955600</v>
      </c>
    </row>
    <row r="1305">
      <c r="A1305" s="2">
        <f>IFERROR(__xludf.DUMMYFUNCTION("""COMPUTED_VALUE"""),38422.666666666664)</f>
        <v>38422.66667</v>
      </c>
      <c r="B1305" s="1">
        <f>IFERROR(__xludf.DUMMYFUNCTION("""COMPUTED_VALUE"""),53.27)</f>
        <v>53.27</v>
      </c>
      <c r="C1305" s="1">
        <f>IFERROR(__xludf.DUMMYFUNCTION("""COMPUTED_VALUE"""),53.44)</f>
        <v>53.44</v>
      </c>
      <c r="D1305" s="1">
        <f>IFERROR(__xludf.DUMMYFUNCTION("""COMPUTED_VALUE"""),52.48)</f>
        <v>52.48</v>
      </c>
      <c r="E1305" s="1">
        <f>IFERROR(__xludf.DUMMYFUNCTION("""COMPUTED_VALUE"""),52.51)</f>
        <v>52.51</v>
      </c>
      <c r="F1305" s="1">
        <f>IFERROR(__xludf.DUMMYFUNCTION("""COMPUTED_VALUE"""),6055900.0)</f>
        <v>6055900</v>
      </c>
    </row>
    <row r="1306">
      <c r="A1306" s="2">
        <f>IFERROR(__xludf.DUMMYFUNCTION("""COMPUTED_VALUE"""),38425.666666666664)</f>
        <v>38425.66667</v>
      </c>
      <c r="B1306" s="1">
        <f>IFERROR(__xludf.DUMMYFUNCTION("""COMPUTED_VALUE"""),52.81)</f>
        <v>52.81</v>
      </c>
      <c r="C1306" s="1">
        <f>IFERROR(__xludf.DUMMYFUNCTION("""COMPUTED_VALUE"""),53.25)</f>
        <v>53.25</v>
      </c>
      <c r="D1306" s="1">
        <f>IFERROR(__xludf.DUMMYFUNCTION("""COMPUTED_VALUE"""),52.53)</f>
        <v>52.53</v>
      </c>
      <c r="E1306" s="1">
        <f>IFERROR(__xludf.DUMMYFUNCTION("""COMPUTED_VALUE"""),53.25)</f>
        <v>53.25</v>
      </c>
      <c r="F1306" s="1">
        <f>IFERROR(__xludf.DUMMYFUNCTION("""COMPUTED_VALUE"""),5334600.0)</f>
        <v>5334600</v>
      </c>
    </row>
    <row r="1307">
      <c r="A1307" s="2">
        <f>IFERROR(__xludf.DUMMYFUNCTION("""COMPUTED_VALUE"""),38426.666666666664)</f>
        <v>38426.66667</v>
      </c>
      <c r="B1307" s="1">
        <f>IFERROR(__xludf.DUMMYFUNCTION("""COMPUTED_VALUE"""),53.35)</f>
        <v>53.35</v>
      </c>
      <c r="C1307" s="1">
        <f>IFERROR(__xludf.DUMMYFUNCTION("""COMPUTED_VALUE"""),53.44)</f>
        <v>53.44</v>
      </c>
      <c r="D1307" s="1">
        <f>IFERROR(__xludf.DUMMYFUNCTION("""COMPUTED_VALUE"""),52.92)</f>
        <v>52.92</v>
      </c>
      <c r="E1307" s="1">
        <f>IFERROR(__xludf.DUMMYFUNCTION("""COMPUTED_VALUE"""),52.92)</f>
        <v>52.92</v>
      </c>
      <c r="F1307" s="1">
        <f>IFERROR(__xludf.DUMMYFUNCTION("""COMPUTED_VALUE"""),4682800.0)</f>
        <v>4682800</v>
      </c>
    </row>
    <row r="1308">
      <c r="A1308" s="2">
        <f>IFERROR(__xludf.DUMMYFUNCTION("""COMPUTED_VALUE"""),38427.666666666664)</f>
        <v>38427.66667</v>
      </c>
      <c r="B1308" s="1">
        <f>IFERROR(__xludf.DUMMYFUNCTION("""COMPUTED_VALUE"""),52.9)</f>
        <v>52.9</v>
      </c>
      <c r="C1308" s="1">
        <f>IFERROR(__xludf.DUMMYFUNCTION("""COMPUTED_VALUE"""),53.3)</f>
        <v>53.3</v>
      </c>
      <c r="D1308" s="1">
        <f>IFERROR(__xludf.DUMMYFUNCTION("""COMPUTED_VALUE"""),52.6)</f>
        <v>52.6</v>
      </c>
      <c r="E1308" s="1">
        <f>IFERROR(__xludf.DUMMYFUNCTION("""COMPUTED_VALUE"""),52.81)</f>
        <v>52.81</v>
      </c>
      <c r="F1308" s="1">
        <f>IFERROR(__xludf.DUMMYFUNCTION("""COMPUTED_VALUE"""),5337600.0)</f>
        <v>5337600</v>
      </c>
    </row>
    <row r="1309">
      <c r="A1309" s="2">
        <f>IFERROR(__xludf.DUMMYFUNCTION("""COMPUTED_VALUE"""),38428.666666666664)</f>
        <v>38428.66667</v>
      </c>
      <c r="B1309" s="1">
        <f>IFERROR(__xludf.DUMMYFUNCTION("""COMPUTED_VALUE"""),52.65)</f>
        <v>52.65</v>
      </c>
      <c r="C1309" s="1">
        <f>IFERROR(__xludf.DUMMYFUNCTION("""COMPUTED_VALUE"""),53.0)</f>
        <v>53</v>
      </c>
      <c r="D1309" s="1">
        <f>IFERROR(__xludf.DUMMYFUNCTION("""COMPUTED_VALUE"""),52.42)</f>
        <v>52.42</v>
      </c>
      <c r="E1309" s="1">
        <f>IFERROR(__xludf.DUMMYFUNCTION("""COMPUTED_VALUE"""),52.75)</f>
        <v>52.75</v>
      </c>
      <c r="F1309" s="1">
        <f>IFERROR(__xludf.DUMMYFUNCTION("""COMPUTED_VALUE"""),5252300.0)</f>
        <v>5252300</v>
      </c>
    </row>
    <row r="1310">
      <c r="A1310" s="2">
        <f>IFERROR(__xludf.DUMMYFUNCTION("""COMPUTED_VALUE"""),38429.666666666664)</f>
        <v>38429.66667</v>
      </c>
      <c r="B1310" s="1">
        <f>IFERROR(__xludf.DUMMYFUNCTION("""COMPUTED_VALUE"""),53.09)</f>
        <v>53.09</v>
      </c>
      <c r="C1310" s="1">
        <f>IFERROR(__xludf.DUMMYFUNCTION("""COMPUTED_VALUE"""),53.5)</f>
        <v>53.5</v>
      </c>
      <c r="D1310" s="1">
        <f>IFERROR(__xludf.DUMMYFUNCTION("""COMPUTED_VALUE"""),52.7)</f>
        <v>52.7</v>
      </c>
      <c r="E1310" s="1">
        <f>IFERROR(__xludf.DUMMYFUNCTION("""COMPUTED_VALUE"""),53.4)</f>
        <v>53.4</v>
      </c>
      <c r="F1310" s="1">
        <f>IFERROR(__xludf.DUMMYFUNCTION("""COMPUTED_VALUE"""),1.14361E7)</f>
        <v>11436100</v>
      </c>
    </row>
    <row r="1311">
      <c r="A1311" s="2">
        <f>IFERROR(__xludf.DUMMYFUNCTION("""COMPUTED_VALUE"""),38432.666666666664)</f>
        <v>38432.66667</v>
      </c>
      <c r="B1311" s="1">
        <f>IFERROR(__xludf.DUMMYFUNCTION("""COMPUTED_VALUE"""),53.55)</f>
        <v>53.55</v>
      </c>
      <c r="C1311" s="1">
        <f>IFERROR(__xludf.DUMMYFUNCTION("""COMPUTED_VALUE"""),53.6)</f>
        <v>53.6</v>
      </c>
      <c r="D1311" s="1">
        <f>IFERROR(__xludf.DUMMYFUNCTION("""COMPUTED_VALUE"""),52.6)</f>
        <v>52.6</v>
      </c>
      <c r="E1311" s="1">
        <f>IFERROR(__xludf.DUMMYFUNCTION("""COMPUTED_VALUE"""),52.74)</f>
        <v>52.74</v>
      </c>
      <c r="F1311" s="1">
        <f>IFERROR(__xludf.DUMMYFUNCTION("""COMPUTED_VALUE"""),5300000.0)</f>
        <v>5300000</v>
      </c>
    </row>
    <row r="1312">
      <c r="A1312" s="2">
        <f>IFERROR(__xludf.DUMMYFUNCTION("""COMPUTED_VALUE"""),38433.666666666664)</f>
        <v>38433.66667</v>
      </c>
      <c r="B1312" s="1">
        <f>IFERROR(__xludf.DUMMYFUNCTION("""COMPUTED_VALUE"""),52.74)</f>
        <v>52.74</v>
      </c>
      <c r="C1312" s="1">
        <f>IFERROR(__xludf.DUMMYFUNCTION("""COMPUTED_VALUE"""),52.79)</f>
        <v>52.79</v>
      </c>
      <c r="D1312" s="1">
        <f>IFERROR(__xludf.DUMMYFUNCTION("""COMPUTED_VALUE"""),51.99)</f>
        <v>51.99</v>
      </c>
      <c r="E1312" s="1">
        <f>IFERROR(__xludf.DUMMYFUNCTION("""COMPUTED_VALUE"""),52.05)</f>
        <v>52.05</v>
      </c>
      <c r="F1312" s="1">
        <f>IFERROR(__xludf.DUMMYFUNCTION("""COMPUTED_VALUE"""),7271600.0)</f>
        <v>7271600</v>
      </c>
    </row>
    <row r="1313">
      <c r="A1313" s="2">
        <f>IFERROR(__xludf.DUMMYFUNCTION("""COMPUTED_VALUE"""),38434.666666666664)</f>
        <v>38434.66667</v>
      </c>
      <c r="B1313" s="1">
        <f>IFERROR(__xludf.DUMMYFUNCTION("""COMPUTED_VALUE"""),52.04)</f>
        <v>52.04</v>
      </c>
      <c r="C1313" s="1">
        <f>IFERROR(__xludf.DUMMYFUNCTION("""COMPUTED_VALUE"""),53.19)</f>
        <v>53.19</v>
      </c>
      <c r="D1313" s="1">
        <f>IFERROR(__xludf.DUMMYFUNCTION("""COMPUTED_VALUE"""),52.04)</f>
        <v>52.04</v>
      </c>
      <c r="E1313" s="1">
        <f>IFERROR(__xludf.DUMMYFUNCTION("""COMPUTED_VALUE"""),52.83)</f>
        <v>52.83</v>
      </c>
      <c r="F1313" s="1">
        <f>IFERROR(__xludf.DUMMYFUNCTION("""COMPUTED_VALUE"""),7772600.0)</f>
        <v>7772600</v>
      </c>
    </row>
    <row r="1314">
      <c r="A1314" s="2">
        <f>IFERROR(__xludf.DUMMYFUNCTION("""COMPUTED_VALUE"""),38435.666666666664)</f>
        <v>38435.66667</v>
      </c>
      <c r="B1314" s="1">
        <f>IFERROR(__xludf.DUMMYFUNCTION("""COMPUTED_VALUE"""),53.0)</f>
        <v>53</v>
      </c>
      <c r="C1314" s="1">
        <f>IFERROR(__xludf.DUMMYFUNCTION("""COMPUTED_VALUE"""),53.2)</f>
        <v>53.2</v>
      </c>
      <c r="D1314" s="1">
        <f>IFERROR(__xludf.DUMMYFUNCTION("""COMPUTED_VALUE"""),52.6)</f>
        <v>52.6</v>
      </c>
      <c r="E1314" s="1">
        <f>IFERROR(__xludf.DUMMYFUNCTION("""COMPUTED_VALUE"""),52.6)</f>
        <v>52.6</v>
      </c>
      <c r="F1314" s="1">
        <f>IFERROR(__xludf.DUMMYFUNCTION("""COMPUTED_VALUE"""),5257000.0)</f>
        <v>5257000</v>
      </c>
    </row>
    <row r="1315">
      <c r="A1315" s="2">
        <f>IFERROR(__xludf.DUMMYFUNCTION("""COMPUTED_VALUE"""),38439.666666666664)</f>
        <v>38439.66667</v>
      </c>
      <c r="B1315" s="1">
        <f>IFERROR(__xludf.DUMMYFUNCTION("""COMPUTED_VALUE"""),52.55)</f>
        <v>52.55</v>
      </c>
      <c r="C1315" s="1">
        <f>IFERROR(__xludf.DUMMYFUNCTION("""COMPUTED_VALUE"""),52.72)</f>
        <v>52.72</v>
      </c>
      <c r="D1315" s="1">
        <f>IFERROR(__xludf.DUMMYFUNCTION("""COMPUTED_VALUE"""),52.22)</f>
        <v>52.22</v>
      </c>
      <c r="E1315" s="1">
        <f>IFERROR(__xludf.DUMMYFUNCTION("""COMPUTED_VALUE"""),52.51)</f>
        <v>52.51</v>
      </c>
      <c r="F1315" s="1">
        <f>IFERROR(__xludf.DUMMYFUNCTION("""COMPUTED_VALUE"""),5758600.0)</f>
        <v>5758600</v>
      </c>
    </row>
    <row r="1316">
      <c r="A1316" s="2">
        <f>IFERROR(__xludf.DUMMYFUNCTION("""COMPUTED_VALUE"""),38440.666666666664)</f>
        <v>38440.66667</v>
      </c>
      <c r="B1316" s="1">
        <f>IFERROR(__xludf.DUMMYFUNCTION("""COMPUTED_VALUE"""),52.4)</f>
        <v>52.4</v>
      </c>
      <c r="C1316" s="1">
        <f>IFERROR(__xludf.DUMMYFUNCTION("""COMPUTED_VALUE"""),52.41)</f>
        <v>52.41</v>
      </c>
      <c r="D1316" s="1">
        <f>IFERROR(__xludf.DUMMYFUNCTION("""COMPUTED_VALUE"""),51.86)</f>
        <v>51.86</v>
      </c>
      <c r="E1316" s="1">
        <f>IFERROR(__xludf.DUMMYFUNCTION("""COMPUTED_VALUE"""),51.86)</f>
        <v>51.86</v>
      </c>
      <c r="F1316" s="1">
        <f>IFERROR(__xludf.DUMMYFUNCTION("""COMPUTED_VALUE"""),7883300.0)</f>
        <v>7883300</v>
      </c>
    </row>
    <row r="1317">
      <c r="A1317" s="2">
        <f>IFERROR(__xludf.DUMMYFUNCTION("""COMPUTED_VALUE"""),38441.666666666664)</f>
        <v>38441.66667</v>
      </c>
      <c r="B1317" s="1">
        <f>IFERROR(__xludf.DUMMYFUNCTION("""COMPUTED_VALUE"""),51.96)</f>
        <v>51.96</v>
      </c>
      <c r="C1317" s="1">
        <f>IFERROR(__xludf.DUMMYFUNCTION("""COMPUTED_VALUE"""),53.56)</f>
        <v>53.56</v>
      </c>
      <c r="D1317" s="1">
        <f>IFERROR(__xludf.DUMMYFUNCTION("""COMPUTED_VALUE"""),51.92)</f>
        <v>51.92</v>
      </c>
      <c r="E1317" s="1">
        <f>IFERROR(__xludf.DUMMYFUNCTION("""COMPUTED_VALUE"""),53.36)</f>
        <v>53.36</v>
      </c>
      <c r="F1317" s="1">
        <f>IFERROR(__xludf.DUMMYFUNCTION("""COMPUTED_VALUE"""),8647100.0)</f>
        <v>8647100</v>
      </c>
    </row>
    <row r="1318">
      <c r="A1318" s="2">
        <f>IFERROR(__xludf.DUMMYFUNCTION("""COMPUTED_VALUE"""),38442.666666666664)</f>
        <v>38442.66667</v>
      </c>
      <c r="B1318" s="1">
        <f>IFERROR(__xludf.DUMMYFUNCTION("""COMPUTED_VALUE"""),53.26)</f>
        <v>53.26</v>
      </c>
      <c r="C1318" s="1">
        <f>IFERROR(__xludf.DUMMYFUNCTION("""COMPUTED_VALUE"""),53.3)</f>
        <v>53.3</v>
      </c>
      <c r="D1318" s="1">
        <f>IFERROR(__xludf.DUMMYFUNCTION("""COMPUTED_VALUE"""),52.76)</f>
        <v>52.76</v>
      </c>
      <c r="E1318" s="1">
        <f>IFERROR(__xludf.DUMMYFUNCTION("""COMPUTED_VALUE"""),53.0)</f>
        <v>53</v>
      </c>
      <c r="F1318" s="1">
        <f>IFERROR(__xludf.DUMMYFUNCTION("""COMPUTED_VALUE"""),5418400.0)</f>
        <v>5418400</v>
      </c>
    </row>
    <row r="1319">
      <c r="A1319" s="2">
        <f>IFERROR(__xludf.DUMMYFUNCTION("""COMPUTED_VALUE"""),38443.666666666664)</f>
        <v>38443.66667</v>
      </c>
      <c r="B1319" s="1">
        <f>IFERROR(__xludf.DUMMYFUNCTION("""COMPUTED_VALUE"""),53.1)</f>
        <v>53.1</v>
      </c>
      <c r="C1319" s="1">
        <f>IFERROR(__xludf.DUMMYFUNCTION("""COMPUTED_VALUE"""),53.42)</f>
        <v>53.42</v>
      </c>
      <c r="D1319" s="1">
        <f>IFERROR(__xludf.DUMMYFUNCTION("""COMPUTED_VALUE"""),52.37)</f>
        <v>52.37</v>
      </c>
      <c r="E1319" s="1">
        <f>IFERROR(__xludf.DUMMYFUNCTION("""COMPUTED_VALUE"""),52.61)</f>
        <v>52.61</v>
      </c>
      <c r="F1319" s="1">
        <f>IFERROR(__xludf.DUMMYFUNCTION("""COMPUTED_VALUE"""),5360300.0)</f>
        <v>5360300</v>
      </c>
    </row>
    <row r="1320">
      <c r="A1320" s="2">
        <f>IFERROR(__xludf.DUMMYFUNCTION("""COMPUTED_VALUE"""),38446.666666666664)</f>
        <v>38446.66667</v>
      </c>
      <c r="B1320" s="1">
        <f>IFERROR(__xludf.DUMMYFUNCTION("""COMPUTED_VALUE"""),53.18)</f>
        <v>53.18</v>
      </c>
      <c r="C1320" s="1">
        <f>IFERROR(__xludf.DUMMYFUNCTION("""COMPUTED_VALUE"""),54.0)</f>
        <v>54</v>
      </c>
      <c r="D1320" s="1">
        <f>IFERROR(__xludf.DUMMYFUNCTION("""COMPUTED_VALUE"""),52.92)</f>
        <v>52.92</v>
      </c>
      <c r="E1320" s="1">
        <f>IFERROR(__xludf.DUMMYFUNCTION("""COMPUTED_VALUE"""),53.9)</f>
        <v>53.9</v>
      </c>
      <c r="F1320" s="1">
        <f>IFERROR(__xludf.DUMMYFUNCTION("""COMPUTED_VALUE"""),8448400.0)</f>
        <v>8448400</v>
      </c>
    </row>
    <row r="1321">
      <c r="A1321" s="2">
        <f>IFERROR(__xludf.DUMMYFUNCTION("""COMPUTED_VALUE"""),38447.666666666664)</f>
        <v>38447.66667</v>
      </c>
      <c r="B1321" s="1">
        <f>IFERROR(__xludf.DUMMYFUNCTION("""COMPUTED_VALUE"""),53.98)</f>
        <v>53.98</v>
      </c>
      <c r="C1321" s="1">
        <f>IFERROR(__xludf.DUMMYFUNCTION("""COMPUTED_VALUE"""),54.16)</f>
        <v>54.16</v>
      </c>
      <c r="D1321" s="1">
        <f>IFERROR(__xludf.DUMMYFUNCTION("""COMPUTED_VALUE"""),53.77)</f>
        <v>53.77</v>
      </c>
      <c r="E1321" s="1">
        <f>IFERROR(__xludf.DUMMYFUNCTION("""COMPUTED_VALUE"""),54.0)</f>
        <v>54</v>
      </c>
      <c r="F1321" s="1">
        <f>IFERROR(__xludf.DUMMYFUNCTION("""COMPUTED_VALUE"""),6742200.0)</f>
        <v>6742200</v>
      </c>
    </row>
    <row r="1322">
      <c r="A1322" s="2">
        <f>IFERROR(__xludf.DUMMYFUNCTION("""COMPUTED_VALUE"""),38448.666666666664)</f>
        <v>38448.66667</v>
      </c>
      <c r="B1322" s="1">
        <f>IFERROR(__xludf.DUMMYFUNCTION("""COMPUTED_VALUE"""),54.0)</f>
        <v>54</v>
      </c>
      <c r="C1322" s="1">
        <f>IFERROR(__xludf.DUMMYFUNCTION("""COMPUTED_VALUE"""),54.0)</f>
        <v>54</v>
      </c>
      <c r="D1322" s="1">
        <f>IFERROR(__xludf.DUMMYFUNCTION("""COMPUTED_VALUE"""),53.67)</f>
        <v>53.67</v>
      </c>
      <c r="E1322" s="1">
        <f>IFERROR(__xludf.DUMMYFUNCTION("""COMPUTED_VALUE"""),53.96)</f>
        <v>53.96</v>
      </c>
      <c r="F1322" s="1">
        <f>IFERROR(__xludf.DUMMYFUNCTION("""COMPUTED_VALUE"""),4753200.0)</f>
        <v>4753200</v>
      </c>
    </row>
    <row r="1323">
      <c r="A1323" s="2">
        <f>IFERROR(__xludf.DUMMYFUNCTION("""COMPUTED_VALUE"""),38449.666666666664)</f>
        <v>38449.66667</v>
      </c>
      <c r="B1323" s="1">
        <f>IFERROR(__xludf.DUMMYFUNCTION("""COMPUTED_VALUE"""),54.05)</f>
        <v>54.05</v>
      </c>
      <c r="C1323" s="1">
        <f>IFERROR(__xludf.DUMMYFUNCTION("""COMPUTED_VALUE"""),55.07)</f>
        <v>55.07</v>
      </c>
      <c r="D1323" s="1">
        <f>IFERROR(__xludf.DUMMYFUNCTION("""COMPUTED_VALUE"""),54.0)</f>
        <v>54</v>
      </c>
      <c r="E1323" s="1">
        <f>IFERROR(__xludf.DUMMYFUNCTION("""COMPUTED_VALUE"""),55.07)</f>
        <v>55.07</v>
      </c>
      <c r="F1323" s="1">
        <f>IFERROR(__xludf.DUMMYFUNCTION("""COMPUTED_VALUE"""),8099300.0)</f>
        <v>8099300</v>
      </c>
    </row>
    <row r="1324">
      <c r="A1324" s="2">
        <f>IFERROR(__xludf.DUMMYFUNCTION("""COMPUTED_VALUE"""),38450.666666666664)</f>
        <v>38450.66667</v>
      </c>
      <c r="B1324" s="1">
        <f>IFERROR(__xludf.DUMMYFUNCTION("""COMPUTED_VALUE"""),55.05)</f>
        <v>55.05</v>
      </c>
      <c r="C1324" s="1">
        <f>IFERROR(__xludf.DUMMYFUNCTION("""COMPUTED_VALUE"""),55.06)</f>
        <v>55.06</v>
      </c>
      <c r="D1324" s="1">
        <f>IFERROR(__xludf.DUMMYFUNCTION("""COMPUTED_VALUE"""),54.5)</f>
        <v>54.5</v>
      </c>
      <c r="E1324" s="1">
        <f>IFERROR(__xludf.DUMMYFUNCTION("""COMPUTED_VALUE"""),54.5)</f>
        <v>54.5</v>
      </c>
      <c r="F1324" s="1">
        <f>IFERROR(__xludf.DUMMYFUNCTION("""COMPUTED_VALUE"""),5170800.0)</f>
        <v>5170800</v>
      </c>
    </row>
    <row r="1325">
      <c r="A1325" s="2">
        <f>IFERROR(__xludf.DUMMYFUNCTION("""COMPUTED_VALUE"""),38453.666666666664)</f>
        <v>38453.66667</v>
      </c>
      <c r="B1325" s="1">
        <f>IFERROR(__xludf.DUMMYFUNCTION("""COMPUTED_VALUE"""),54.5)</f>
        <v>54.5</v>
      </c>
      <c r="C1325" s="1">
        <f>IFERROR(__xludf.DUMMYFUNCTION("""COMPUTED_VALUE"""),55.88)</f>
        <v>55.88</v>
      </c>
      <c r="D1325" s="1">
        <f>IFERROR(__xludf.DUMMYFUNCTION("""COMPUTED_VALUE"""),54.5)</f>
        <v>54.5</v>
      </c>
      <c r="E1325" s="1">
        <f>IFERROR(__xludf.DUMMYFUNCTION("""COMPUTED_VALUE"""),55.34)</f>
        <v>55.34</v>
      </c>
      <c r="F1325" s="1">
        <f>IFERROR(__xludf.DUMMYFUNCTION("""COMPUTED_VALUE"""),8835800.0)</f>
        <v>8835800</v>
      </c>
    </row>
    <row r="1326">
      <c r="A1326" s="2">
        <f>IFERROR(__xludf.DUMMYFUNCTION("""COMPUTED_VALUE"""),38454.666666666664)</f>
        <v>38454.66667</v>
      </c>
      <c r="B1326" s="1">
        <f>IFERROR(__xludf.DUMMYFUNCTION("""COMPUTED_VALUE"""),55.03)</f>
        <v>55.03</v>
      </c>
      <c r="C1326" s="1">
        <f>IFERROR(__xludf.DUMMYFUNCTION("""COMPUTED_VALUE"""),55.72)</f>
        <v>55.72</v>
      </c>
      <c r="D1326" s="1">
        <f>IFERROR(__xludf.DUMMYFUNCTION("""COMPUTED_VALUE"""),54.9)</f>
        <v>54.9</v>
      </c>
      <c r="E1326" s="1">
        <f>IFERROR(__xludf.DUMMYFUNCTION("""COMPUTED_VALUE"""),55.52)</f>
        <v>55.52</v>
      </c>
      <c r="F1326" s="1">
        <f>IFERROR(__xludf.DUMMYFUNCTION("""COMPUTED_VALUE"""),6949800.0)</f>
        <v>6949800</v>
      </c>
    </row>
    <row r="1327">
      <c r="A1327" s="2">
        <f>IFERROR(__xludf.DUMMYFUNCTION("""COMPUTED_VALUE"""),38455.666666666664)</f>
        <v>38455.66667</v>
      </c>
      <c r="B1327" s="1">
        <f>IFERROR(__xludf.DUMMYFUNCTION("""COMPUTED_VALUE"""),55.37)</f>
        <v>55.37</v>
      </c>
      <c r="C1327" s="1">
        <f>IFERROR(__xludf.DUMMYFUNCTION("""COMPUTED_VALUE"""),55.66)</f>
        <v>55.66</v>
      </c>
      <c r="D1327" s="1">
        <f>IFERROR(__xludf.DUMMYFUNCTION("""COMPUTED_VALUE"""),54.81)</f>
        <v>54.81</v>
      </c>
      <c r="E1327" s="1">
        <f>IFERROR(__xludf.DUMMYFUNCTION("""COMPUTED_VALUE"""),55.21)</f>
        <v>55.21</v>
      </c>
      <c r="F1327" s="1">
        <f>IFERROR(__xludf.DUMMYFUNCTION("""COMPUTED_VALUE"""),6969800.0)</f>
        <v>6969800</v>
      </c>
    </row>
    <row r="1328">
      <c r="A1328" s="2">
        <f>IFERROR(__xludf.DUMMYFUNCTION("""COMPUTED_VALUE"""),38456.666666666664)</f>
        <v>38456.66667</v>
      </c>
      <c r="B1328" s="1">
        <f>IFERROR(__xludf.DUMMYFUNCTION("""COMPUTED_VALUE"""),55.28)</f>
        <v>55.28</v>
      </c>
      <c r="C1328" s="1">
        <f>IFERROR(__xludf.DUMMYFUNCTION("""COMPUTED_VALUE"""),55.6)</f>
        <v>55.6</v>
      </c>
      <c r="D1328" s="1">
        <f>IFERROR(__xludf.DUMMYFUNCTION("""COMPUTED_VALUE"""),54.98)</f>
        <v>54.98</v>
      </c>
      <c r="E1328" s="1">
        <f>IFERROR(__xludf.DUMMYFUNCTION("""COMPUTED_VALUE"""),55.0)</f>
        <v>55</v>
      </c>
      <c r="F1328" s="1">
        <f>IFERROR(__xludf.DUMMYFUNCTION("""COMPUTED_VALUE"""),8282700.0)</f>
        <v>8282700</v>
      </c>
    </row>
    <row r="1329">
      <c r="A1329" s="2">
        <f>IFERROR(__xludf.DUMMYFUNCTION("""COMPUTED_VALUE"""),38457.666666666664)</f>
        <v>38457.66667</v>
      </c>
      <c r="B1329" s="1">
        <f>IFERROR(__xludf.DUMMYFUNCTION("""COMPUTED_VALUE"""),55.0)</f>
        <v>55</v>
      </c>
      <c r="C1329" s="1">
        <f>IFERROR(__xludf.DUMMYFUNCTION("""COMPUTED_VALUE"""),55.48)</f>
        <v>55.48</v>
      </c>
      <c r="D1329" s="1">
        <f>IFERROR(__xludf.DUMMYFUNCTION("""COMPUTED_VALUE"""),54.6)</f>
        <v>54.6</v>
      </c>
      <c r="E1329" s="1">
        <f>IFERROR(__xludf.DUMMYFUNCTION("""COMPUTED_VALUE"""),54.8)</f>
        <v>54.8</v>
      </c>
      <c r="F1329" s="1">
        <f>IFERROR(__xludf.DUMMYFUNCTION("""COMPUTED_VALUE"""),9490800.0)</f>
        <v>9490800</v>
      </c>
    </row>
    <row r="1330">
      <c r="A1330" s="2">
        <f>IFERROR(__xludf.DUMMYFUNCTION("""COMPUTED_VALUE"""),38460.666666666664)</f>
        <v>38460.66667</v>
      </c>
      <c r="B1330" s="1">
        <f>IFERROR(__xludf.DUMMYFUNCTION("""COMPUTED_VALUE"""),54.8)</f>
        <v>54.8</v>
      </c>
      <c r="C1330" s="1">
        <f>IFERROR(__xludf.DUMMYFUNCTION("""COMPUTED_VALUE"""),54.98)</f>
        <v>54.98</v>
      </c>
      <c r="D1330" s="1">
        <f>IFERROR(__xludf.DUMMYFUNCTION("""COMPUTED_VALUE"""),54.13)</f>
        <v>54.13</v>
      </c>
      <c r="E1330" s="1">
        <f>IFERROR(__xludf.DUMMYFUNCTION("""COMPUTED_VALUE"""),54.6)</f>
        <v>54.6</v>
      </c>
      <c r="F1330" s="1">
        <f>IFERROR(__xludf.DUMMYFUNCTION("""COMPUTED_VALUE"""),7933900.0)</f>
        <v>7933900</v>
      </c>
    </row>
    <row r="1331">
      <c r="A1331" s="2">
        <f>IFERROR(__xludf.DUMMYFUNCTION("""COMPUTED_VALUE"""),38461.666666666664)</f>
        <v>38461.66667</v>
      </c>
      <c r="B1331" s="1">
        <f>IFERROR(__xludf.DUMMYFUNCTION("""COMPUTED_VALUE"""),54.44)</f>
        <v>54.44</v>
      </c>
      <c r="C1331" s="1">
        <f>IFERROR(__xludf.DUMMYFUNCTION("""COMPUTED_VALUE"""),55.0)</f>
        <v>55</v>
      </c>
      <c r="D1331" s="1">
        <f>IFERROR(__xludf.DUMMYFUNCTION("""COMPUTED_VALUE"""),54.11)</f>
        <v>54.11</v>
      </c>
      <c r="E1331" s="1">
        <f>IFERROR(__xludf.DUMMYFUNCTION("""COMPUTED_VALUE"""),54.33)</f>
        <v>54.33</v>
      </c>
      <c r="F1331" s="1">
        <f>IFERROR(__xludf.DUMMYFUNCTION("""COMPUTED_VALUE"""),7878500.0)</f>
        <v>7878500</v>
      </c>
    </row>
    <row r="1332">
      <c r="A1332" s="2">
        <f>IFERROR(__xludf.DUMMYFUNCTION("""COMPUTED_VALUE"""),38462.666666666664)</f>
        <v>38462.66667</v>
      </c>
      <c r="B1332" s="1">
        <f>IFERROR(__xludf.DUMMYFUNCTION("""COMPUTED_VALUE"""),53.96)</f>
        <v>53.96</v>
      </c>
      <c r="C1332" s="1">
        <f>IFERROR(__xludf.DUMMYFUNCTION("""COMPUTED_VALUE"""),54.16)</f>
        <v>54.16</v>
      </c>
      <c r="D1332" s="1">
        <f>IFERROR(__xludf.DUMMYFUNCTION("""COMPUTED_VALUE"""),53.25)</f>
        <v>53.25</v>
      </c>
      <c r="E1332" s="1">
        <f>IFERROR(__xludf.DUMMYFUNCTION("""COMPUTED_VALUE"""),53.39)</f>
        <v>53.39</v>
      </c>
      <c r="F1332" s="1">
        <f>IFERROR(__xludf.DUMMYFUNCTION("""COMPUTED_VALUE"""),6512200.0)</f>
        <v>6512200</v>
      </c>
    </row>
    <row r="1333">
      <c r="A1333" s="2">
        <f>IFERROR(__xludf.DUMMYFUNCTION("""COMPUTED_VALUE"""),38463.666666666664)</f>
        <v>38463.66667</v>
      </c>
      <c r="B1333" s="1">
        <f>IFERROR(__xludf.DUMMYFUNCTION("""COMPUTED_VALUE"""),53.9)</f>
        <v>53.9</v>
      </c>
      <c r="C1333" s="1">
        <f>IFERROR(__xludf.DUMMYFUNCTION("""COMPUTED_VALUE"""),54.19)</f>
        <v>54.19</v>
      </c>
      <c r="D1333" s="1">
        <f>IFERROR(__xludf.DUMMYFUNCTION("""COMPUTED_VALUE"""),53.3)</f>
        <v>53.3</v>
      </c>
      <c r="E1333" s="1">
        <f>IFERROR(__xludf.DUMMYFUNCTION("""COMPUTED_VALUE"""),54.19)</f>
        <v>54.19</v>
      </c>
      <c r="F1333" s="1">
        <f>IFERROR(__xludf.DUMMYFUNCTION("""COMPUTED_VALUE"""),5018300.0)</f>
        <v>5018300</v>
      </c>
    </row>
    <row r="1334">
      <c r="A1334" s="2">
        <f>IFERROR(__xludf.DUMMYFUNCTION("""COMPUTED_VALUE"""),38464.666666666664)</f>
        <v>38464.66667</v>
      </c>
      <c r="B1334" s="1">
        <f>IFERROR(__xludf.DUMMYFUNCTION("""COMPUTED_VALUE"""),54.08)</f>
        <v>54.08</v>
      </c>
      <c r="C1334" s="1">
        <f>IFERROR(__xludf.DUMMYFUNCTION("""COMPUTED_VALUE"""),54.19)</f>
        <v>54.19</v>
      </c>
      <c r="D1334" s="1">
        <f>IFERROR(__xludf.DUMMYFUNCTION("""COMPUTED_VALUE"""),53.35)</f>
        <v>53.35</v>
      </c>
      <c r="E1334" s="1">
        <f>IFERROR(__xludf.DUMMYFUNCTION("""COMPUTED_VALUE"""),53.89)</f>
        <v>53.89</v>
      </c>
      <c r="F1334" s="1">
        <f>IFERROR(__xludf.DUMMYFUNCTION("""COMPUTED_VALUE"""),5991800.0)</f>
        <v>5991800</v>
      </c>
    </row>
    <row r="1335">
      <c r="A1335" s="2">
        <f>IFERROR(__xludf.DUMMYFUNCTION("""COMPUTED_VALUE"""),38467.666666666664)</f>
        <v>38467.66667</v>
      </c>
      <c r="B1335" s="1">
        <f>IFERROR(__xludf.DUMMYFUNCTION("""COMPUTED_VALUE"""),54.13)</f>
        <v>54.13</v>
      </c>
      <c r="C1335" s="1">
        <f>IFERROR(__xludf.DUMMYFUNCTION("""COMPUTED_VALUE"""),54.19)</f>
        <v>54.19</v>
      </c>
      <c r="D1335" s="1">
        <f>IFERROR(__xludf.DUMMYFUNCTION("""COMPUTED_VALUE"""),53.4)</f>
        <v>53.4</v>
      </c>
      <c r="E1335" s="1">
        <f>IFERROR(__xludf.DUMMYFUNCTION("""COMPUTED_VALUE"""),53.83)</f>
        <v>53.83</v>
      </c>
      <c r="F1335" s="1">
        <f>IFERROR(__xludf.DUMMYFUNCTION("""COMPUTED_VALUE"""),6022800.0)</f>
        <v>6022800</v>
      </c>
    </row>
    <row r="1336">
      <c r="A1336" s="2">
        <f>IFERROR(__xludf.DUMMYFUNCTION("""COMPUTED_VALUE"""),38468.666666666664)</f>
        <v>38468.66667</v>
      </c>
      <c r="B1336" s="1">
        <f>IFERROR(__xludf.DUMMYFUNCTION("""COMPUTED_VALUE"""),53.66)</f>
        <v>53.66</v>
      </c>
      <c r="C1336" s="1">
        <f>IFERROR(__xludf.DUMMYFUNCTION("""COMPUTED_VALUE"""),53.87)</f>
        <v>53.87</v>
      </c>
      <c r="D1336" s="1">
        <f>IFERROR(__xludf.DUMMYFUNCTION("""COMPUTED_VALUE"""),53.37)</f>
        <v>53.37</v>
      </c>
      <c r="E1336" s="1">
        <f>IFERROR(__xludf.DUMMYFUNCTION("""COMPUTED_VALUE"""),53.37)</f>
        <v>53.37</v>
      </c>
      <c r="F1336" s="1">
        <f>IFERROR(__xludf.DUMMYFUNCTION("""COMPUTED_VALUE"""),4113800.0)</f>
        <v>4113800</v>
      </c>
    </row>
    <row r="1337">
      <c r="A1337" s="2">
        <f>IFERROR(__xludf.DUMMYFUNCTION("""COMPUTED_VALUE"""),38469.666666666664)</f>
        <v>38469.66667</v>
      </c>
      <c r="B1337" s="1">
        <f>IFERROR(__xludf.DUMMYFUNCTION("""COMPUTED_VALUE"""),53.17)</f>
        <v>53.17</v>
      </c>
      <c r="C1337" s="1">
        <f>IFERROR(__xludf.DUMMYFUNCTION("""COMPUTED_VALUE"""),53.68)</f>
        <v>53.68</v>
      </c>
      <c r="D1337" s="1">
        <f>IFERROR(__xludf.DUMMYFUNCTION("""COMPUTED_VALUE"""),52.54)</f>
        <v>52.54</v>
      </c>
      <c r="E1337" s="1">
        <f>IFERROR(__xludf.DUMMYFUNCTION("""COMPUTED_VALUE"""),53.53)</f>
        <v>53.53</v>
      </c>
      <c r="F1337" s="1">
        <f>IFERROR(__xludf.DUMMYFUNCTION("""COMPUTED_VALUE"""),5740900.0)</f>
        <v>5740900</v>
      </c>
    </row>
    <row r="1338">
      <c r="A1338" s="2">
        <f>IFERROR(__xludf.DUMMYFUNCTION("""COMPUTED_VALUE"""),38470.666666666664)</f>
        <v>38470.66667</v>
      </c>
      <c r="B1338" s="1">
        <f>IFERROR(__xludf.DUMMYFUNCTION("""COMPUTED_VALUE"""),54.0)</f>
        <v>54</v>
      </c>
      <c r="C1338" s="1">
        <f>IFERROR(__xludf.DUMMYFUNCTION("""COMPUTED_VALUE"""),55.6)</f>
        <v>55.6</v>
      </c>
      <c r="D1338" s="1">
        <f>IFERROR(__xludf.DUMMYFUNCTION("""COMPUTED_VALUE"""),53.74)</f>
        <v>53.74</v>
      </c>
      <c r="E1338" s="1">
        <f>IFERROR(__xludf.DUMMYFUNCTION("""COMPUTED_VALUE"""),53.99)</f>
        <v>53.99</v>
      </c>
      <c r="F1338" s="1">
        <f>IFERROR(__xludf.DUMMYFUNCTION("""COMPUTED_VALUE"""),1.62224E7)</f>
        <v>16222400</v>
      </c>
    </row>
    <row r="1339">
      <c r="A1339" s="2">
        <f>IFERROR(__xludf.DUMMYFUNCTION("""COMPUTED_VALUE"""),38471.666666666664)</f>
        <v>38471.66667</v>
      </c>
      <c r="B1339" s="1">
        <f>IFERROR(__xludf.DUMMYFUNCTION("""COMPUTED_VALUE"""),54.2)</f>
        <v>54.2</v>
      </c>
      <c r="C1339" s="1">
        <f>IFERROR(__xludf.DUMMYFUNCTION("""COMPUTED_VALUE"""),54.54)</f>
        <v>54.54</v>
      </c>
      <c r="D1339" s="1">
        <f>IFERROR(__xludf.DUMMYFUNCTION("""COMPUTED_VALUE"""),53.29)</f>
        <v>53.29</v>
      </c>
      <c r="E1339" s="1">
        <f>IFERROR(__xludf.DUMMYFUNCTION("""COMPUTED_VALUE"""),54.15)</f>
        <v>54.15</v>
      </c>
      <c r="F1339" s="1">
        <f>IFERROR(__xludf.DUMMYFUNCTION("""COMPUTED_VALUE"""),1.03772E7)</f>
        <v>10377200</v>
      </c>
    </row>
    <row r="1340">
      <c r="A1340" s="2">
        <f>IFERROR(__xludf.DUMMYFUNCTION("""COMPUTED_VALUE"""),38474.666666666664)</f>
        <v>38474.66667</v>
      </c>
      <c r="B1340" s="1">
        <f>IFERROR(__xludf.DUMMYFUNCTION("""COMPUTED_VALUE"""),54.15)</f>
        <v>54.15</v>
      </c>
      <c r="C1340" s="1">
        <f>IFERROR(__xludf.DUMMYFUNCTION("""COMPUTED_VALUE"""),54.98)</f>
        <v>54.98</v>
      </c>
      <c r="D1340" s="1">
        <f>IFERROR(__xludf.DUMMYFUNCTION("""COMPUTED_VALUE"""),54.01)</f>
        <v>54.01</v>
      </c>
      <c r="E1340" s="1">
        <f>IFERROR(__xludf.DUMMYFUNCTION("""COMPUTED_VALUE"""),54.8)</f>
        <v>54.8</v>
      </c>
      <c r="F1340" s="1">
        <f>IFERROR(__xludf.DUMMYFUNCTION("""COMPUTED_VALUE"""),6717900.0)</f>
        <v>6717900</v>
      </c>
    </row>
    <row r="1341">
      <c r="A1341" s="2">
        <f>IFERROR(__xludf.DUMMYFUNCTION("""COMPUTED_VALUE"""),38475.666666666664)</f>
        <v>38475.66667</v>
      </c>
      <c r="B1341" s="1">
        <f>IFERROR(__xludf.DUMMYFUNCTION("""COMPUTED_VALUE"""),54.81)</f>
        <v>54.81</v>
      </c>
      <c r="C1341" s="1">
        <f>IFERROR(__xludf.DUMMYFUNCTION("""COMPUTED_VALUE"""),55.0)</f>
        <v>55</v>
      </c>
      <c r="D1341" s="1">
        <f>IFERROR(__xludf.DUMMYFUNCTION("""COMPUTED_VALUE"""),54.4)</f>
        <v>54.4</v>
      </c>
      <c r="E1341" s="1">
        <f>IFERROR(__xludf.DUMMYFUNCTION("""COMPUTED_VALUE"""),54.9)</f>
        <v>54.9</v>
      </c>
      <c r="F1341" s="1">
        <f>IFERROR(__xludf.DUMMYFUNCTION("""COMPUTED_VALUE"""),5933800.0)</f>
        <v>5933800</v>
      </c>
    </row>
    <row r="1342">
      <c r="A1342" s="2">
        <f>IFERROR(__xludf.DUMMYFUNCTION("""COMPUTED_VALUE"""),38476.666666666664)</f>
        <v>38476.66667</v>
      </c>
      <c r="B1342" s="1">
        <f>IFERROR(__xludf.DUMMYFUNCTION("""COMPUTED_VALUE"""),54.91)</f>
        <v>54.91</v>
      </c>
      <c r="C1342" s="1">
        <f>IFERROR(__xludf.DUMMYFUNCTION("""COMPUTED_VALUE"""),55.21)</f>
        <v>55.21</v>
      </c>
      <c r="D1342" s="1">
        <f>IFERROR(__xludf.DUMMYFUNCTION("""COMPUTED_VALUE"""),54.66)</f>
        <v>54.66</v>
      </c>
      <c r="E1342" s="1">
        <f>IFERROR(__xludf.DUMMYFUNCTION("""COMPUTED_VALUE"""),55.14)</f>
        <v>55.14</v>
      </c>
      <c r="F1342" s="1">
        <f>IFERROR(__xludf.DUMMYFUNCTION("""COMPUTED_VALUE"""),6216600.0)</f>
        <v>6216600</v>
      </c>
    </row>
    <row r="1343">
      <c r="A1343" s="2">
        <f>IFERROR(__xludf.DUMMYFUNCTION("""COMPUTED_VALUE"""),38477.666666666664)</f>
        <v>38477.66667</v>
      </c>
      <c r="B1343" s="1">
        <f>IFERROR(__xludf.DUMMYFUNCTION("""COMPUTED_VALUE"""),55.14)</f>
        <v>55.14</v>
      </c>
      <c r="C1343" s="1">
        <f>IFERROR(__xludf.DUMMYFUNCTION("""COMPUTED_VALUE"""),55.2)</f>
        <v>55.2</v>
      </c>
      <c r="D1343" s="1">
        <f>IFERROR(__xludf.DUMMYFUNCTION("""COMPUTED_VALUE"""),54.4)</f>
        <v>54.4</v>
      </c>
      <c r="E1343" s="1">
        <f>IFERROR(__xludf.DUMMYFUNCTION("""COMPUTED_VALUE"""),54.78)</f>
        <v>54.78</v>
      </c>
      <c r="F1343" s="1">
        <f>IFERROR(__xludf.DUMMYFUNCTION("""COMPUTED_VALUE"""),5185200.0)</f>
        <v>5185200</v>
      </c>
    </row>
    <row r="1344">
      <c r="A1344" s="2">
        <f>IFERROR(__xludf.DUMMYFUNCTION("""COMPUTED_VALUE"""),38478.666666666664)</f>
        <v>38478.66667</v>
      </c>
      <c r="B1344" s="1">
        <f>IFERROR(__xludf.DUMMYFUNCTION("""COMPUTED_VALUE"""),55.0)</f>
        <v>55</v>
      </c>
      <c r="C1344" s="1">
        <f>IFERROR(__xludf.DUMMYFUNCTION("""COMPUTED_VALUE"""),55.3)</f>
        <v>55.3</v>
      </c>
      <c r="D1344" s="1">
        <f>IFERROR(__xludf.DUMMYFUNCTION("""COMPUTED_VALUE"""),54.59)</f>
        <v>54.59</v>
      </c>
      <c r="E1344" s="1">
        <f>IFERROR(__xludf.DUMMYFUNCTION("""COMPUTED_VALUE"""),54.75)</f>
        <v>54.75</v>
      </c>
      <c r="F1344" s="1">
        <f>IFERROR(__xludf.DUMMYFUNCTION("""COMPUTED_VALUE"""),5404900.0)</f>
        <v>5404900</v>
      </c>
    </row>
    <row r="1345">
      <c r="A1345" s="2">
        <f>IFERROR(__xludf.DUMMYFUNCTION("""COMPUTED_VALUE"""),38481.666666666664)</f>
        <v>38481.66667</v>
      </c>
      <c r="B1345" s="1">
        <f>IFERROR(__xludf.DUMMYFUNCTION("""COMPUTED_VALUE"""),54.75)</f>
        <v>54.75</v>
      </c>
      <c r="C1345" s="1">
        <f>IFERROR(__xludf.DUMMYFUNCTION("""COMPUTED_VALUE"""),55.12)</f>
        <v>55.12</v>
      </c>
      <c r="D1345" s="1">
        <f>IFERROR(__xludf.DUMMYFUNCTION("""COMPUTED_VALUE"""),54.49)</f>
        <v>54.49</v>
      </c>
      <c r="E1345" s="1">
        <f>IFERROR(__xludf.DUMMYFUNCTION("""COMPUTED_VALUE"""),54.98)</f>
        <v>54.98</v>
      </c>
      <c r="F1345" s="1">
        <f>IFERROR(__xludf.DUMMYFUNCTION("""COMPUTED_VALUE"""),7267700.0)</f>
        <v>7267700</v>
      </c>
    </row>
    <row r="1346">
      <c r="A1346" s="2">
        <f>IFERROR(__xludf.DUMMYFUNCTION("""COMPUTED_VALUE"""),38482.666666666664)</f>
        <v>38482.66667</v>
      </c>
      <c r="B1346" s="1">
        <f>IFERROR(__xludf.DUMMYFUNCTION("""COMPUTED_VALUE"""),54.28)</f>
        <v>54.28</v>
      </c>
      <c r="C1346" s="1">
        <f>IFERROR(__xludf.DUMMYFUNCTION("""COMPUTED_VALUE"""),55.15)</f>
        <v>55.15</v>
      </c>
      <c r="D1346" s="1">
        <f>IFERROR(__xludf.DUMMYFUNCTION("""COMPUTED_VALUE"""),54.28)</f>
        <v>54.28</v>
      </c>
      <c r="E1346" s="1">
        <f>IFERROR(__xludf.DUMMYFUNCTION("""COMPUTED_VALUE"""),54.88)</f>
        <v>54.88</v>
      </c>
      <c r="F1346" s="1">
        <f>IFERROR(__xludf.DUMMYFUNCTION("""COMPUTED_VALUE"""),6090800.0)</f>
        <v>6090800</v>
      </c>
    </row>
    <row r="1347">
      <c r="A1347" s="2">
        <f>IFERROR(__xludf.DUMMYFUNCTION("""COMPUTED_VALUE"""),38483.666666666664)</f>
        <v>38483.66667</v>
      </c>
      <c r="B1347" s="1">
        <f>IFERROR(__xludf.DUMMYFUNCTION("""COMPUTED_VALUE"""),55.07)</f>
        <v>55.07</v>
      </c>
      <c r="C1347" s="1">
        <f>IFERROR(__xludf.DUMMYFUNCTION("""COMPUTED_VALUE"""),55.58)</f>
        <v>55.58</v>
      </c>
      <c r="D1347" s="1">
        <f>IFERROR(__xludf.DUMMYFUNCTION("""COMPUTED_VALUE"""),54.73)</f>
        <v>54.73</v>
      </c>
      <c r="E1347" s="1">
        <f>IFERROR(__xludf.DUMMYFUNCTION("""COMPUTED_VALUE"""),55.48)</f>
        <v>55.48</v>
      </c>
      <c r="F1347" s="1">
        <f>IFERROR(__xludf.DUMMYFUNCTION("""COMPUTED_VALUE"""),8447000.0)</f>
        <v>8447000</v>
      </c>
    </row>
    <row r="1348">
      <c r="A1348" s="2">
        <f>IFERROR(__xludf.DUMMYFUNCTION("""COMPUTED_VALUE"""),38484.666666666664)</f>
        <v>38484.66667</v>
      </c>
      <c r="B1348" s="1">
        <f>IFERROR(__xludf.DUMMYFUNCTION("""COMPUTED_VALUE"""),55.6)</f>
        <v>55.6</v>
      </c>
      <c r="C1348" s="1">
        <f>IFERROR(__xludf.DUMMYFUNCTION("""COMPUTED_VALUE"""),56.01)</f>
        <v>56.01</v>
      </c>
      <c r="D1348" s="1">
        <f>IFERROR(__xludf.DUMMYFUNCTION("""COMPUTED_VALUE"""),55.4)</f>
        <v>55.4</v>
      </c>
      <c r="E1348" s="1">
        <f>IFERROR(__xludf.DUMMYFUNCTION("""COMPUTED_VALUE"""),55.44)</f>
        <v>55.44</v>
      </c>
      <c r="F1348" s="1">
        <f>IFERROR(__xludf.DUMMYFUNCTION("""COMPUTED_VALUE"""),6717900.0)</f>
        <v>6717900</v>
      </c>
    </row>
    <row r="1349">
      <c r="A1349" s="2">
        <f>IFERROR(__xludf.DUMMYFUNCTION("""COMPUTED_VALUE"""),38485.666666666664)</f>
        <v>38485.66667</v>
      </c>
      <c r="B1349" s="1">
        <f>IFERROR(__xludf.DUMMYFUNCTION("""COMPUTED_VALUE"""),55.34)</f>
        <v>55.34</v>
      </c>
      <c r="C1349" s="1">
        <f>IFERROR(__xludf.DUMMYFUNCTION("""COMPUTED_VALUE"""),55.36)</f>
        <v>55.36</v>
      </c>
      <c r="D1349" s="1">
        <f>IFERROR(__xludf.DUMMYFUNCTION("""COMPUTED_VALUE"""),54.25)</f>
        <v>54.25</v>
      </c>
      <c r="E1349" s="1">
        <f>IFERROR(__xludf.DUMMYFUNCTION("""COMPUTED_VALUE"""),54.75)</f>
        <v>54.75</v>
      </c>
      <c r="F1349" s="1">
        <f>IFERROR(__xludf.DUMMYFUNCTION("""COMPUTED_VALUE"""),6624200.0)</f>
        <v>6624200</v>
      </c>
    </row>
    <row r="1350">
      <c r="A1350" s="2">
        <f>IFERROR(__xludf.DUMMYFUNCTION("""COMPUTED_VALUE"""),38488.666666666664)</f>
        <v>38488.66667</v>
      </c>
      <c r="B1350" s="1">
        <f>IFERROR(__xludf.DUMMYFUNCTION("""COMPUTED_VALUE"""),54.92)</f>
        <v>54.92</v>
      </c>
      <c r="C1350" s="1">
        <f>IFERROR(__xludf.DUMMYFUNCTION("""COMPUTED_VALUE"""),55.29)</f>
        <v>55.29</v>
      </c>
      <c r="D1350" s="1">
        <f>IFERROR(__xludf.DUMMYFUNCTION("""COMPUTED_VALUE"""),54.8)</f>
        <v>54.8</v>
      </c>
      <c r="E1350" s="1">
        <f>IFERROR(__xludf.DUMMYFUNCTION("""COMPUTED_VALUE"""),55.14)</f>
        <v>55.14</v>
      </c>
      <c r="F1350" s="1">
        <f>IFERROR(__xludf.DUMMYFUNCTION("""COMPUTED_VALUE"""),6793400.0)</f>
        <v>6793400</v>
      </c>
    </row>
    <row r="1351">
      <c r="A1351" s="2">
        <f>IFERROR(__xludf.DUMMYFUNCTION("""COMPUTED_VALUE"""),38489.666666666664)</f>
        <v>38489.66667</v>
      </c>
      <c r="B1351" s="1">
        <f>IFERROR(__xludf.DUMMYFUNCTION("""COMPUTED_VALUE"""),55.1)</f>
        <v>55.1</v>
      </c>
      <c r="C1351" s="1">
        <f>IFERROR(__xludf.DUMMYFUNCTION("""COMPUTED_VALUE"""),55.73)</f>
        <v>55.73</v>
      </c>
      <c r="D1351" s="1">
        <f>IFERROR(__xludf.DUMMYFUNCTION("""COMPUTED_VALUE"""),54.92)</f>
        <v>54.92</v>
      </c>
      <c r="E1351" s="1">
        <f>IFERROR(__xludf.DUMMYFUNCTION("""COMPUTED_VALUE"""),55.63)</f>
        <v>55.63</v>
      </c>
      <c r="F1351" s="1">
        <f>IFERROR(__xludf.DUMMYFUNCTION("""COMPUTED_VALUE"""),7712900.0)</f>
        <v>7712900</v>
      </c>
    </row>
    <row r="1352">
      <c r="A1352" s="2">
        <f>IFERROR(__xludf.DUMMYFUNCTION("""COMPUTED_VALUE"""),38490.666666666664)</f>
        <v>38490.66667</v>
      </c>
      <c r="B1352" s="1">
        <f>IFERROR(__xludf.DUMMYFUNCTION("""COMPUTED_VALUE"""),55.73)</f>
        <v>55.73</v>
      </c>
      <c r="C1352" s="1">
        <f>IFERROR(__xludf.DUMMYFUNCTION("""COMPUTED_VALUE"""),56.4)</f>
        <v>56.4</v>
      </c>
      <c r="D1352" s="1">
        <f>IFERROR(__xludf.DUMMYFUNCTION("""COMPUTED_VALUE"""),55.65)</f>
        <v>55.65</v>
      </c>
      <c r="E1352" s="1">
        <f>IFERROR(__xludf.DUMMYFUNCTION("""COMPUTED_VALUE"""),56.4)</f>
        <v>56.4</v>
      </c>
      <c r="F1352" s="1">
        <f>IFERROR(__xludf.DUMMYFUNCTION("""COMPUTED_VALUE"""),6306500.0)</f>
        <v>6306500</v>
      </c>
    </row>
    <row r="1353">
      <c r="A1353" s="2">
        <f>IFERROR(__xludf.DUMMYFUNCTION("""COMPUTED_VALUE"""),38491.666666666664)</f>
        <v>38491.66667</v>
      </c>
      <c r="B1353" s="1">
        <f>IFERROR(__xludf.DUMMYFUNCTION("""COMPUTED_VALUE"""),55.79)</f>
        <v>55.79</v>
      </c>
      <c r="C1353" s="1">
        <f>IFERROR(__xludf.DUMMYFUNCTION("""COMPUTED_VALUE"""),56.73)</f>
        <v>56.73</v>
      </c>
      <c r="D1353" s="1">
        <f>IFERROR(__xludf.DUMMYFUNCTION("""COMPUTED_VALUE"""),55.76)</f>
        <v>55.76</v>
      </c>
      <c r="E1353" s="1">
        <f>IFERROR(__xludf.DUMMYFUNCTION("""COMPUTED_VALUE"""),56.62)</f>
        <v>56.62</v>
      </c>
      <c r="F1353" s="1">
        <f>IFERROR(__xludf.DUMMYFUNCTION("""COMPUTED_VALUE"""),6628600.0)</f>
        <v>6628600</v>
      </c>
    </row>
    <row r="1354">
      <c r="A1354" s="2">
        <f>IFERROR(__xludf.DUMMYFUNCTION("""COMPUTED_VALUE"""),38492.666666666664)</f>
        <v>38492.66667</v>
      </c>
      <c r="B1354" s="1">
        <f>IFERROR(__xludf.DUMMYFUNCTION("""COMPUTED_VALUE"""),56.59)</f>
        <v>56.59</v>
      </c>
      <c r="C1354" s="1">
        <f>IFERROR(__xludf.DUMMYFUNCTION("""COMPUTED_VALUE"""),56.61)</f>
        <v>56.61</v>
      </c>
      <c r="D1354" s="1">
        <f>IFERROR(__xludf.DUMMYFUNCTION("""COMPUTED_VALUE"""),56.27)</f>
        <v>56.27</v>
      </c>
      <c r="E1354" s="1">
        <f>IFERROR(__xludf.DUMMYFUNCTION("""COMPUTED_VALUE"""),56.48)</f>
        <v>56.48</v>
      </c>
      <c r="F1354" s="1">
        <f>IFERROR(__xludf.DUMMYFUNCTION("""COMPUTED_VALUE"""),5379300.0)</f>
        <v>5379300</v>
      </c>
    </row>
    <row r="1355">
      <c r="A1355" s="2">
        <f>IFERROR(__xludf.DUMMYFUNCTION("""COMPUTED_VALUE"""),38495.666666666664)</f>
        <v>38495.66667</v>
      </c>
      <c r="B1355" s="1">
        <f>IFERROR(__xludf.DUMMYFUNCTION("""COMPUTED_VALUE"""),56.38)</f>
        <v>56.38</v>
      </c>
      <c r="C1355" s="1">
        <f>IFERROR(__xludf.DUMMYFUNCTION("""COMPUTED_VALUE"""),56.79)</f>
        <v>56.79</v>
      </c>
      <c r="D1355" s="1">
        <f>IFERROR(__xludf.DUMMYFUNCTION("""COMPUTED_VALUE"""),56.2)</f>
        <v>56.2</v>
      </c>
      <c r="E1355" s="1">
        <f>IFERROR(__xludf.DUMMYFUNCTION("""COMPUTED_VALUE"""),56.48)</f>
        <v>56.48</v>
      </c>
      <c r="F1355" s="1">
        <f>IFERROR(__xludf.DUMMYFUNCTION("""COMPUTED_VALUE"""),4650800.0)</f>
        <v>4650800</v>
      </c>
    </row>
    <row r="1356">
      <c r="A1356" s="2">
        <f>IFERROR(__xludf.DUMMYFUNCTION("""COMPUTED_VALUE"""),38496.666666666664)</f>
        <v>38496.66667</v>
      </c>
      <c r="B1356" s="1">
        <f>IFERROR(__xludf.DUMMYFUNCTION("""COMPUTED_VALUE"""),56.32)</f>
        <v>56.32</v>
      </c>
      <c r="C1356" s="1">
        <f>IFERROR(__xludf.DUMMYFUNCTION("""COMPUTED_VALUE"""),56.45)</f>
        <v>56.45</v>
      </c>
      <c r="D1356" s="1">
        <f>IFERROR(__xludf.DUMMYFUNCTION("""COMPUTED_VALUE"""),55.76)</f>
        <v>55.76</v>
      </c>
      <c r="E1356" s="1">
        <f>IFERROR(__xludf.DUMMYFUNCTION("""COMPUTED_VALUE"""),56.0)</f>
        <v>56</v>
      </c>
      <c r="F1356" s="1">
        <f>IFERROR(__xludf.DUMMYFUNCTION("""COMPUTED_VALUE"""),5718800.0)</f>
        <v>5718800</v>
      </c>
    </row>
    <row r="1357">
      <c r="A1357" s="2">
        <f>IFERROR(__xludf.DUMMYFUNCTION("""COMPUTED_VALUE"""),38497.666666666664)</f>
        <v>38497.66667</v>
      </c>
      <c r="B1357" s="1">
        <f>IFERROR(__xludf.DUMMYFUNCTION("""COMPUTED_VALUE"""),55.8)</f>
        <v>55.8</v>
      </c>
      <c r="C1357" s="1">
        <f>IFERROR(__xludf.DUMMYFUNCTION("""COMPUTED_VALUE"""),56.0)</f>
        <v>56</v>
      </c>
      <c r="D1357" s="1">
        <f>IFERROR(__xludf.DUMMYFUNCTION("""COMPUTED_VALUE"""),55.4)</f>
        <v>55.4</v>
      </c>
      <c r="E1357" s="1">
        <f>IFERROR(__xludf.DUMMYFUNCTION("""COMPUTED_VALUE"""),55.73)</f>
        <v>55.73</v>
      </c>
      <c r="F1357" s="1">
        <f>IFERROR(__xludf.DUMMYFUNCTION("""COMPUTED_VALUE"""),5114600.0)</f>
        <v>5114600</v>
      </c>
    </row>
    <row r="1358">
      <c r="A1358" s="2">
        <f>IFERROR(__xludf.DUMMYFUNCTION("""COMPUTED_VALUE"""),38498.666666666664)</f>
        <v>38498.66667</v>
      </c>
      <c r="B1358" s="1">
        <f>IFERROR(__xludf.DUMMYFUNCTION("""COMPUTED_VALUE"""),55.74)</f>
        <v>55.74</v>
      </c>
      <c r="C1358" s="1">
        <f>IFERROR(__xludf.DUMMYFUNCTION("""COMPUTED_VALUE"""),56.07)</f>
        <v>56.07</v>
      </c>
      <c r="D1358" s="1">
        <f>IFERROR(__xludf.DUMMYFUNCTION("""COMPUTED_VALUE"""),55.7)</f>
        <v>55.7</v>
      </c>
      <c r="E1358" s="1">
        <f>IFERROR(__xludf.DUMMYFUNCTION("""COMPUTED_VALUE"""),55.81)</f>
        <v>55.81</v>
      </c>
      <c r="F1358" s="1">
        <f>IFERROR(__xludf.DUMMYFUNCTION("""COMPUTED_VALUE"""),5104800.0)</f>
        <v>5104800</v>
      </c>
    </row>
    <row r="1359">
      <c r="A1359" s="2">
        <f>IFERROR(__xludf.DUMMYFUNCTION("""COMPUTED_VALUE"""),38499.666666666664)</f>
        <v>38499.66667</v>
      </c>
      <c r="B1359" s="1">
        <f>IFERROR(__xludf.DUMMYFUNCTION("""COMPUTED_VALUE"""),55.66)</f>
        <v>55.66</v>
      </c>
      <c r="C1359" s="1">
        <f>IFERROR(__xludf.DUMMYFUNCTION("""COMPUTED_VALUE"""),55.79)</f>
        <v>55.79</v>
      </c>
      <c r="D1359" s="1">
        <f>IFERROR(__xludf.DUMMYFUNCTION("""COMPUTED_VALUE"""),55.34)</f>
        <v>55.34</v>
      </c>
      <c r="E1359" s="1">
        <f>IFERROR(__xludf.DUMMYFUNCTION("""COMPUTED_VALUE"""),55.76)</f>
        <v>55.76</v>
      </c>
      <c r="F1359" s="1">
        <f>IFERROR(__xludf.DUMMYFUNCTION("""COMPUTED_VALUE"""),4389900.0)</f>
        <v>4389900</v>
      </c>
    </row>
    <row r="1360">
      <c r="A1360" s="2">
        <f>IFERROR(__xludf.DUMMYFUNCTION("""COMPUTED_VALUE"""),38503.666666666664)</f>
        <v>38503.66667</v>
      </c>
      <c r="B1360" s="1">
        <f>IFERROR(__xludf.DUMMYFUNCTION("""COMPUTED_VALUE"""),55.42)</f>
        <v>55.42</v>
      </c>
      <c r="C1360" s="1">
        <f>IFERROR(__xludf.DUMMYFUNCTION("""COMPUTED_VALUE"""),55.64)</f>
        <v>55.64</v>
      </c>
      <c r="D1360" s="1">
        <f>IFERROR(__xludf.DUMMYFUNCTION("""COMPUTED_VALUE"""),55.13)</f>
        <v>55.13</v>
      </c>
      <c r="E1360" s="1">
        <f>IFERROR(__xludf.DUMMYFUNCTION("""COMPUTED_VALUE"""),55.15)</f>
        <v>55.15</v>
      </c>
      <c r="F1360" s="1">
        <f>IFERROR(__xludf.DUMMYFUNCTION("""COMPUTED_VALUE"""),5918800.0)</f>
        <v>5918800</v>
      </c>
    </row>
    <row r="1361">
      <c r="A1361" s="2">
        <f>IFERROR(__xludf.DUMMYFUNCTION("""COMPUTED_VALUE"""),38504.666666666664)</f>
        <v>38504.66667</v>
      </c>
      <c r="B1361" s="1">
        <f>IFERROR(__xludf.DUMMYFUNCTION("""COMPUTED_VALUE"""),55.01)</f>
        <v>55.01</v>
      </c>
      <c r="C1361" s="1">
        <f>IFERROR(__xludf.DUMMYFUNCTION("""COMPUTED_VALUE"""),56.15)</f>
        <v>56.15</v>
      </c>
      <c r="D1361" s="1">
        <f>IFERROR(__xludf.DUMMYFUNCTION("""COMPUTED_VALUE"""),55.0)</f>
        <v>55</v>
      </c>
      <c r="E1361" s="1">
        <f>IFERROR(__xludf.DUMMYFUNCTION("""COMPUTED_VALUE"""),56.12)</f>
        <v>56.12</v>
      </c>
      <c r="F1361" s="1">
        <f>IFERROR(__xludf.DUMMYFUNCTION("""COMPUTED_VALUE"""),5572100.0)</f>
        <v>5572100</v>
      </c>
    </row>
    <row r="1362">
      <c r="A1362" s="2">
        <f>IFERROR(__xludf.DUMMYFUNCTION("""COMPUTED_VALUE"""),38505.666666666664)</f>
        <v>38505.66667</v>
      </c>
      <c r="B1362" s="1">
        <f>IFERROR(__xludf.DUMMYFUNCTION("""COMPUTED_VALUE"""),55.85)</f>
        <v>55.85</v>
      </c>
      <c r="C1362" s="1">
        <f>IFERROR(__xludf.DUMMYFUNCTION("""COMPUTED_VALUE"""),56.02)</f>
        <v>56.02</v>
      </c>
      <c r="D1362" s="1">
        <f>IFERROR(__xludf.DUMMYFUNCTION("""COMPUTED_VALUE"""),55.51)</f>
        <v>55.51</v>
      </c>
      <c r="E1362" s="1">
        <f>IFERROR(__xludf.DUMMYFUNCTION("""COMPUTED_VALUE"""),55.97)</f>
        <v>55.97</v>
      </c>
      <c r="F1362" s="1">
        <f>IFERROR(__xludf.DUMMYFUNCTION("""COMPUTED_VALUE"""),6072500.0)</f>
        <v>6072500</v>
      </c>
    </row>
    <row r="1363">
      <c r="A1363" s="2">
        <f>IFERROR(__xludf.DUMMYFUNCTION("""COMPUTED_VALUE"""),38506.666666666664)</f>
        <v>38506.66667</v>
      </c>
      <c r="B1363" s="1">
        <f>IFERROR(__xludf.DUMMYFUNCTION("""COMPUTED_VALUE"""),55.65)</f>
        <v>55.65</v>
      </c>
      <c r="C1363" s="1">
        <f>IFERROR(__xludf.DUMMYFUNCTION("""COMPUTED_VALUE"""),55.79)</f>
        <v>55.79</v>
      </c>
      <c r="D1363" s="1">
        <f>IFERROR(__xludf.DUMMYFUNCTION("""COMPUTED_VALUE"""),55.22)</f>
        <v>55.22</v>
      </c>
      <c r="E1363" s="1">
        <f>IFERROR(__xludf.DUMMYFUNCTION("""COMPUTED_VALUE"""),55.27)</f>
        <v>55.27</v>
      </c>
      <c r="F1363" s="1">
        <f>IFERROR(__xludf.DUMMYFUNCTION("""COMPUTED_VALUE"""),4310300.0)</f>
        <v>4310300</v>
      </c>
    </row>
    <row r="1364">
      <c r="A1364" s="2">
        <f>IFERROR(__xludf.DUMMYFUNCTION("""COMPUTED_VALUE"""),38509.666666666664)</f>
        <v>38509.66667</v>
      </c>
      <c r="B1364" s="1">
        <f>IFERROR(__xludf.DUMMYFUNCTION("""COMPUTED_VALUE"""),55.18)</f>
        <v>55.18</v>
      </c>
      <c r="C1364" s="1">
        <f>IFERROR(__xludf.DUMMYFUNCTION("""COMPUTED_VALUE"""),55.38)</f>
        <v>55.38</v>
      </c>
      <c r="D1364" s="1">
        <f>IFERROR(__xludf.DUMMYFUNCTION("""COMPUTED_VALUE"""),54.9)</f>
        <v>54.9</v>
      </c>
      <c r="E1364" s="1">
        <f>IFERROR(__xludf.DUMMYFUNCTION("""COMPUTED_VALUE"""),55.31)</f>
        <v>55.31</v>
      </c>
      <c r="F1364" s="1">
        <f>IFERROR(__xludf.DUMMYFUNCTION("""COMPUTED_VALUE"""),4660500.0)</f>
        <v>4660500</v>
      </c>
    </row>
    <row r="1365">
      <c r="A1365" s="2">
        <f>IFERROR(__xludf.DUMMYFUNCTION("""COMPUTED_VALUE"""),38510.666666666664)</f>
        <v>38510.66667</v>
      </c>
      <c r="B1365" s="1">
        <f>IFERROR(__xludf.DUMMYFUNCTION("""COMPUTED_VALUE"""),55.54)</f>
        <v>55.54</v>
      </c>
      <c r="C1365" s="1">
        <f>IFERROR(__xludf.DUMMYFUNCTION("""COMPUTED_VALUE"""),55.96)</f>
        <v>55.96</v>
      </c>
      <c r="D1365" s="1">
        <f>IFERROR(__xludf.DUMMYFUNCTION("""COMPUTED_VALUE"""),55.4)</f>
        <v>55.4</v>
      </c>
      <c r="E1365" s="1">
        <f>IFERROR(__xludf.DUMMYFUNCTION("""COMPUTED_VALUE"""),55.45)</f>
        <v>55.45</v>
      </c>
      <c r="F1365" s="1">
        <f>IFERROR(__xludf.DUMMYFUNCTION("""COMPUTED_VALUE"""),5423200.0)</f>
        <v>5423200</v>
      </c>
    </row>
    <row r="1366">
      <c r="A1366" s="2">
        <f>IFERROR(__xludf.DUMMYFUNCTION("""COMPUTED_VALUE"""),38511.666666666664)</f>
        <v>38511.66667</v>
      </c>
      <c r="B1366" s="1">
        <f>IFERROR(__xludf.DUMMYFUNCTION("""COMPUTED_VALUE"""),55.85)</f>
        <v>55.85</v>
      </c>
      <c r="C1366" s="1">
        <f>IFERROR(__xludf.DUMMYFUNCTION("""COMPUTED_VALUE"""),55.85)</f>
        <v>55.85</v>
      </c>
      <c r="D1366" s="1">
        <f>IFERROR(__xludf.DUMMYFUNCTION("""COMPUTED_VALUE"""),55.28)</f>
        <v>55.28</v>
      </c>
      <c r="E1366" s="1">
        <f>IFERROR(__xludf.DUMMYFUNCTION("""COMPUTED_VALUE"""),55.31)</f>
        <v>55.31</v>
      </c>
      <c r="F1366" s="1">
        <f>IFERROR(__xludf.DUMMYFUNCTION("""COMPUTED_VALUE"""),4900300.0)</f>
        <v>4900300</v>
      </c>
    </row>
    <row r="1367">
      <c r="A1367" s="2">
        <f>IFERROR(__xludf.DUMMYFUNCTION("""COMPUTED_VALUE"""),38512.666666666664)</f>
        <v>38512.66667</v>
      </c>
      <c r="B1367" s="1">
        <f>IFERROR(__xludf.DUMMYFUNCTION("""COMPUTED_VALUE"""),55.3)</f>
        <v>55.3</v>
      </c>
      <c r="C1367" s="1">
        <f>IFERROR(__xludf.DUMMYFUNCTION("""COMPUTED_VALUE"""),55.3)</f>
        <v>55.3</v>
      </c>
      <c r="D1367" s="1">
        <f>IFERROR(__xludf.DUMMYFUNCTION("""COMPUTED_VALUE"""),54.89)</f>
        <v>54.89</v>
      </c>
      <c r="E1367" s="1">
        <f>IFERROR(__xludf.DUMMYFUNCTION("""COMPUTED_VALUE"""),55.2)</f>
        <v>55.2</v>
      </c>
      <c r="F1367" s="1">
        <f>IFERROR(__xludf.DUMMYFUNCTION("""COMPUTED_VALUE"""),4881300.0)</f>
        <v>4881300</v>
      </c>
    </row>
    <row r="1368">
      <c r="A1368" s="2">
        <f>IFERROR(__xludf.DUMMYFUNCTION("""COMPUTED_VALUE"""),38513.666666666664)</f>
        <v>38513.66667</v>
      </c>
      <c r="B1368" s="1">
        <f>IFERROR(__xludf.DUMMYFUNCTION("""COMPUTED_VALUE"""),55.4)</f>
        <v>55.4</v>
      </c>
      <c r="C1368" s="1">
        <f>IFERROR(__xludf.DUMMYFUNCTION("""COMPUTED_VALUE"""),55.4)</f>
        <v>55.4</v>
      </c>
      <c r="D1368" s="1">
        <f>IFERROR(__xludf.DUMMYFUNCTION("""COMPUTED_VALUE"""),54.4)</f>
        <v>54.4</v>
      </c>
      <c r="E1368" s="1">
        <f>IFERROR(__xludf.DUMMYFUNCTION("""COMPUTED_VALUE"""),54.75)</f>
        <v>54.75</v>
      </c>
      <c r="F1368" s="1">
        <f>IFERROR(__xludf.DUMMYFUNCTION("""COMPUTED_VALUE"""),5514700.0)</f>
        <v>5514700</v>
      </c>
    </row>
    <row r="1369">
      <c r="A1369" s="2">
        <f>IFERROR(__xludf.DUMMYFUNCTION("""COMPUTED_VALUE"""),38516.666666666664)</f>
        <v>38516.66667</v>
      </c>
      <c r="B1369" s="1">
        <f>IFERROR(__xludf.DUMMYFUNCTION("""COMPUTED_VALUE"""),54.41)</f>
        <v>54.41</v>
      </c>
      <c r="C1369" s="1">
        <f>IFERROR(__xludf.DUMMYFUNCTION("""COMPUTED_VALUE"""),54.89)</f>
        <v>54.89</v>
      </c>
      <c r="D1369" s="1">
        <f>IFERROR(__xludf.DUMMYFUNCTION("""COMPUTED_VALUE"""),54.13)</f>
        <v>54.13</v>
      </c>
      <c r="E1369" s="1">
        <f>IFERROR(__xludf.DUMMYFUNCTION("""COMPUTED_VALUE"""),54.31)</f>
        <v>54.31</v>
      </c>
      <c r="F1369" s="1">
        <f>IFERROR(__xludf.DUMMYFUNCTION("""COMPUTED_VALUE"""),5416800.0)</f>
        <v>5416800</v>
      </c>
    </row>
    <row r="1370">
      <c r="A1370" s="2">
        <f>IFERROR(__xludf.DUMMYFUNCTION("""COMPUTED_VALUE"""),38517.666666666664)</f>
        <v>38517.66667</v>
      </c>
      <c r="B1370" s="1">
        <f>IFERROR(__xludf.DUMMYFUNCTION("""COMPUTED_VALUE"""),54.3)</f>
        <v>54.3</v>
      </c>
      <c r="C1370" s="1">
        <f>IFERROR(__xludf.DUMMYFUNCTION("""COMPUTED_VALUE"""),54.56)</f>
        <v>54.56</v>
      </c>
      <c r="D1370" s="1">
        <f>IFERROR(__xludf.DUMMYFUNCTION("""COMPUTED_VALUE"""),54.1)</f>
        <v>54.1</v>
      </c>
      <c r="E1370" s="1">
        <f>IFERROR(__xludf.DUMMYFUNCTION("""COMPUTED_VALUE"""),54.39)</f>
        <v>54.39</v>
      </c>
      <c r="F1370" s="1">
        <f>IFERROR(__xludf.DUMMYFUNCTION("""COMPUTED_VALUE"""),5395600.0)</f>
        <v>5395600</v>
      </c>
    </row>
    <row r="1371">
      <c r="A1371" s="2">
        <f>IFERROR(__xludf.DUMMYFUNCTION("""COMPUTED_VALUE"""),38518.666666666664)</f>
        <v>38518.66667</v>
      </c>
      <c r="B1371" s="1">
        <f>IFERROR(__xludf.DUMMYFUNCTION("""COMPUTED_VALUE"""),54.44)</f>
        <v>54.44</v>
      </c>
      <c r="C1371" s="1">
        <f>IFERROR(__xludf.DUMMYFUNCTION("""COMPUTED_VALUE"""),54.61)</f>
        <v>54.61</v>
      </c>
      <c r="D1371" s="1">
        <f>IFERROR(__xludf.DUMMYFUNCTION("""COMPUTED_VALUE"""),54.25)</f>
        <v>54.25</v>
      </c>
      <c r="E1371" s="1">
        <f>IFERROR(__xludf.DUMMYFUNCTION("""COMPUTED_VALUE"""),54.4)</f>
        <v>54.4</v>
      </c>
      <c r="F1371" s="1">
        <f>IFERROR(__xludf.DUMMYFUNCTION("""COMPUTED_VALUE"""),6483900.0)</f>
        <v>6483900</v>
      </c>
    </row>
    <row r="1372">
      <c r="A1372" s="2">
        <f>IFERROR(__xludf.DUMMYFUNCTION("""COMPUTED_VALUE"""),38519.666666666664)</f>
        <v>38519.66667</v>
      </c>
      <c r="B1372" s="1">
        <f>IFERROR(__xludf.DUMMYFUNCTION("""COMPUTED_VALUE"""),54.18)</f>
        <v>54.18</v>
      </c>
      <c r="C1372" s="1">
        <f>IFERROR(__xludf.DUMMYFUNCTION("""COMPUTED_VALUE"""),54.34)</f>
        <v>54.34</v>
      </c>
      <c r="D1372" s="1">
        <f>IFERROR(__xludf.DUMMYFUNCTION("""COMPUTED_VALUE"""),54.08)</f>
        <v>54.08</v>
      </c>
      <c r="E1372" s="1">
        <f>IFERROR(__xludf.DUMMYFUNCTION("""COMPUTED_VALUE"""),54.25)</f>
        <v>54.25</v>
      </c>
      <c r="F1372" s="1">
        <f>IFERROR(__xludf.DUMMYFUNCTION("""COMPUTED_VALUE"""),4736000.0)</f>
        <v>4736000</v>
      </c>
    </row>
    <row r="1373">
      <c r="A1373" s="2">
        <f>IFERROR(__xludf.DUMMYFUNCTION("""COMPUTED_VALUE"""),38520.666666666664)</f>
        <v>38520.66667</v>
      </c>
      <c r="B1373" s="1">
        <f>IFERROR(__xludf.DUMMYFUNCTION("""COMPUTED_VALUE"""),54.8)</f>
        <v>54.8</v>
      </c>
      <c r="C1373" s="1">
        <f>IFERROR(__xludf.DUMMYFUNCTION("""COMPUTED_VALUE"""),54.88)</f>
        <v>54.88</v>
      </c>
      <c r="D1373" s="1">
        <f>IFERROR(__xludf.DUMMYFUNCTION("""COMPUTED_VALUE"""),54.38)</f>
        <v>54.38</v>
      </c>
      <c r="E1373" s="1">
        <f>IFERROR(__xludf.DUMMYFUNCTION("""COMPUTED_VALUE"""),54.42)</f>
        <v>54.42</v>
      </c>
      <c r="F1373" s="1">
        <f>IFERROR(__xludf.DUMMYFUNCTION("""COMPUTED_VALUE"""),1.18857E7)</f>
        <v>11885700</v>
      </c>
    </row>
    <row r="1374">
      <c r="A1374" s="2">
        <f>IFERROR(__xludf.DUMMYFUNCTION("""COMPUTED_VALUE"""),38523.666666666664)</f>
        <v>38523.66667</v>
      </c>
      <c r="B1374" s="1">
        <f>IFERROR(__xludf.DUMMYFUNCTION("""COMPUTED_VALUE"""),54.21)</f>
        <v>54.21</v>
      </c>
      <c r="C1374" s="1">
        <f>IFERROR(__xludf.DUMMYFUNCTION("""COMPUTED_VALUE"""),54.47)</f>
        <v>54.47</v>
      </c>
      <c r="D1374" s="1">
        <f>IFERROR(__xludf.DUMMYFUNCTION("""COMPUTED_VALUE"""),54.12)</f>
        <v>54.12</v>
      </c>
      <c r="E1374" s="1">
        <f>IFERROR(__xludf.DUMMYFUNCTION("""COMPUTED_VALUE"""),54.25)</f>
        <v>54.25</v>
      </c>
      <c r="F1374" s="1">
        <f>IFERROR(__xludf.DUMMYFUNCTION("""COMPUTED_VALUE"""),4182800.0)</f>
        <v>4182800</v>
      </c>
    </row>
    <row r="1375">
      <c r="A1375" s="2">
        <f>IFERROR(__xludf.DUMMYFUNCTION("""COMPUTED_VALUE"""),38524.666666666664)</f>
        <v>38524.66667</v>
      </c>
      <c r="B1375" s="1">
        <f>IFERROR(__xludf.DUMMYFUNCTION("""COMPUTED_VALUE"""),54.0)</f>
        <v>54</v>
      </c>
      <c r="C1375" s="1">
        <f>IFERROR(__xludf.DUMMYFUNCTION("""COMPUTED_VALUE"""),54.36)</f>
        <v>54.36</v>
      </c>
      <c r="D1375" s="1">
        <f>IFERROR(__xludf.DUMMYFUNCTION("""COMPUTED_VALUE"""),54.0)</f>
        <v>54</v>
      </c>
      <c r="E1375" s="1">
        <f>IFERROR(__xludf.DUMMYFUNCTION("""COMPUTED_VALUE"""),54.33)</f>
        <v>54.33</v>
      </c>
      <c r="F1375" s="1">
        <f>IFERROR(__xludf.DUMMYFUNCTION("""COMPUTED_VALUE"""),5062300.0)</f>
        <v>5062300</v>
      </c>
    </row>
    <row r="1376">
      <c r="A1376" s="2">
        <f>IFERROR(__xludf.DUMMYFUNCTION("""COMPUTED_VALUE"""),38525.666666666664)</f>
        <v>38525.66667</v>
      </c>
      <c r="B1376" s="1">
        <f>IFERROR(__xludf.DUMMYFUNCTION("""COMPUTED_VALUE"""),54.33)</f>
        <v>54.33</v>
      </c>
      <c r="C1376" s="1">
        <f>IFERROR(__xludf.DUMMYFUNCTION("""COMPUTED_VALUE"""),54.52)</f>
        <v>54.52</v>
      </c>
      <c r="D1376" s="1">
        <f>IFERROR(__xludf.DUMMYFUNCTION("""COMPUTED_VALUE"""),54.15)</f>
        <v>54.15</v>
      </c>
      <c r="E1376" s="1">
        <f>IFERROR(__xludf.DUMMYFUNCTION("""COMPUTED_VALUE"""),54.44)</f>
        <v>54.44</v>
      </c>
      <c r="F1376" s="1">
        <f>IFERROR(__xludf.DUMMYFUNCTION("""COMPUTED_VALUE"""),5629900.0)</f>
        <v>5629900</v>
      </c>
    </row>
    <row r="1377">
      <c r="A1377" s="2">
        <f>IFERROR(__xludf.DUMMYFUNCTION("""COMPUTED_VALUE"""),38526.666666666664)</f>
        <v>38526.66667</v>
      </c>
      <c r="B1377" s="1">
        <f>IFERROR(__xludf.DUMMYFUNCTION("""COMPUTED_VALUE"""),54.28)</f>
        <v>54.28</v>
      </c>
      <c r="C1377" s="1">
        <f>IFERROR(__xludf.DUMMYFUNCTION("""COMPUTED_VALUE"""),54.31)</f>
        <v>54.31</v>
      </c>
      <c r="D1377" s="1">
        <f>IFERROR(__xludf.DUMMYFUNCTION("""COMPUTED_VALUE"""),53.57)</f>
        <v>53.57</v>
      </c>
      <c r="E1377" s="1">
        <f>IFERROR(__xludf.DUMMYFUNCTION("""COMPUTED_VALUE"""),53.66)</f>
        <v>53.66</v>
      </c>
      <c r="F1377" s="1">
        <f>IFERROR(__xludf.DUMMYFUNCTION("""COMPUTED_VALUE"""),6719900.0)</f>
        <v>6719900</v>
      </c>
    </row>
    <row r="1378">
      <c r="A1378" s="2">
        <f>IFERROR(__xludf.DUMMYFUNCTION("""COMPUTED_VALUE"""),38527.666666666664)</f>
        <v>38527.66667</v>
      </c>
      <c r="B1378" s="1">
        <f>IFERROR(__xludf.DUMMYFUNCTION("""COMPUTED_VALUE"""),53.5)</f>
        <v>53.5</v>
      </c>
      <c r="C1378" s="1">
        <f>IFERROR(__xludf.DUMMYFUNCTION("""COMPUTED_VALUE"""),53.7)</f>
        <v>53.7</v>
      </c>
      <c r="D1378" s="1">
        <f>IFERROR(__xludf.DUMMYFUNCTION("""COMPUTED_VALUE"""),52.82)</f>
        <v>52.82</v>
      </c>
      <c r="E1378" s="1">
        <f>IFERROR(__xludf.DUMMYFUNCTION("""COMPUTED_VALUE"""),52.82)</f>
        <v>52.82</v>
      </c>
      <c r="F1378" s="1">
        <f>IFERROR(__xludf.DUMMYFUNCTION("""COMPUTED_VALUE"""),1.03388E7)</f>
        <v>10338800</v>
      </c>
    </row>
    <row r="1379">
      <c r="A1379" s="2">
        <f>IFERROR(__xludf.DUMMYFUNCTION("""COMPUTED_VALUE"""),38530.666666666664)</f>
        <v>38530.66667</v>
      </c>
      <c r="B1379" s="1">
        <f>IFERROR(__xludf.DUMMYFUNCTION("""COMPUTED_VALUE"""),52.79)</f>
        <v>52.79</v>
      </c>
      <c r="C1379" s="1">
        <f>IFERROR(__xludf.DUMMYFUNCTION("""COMPUTED_VALUE"""),53.04)</f>
        <v>53.04</v>
      </c>
      <c r="D1379" s="1">
        <f>IFERROR(__xludf.DUMMYFUNCTION("""COMPUTED_VALUE"""),52.44)</f>
        <v>52.44</v>
      </c>
      <c r="E1379" s="1">
        <f>IFERROR(__xludf.DUMMYFUNCTION("""COMPUTED_VALUE"""),52.67)</f>
        <v>52.67</v>
      </c>
      <c r="F1379" s="1">
        <f>IFERROR(__xludf.DUMMYFUNCTION("""COMPUTED_VALUE"""),6521700.0)</f>
        <v>6521700</v>
      </c>
    </row>
    <row r="1380">
      <c r="A1380" s="2">
        <f>IFERROR(__xludf.DUMMYFUNCTION("""COMPUTED_VALUE"""),38531.666666666664)</f>
        <v>38531.66667</v>
      </c>
      <c r="B1380" s="1">
        <f>IFERROR(__xludf.DUMMYFUNCTION("""COMPUTED_VALUE"""),52.78)</f>
        <v>52.78</v>
      </c>
      <c r="C1380" s="1">
        <f>IFERROR(__xludf.DUMMYFUNCTION("""COMPUTED_VALUE"""),53.38)</f>
        <v>53.38</v>
      </c>
      <c r="D1380" s="1">
        <f>IFERROR(__xludf.DUMMYFUNCTION("""COMPUTED_VALUE"""),52.7)</f>
        <v>52.7</v>
      </c>
      <c r="E1380" s="1">
        <f>IFERROR(__xludf.DUMMYFUNCTION("""COMPUTED_VALUE"""),53.33)</f>
        <v>53.33</v>
      </c>
      <c r="F1380" s="1">
        <f>IFERROR(__xludf.DUMMYFUNCTION("""COMPUTED_VALUE"""),5998900.0)</f>
        <v>5998900</v>
      </c>
    </row>
    <row r="1381">
      <c r="A1381" s="2">
        <f>IFERROR(__xludf.DUMMYFUNCTION("""COMPUTED_VALUE"""),38532.666666666664)</f>
        <v>38532.66667</v>
      </c>
      <c r="B1381" s="1">
        <f>IFERROR(__xludf.DUMMYFUNCTION("""COMPUTED_VALUE"""),53.33)</f>
        <v>53.33</v>
      </c>
      <c r="C1381" s="1">
        <f>IFERROR(__xludf.DUMMYFUNCTION("""COMPUTED_VALUE"""),54.07)</f>
        <v>54.07</v>
      </c>
      <c r="D1381" s="1">
        <f>IFERROR(__xludf.DUMMYFUNCTION("""COMPUTED_VALUE"""),53.1)</f>
        <v>53.1</v>
      </c>
      <c r="E1381" s="1">
        <f>IFERROR(__xludf.DUMMYFUNCTION("""COMPUTED_VALUE"""),53.47)</f>
        <v>53.47</v>
      </c>
      <c r="F1381" s="1">
        <f>IFERROR(__xludf.DUMMYFUNCTION("""COMPUTED_VALUE"""),5825300.0)</f>
        <v>5825300</v>
      </c>
    </row>
    <row r="1382">
      <c r="A1382" s="2">
        <f>IFERROR(__xludf.DUMMYFUNCTION("""COMPUTED_VALUE"""),38533.666666666664)</f>
        <v>38533.66667</v>
      </c>
      <c r="B1382" s="1">
        <f>IFERROR(__xludf.DUMMYFUNCTION("""COMPUTED_VALUE"""),53.1)</f>
        <v>53.1</v>
      </c>
      <c r="C1382" s="1">
        <f>IFERROR(__xludf.DUMMYFUNCTION("""COMPUTED_VALUE"""),53.73)</f>
        <v>53.73</v>
      </c>
      <c r="D1382" s="1">
        <f>IFERROR(__xludf.DUMMYFUNCTION("""COMPUTED_VALUE"""),52.7)</f>
        <v>52.7</v>
      </c>
      <c r="E1382" s="1">
        <f>IFERROR(__xludf.DUMMYFUNCTION("""COMPUTED_VALUE"""),52.75)</f>
        <v>52.75</v>
      </c>
      <c r="F1382" s="1">
        <f>IFERROR(__xludf.DUMMYFUNCTION("""COMPUTED_VALUE"""),8345800.0)</f>
        <v>8345800</v>
      </c>
    </row>
    <row r="1383">
      <c r="A1383" s="2">
        <f>IFERROR(__xludf.DUMMYFUNCTION("""COMPUTED_VALUE"""),38534.666666666664)</f>
        <v>38534.66667</v>
      </c>
      <c r="B1383" s="1">
        <f>IFERROR(__xludf.DUMMYFUNCTION("""COMPUTED_VALUE"""),53.0)</f>
        <v>53</v>
      </c>
      <c r="C1383" s="1">
        <f>IFERROR(__xludf.DUMMYFUNCTION("""COMPUTED_VALUE"""),53.46)</f>
        <v>53.46</v>
      </c>
      <c r="D1383" s="1">
        <f>IFERROR(__xludf.DUMMYFUNCTION("""COMPUTED_VALUE"""),52.55)</f>
        <v>52.55</v>
      </c>
      <c r="E1383" s="1">
        <f>IFERROR(__xludf.DUMMYFUNCTION("""COMPUTED_VALUE"""),52.9)</f>
        <v>52.9</v>
      </c>
      <c r="F1383" s="1">
        <f>IFERROR(__xludf.DUMMYFUNCTION("""COMPUTED_VALUE"""),6777600.0)</f>
        <v>6777600</v>
      </c>
    </row>
    <row r="1384">
      <c r="A1384" s="2">
        <f>IFERROR(__xludf.DUMMYFUNCTION("""COMPUTED_VALUE"""),38538.666666666664)</f>
        <v>38538.66667</v>
      </c>
      <c r="B1384" s="1">
        <f>IFERROR(__xludf.DUMMYFUNCTION("""COMPUTED_VALUE"""),52.4)</f>
        <v>52.4</v>
      </c>
      <c r="C1384" s="1">
        <f>IFERROR(__xludf.DUMMYFUNCTION("""COMPUTED_VALUE"""),53.15)</f>
        <v>53.15</v>
      </c>
      <c r="D1384" s="1">
        <f>IFERROR(__xludf.DUMMYFUNCTION("""COMPUTED_VALUE"""),51.91)</f>
        <v>51.91</v>
      </c>
      <c r="E1384" s="1">
        <f>IFERROR(__xludf.DUMMYFUNCTION("""COMPUTED_VALUE"""),52.75)</f>
        <v>52.75</v>
      </c>
      <c r="F1384" s="1">
        <f>IFERROR(__xludf.DUMMYFUNCTION("""COMPUTED_VALUE"""),1.14115E7)</f>
        <v>11411500</v>
      </c>
    </row>
    <row r="1385">
      <c r="A1385" s="2">
        <f>IFERROR(__xludf.DUMMYFUNCTION("""COMPUTED_VALUE"""),38539.666666666664)</f>
        <v>38539.66667</v>
      </c>
      <c r="B1385" s="1">
        <f>IFERROR(__xludf.DUMMYFUNCTION("""COMPUTED_VALUE"""),52.68)</f>
        <v>52.68</v>
      </c>
      <c r="C1385" s="1">
        <f>IFERROR(__xludf.DUMMYFUNCTION("""COMPUTED_VALUE"""),52.79)</f>
        <v>52.79</v>
      </c>
      <c r="D1385" s="1">
        <f>IFERROR(__xludf.DUMMYFUNCTION("""COMPUTED_VALUE"""),52.48)</f>
        <v>52.48</v>
      </c>
      <c r="E1385" s="1">
        <f>IFERROR(__xludf.DUMMYFUNCTION("""COMPUTED_VALUE"""),52.5)</f>
        <v>52.5</v>
      </c>
      <c r="F1385" s="1">
        <f>IFERROR(__xludf.DUMMYFUNCTION("""COMPUTED_VALUE"""),9550100.0)</f>
        <v>9550100</v>
      </c>
    </row>
    <row r="1386">
      <c r="A1386" s="2">
        <f>IFERROR(__xludf.DUMMYFUNCTION("""COMPUTED_VALUE"""),38540.666666666664)</f>
        <v>38540.66667</v>
      </c>
      <c r="B1386" s="1">
        <f>IFERROR(__xludf.DUMMYFUNCTION("""COMPUTED_VALUE"""),52.2)</f>
        <v>52.2</v>
      </c>
      <c r="C1386" s="1">
        <f>IFERROR(__xludf.DUMMYFUNCTION("""COMPUTED_VALUE"""),52.46)</f>
        <v>52.46</v>
      </c>
      <c r="D1386" s="1">
        <f>IFERROR(__xludf.DUMMYFUNCTION("""COMPUTED_VALUE"""),52.0)</f>
        <v>52</v>
      </c>
      <c r="E1386" s="1">
        <f>IFERROR(__xludf.DUMMYFUNCTION("""COMPUTED_VALUE"""),52.16)</f>
        <v>52.16</v>
      </c>
      <c r="F1386" s="1">
        <f>IFERROR(__xludf.DUMMYFUNCTION("""COMPUTED_VALUE"""),9276100.0)</f>
        <v>9276100</v>
      </c>
    </row>
    <row r="1387">
      <c r="A1387" s="2">
        <f>IFERROR(__xludf.DUMMYFUNCTION("""COMPUTED_VALUE"""),38541.666666666664)</f>
        <v>38541.66667</v>
      </c>
      <c r="B1387" s="1">
        <f>IFERROR(__xludf.DUMMYFUNCTION("""COMPUTED_VALUE"""),52.17)</f>
        <v>52.17</v>
      </c>
      <c r="C1387" s="1">
        <f>IFERROR(__xludf.DUMMYFUNCTION("""COMPUTED_VALUE"""),53.17)</f>
        <v>53.17</v>
      </c>
      <c r="D1387" s="1">
        <f>IFERROR(__xludf.DUMMYFUNCTION("""COMPUTED_VALUE"""),52.16)</f>
        <v>52.16</v>
      </c>
      <c r="E1387" s="1">
        <f>IFERROR(__xludf.DUMMYFUNCTION("""COMPUTED_VALUE"""),52.96)</f>
        <v>52.96</v>
      </c>
      <c r="F1387" s="1">
        <f>IFERROR(__xludf.DUMMYFUNCTION("""COMPUTED_VALUE"""),7758700.0)</f>
        <v>7758700</v>
      </c>
    </row>
    <row r="1388">
      <c r="A1388" s="2">
        <f>IFERROR(__xludf.DUMMYFUNCTION("""COMPUTED_VALUE"""),38544.666666666664)</f>
        <v>38544.66667</v>
      </c>
      <c r="B1388" s="1">
        <f>IFERROR(__xludf.DUMMYFUNCTION("""COMPUTED_VALUE"""),53.79)</f>
        <v>53.79</v>
      </c>
      <c r="C1388" s="1">
        <f>IFERROR(__xludf.DUMMYFUNCTION("""COMPUTED_VALUE"""),54.08)</f>
        <v>54.08</v>
      </c>
      <c r="D1388" s="1">
        <f>IFERROR(__xludf.DUMMYFUNCTION("""COMPUTED_VALUE"""),53.65)</f>
        <v>53.65</v>
      </c>
      <c r="E1388" s="1">
        <f>IFERROR(__xludf.DUMMYFUNCTION("""COMPUTED_VALUE"""),53.9)</f>
        <v>53.9</v>
      </c>
      <c r="F1388" s="1">
        <f>IFERROR(__xludf.DUMMYFUNCTION("""COMPUTED_VALUE"""),7256000.0)</f>
        <v>7256000</v>
      </c>
    </row>
    <row r="1389">
      <c r="A1389" s="2">
        <f>IFERROR(__xludf.DUMMYFUNCTION("""COMPUTED_VALUE"""),38545.666666666664)</f>
        <v>38545.66667</v>
      </c>
      <c r="B1389" s="1">
        <f>IFERROR(__xludf.DUMMYFUNCTION("""COMPUTED_VALUE"""),54.22)</f>
        <v>54.22</v>
      </c>
      <c r="C1389" s="1">
        <f>IFERROR(__xludf.DUMMYFUNCTION("""COMPUTED_VALUE"""),54.48)</f>
        <v>54.48</v>
      </c>
      <c r="D1389" s="1">
        <f>IFERROR(__xludf.DUMMYFUNCTION("""COMPUTED_VALUE"""),53.9)</f>
        <v>53.9</v>
      </c>
      <c r="E1389" s="1">
        <f>IFERROR(__xludf.DUMMYFUNCTION("""COMPUTED_VALUE"""),53.94)</f>
        <v>53.94</v>
      </c>
      <c r="F1389" s="1">
        <f>IFERROR(__xludf.DUMMYFUNCTION("""COMPUTED_VALUE"""),1.04567E7)</f>
        <v>10456700</v>
      </c>
    </row>
    <row r="1390">
      <c r="A1390" s="2">
        <f>IFERROR(__xludf.DUMMYFUNCTION("""COMPUTED_VALUE"""),38546.666666666664)</f>
        <v>38546.66667</v>
      </c>
      <c r="B1390" s="1">
        <f>IFERROR(__xludf.DUMMYFUNCTION("""COMPUTED_VALUE"""),53.96)</f>
        <v>53.96</v>
      </c>
      <c r="C1390" s="1">
        <f>IFERROR(__xludf.DUMMYFUNCTION("""COMPUTED_VALUE"""),54.92)</f>
        <v>54.92</v>
      </c>
      <c r="D1390" s="1">
        <f>IFERROR(__xludf.DUMMYFUNCTION("""COMPUTED_VALUE"""),53.95)</f>
        <v>53.95</v>
      </c>
      <c r="E1390" s="1">
        <f>IFERROR(__xludf.DUMMYFUNCTION("""COMPUTED_VALUE"""),54.58)</f>
        <v>54.58</v>
      </c>
      <c r="F1390" s="1">
        <f>IFERROR(__xludf.DUMMYFUNCTION("""COMPUTED_VALUE"""),1.04914E7)</f>
        <v>10491400</v>
      </c>
    </row>
    <row r="1391">
      <c r="A1391" s="2">
        <f>IFERROR(__xludf.DUMMYFUNCTION("""COMPUTED_VALUE"""),38547.666666666664)</f>
        <v>38547.66667</v>
      </c>
      <c r="B1391" s="1">
        <f>IFERROR(__xludf.DUMMYFUNCTION("""COMPUTED_VALUE"""),54.96)</f>
        <v>54.96</v>
      </c>
      <c r="C1391" s="1">
        <f>IFERROR(__xludf.DUMMYFUNCTION("""COMPUTED_VALUE"""),55.2)</f>
        <v>55.2</v>
      </c>
      <c r="D1391" s="1">
        <f>IFERROR(__xludf.DUMMYFUNCTION("""COMPUTED_VALUE"""),54.72)</f>
        <v>54.72</v>
      </c>
      <c r="E1391" s="1">
        <f>IFERROR(__xludf.DUMMYFUNCTION("""COMPUTED_VALUE"""),54.75)</f>
        <v>54.75</v>
      </c>
      <c r="F1391" s="1">
        <f>IFERROR(__xludf.DUMMYFUNCTION("""COMPUTED_VALUE"""),1.03757E7)</f>
        <v>10375700</v>
      </c>
    </row>
    <row r="1392">
      <c r="A1392" s="2">
        <f>IFERROR(__xludf.DUMMYFUNCTION("""COMPUTED_VALUE"""),38548.666666666664)</f>
        <v>38548.66667</v>
      </c>
      <c r="B1392" s="1">
        <f>IFERROR(__xludf.DUMMYFUNCTION("""COMPUTED_VALUE"""),54.75)</f>
        <v>54.75</v>
      </c>
      <c r="C1392" s="1">
        <f>IFERROR(__xludf.DUMMYFUNCTION("""COMPUTED_VALUE"""),54.8)</f>
        <v>54.8</v>
      </c>
      <c r="D1392" s="1">
        <f>IFERROR(__xludf.DUMMYFUNCTION("""COMPUTED_VALUE"""),54.4)</f>
        <v>54.4</v>
      </c>
      <c r="E1392" s="1">
        <f>IFERROR(__xludf.DUMMYFUNCTION("""COMPUTED_VALUE"""),54.5)</f>
        <v>54.5</v>
      </c>
      <c r="F1392" s="1">
        <f>IFERROR(__xludf.DUMMYFUNCTION("""COMPUTED_VALUE"""),9809100.0)</f>
        <v>9809100</v>
      </c>
    </row>
    <row r="1393">
      <c r="A1393" s="2">
        <f>IFERROR(__xludf.DUMMYFUNCTION("""COMPUTED_VALUE"""),38551.666666666664)</f>
        <v>38551.66667</v>
      </c>
      <c r="B1393" s="1">
        <f>IFERROR(__xludf.DUMMYFUNCTION("""COMPUTED_VALUE"""),54.5)</f>
        <v>54.5</v>
      </c>
      <c r="C1393" s="1">
        <f>IFERROR(__xludf.DUMMYFUNCTION("""COMPUTED_VALUE"""),54.9)</f>
        <v>54.9</v>
      </c>
      <c r="D1393" s="1">
        <f>IFERROR(__xludf.DUMMYFUNCTION("""COMPUTED_VALUE"""),54.31)</f>
        <v>54.31</v>
      </c>
      <c r="E1393" s="1">
        <f>IFERROR(__xludf.DUMMYFUNCTION("""COMPUTED_VALUE"""),54.62)</f>
        <v>54.62</v>
      </c>
      <c r="F1393" s="1">
        <f>IFERROR(__xludf.DUMMYFUNCTION("""COMPUTED_VALUE"""),8589100.0)</f>
        <v>8589100</v>
      </c>
    </row>
    <row r="1394">
      <c r="A1394" s="2">
        <f>IFERROR(__xludf.DUMMYFUNCTION("""COMPUTED_VALUE"""),38552.666666666664)</f>
        <v>38552.66667</v>
      </c>
      <c r="B1394" s="1">
        <f>IFERROR(__xludf.DUMMYFUNCTION("""COMPUTED_VALUE"""),54.77)</f>
        <v>54.77</v>
      </c>
      <c r="C1394" s="1">
        <f>IFERROR(__xludf.DUMMYFUNCTION("""COMPUTED_VALUE"""),55.05)</f>
        <v>55.05</v>
      </c>
      <c r="D1394" s="1">
        <f>IFERROR(__xludf.DUMMYFUNCTION("""COMPUTED_VALUE"""),54.6)</f>
        <v>54.6</v>
      </c>
      <c r="E1394" s="1">
        <f>IFERROR(__xludf.DUMMYFUNCTION("""COMPUTED_VALUE"""),54.88)</f>
        <v>54.88</v>
      </c>
      <c r="F1394" s="1">
        <f>IFERROR(__xludf.DUMMYFUNCTION("""COMPUTED_VALUE"""),8521100.0)</f>
        <v>8521100</v>
      </c>
    </row>
    <row r="1395">
      <c r="A1395" s="2">
        <f>IFERROR(__xludf.DUMMYFUNCTION("""COMPUTED_VALUE"""),38553.666666666664)</f>
        <v>38553.66667</v>
      </c>
      <c r="B1395" s="1">
        <f>IFERROR(__xludf.DUMMYFUNCTION("""COMPUTED_VALUE"""),54.69)</f>
        <v>54.69</v>
      </c>
      <c r="C1395" s="1">
        <f>IFERROR(__xludf.DUMMYFUNCTION("""COMPUTED_VALUE"""),55.28)</f>
        <v>55.28</v>
      </c>
      <c r="D1395" s="1">
        <f>IFERROR(__xludf.DUMMYFUNCTION("""COMPUTED_VALUE"""),54.16)</f>
        <v>54.16</v>
      </c>
      <c r="E1395" s="1">
        <f>IFERROR(__xludf.DUMMYFUNCTION("""COMPUTED_VALUE"""),55.02)</f>
        <v>55.02</v>
      </c>
      <c r="F1395" s="1">
        <f>IFERROR(__xludf.DUMMYFUNCTION("""COMPUTED_VALUE"""),7421700.0)</f>
        <v>7421700</v>
      </c>
    </row>
    <row r="1396">
      <c r="A1396" s="2">
        <f>IFERROR(__xludf.DUMMYFUNCTION("""COMPUTED_VALUE"""),38554.666666666664)</f>
        <v>38554.66667</v>
      </c>
      <c r="B1396" s="1">
        <f>IFERROR(__xludf.DUMMYFUNCTION("""COMPUTED_VALUE"""),54.9)</f>
        <v>54.9</v>
      </c>
      <c r="C1396" s="1">
        <f>IFERROR(__xludf.DUMMYFUNCTION("""COMPUTED_VALUE"""),55.24)</f>
        <v>55.24</v>
      </c>
      <c r="D1396" s="1">
        <f>IFERROR(__xludf.DUMMYFUNCTION("""COMPUTED_VALUE"""),54.6)</f>
        <v>54.6</v>
      </c>
      <c r="E1396" s="1">
        <f>IFERROR(__xludf.DUMMYFUNCTION("""COMPUTED_VALUE"""),55.13)</f>
        <v>55.13</v>
      </c>
      <c r="F1396" s="1">
        <f>IFERROR(__xludf.DUMMYFUNCTION("""COMPUTED_VALUE"""),7590300.0)</f>
        <v>7590300</v>
      </c>
    </row>
    <row r="1397">
      <c r="A1397" s="2">
        <f>IFERROR(__xludf.DUMMYFUNCTION("""COMPUTED_VALUE"""),38555.666666666664)</f>
        <v>38555.66667</v>
      </c>
      <c r="B1397" s="1">
        <f>IFERROR(__xludf.DUMMYFUNCTION("""COMPUTED_VALUE"""),55.0)</f>
        <v>55</v>
      </c>
      <c r="C1397" s="1">
        <f>IFERROR(__xludf.DUMMYFUNCTION("""COMPUTED_VALUE"""),55.17)</f>
        <v>55.17</v>
      </c>
      <c r="D1397" s="1">
        <f>IFERROR(__xludf.DUMMYFUNCTION("""COMPUTED_VALUE"""),54.75)</f>
        <v>54.75</v>
      </c>
      <c r="E1397" s="1">
        <f>IFERROR(__xludf.DUMMYFUNCTION("""COMPUTED_VALUE"""),54.99)</f>
        <v>54.99</v>
      </c>
      <c r="F1397" s="1">
        <f>IFERROR(__xludf.DUMMYFUNCTION("""COMPUTED_VALUE"""),6344300.0)</f>
        <v>6344300</v>
      </c>
    </row>
    <row r="1398">
      <c r="A1398" s="2">
        <f>IFERROR(__xludf.DUMMYFUNCTION("""COMPUTED_VALUE"""),38558.666666666664)</f>
        <v>38558.66667</v>
      </c>
      <c r="B1398" s="1">
        <f>IFERROR(__xludf.DUMMYFUNCTION("""COMPUTED_VALUE"""),54.99)</f>
        <v>54.99</v>
      </c>
      <c r="C1398" s="1">
        <f>IFERROR(__xludf.DUMMYFUNCTION("""COMPUTED_VALUE"""),55.11)</f>
        <v>55.11</v>
      </c>
      <c r="D1398" s="1">
        <f>IFERROR(__xludf.DUMMYFUNCTION("""COMPUTED_VALUE"""),54.85)</f>
        <v>54.85</v>
      </c>
      <c r="E1398" s="1">
        <f>IFERROR(__xludf.DUMMYFUNCTION("""COMPUTED_VALUE"""),54.94)</f>
        <v>54.94</v>
      </c>
      <c r="F1398" s="1">
        <f>IFERROR(__xludf.DUMMYFUNCTION("""COMPUTED_VALUE"""),5442900.0)</f>
        <v>5442900</v>
      </c>
    </row>
    <row r="1399">
      <c r="A1399" s="2">
        <f>IFERROR(__xludf.DUMMYFUNCTION("""COMPUTED_VALUE"""),38559.666666666664)</f>
        <v>38559.66667</v>
      </c>
      <c r="B1399" s="1">
        <f>IFERROR(__xludf.DUMMYFUNCTION("""COMPUTED_VALUE"""),55.0)</f>
        <v>55</v>
      </c>
      <c r="C1399" s="1">
        <f>IFERROR(__xludf.DUMMYFUNCTION("""COMPUTED_VALUE"""),55.42)</f>
        <v>55.42</v>
      </c>
      <c r="D1399" s="1">
        <f>IFERROR(__xludf.DUMMYFUNCTION("""COMPUTED_VALUE"""),54.95)</f>
        <v>54.95</v>
      </c>
      <c r="E1399" s="1">
        <f>IFERROR(__xludf.DUMMYFUNCTION("""COMPUTED_VALUE"""),55.11)</f>
        <v>55.11</v>
      </c>
      <c r="F1399" s="1">
        <f>IFERROR(__xludf.DUMMYFUNCTION("""COMPUTED_VALUE"""),6355700.0)</f>
        <v>6355700</v>
      </c>
    </row>
    <row r="1400">
      <c r="A1400" s="2">
        <f>IFERROR(__xludf.DUMMYFUNCTION("""COMPUTED_VALUE"""),38560.666666666664)</f>
        <v>38560.66667</v>
      </c>
      <c r="B1400" s="1">
        <f>IFERROR(__xludf.DUMMYFUNCTION("""COMPUTED_VALUE"""),55.31)</f>
        <v>55.31</v>
      </c>
      <c r="C1400" s="1">
        <f>IFERROR(__xludf.DUMMYFUNCTION("""COMPUTED_VALUE"""),55.5)</f>
        <v>55.5</v>
      </c>
      <c r="D1400" s="1">
        <f>IFERROR(__xludf.DUMMYFUNCTION("""COMPUTED_VALUE"""),55.18)</f>
        <v>55.18</v>
      </c>
      <c r="E1400" s="1">
        <f>IFERROR(__xludf.DUMMYFUNCTION("""COMPUTED_VALUE"""),55.37)</f>
        <v>55.37</v>
      </c>
      <c r="F1400" s="1">
        <f>IFERROR(__xludf.DUMMYFUNCTION("""COMPUTED_VALUE"""),4984000.0)</f>
        <v>4984000</v>
      </c>
    </row>
    <row r="1401">
      <c r="A1401" s="2">
        <f>IFERROR(__xludf.DUMMYFUNCTION("""COMPUTED_VALUE"""),38561.666666666664)</f>
        <v>38561.66667</v>
      </c>
      <c r="B1401" s="1">
        <f>IFERROR(__xludf.DUMMYFUNCTION("""COMPUTED_VALUE"""),55.25)</f>
        <v>55.25</v>
      </c>
      <c r="C1401" s="1">
        <f>IFERROR(__xludf.DUMMYFUNCTION("""COMPUTED_VALUE"""),55.98)</f>
        <v>55.98</v>
      </c>
      <c r="D1401" s="1">
        <f>IFERROR(__xludf.DUMMYFUNCTION("""COMPUTED_VALUE"""),55.2)</f>
        <v>55.2</v>
      </c>
      <c r="E1401" s="1">
        <f>IFERROR(__xludf.DUMMYFUNCTION("""COMPUTED_VALUE"""),55.82)</f>
        <v>55.82</v>
      </c>
      <c r="F1401" s="1">
        <f>IFERROR(__xludf.DUMMYFUNCTION("""COMPUTED_VALUE"""),5605900.0)</f>
        <v>5605900</v>
      </c>
    </row>
    <row r="1402">
      <c r="A1402" s="2">
        <f>IFERROR(__xludf.DUMMYFUNCTION("""COMPUTED_VALUE"""),38562.666666666664)</f>
        <v>38562.66667</v>
      </c>
      <c r="B1402" s="1">
        <f>IFERROR(__xludf.DUMMYFUNCTION("""COMPUTED_VALUE"""),55.75)</f>
        <v>55.75</v>
      </c>
      <c r="C1402" s="1">
        <f>IFERROR(__xludf.DUMMYFUNCTION("""COMPUTED_VALUE"""),55.85)</f>
        <v>55.85</v>
      </c>
      <c r="D1402" s="1">
        <f>IFERROR(__xludf.DUMMYFUNCTION("""COMPUTED_VALUE"""),55.52)</f>
        <v>55.52</v>
      </c>
      <c r="E1402" s="1">
        <f>IFERROR(__xludf.DUMMYFUNCTION("""COMPUTED_VALUE"""),55.63)</f>
        <v>55.63</v>
      </c>
      <c r="F1402" s="1">
        <f>IFERROR(__xludf.DUMMYFUNCTION("""COMPUTED_VALUE"""),6301000.0)</f>
        <v>6301000</v>
      </c>
    </row>
    <row r="1403">
      <c r="A1403" s="2">
        <f>IFERROR(__xludf.DUMMYFUNCTION("""COMPUTED_VALUE"""),38565.666666666664)</f>
        <v>38565.66667</v>
      </c>
      <c r="B1403" s="1">
        <f>IFERROR(__xludf.DUMMYFUNCTION("""COMPUTED_VALUE"""),55.8)</f>
        <v>55.8</v>
      </c>
      <c r="C1403" s="1">
        <f>IFERROR(__xludf.DUMMYFUNCTION("""COMPUTED_VALUE"""),55.99)</f>
        <v>55.99</v>
      </c>
      <c r="D1403" s="1">
        <f>IFERROR(__xludf.DUMMYFUNCTION("""COMPUTED_VALUE"""),54.63)</f>
        <v>54.63</v>
      </c>
      <c r="E1403" s="1">
        <f>IFERROR(__xludf.DUMMYFUNCTION("""COMPUTED_VALUE"""),55.32)</f>
        <v>55.32</v>
      </c>
      <c r="F1403" s="1">
        <f>IFERROR(__xludf.DUMMYFUNCTION("""COMPUTED_VALUE"""),1.08999E7)</f>
        <v>10899900</v>
      </c>
    </row>
    <row r="1404">
      <c r="A1404" s="2">
        <f>IFERROR(__xludf.DUMMYFUNCTION("""COMPUTED_VALUE"""),38566.666666666664)</f>
        <v>38566.66667</v>
      </c>
      <c r="B1404" s="1">
        <f>IFERROR(__xludf.DUMMYFUNCTION("""COMPUTED_VALUE"""),55.52)</f>
        <v>55.52</v>
      </c>
      <c r="C1404" s="1">
        <f>IFERROR(__xludf.DUMMYFUNCTION("""COMPUTED_VALUE"""),55.7)</f>
        <v>55.7</v>
      </c>
      <c r="D1404" s="1">
        <f>IFERROR(__xludf.DUMMYFUNCTION("""COMPUTED_VALUE"""),55.32)</f>
        <v>55.32</v>
      </c>
      <c r="E1404" s="1">
        <f>IFERROR(__xludf.DUMMYFUNCTION("""COMPUTED_VALUE"""),55.36)</f>
        <v>55.36</v>
      </c>
      <c r="F1404" s="1">
        <f>IFERROR(__xludf.DUMMYFUNCTION("""COMPUTED_VALUE"""),1.04981E7)</f>
        <v>10498100</v>
      </c>
    </row>
    <row r="1405">
      <c r="A1405" s="2">
        <f>IFERROR(__xludf.DUMMYFUNCTION("""COMPUTED_VALUE"""),38567.666666666664)</f>
        <v>38567.66667</v>
      </c>
      <c r="B1405" s="1">
        <f>IFERROR(__xludf.DUMMYFUNCTION("""COMPUTED_VALUE"""),55.36)</f>
        <v>55.36</v>
      </c>
      <c r="C1405" s="1">
        <f>IFERROR(__xludf.DUMMYFUNCTION("""COMPUTED_VALUE"""),55.38)</f>
        <v>55.38</v>
      </c>
      <c r="D1405" s="1">
        <f>IFERROR(__xludf.DUMMYFUNCTION("""COMPUTED_VALUE"""),54.59)</f>
        <v>54.59</v>
      </c>
      <c r="E1405" s="1">
        <f>IFERROR(__xludf.DUMMYFUNCTION("""COMPUTED_VALUE"""),55.0)</f>
        <v>55</v>
      </c>
      <c r="F1405" s="1">
        <f>IFERROR(__xludf.DUMMYFUNCTION("""COMPUTED_VALUE"""),9844300.0)</f>
        <v>9844300</v>
      </c>
    </row>
    <row r="1406">
      <c r="A1406" s="2">
        <f>IFERROR(__xludf.DUMMYFUNCTION("""COMPUTED_VALUE"""),38568.666666666664)</f>
        <v>38568.66667</v>
      </c>
      <c r="B1406" s="1">
        <f>IFERROR(__xludf.DUMMYFUNCTION("""COMPUTED_VALUE"""),55.0)</f>
        <v>55</v>
      </c>
      <c r="C1406" s="1">
        <f>IFERROR(__xludf.DUMMYFUNCTION("""COMPUTED_VALUE"""),55.1)</f>
        <v>55.1</v>
      </c>
      <c r="D1406" s="1">
        <f>IFERROR(__xludf.DUMMYFUNCTION("""COMPUTED_VALUE"""),54.04)</f>
        <v>54.04</v>
      </c>
      <c r="E1406" s="1">
        <f>IFERROR(__xludf.DUMMYFUNCTION("""COMPUTED_VALUE"""),54.17)</f>
        <v>54.17</v>
      </c>
      <c r="F1406" s="1">
        <f>IFERROR(__xludf.DUMMYFUNCTION("""COMPUTED_VALUE"""),1.13286E7)</f>
        <v>11328600</v>
      </c>
    </row>
    <row r="1407">
      <c r="A1407" s="2">
        <f>IFERROR(__xludf.DUMMYFUNCTION("""COMPUTED_VALUE"""),38569.666666666664)</f>
        <v>38569.66667</v>
      </c>
      <c r="B1407" s="1">
        <f>IFERROR(__xludf.DUMMYFUNCTION("""COMPUTED_VALUE"""),54.0)</f>
        <v>54</v>
      </c>
      <c r="C1407" s="1">
        <f>IFERROR(__xludf.DUMMYFUNCTION("""COMPUTED_VALUE"""),54.23)</f>
        <v>54.23</v>
      </c>
      <c r="D1407" s="1">
        <f>IFERROR(__xludf.DUMMYFUNCTION("""COMPUTED_VALUE"""),53.89)</f>
        <v>53.89</v>
      </c>
      <c r="E1407" s="1">
        <f>IFERROR(__xludf.DUMMYFUNCTION("""COMPUTED_VALUE"""),54.1)</f>
        <v>54.1</v>
      </c>
      <c r="F1407" s="1">
        <f>IFERROR(__xludf.DUMMYFUNCTION("""COMPUTED_VALUE"""),8251000.0)</f>
        <v>8251000</v>
      </c>
    </row>
    <row r="1408">
      <c r="A1408" s="2">
        <f>IFERROR(__xludf.DUMMYFUNCTION("""COMPUTED_VALUE"""),38572.666666666664)</f>
        <v>38572.66667</v>
      </c>
      <c r="B1408" s="1">
        <f>IFERROR(__xludf.DUMMYFUNCTION("""COMPUTED_VALUE"""),54.11)</f>
        <v>54.11</v>
      </c>
      <c r="C1408" s="1">
        <f>IFERROR(__xludf.DUMMYFUNCTION("""COMPUTED_VALUE"""),54.42)</f>
        <v>54.42</v>
      </c>
      <c r="D1408" s="1">
        <f>IFERROR(__xludf.DUMMYFUNCTION("""COMPUTED_VALUE"""),54.0)</f>
        <v>54</v>
      </c>
      <c r="E1408" s="1">
        <f>IFERROR(__xludf.DUMMYFUNCTION("""COMPUTED_VALUE"""),54.25)</f>
        <v>54.25</v>
      </c>
      <c r="F1408" s="1">
        <f>IFERROR(__xludf.DUMMYFUNCTION("""COMPUTED_VALUE"""),6294500.0)</f>
        <v>6294500</v>
      </c>
    </row>
    <row r="1409">
      <c r="A1409" s="2">
        <f>IFERROR(__xludf.DUMMYFUNCTION("""COMPUTED_VALUE"""),38573.666666666664)</f>
        <v>38573.66667</v>
      </c>
      <c r="B1409" s="1">
        <f>IFERROR(__xludf.DUMMYFUNCTION("""COMPUTED_VALUE"""),54.3)</f>
        <v>54.3</v>
      </c>
      <c r="C1409" s="1">
        <f>IFERROR(__xludf.DUMMYFUNCTION("""COMPUTED_VALUE"""),54.3)</f>
        <v>54.3</v>
      </c>
      <c r="D1409" s="1">
        <f>IFERROR(__xludf.DUMMYFUNCTION("""COMPUTED_VALUE"""),53.62)</f>
        <v>53.62</v>
      </c>
      <c r="E1409" s="1">
        <f>IFERROR(__xludf.DUMMYFUNCTION("""COMPUTED_VALUE"""),53.94)</f>
        <v>53.94</v>
      </c>
      <c r="F1409" s="1">
        <f>IFERROR(__xludf.DUMMYFUNCTION("""COMPUTED_VALUE"""),8070900.0)</f>
        <v>8070900</v>
      </c>
    </row>
    <row r="1410">
      <c r="A1410" s="2">
        <f>IFERROR(__xludf.DUMMYFUNCTION("""COMPUTED_VALUE"""),38574.666666666664)</f>
        <v>38574.66667</v>
      </c>
      <c r="B1410" s="1">
        <f>IFERROR(__xludf.DUMMYFUNCTION("""COMPUTED_VALUE"""),53.95)</f>
        <v>53.95</v>
      </c>
      <c r="C1410" s="1">
        <f>IFERROR(__xludf.DUMMYFUNCTION("""COMPUTED_VALUE"""),54.39)</f>
        <v>54.39</v>
      </c>
      <c r="D1410" s="1">
        <f>IFERROR(__xludf.DUMMYFUNCTION("""COMPUTED_VALUE"""),53.39)</f>
        <v>53.39</v>
      </c>
      <c r="E1410" s="1">
        <f>IFERROR(__xludf.DUMMYFUNCTION("""COMPUTED_VALUE"""),53.71)</f>
        <v>53.71</v>
      </c>
      <c r="F1410" s="1">
        <f>IFERROR(__xludf.DUMMYFUNCTION("""COMPUTED_VALUE"""),8411400.0)</f>
        <v>8411400</v>
      </c>
    </row>
    <row r="1411">
      <c r="A1411" s="2">
        <f>IFERROR(__xludf.DUMMYFUNCTION("""COMPUTED_VALUE"""),38575.666666666664)</f>
        <v>38575.66667</v>
      </c>
      <c r="B1411" s="1">
        <f>IFERROR(__xludf.DUMMYFUNCTION("""COMPUTED_VALUE"""),53.54)</f>
        <v>53.54</v>
      </c>
      <c r="C1411" s="1">
        <f>IFERROR(__xludf.DUMMYFUNCTION("""COMPUTED_VALUE"""),53.89)</f>
        <v>53.89</v>
      </c>
      <c r="D1411" s="1">
        <f>IFERROR(__xludf.DUMMYFUNCTION("""COMPUTED_VALUE"""),53.05)</f>
        <v>53.05</v>
      </c>
      <c r="E1411" s="1">
        <f>IFERROR(__xludf.DUMMYFUNCTION("""COMPUTED_VALUE"""),53.66)</f>
        <v>53.66</v>
      </c>
      <c r="F1411" s="1">
        <f>IFERROR(__xludf.DUMMYFUNCTION("""COMPUTED_VALUE"""),9666300.0)</f>
        <v>9666300</v>
      </c>
    </row>
    <row r="1412">
      <c r="A1412" s="2">
        <f>IFERROR(__xludf.DUMMYFUNCTION("""COMPUTED_VALUE"""),38576.666666666664)</f>
        <v>38576.66667</v>
      </c>
      <c r="B1412" s="1">
        <f>IFERROR(__xludf.DUMMYFUNCTION("""COMPUTED_VALUE"""),53.41)</f>
        <v>53.41</v>
      </c>
      <c r="C1412" s="1">
        <f>IFERROR(__xludf.DUMMYFUNCTION("""COMPUTED_VALUE"""),53.7)</f>
        <v>53.7</v>
      </c>
      <c r="D1412" s="1">
        <f>IFERROR(__xludf.DUMMYFUNCTION("""COMPUTED_VALUE"""),53.25)</f>
        <v>53.25</v>
      </c>
      <c r="E1412" s="1">
        <f>IFERROR(__xludf.DUMMYFUNCTION("""COMPUTED_VALUE"""),53.55)</f>
        <v>53.55</v>
      </c>
      <c r="F1412" s="1">
        <f>IFERROR(__xludf.DUMMYFUNCTION("""COMPUTED_VALUE"""),7432200.0)</f>
        <v>7432200</v>
      </c>
    </row>
    <row r="1413">
      <c r="A1413" s="2">
        <f>IFERROR(__xludf.DUMMYFUNCTION("""COMPUTED_VALUE"""),38579.666666666664)</f>
        <v>38579.66667</v>
      </c>
      <c r="B1413" s="1">
        <f>IFERROR(__xludf.DUMMYFUNCTION("""COMPUTED_VALUE"""),53.55)</f>
        <v>53.55</v>
      </c>
      <c r="C1413" s="1">
        <f>IFERROR(__xludf.DUMMYFUNCTION("""COMPUTED_VALUE"""),54.43)</f>
        <v>54.43</v>
      </c>
      <c r="D1413" s="1">
        <f>IFERROR(__xludf.DUMMYFUNCTION("""COMPUTED_VALUE"""),53.47)</f>
        <v>53.47</v>
      </c>
      <c r="E1413" s="1">
        <f>IFERROR(__xludf.DUMMYFUNCTION("""COMPUTED_VALUE"""),54.18)</f>
        <v>54.18</v>
      </c>
      <c r="F1413" s="1">
        <f>IFERROR(__xludf.DUMMYFUNCTION("""COMPUTED_VALUE"""),6592400.0)</f>
        <v>6592400</v>
      </c>
    </row>
    <row r="1414">
      <c r="A1414" s="2">
        <f>IFERROR(__xludf.DUMMYFUNCTION("""COMPUTED_VALUE"""),38580.666666666664)</f>
        <v>38580.66667</v>
      </c>
      <c r="B1414" s="1">
        <f>IFERROR(__xludf.DUMMYFUNCTION("""COMPUTED_VALUE"""),54.24)</f>
        <v>54.24</v>
      </c>
      <c r="C1414" s="1">
        <f>IFERROR(__xludf.DUMMYFUNCTION("""COMPUTED_VALUE"""),54.36)</f>
        <v>54.36</v>
      </c>
      <c r="D1414" s="1">
        <f>IFERROR(__xludf.DUMMYFUNCTION("""COMPUTED_VALUE"""),53.55)</f>
        <v>53.55</v>
      </c>
      <c r="E1414" s="1">
        <f>IFERROR(__xludf.DUMMYFUNCTION("""COMPUTED_VALUE"""),53.58)</f>
        <v>53.58</v>
      </c>
      <c r="F1414" s="1">
        <f>IFERROR(__xludf.DUMMYFUNCTION("""COMPUTED_VALUE"""),7155900.0)</f>
        <v>7155900</v>
      </c>
    </row>
    <row r="1415">
      <c r="A1415" s="2">
        <f>IFERROR(__xludf.DUMMYFUNCTION("""COMPUTED_VALUE"""),38581.666666666664)</f>
        <v>38581.66667</v>
      </c>
      <c r="B1415" s="1">
        <f>IFERROR(__xludf.DUMMYFUNCTION("""COMPUTED_VALUE"""),53.5)</f>
        <v>53.5</v>
      </c>
      <c r="C1415" s="1">
        <f>IFERROR(__xludf.DUMMYFUNCTION("""COMPUTED_VALUE"""),53.85)</f>
        <v>53.85</v>
      </c>
      <c r="D1415" s="1">
        <f>IFERROR(__xludf.DUMMYFUNCTION("""COMPUTED_VALUE"""),53.22)</f>
        <v>53.22</v>
      </c>
      <c r="E1415" s="1">
        <f>IFERROR(__xludf.DUMMYFUNCTION("""COMPUTED_VALUE"""),53.42)</f>
        <v>53.42</v>
      </c>
      <c r="F1415" s="1">
        <f>IFERROR(__xludf.DUMMYFUNCTION("""COMPUTED_VALUE"""),7365300.0)</f>
        <v>7365300</v>
      </c>
    </row>
    <row r="1416">
      <c r="A1416" s="2">
        <f>IFERROR(__xludf.DUMMYFUNCTION("""COMPUTED_VALUE"""),38582.666666666664)</f>
        <v>38582.66667</v>
      </c>
      <c r="B1416" s="1">
        <f>IFERROR(__xludf.DUMMYFUNCTION("""COMPUTED_VALUE"""),53.55)</f>
        <v>53.55</v>
      </c>
      <c r="C1416" s="1">
        <f>IFERROR(__xludf.DUMMYFUNCTION("""COMPUTED_VALUE"""),54.59)</f>
        <v>54.59</v>
      </c>
      <c r="D1416" s="1">
        <f>IFERROR(__xludf.DUMMYFUNCTION("""COMPUTED_VALUE"""),53.5)</f>
        <v>53.5</v>
      </c>
      <c r="E1416" s="1">
        <f>IFERROR(__xludf.DUMMYFUNCTION("""COMPUTED_VALUE"""),54.18)</f>
        <v>54.18</v>
      </c>
      <c r="F1416" s="1">
        <f>IFERROR(__xludf.DUMMYFUNCTION("""COMPUTED_VALUE"""),8655900.0)</f>
        <v>8655900</v>
      </c>
    </row>
    <row r="1417">
      <c r="A1417" s="2">
        <f>IFERROR(__xludf.DUMMYFUNCTION("""COMPUTED_VALUE"""),38583.666666666664)</f>
        <v>38583.66667</v>
      </c>
      <c r="B1417" s="1">
        <f>IFERROR(__xludf.DUMMYFUNCTION("""COMPUTED_VALUE"""),54.37)</f>
        <v>54.37</v>
      </c>
      <c r="C1417" s="1">
        <f>IFERROR(__xludf.DUMMYFUNCTION("""COMPUTED_VALUE"""),54.77)</f>
        <v>54.77</v>
      </c>
      <c r="D1417" s="1">
        <f>IFERROR(__xludf.DUMMYFUNCTION("""COMPUTED_VALUE"""),54.15)</f>
        <v>54.15</v>
      </c>
      <c r="E1417" s="1">
        <f>IFERROR(__xludf.DUMMYFUNCTION("""COMPUTED_VALUE"""),54.54)</f>
        <v>54.54</v>
      </c>
      <c r="F1417" s="1">
        <f>IFERROR(__xludf.DUMMYFUNCTION("""COMPUTED_VALUE"""),6435000.0)</f>
        <v>6435000</v>
      </c>
    </row>
    <row r="1418">
      <c r="A1418" s="2">
        <f>IFERROR(__xludf.DUMMYFUNCTION("""COMPUTED_VALUE"""),38586.666666666664)</f>
        <v>38586.66667</v>
      </c>
      <c r="B1418" s="1">
        <f>IFERROR(__xludf.DUMMYFUNCTION("""COMPUTED_VALUE"""),55.4)</f>
        <v>55.4</v>
      </c>
      <c r="C1418" s="1">
        <f>IFERROR(__xludf.DUMMYFUNCTION("""COMPUTED_VALUE"""),55.72)</f>
        <v>55.72</v>
      </c>
      <c r="D1418" s="1">
        <f>IFERROR(__xludf.DUMMYFUNCTION("""COMPUTED_VALUE"""),54.99)</f>
        <v>54.99</v>
      </c>
      <c r="E1418" s="1">
        <f>IFERROR(__xludf.DUMMYFUNCTION("""COMPUTED_VALUE"""),55.16)</f>
        <v>55.16</v>
      </c>
      <c r="F1418" s="1">
        <f>IFERROR(__xludf.DUMMYFUNCTION("""COMPUTED_VALUE"""),1.15139E7)</f>
        <v>11513900</v>
      </c>
    </row>
    <row r="1419">
      <c r="A1419" s="2">
        <f>IFERROR(__xludf.DUMMYFUNCTION("""COMPUTED_VALUE"""),38587.666666666664)</f>
        <v>38587.66667</v>
      </c>
      <c r="B1419" s="1">
        <f>IFERROR(__xludf.DUMMYFUNCTION("""COMPUTED_VALUE"""),55.42)</f>
        <v>55.42</v>
      </c>
      <c r="C1419" s="1">
        <f>IFERROR(__xludf.DUMMYFUNCTION("""COMPUTED_VALUE"""),55.66)</f>
        <v>55.66</v>
      </c>
      <c r="D1419" s="1">
        <f>IFERROR(__xludf.DUMMYFUNCTION("""COMPUTED_VALUE"""),55.17)</f>
        <v>55.17</v>
      </c>
      <c r="E1419" s="1">
        <f>IFERROR(__xludf.DUMMYFUNCTION("""COMPUTED_VALUE"""),55.4)</f>
        <v>55.4</v>
      </c>
      <c r="F1419" s="1">
        <f>IFERROR(__xludf.DUMMYFUNCTION("""COMPUTED_VALUE"""),7215800.0)</f>
        <v>7215800</v>
      </c>
    </row>
    <row r="1420">
      <c r="A1420" s="2">
        <f>IFERROR(__xludf.DUMMYFUNCTION("""COMPUTED_VALUE"""),38588.666666666664)</f>
        <v>38588.66667</v>
      </c>
      <c r="B1420" s="1">
        <f>IFERROR(__xludf.DUMMYFUNCTION("""COMPUTED_VALUE"""),55.41)</f>
        <v>55.41</v>
      </c>
      <c r="C1420" s="1">
        <f>IFERROR(__xludf.DUMMYFUNCTION("""COMPUTED_VALUE"""),55.42)</f>
        <v>55.42</v>
      </c>
      <c r="D1420" s="1">
        <f>IFERROR(__xludf.DUMMYFUNCTION("""COMPUTED_VALUE"""),54.55)</f>
        <v>54.55</v>
      </c>
      <c r="E1420" s="1">
        <f>IFERROR(__xludf.DUMMYFUNCTION("""COMPUTED_VALUE"""),54.62)</f>
        <v>54.62</v>
      </c>
      <c r="F1420" s="1">
        <f>IFERROR(__xludf.DUMMYFUNCTION("""COMPUTED_VALUE"""),8339000.0)</f>
        <v>8339000</v>
      </c>
    </row>
    <row r="1421">
      <c r="A1421" s="2">
        <f>IFERROR(__xludf.DUMMYFUNCTION("""COMPUTED_VALUE"""),38589.666666666664)</f>
        <v>38589.66667</v>
      </c>
      <c r="B1421" s="1">
        <f>IFERROR(__xludf.DUMMYFUNCTION("""COMPUTED_VALUE"""),54.88)</f>
        <v>54.88</v>
      </c>
      <c r="C1421" s="1">
        <f>IFERROR(__xludf.DUMMYFUNCTION("""COMPUTED_VALUE"""),55.06)</f>
        <v>55.06</v>
      </c>
      <c r="D1421" s="1">
        <f>IFERROR(__xludf.DUMMYFUNCTION("""COMPUTED_VALUE"""),54.6)</f>
        <v>54.6</v>
      </c>
      <c r="E1421" s="1">
        <f>IFERROR(__xludf.DUMMYFUNCTION("""COMPUTED_VALUE"""),55.0)</f>
        <v>55</v>
      </c>
      <c r="F1421" s="1">
        <f>IFERROR(__xludf.DUMMYFUNCTION("""COMPUTED_VALUE"""),6842000.0)</f>
        <v>6842000</v>
      </c>
    </row>
    <row r="1422">
      <c r="A1422" s="2">
        <f>IFERROR(__xludf.DUMMYFUNCTION("""COMPUTED_VALUE"""),38590.666666666664)</f>
        <v>38590.66667</v>
      </c>
      <c r="B1422" s="1">
        <f>IFERROR(__xludf.DUMMYFUNCTION("""COMPUTED_VALUE"""),55.0)</f>
        <v>55</v>
      </c>
      <c r="C1422" s="1">
        <f>IFERROR(__xludf.DUMMYFUNCTION("""COMPUTED_VALUE"""),55.24)</f>
        <v>55.24</v>
      </c>
      <c r="D1422" s="1">
        <f>IFERROR(__xludf.DUMMYFUNCTION("""COMPUTED_VALUE"""),54.7)</f>
        <v>54.7</v>
      </c>
      <c r="E1422" s="1">
        <f>IFERROR(__xludf.DUMMYFUNCTION("""COMPUTED_VALUE"""),54.96)</f>
        <v>54.96</v>
      </c>
      <c r="F1422" s="1">
        <f>IFERROR(__xludf.DUMMYFUNCTION("""COMPUTED_VALUE"""),6619700.0)</f>
        <v>6619700</v>
      </c>
    </row>
    <row r="1423">
      <c r="A1423" s="2">
        <f>IFERROR(__xludf.DUMMYFUNCTION("""COMPUTED_VALUE"""),38593.666666666664)</f>
        <v>38593.66667</v>
      </c>
      <c r="B1423" s="1">
        <f>IFERROR(__xludf.DUMMYFUNCTION("""COMPUTED_VALUE"""),54.92)</f>
        <v>54.92</v>
      </c>
      <c r="C1423" s="1">
        <f>IFERROR(__xludf.DUMMYFUNCTION("""COMPUTED_VALUE"""),55.84)</f>
        <v>55.84</v>
      </c>
      <c r="D1423" s="1">
        <f>IFERROR(__xludf.DUMMYFUNCTION("""COMPUTED_VALUE"""),54.85)</f>
        <v>54.85</v>
      </c>
      <c r="E1423" s="1">
        <f>IFERROR(__xludf.DUMMYFUNCTION("""COMPUTED_VALUE"""),55.64)</f>
        <v>55.64</v>
      </c>
      <c r="F1423" s="1">
        <f>IFERROR(__xludf.DUMMYFUNCTION("""COMPUTED_VALUE"""),1.19319E7)</f>
        <v>11931900</v>
      </c>
    </row>
    <row r="1424">
      <c r="A1424" s="2">
        <f>IFERROR(__xludf.DUMMYFUNCTION("""COMPUTED_VALUE"""),38594.666666666664)</f>
        <v>38594.66667</v>
      </c>
      <c r="B1424" s="1">
        <f>IFERROR(__xludf.DUMMYFUNCTION("""COMPUTED_VALUE"""),55.65)</f>
        <v>55.65</v>
      </c>
      <c r="C1424" s="1">
        <f>IFERROR(__xludf.DUMMYFUNCTION("""COMPUTED_VALUE"""),55.65)</f>
        <v>55.65</v>
      </c>
      <c r="D1424" s="1">
        <f>IFERROR(__xludf.DUMMYFUNCTION("""COMPUTED_VALUE"""),55.0)</f>
        <v>55</v>
      </c>
      <c r="E1424" s="1">
        <f>IFERROR(__xludf.DUMMYFUNCTION("""COMPUTED_VALUE"""),55.4)</f>
        <v>55.4</v>
      </c>
      <c r="F1424" s="1">
        <f>IFERROR(__xludf.DUMMYFUNCTION("""COMPUTED_VALUE"""),7833600.0)</f>
        <v>7833600</v>
      </c>
    </row>
    <row r="1425">
      <c r="A1425" s="2">
        <f>IFERROR(__xludf.DUMMYFUNCTION("""COMPUTED_VALUE"""),38595.666666666664)</f>
        <v>38595.66667</v>
      </c>
      <c r="B1425" s="1">
        <f>IFERROR(__xludf.DUMMYFUNCTION("""COMPUTED_VALUE"""),55.4)</f>
        <v>55.4</v>
      </c>
      <c r="C1425" s="1">
        <f>IFERROR(__xludf.DUMMYFUNCTION("""COMPUTED_VALUE"""),55.72)</f>
        <v>55.72</v>
      </c>
      <c r="D1425" s="1">
        <f>IFERROR(__xludf.DUMMYFUNCTION("""COMPUTED_VALUE"""),55.19)</f>
        <v>55.19</v>
      </c>
      <c r="E1425" s="1">
        <f>IFERROR(__xludf.DUMMYFUNCTION("""COMPUTED_VALUE"""),55.48)</f>
        <v>55.48</v>
      </c>
      <c r="F1425" s="1">
        <f>IFERROR(__xludf.DUMMYFUNCTION("""COMPUTED_VALUE"""),9500800.0)</f>
        <v>9500800</v>
      </c>
    </row>
    <row r="1426">
      <c r="A1426" s="2">
        <f>IFERROR(__xludf.DUMMYFUNCTION("""COMPUTED_VALUE"""),38596.666666666664)</f>
        <v>38596.66667</v>
      </c>
      <c r="B1426" s="1">
        <f>IFERROR(__xludf.DUMMYFUNCTION("""COMPUTED_VALUE"""),55.4)</f>
        <v>55.4</v>
      </c>
      <c r="C1426" s="1">
        <f>IFERROR(__xludf.DUMMYFUNCTION("""COMPUTED_VALUE"""),55.94)</f>
        <v>55.94</v>
      </c>
      <c r="D1426" s="1">
        <f>IFERROR(__xludf.DUMMYFUNCTION("""COMPUTED_VALUE"""),55.25)</f>
        <v>55.25</v>
      </c>
      <c r="E1426" s="1">
        <f>IFERROR(__xludf.DUMMYFUNCTION("""COMPUTED_VALUE"""),55.76)</f>
        <v>55.76</v>
      </c>
      <c r="F1426" s="1">
        <f>IFERROR(__xludf.DUMMYFUNCTION("""COMPUTED_VALUE"""),7784400.0)</f>
        <v>7784400</v>
      </c>
    </row>
    <row r="1427">
      <c r="A1427" s="2">
        <f>IFERROR(__xludf.DUMMYFUNCTION("""COMPUTED_VALUE"""),38597.666666666664)</f>
        <v>38597.66667</v>
      </c>
      <c r="B1427" s="1">
        <f>IFERROR(__xludf.DUMMYFUNCTION("""COMPUTED_VALUE"""),55.75)</f>
        <v>55.75</v>
      </c>
      <c r="C1427" s="1">
        <f>IFERROR(__xludf.DUMMYFUNCTION("""COMPUTED_VALUE"""),56.36)</f>
        <v>56.36</v>
      </c>
      <c r="D1427" s="1">
        <f>IFERROR(__xludf.DUMMYFUNCTION("""COMPUTED_VALUE"""),55.7)</f>
        <v>55.7</v>
      </c>
      <c r="E1427" s="1">
        <f>IFERROR(__xludf.DUMMYFUNCTION("""COMPUTED_VALUE"""),55.99)</f>
        <v>55.99</v>
      </c>
      <c r="F1427" s="1">
        <f>IFERROR(__xludf.DUMMYFUNCTION("""COMPUTED_VALUE"""),6484500.0)</f>
        <v>6484500</v>
      </c>
    </row>
    <row r="1428">
      <c r="A1428" s="2">
        <f>IFERROR(__xludf.DUMMYFUNCTION("""COMPUTED_VALUE"""),38601.666666666664)</f>
        <v>38601.66667</v>
      </c>
      <c r="B1428" s="1">
        <f>IFERROR(__xludf.DUMMYFUNCTION("""COMPUTED_VALUE"""),56.3)</f>
        <v>56.3</v>
      </c>
      <c r="C1428" s="1">
        <f>IFERROR(__xludf.DUMMYFUNCTION("""COMPUTED_VALUE"""),56.75)</f>
        <v>56.75</v>
      </c>
      <c r="D1428" s="1">
        <f>IFERROR(__xludf.DUMMYFUNCTION("""COMPUTED_VALUE"""),56.06)</f>
        <v>56.06</v>
      </c>
      <c r="E1428" s="1">
        <f>IFERROR(__xludf.DUMMYFUNCTION("""COMPUTED_VALUE"""),56.57)</f>
        <v>56.57</v>
      </c>
      <c r="F1428" s="1">
        <f>IFERROR(__xludf.DUMMYFUNCTION("""COMPUTED_VALUE"""),8132600.0)</f>
        <v>8132600</v>
      </c>
    </row>
    <row r="1429">
      <c r="A1429" s="2">
        <f>IFERROR(__xludf.DUMMYFUNCTION("""COMPUTED_VALUE"""),38602.666666666664)</f>
        <v>38602.66667</v>
      </c>
      <c r="B1429" s="1">
        <f>IFERROR(__xludf.DUMMYFUNCTION("""COMPUTED_VALUE"""),56.5)</f>
        <v>56.5</v>
      </c>
      <c r="C1429" s="1">
        <f>IFERROR(__xludf.DUMMYFUNCTION("""COMPUTED_VALUE"""),56.5)</f>
        <v>56.5</v>
      </c>
      <c r="D1429" s="1">
        <f>IFERROR(__xludf.DUMMYFUNCTION("""COMPUTED_VALUE"""),56.2)</f>
        <v>56.2</v>
      </c>
      <c r="E1429" s="1">
        <f>IFERROR(__xludf.DUMMYFUNCTION("""COMPUTED_VALUE"""),56.26)</f>
        <v>56.26</v>
      </c>
      <c r="F1429" s="1">
        <f>IFERROR(__xludf.DUMMYFUNCTION("""COMPUTED_VALUE"""),9214000.0)</f>
        <v>9214000</v>
      </c>
    </row>
    <row r="1430">
      <c r="A1430" s="2">
        <f>IFERROR(__xludf.DUMMYFUNCTION("""COMPUTED_VALUE"""),38603.666666666664)</f>
        <v>38603.66667</v>
      </c>
      <c r="B1430" s="1">
        <f>IFERROR(__xludf.DUMMYFUNCTION("""COMPUTED_VALUE"""),56.55)</f>
        <v>56.55</v>
      </c>
      <c r="C1430" s="1">
        <f>IFERROR(__xludf.DUMMYFUNCTION("""COMPUTED_VALUE"""),56.55)</f>
        <v>56.55</v>
      </c>
      <c r="D1430" s="1">
        <f>IFERROR(__xludf.DUMMYFUNCTION("""COMPUTED_VALUE"""),55.8)</f>
        <v>55.8</v>
      </c>
      <c r="E1430" s="1">
        <f>IFERROR(__xludf.DUMMYFUNCTION("""COMPUTED_VALUE"""),56.15)</f>
        <v>56.15</v>
      </c>
      <c r="F1430" s="1">
        <f>IFERROR(__xludf.DUMMYFUNCTION("""COMPUTED_VALUE"""),7520100.0)</f>
        <v>7520100</v>
      </c>
    </row>
    <row r="1431">
      <c r="A1431" s="2">
        <f>IFERROR(__xludf.DUMMYFUNCTION("""COMPUTED_VALUE"""),38604.666666666664)</f>
        <v>38604.66667</v>
      </c>
      <c r="B1431" s="1">
        <f>IFERROR(__xludf.DUMMYFUNCTION("""COMPUTED_VALUE"""),56.15)</f>
        <v>56.15</v>
      </c>
      <c r="C1431" s="1">
        <f>IFERROR(__xludf.DUMMYFUNCTION("""COMPUTED_VALUE"""),57.21)</f>
        <v>57.21</v>
      </c>
      <c r="D1431" s="1">
        <f>IFERROR(__xludf.DUMMYFUNCTION("""COMPUTED_VALUE"""),56.08)</f>
        <v>56.08</v>
      </c>
      <c r="E1431" s="1">
        <f>IFERROR(__xludf.DUMMYFUNCTION("""COMPUTED_VALUE"""),56.9)</f>
        <v>56.9</v>
      </c>
      <c r="F1431" s="1">
        <f>IFERROR(__xludf.DUMMYFUNCTION("""COMPUTED_VALUE"""),7879300.0)</f>
        <v>7879300</v>
      </c>
    </row>
    <row r="1432">
      <c r="A1432" s="2">
        <f>IFERROR(__xludf.DUMMYFUNCTION("""COMPUTED_VALUE"""),38607.666666666664)</f>
        <v>38607.66667</v>
      </c>
      <c r="B1432" s="1">
        <f>IFERROR(__xludf.DUMMYFUNCTION("""COMPUTED_VALUE"""),56.68)</f>
        <v>56.68</v>
      </c>
      <c r="C1432" s="1">
        <f>IFERROR(__xludf.DUMMYFUNCTION("""COMPUTED_VALUE"""),56.91)</f>
        <v>56.91</v>
      </c>
      <c r="D1432" s="1">
        <f>IFERROR(__xludf.DUMMYFUNCTION("""COMPUTED_VALUE"""),56.55)</f>
        <v>56.55</v>
      </c>
      <c r="E1432" s="1">
        <f>IFERROR(__xludf.DUMMYFUNCTION("""COMPUTED_VALUE"""),56.56)</f>
        <v>56.56</v>
      </c>
      <c r="F1432" s="1">
        <f>IFERROR(__xludf.DUMMYFUNCTION("""COMPUTED_VALUE"""),6406500.0)</f>
        <v>6406500</v>
      </c>
    </row>
    <row r="1433">
      <c r="A1433" s="2">
        <f>IFERROR(__xludf.DUMMYFUNCTION("""COMPUTED_VALUE"""),38608.666666666664)</f>
        <v>38608.66667</v>
      </c>
      <c r="B1433" s="1">
        <f>IFERROR(__xludf.DUMMYFUNCTION("""COMPUTED_VALUE"""),56.3)</f>
        <v>56.3</v>
      </c>
      <c r="C1433" s="1">
        <f>IFERROR(__xludf.DUMMYFUNCTION("""COMPUTED_VALUE"""),56.31)</f>
        <v>56.31</v>
      </c>
      <c r="D1433" s="1">
        <f>IFERROR(__xludf.DUMMYFUNCTION("""COMPUTED_VALUE"""),55.49)</f>
        <v>55.49</v>
      </c>
      <c r="E1433" s="1">
        <f>IFERROR(__xludf.DUMMYFUNCTION("""COMPUTED_VALUE"""),55.54)</f>
        <v>55.54</v>
      </c>
      <c r="F1433" s="1">
        <f>IFERROR(__xludf.DUMMYFUNCTION("""COMPUTED_VALUE"""),1.16013E7)</f>
        <v>11601300</v>
      </c>
    </row>
    <row r="1434">
      <c r="A1434" s="2">
        <f>IFERROR(__xludf.DUMMYFUNCTION("""COMPUTED_VALUE"""),38609.666666666664)</f>
        <v>38609.66667</v>
      </c>
      <c r="B1434" s="1">
        <f>IFERROR(__xludf.DUMMYFUNCTION("""COMPUTED_VALUE"""),55.45)</f>
        <v>55.45</v>
      </c>
      <c r="C1434" s="1">
        <f>IFERROR(__xludf.DUMMYFUNCTION("""COMPUTED_VALUE"""),55.54)</f>
        <v>55.54</v>
      </c>
      <c r="D1434" s="1">
        <f>IFERROR(__xludf.DUMMYFUNCTION("""COMPUTED_VALUE"""),54.97)</f>
        <v>54.97</v>
      </c>
      <c r="E1434" s="1">
        <f>IFERROR(__xludf.DUMMYFUNCTION("""COMPUTED_VALUE"""),55.02)</f>
        <v>55.02</v>
      </c>
      <c r="F1434" s="1">
        <f>IFERROR(__xludf.DUMMYFUNCTION("""COMPUTED_VALUE"""),1.03178E7)</f>
        <v>10317800</v>
      </c>
    </row>
    <row r="1435">
      <c r="A1435" s="2">
        <f>IFERROR(__xludf.DUMMYFUNCTION("""COMPUTED_VALUE"""),38610.666666666664)</f>
        <v>38610.66667</v>
      </c>
      <c r="B1435" s="1">
        <f>IFERROR(__xludf.DUMMYFUNCTION("""COMPUTED_VALUE"""),55.24)</f>
        <v>55.24</v>
      </c>
      <c r="C1435" s="1">
        <f>IFERROR(__xludf.DUMMYFUNCTION("""COMPUTED_VALUE"""),55.72)</f>
        <v>55.72</v>
      </c>
      <c r="D1435" s="1">
        <f>IFERROR(__xludf.DUMMYFUNCTION("""COMPUTED_VALUE"""),55.09)</f>
        <v>55.09</v>
      </c>
      <c r="E1435" s="1">
        <f>IFERROR(__xludf.DUMMYFUNCTION("""COMPUTED_VALUE"""),55.5)</f>
        <v>55.5</v>
      </c>
      <c r="F1435" s="1">
        <f>IFERROR(__xludf.DUMMYFUNCTION("""COMPUTED_VALUE"""),7203300.0)</f>
        <v>7203300</v>
      </c>
    </row>
    <row r="1436">
      <c r="A1436" s="2">
        <f>IFERROR(__xludf.DUMMYFUNCTION("""COMPUTED_VALUE"""),38611.666666666664)</f>
        <v>38611.66667</v>
      </c>
      <c r="B1436" s="1">
        <f>IFERROR(__xludf.DUMMYFUNCTION("""COMPUTED_VALUE"""),55.74)</f>
        <v>55.74</v>
      </c>
      <c r="C1436" s="1">
        <f>IFERROR(__xludf.DUMMYFUNCTION("""COMPUTED_VALUE"""),56.45)</f>
        <v>56.45</v>
      </c>
      <c r="D1436" s="1">
        <f>IFERROR(__xludf.DUMMYFUNCTION("""COMPUTED_VALUE"""),55.63)</f>
        <v>55.63</v>
      </c>
      <c r="E1436" s="1">
        <f>IFERROR(__xludf.DUMMYFUNCTION("""COMPUTED_VALUE"""),55.95)</f>
        <v>55.95</v>
      </c>
      <c r="F1436" s="1">
        <f>IFERROR(__xludf.DUMMYFUNCTION("""COMPUTED_VALUE"""),1.36346E7)</f>
        <v>13634600</v>
      </c>
    </row>
    <row r="1437">
      <c r="A1437" s="2">
        <f>IFERROR(__xludf.DUMMYFUNCTION("""COMPUTED_VALUE"""),38614.666666666664)</f>
        <v>38614.66667</v>
      </c>
      <c r="B1437" s="1">
        <f>IFERROR(__xludf.DUMMYFUNCTION("""COMPUTED_VALUE"""),55.76)</f>
        <v>55.76</v>
      </c>
      <c r="C1437" s="1">
        <f>IFERROR(__xludf.DUMMYFUNCTION("""COMPUTED_VALUE"""),55.9)</f>
        <v>55.9</v>
      </c>
      <c r="D1437" s="1">
        <f>IFERROR(__xludf.DUMMYFUNCTION("""COMPUTED_VALUE"""),55.26)</f>
        <v>55.26</v>
      </c>
      <c r="E1437" s="1">
        <f>IFERROR(__xludf.DUMMYFUNCTION("""COMPUTED_VALUE"""),55.56)</f>
        <v>55.56</v>
      </c>
      <c r="F1437" s="1">
        <f>IFERROR(__xludf.DUMMYFUNCTION("""COMPUTED_VALUE"""),8019700.0)</f>
        <v>8019700</v>
      </c>
    </row>
    <row r="1438">
      <c r="A1438" s="2">
        <f>IFERROR(__xludf.DUMMYFUNCTION("""COMPUTED_VALUE"""),38615.666666666664)</f>
        <v>38615.66667</v>
      </c>
      <c r="B1438" s="1">
        <f>IFERROR(__xludf.DUMMYFUNCTION("""COMPUTED_VALUE"""),56.24)</f>
        <v>56.24</v>
      </c>
      <c r="C1438" s="1">
        <f>IFERROR(__xludf.DUMMYFUNCTION("""COMPUTED_VALUE"""),56.5)</f>
        <v>56.5</v>
      </c>
      <c r="D1438" s="1">
        <f>IFERROR(__xludf.DUMMYFUNCTION("""COMPUTED_VALUE"""),55.9)</f>
        <v>55.9</v>
      </c>
      <c r="E1438" s="1">
        <f>IFERROR(__xludf.DUMMYFUNCTION("""COMPUTED_VALUE"""),56.04)</f>
        <v>56.04</v>
      </c>
      <c r="F1438" s="1">
        <f>IFERROR(__xludf.DUMMYFUNCTION("""COMPUTED_VALUE"""),9583400.0)</f>
        <v>9583400</v>
      </c>
    </row>
    <row r="1439">
      <c r="A1439" s="2">
        <f>IFERROR(__xludf.DUMMYFUNCTION("""COMPUTED_VALUE"""),38616.666666666664)</f>
        <v>38616.66667</v>
      </c>
      <c r="B1439" s="1">
        <f>IFERROR(__xludf.DUMMYFUNCTION("""COMPUTED_VALUE"""),55.75)</f>
        <v>55.75</v>
      </c>
      <c r="C1439" s="1">
        <f>IFERROR(__xludf.DUMMYFUNCTION("""COMPUTED_VALUE"""),56.12)</f>
        <v>56.12</v>
      </c>
      <c r="D1439" s="1">
        <f>IFERROR(__xludf.DUMMYFUNCTION("""COMPUTED_VALUE"""),54.5)</f>
        <v>54.5</v>
      </c>
      <c r="E1439" s="1">
        <f>IFERROR(__xludf.DUMMYFUNCTION("""COMPUTED_VALUE"""),55.9)</f>
        <v>55.9</v>
      </c>
      <c r="F1439" s="1">
        <f>IFERROR(__xludf.DUMMYFUNCTION("""COMPUTED_VALUE"""),1.01537E7)</f>
        <v>10153700</v>
      </c>
    </row>
    <row r="1440">
      <c r="A1440" s="2">
        <f>IFERROR(__xludf.DUMMYFUNCTION("""COMPUTED_VALUE"""),38617.666666666664)</f>
        <v>38617.66667</v>
      </c>
      <c r="B1440" s="1">
        <f>IFERROR(__xludf.DUMMYFUNCTION("""COMPUTED_VALUE"""),55.91)</f>
        <v>55.91</v>
      </c>
      <c r="C1440" s="1">
        <f>IFERROR(__xludf.DUMMYFUNCTION("""COMPUTED_VALUE"""),56.9)</f>
        <v>56.9</v>
      </c>
      <c r="D1440" s="1">
        <f>IFERROR(__xludf.DUMMYFUNCTION("""COMPUTED_VALUE"""),55.85)</f>
        <v>55.85</v>
      </c>
      <c r="E1440" s="1">
        <f>IFERROR(__xludf.DUMMYFUNCTION("""COMPUTED_VALUE"""),56.69)</f>
        <v>56.69</v>
      </c>
      <c r="F1440" s="1">
        <f>IFERROR(__xludf.DUMMYFUNCTION("""COMPUTED_VALUE"""),8766300.0)</f>
        <v>8766300</v>
      </c>
    </row>
    <row r="1441">
      <c r="A1441" s="2">
        <f>IFERROR(__xludf.DUMMYFUNCTION("""COMPUTED_VALUE"""),38618.666666666664)</f>
        <v>38618.66667</v>
      </c>
      <c r="B1441" s="1">
        <f>IFERROR(__xludf.DUMMYFUNCTION("""COMPUTED_VALUE"""),56.51)</f>
        <v>56.51</v>
      </c>
      <c r="C1441" s="1">
        <f>IFERROR(__xludf.DUMMYFUNCTION("""COMPUTED_VALUE"""),56.94)</f>
        <v>56.94</v>
      </c>
      <c r="D1441" s="1">
        <f>IFERROR(__xludf.DUMMYFUNCTION("""COMPUTED_VALUE"""),56.1)</f>
        <v>56.1</v>
      </c>
      <c r="E1441" s="1">
        <f>IFERROR(__xludf.DUMMYFUNCTION("""COMPUTED_VALUE"""),56.74)</f>
        <v>56.74</v>
      </c>
      <c r="F1441" s="1">
        <f>IFERROR(__xludf.DUMMYFUNCTION("""COMPUTED_VALUE"""),7859500.0)</f>
        <v>7859500</v>
      </c>
    </row>
    <row r="1442">
      <c r="A1442" s="2">
        <f>IFERROR(__xludf.DUMMYFUNCTION("""COMPUTED_VALUE"""),38621.666666666664)</f>
        <v>38621.66667</v>
      </c>
      <c r="B1442" s="1">
        <f>IFERROR(__xludf.DUMMYFUNCTION("""COMPUTED_VALUE"""),56.99)</f>
        <v>56.99</v>
      </c>
      <c r="C1442" s="1">
        <f>IFERROR(__xludf.DUMMYFUNCTION("""COMPUTED_VALUE"""),57.13)</f>
        <v>57.13</v>
      </c>
      <c r="D1442" s="1">
        <f>IFERROR(__xludf.DUMMYFUNCTION("""COMPUTED_VALUE"""),56.4)</f>
        <v>56.4</v>
      </c>
      <c r="E1442" s="1">
        <f>IFERROR(__xludf.DUMMYFUNCTION("""COMPUTED_VALUE"""),56.59)</f>
        <v>56.59</v>
      </c>
      <c r="F1442" s="1">
        <f>IFERROR(__xludf.DUMMYFUNCTION("""COMPUTED_VALUE"""),7648300.0)</f>
        <v>7648300</v>
      </c>
    </row>
    <row r="1443">
      <c r="A1443" s="2">
        <f>IFERROR(__xludf.DUMMYFUNCTION("""COMPUTED_VALUE"""),38622.666666666664)</f>
        <v>38622.66667</v>
      </c>
      <c r="B1443" s="1">
        <f>IFERROR(__xludf.DUMMYFUNCTION("""COMPUTED_VALUE"""),56.47)</f>
        <v>56.47</v>
      </c>
      <c r="C1443" s="1">
        <f>IFERROR(__xludf.DUMMYFUNCTION("""COMPUTED_VALUE"""),57.28)</f>
        <v>57.28</v>
      </c>
      <c r="D1443" s="1">
        <f>IFERROR(__xludf.DUMMYFUNCTION("""COMPUTED_VALUE"""),56.34)</f>
        <v>56.34</v>
      </c>
      <c r="E1443" s="1">
        <f>IFERROR(__xludf.DUMMYFUNCTION("""COMPUTED_VALUE"""),57.1)</f>
        <v>57.1</v>
      </c>
      <c r="F1443" s="1">
        <f>IFERROR(__xludf.DUMMYFUNCTION("""COMPUTED_VALUE"""),8067000.0)</f>
        <v>8067000</v>
      </c>
    </row>
    <row r="1444">
      <c r="A1444" s="2">
        <f>IFERROR(__xludf.DUMMYFUNCTION("""COMPUTED_VALUE"""),38623.666666666664)</f>
        <v>38623.66667</v>
      </c>
      <c r="B1444" s="1">
        <f>IFERROR(__xludf.DUMMYFUNCTION("""COMPUTED_VALUE"""),57.19)</f>
        <v>57.19</v>
      </c>
      <c r="C1444" s="1">
        <f>IFERROR(__xludf.DUMMYFUNCTION("""COMPUTED_VALUE"""),57.73)</f>
        <v>57.73</v>
      </c>
      <c r="D1444" s="1">
        <f>IFERROR(__xludf.DUMMYFUNCTION("""COMPUTED_VALUE"""),57.1)</f>
        <v>57.1</v>
      </c>
      <c r="E1444" s="1">
        <f>IFERROR(__xludf.DUMMYFUNCTION("""COMPUTED_VALUE"""),57.44)</f>
        <v>57.44</v>
      </c>
      <c r="F1444" s="1">
        <f>IFERROR(__xludf.DUMMYFUNCTION("""COMPUTED_VALUE"""),8143500.0)</f>
        <v>8143500</v>
      </c>
    </row>
    <row r="1445">
      <c r="A1445" s="2">
        <f>IFERROR(__xludf.DUMMYFUNCTION("""COMPUTED_VALUE"""),38624.666666666664)</f>
        <v>38624.66667</v>
      </c>
      <c r="B1445" s="1">
        <f>IFERROR(__xludf.DUMMYFUNCTION("""COMPUTED_VALUE"""),57.35)</f>
        <v>57.35</v>
      </c>
      <c r="C1445" s="1">
        <f>IFERROR(__xludf.DUMMYFUNCTION("""COMPUTED_VALUE"""),58.17)</f>
        <v>58.17</v>
      </c>
      <c r="D1445" s="1">
        <f>IFERROR(__xludf.DUMMYFUNCTION("""COMPUTED_VALUE"""),57.28)</f>
        <v>57.28</v>
      </c>
      <c r="E1445" s="1">
        <f>IFERROR(__xludf.DUMMYFUNCTION("""COMPUTED_VALUE"""),58.14)</f>
        <v>58.14</v>
      </c>
      <c r="F1445" s="1">
        <f>IFERROR(__xludf.DUMMYFUNCTION("""COMPUTED_VALUE"""),9644100.0)</f>
        <v>9644100</v>
      </c>
    </row>
    <row r="1446">
      <c r="A1446" s="2">
        <f>IFERROR(__xludf.DUMMYFUNCTION("""COMPUTED_VALUE"""),38625.666666666664)</f>
        <v>38625.66667</v>
      </c>
      <c r="B1446" s="1">
        <f>IFERROR(__xludf.DUMMYFUNCTION("""COMPUTED_VALUE"""),57.87)</f>
        <v>57.87</v>
      </c>
      <c r="C1446" s="1">
        <f>IFERROR(__xludf.DUMMYFUNCTION("""COMPUTED_VALUE"""),59.46)</f>
        <v>59.46</v>
      </c>
      <c r="D1446" s="1">
        <f>IFERROR(__xludf.DUMMYFUNCTION("""COMPUTED_VALUE"""),57.59)</f>
        <v>57.59</v>
      </c>
      <c r="E1446" s="1">
        <f>IFERROR(__xludf.DUMMYFUNCTION("""COMPUTED_VALUE"""),59.46)</f>
        <v>59.46</v>
      </c>
      <c r="F1446" s="1">
        <f>IFERROR(__xludf.DUMMYFUNCTION("""COMPUTED_VALUE"""),2.3316E7)</f>
        <v>23316000</v>
      </c>
    </row>
    <row r="1447">
      <c r="A1447" s="2">
        <f>IFERROR(__xludf.DUMMYFUNCTION("""COMPUTED_VALUE"""),38628.666666666664)</f>
        <v>38628.66667</v>
      </c>
      <c r="B1447" s="1">
        <f>IFERROR(__xludf.DUMMYFUNCTION("""COMPUTED_VALUE"""),59.43)</f>
        <v>59.43</v>
      </c>
      <c r="C1447" s="1">
        <f>IFERROR(__xludf.DUMMYFUNCTION("""COMPUTED_VALUE"""),59.56)</f>
        <v>59.56</v>
      </c>
      <c r="D1447" s="1">
        <f>IFERROR(__xludf.DUMMYFUNCTION("""COMPUTED_VALUE"""),59.13)</f>
        <v>59.13</v>
      </c>
      <c r="E1447" s="1">
        <f>IFERROR(__xludf.DUMMYFUNCTION("""COMPUTED_VALUE"""),59.31)</f>
        <v>59.31</v>
      </c>
      <c r="F1447" s="1">
        <f>IFERROR(__xludf.DUMMYFUNCTION("""COMPUTED_VALUE"""),1.52345E7)</f>
        <v>15234500</v>
      </c>
    </row>
    <row r="1448">
      <c r="A1448" s="2">
        <f>IFERROR(__xludf.DUMMYFUNCTION("""COMPUTED_VALUE"""),38629.666666666664)</f>
        <v>38629.66667</v>
      </c>
      <c r="B1448" s="1">
        <f>IFERROR(__xludf.DUMMYFUNCTION("""COMPUTED_VALUE"""),58.45)</f>
        <v>58.45</v>
      </c>
      <c r="C1448" s="1">
        <f>IFERROR(__xludf.DUMMYFUNCTION("""COMPUTED_VALUE"""),58.72)</f>
        <v>58.72</v>
      </c>
      <c r="D1448" s="1">
        <f>IFERROR(__xludf.DUMMYFUNCTION("""COMPUTED_VALUE"""),57.97)</f>
        <v>57.97</v>
      </c>
      <c r="E1448" s="1">
        <f>IFERROR(__xludf.DUMMYFUNCTION("""COMPUTED_VALUE"""),58.08)</f>
        <v>58.08</v>
      </c>
      <c r="F1448" s="1">
        <f>IFERROR(__xludf.DUMMYFUNCTION("""COMPUTED_VALUE"""),2.48662E7)</f>
        <v>24866200</v>
      </c>
    </row>
    <row r="1449">
      <c r="A1449" s="2">
        <f>IFERROR(__xludf.DUMMYFUNCTION("""COMPUTED_VALUE"""),38630.666666666664)</f>
        <v>38630.66667</v>
      </c>
      <c r="B1449" s="1">
        <f>IFERROR(__xludf.DUMMYFUNCTION("""COMPUTED_VALUE"""),57.8)</f>
        <v>57.8</v>
      </c>
      <c r="C1449" s="1">
        <f>IFERROR(__xludf.DUMMYFUNCTION("""COMPUTED_VALUE"""),58.0)</f>
        <v>58</v>
      </c>
      <c r="D1449" s="1">
        <f>IFERROR(__xludf.DUMMYFUNCTION("""COMPUTED_VALUE"""),57.02)</f>
        <v>57.02</v>
      </c>
      <c r="E1449" s="1">
        <f>IFERROR(__xludf.DUMMYFUNCTION("""COMPUTED_VALUE"""),57.11)</f>
        <v>57.11</v>
      </c>
      <c r="F1449" s="1">
        <f>IFERROR(__xludf.DUMMYFUNCTION("""COMPUTED_VALUE"""),1.56172E7)</f>
        <v>15617200</v>
      </c>
    </row>
    <row r="1450">
      <c r="A1450" s="2">
        <f>IFERROR(__xludf.DUMMYFUNCTION("""COMPUTED_VALUE"""),38631.666666666664)</f>
        <v>38631.66667</v>
      </c>
      <c r="B1450" s="1">
        <f>IFERROR(__xludf.DUMMYFUNCTION("""COMPUTED_VALUE"""),57.0)</f>
        <v>57</v>
      </c>
      <c r="C1450" s="1">
        <f>IFERROR(__xludf.DUMMYFUNCTION("""COMPUTED_VALUE"""),57.76)</f>
        <v>57.76</v>
      </c>
      <c r="D1450" s="1">
        <f>IFERROR(__xludf.DUMMYFUNCTION("""COMPUTED_VALUE"""),55.5)</f>
        <v>55.5</v>
      </c>
      <c r="E1450" s="1">
        <f>IFERROR(__xludf.DUMMYFUNCTION("""COMPUTED_VALUE"""),56.22)</f>
        <v>56.22</v>
      </c>
      <c r="F1450" s="1">
        <f>IFERROR(__xludf.DUMMYFUNCTION("""COMPUTED_VALUE"""),2.11433E7)</f>
        <v>21143300</v>
      </c>
    </row>
    <row r="1451">
      <c r="A1451" s="2">
        <f>IFERROR(__xludf.DUMMYFUNCTION("""COMPUTED_VALUE"""),38632.666666666664)</f>
        <v>38632.66667</v>
      </c>
      <c r="B1451" s="1">
        <f>IFERROR(__xludf.DUMMYFUNCTION("""COMPUTED_VALUE"""),56.55)</f>
        <v>56.55</v>
      </c>
      <c r="C1451" s="1">
        <f>IFERROR(__xludf.DUMMYFUNCTION("""COMPUTED_VALUE"""),56.55)</f>
        <v>56.55</v>
      </c>
      <c r="D1451" s="1">
        <f>IFERROR(__xludf.DUMMYFUNCTION("""COMPUTED_VALUE"""),55.87)</f>
        <v>55.87</v>
      </c>
      <c r="E1451" s="1">
        <f>IFERROR(__xludf.DUMMYFUNCTION("""COMPUTED_VALUE"""),56.04)</f>
        <v>56.04</v>
      </c>
      <c r="F1451" s="1">
        <f>IFERROR(__xludf.DUMMYFUNCTION("""COMPUTED_VALUE"""),1.23145E7)</f>
        <v>12314500</v>
      </c>
    </row>
    <row r="1452">
      <c r="A1452" s="2">
        <f>IFERROR(__xludf.DUMMYFUNCTION("""COMPUTED_VALUE"""),38635.666666666664)</f>
        <v>38635.66667</v>
      </c>
      <c r="B1452" s="1">
        <f>IFERROR(__xludf.DUMMYFUNCTION("""COMPUTED_VALUE"""),56.04)</f>
        <v>56.04</v>
      </c>
      <c r="C1452" s="1">
        <f>IFERROR(__xludf.DUMMYFUNCTION("""COMPUTED_VALUE"""),56.4)</f>
        <v>56.4</v>
      </c>
      <c r="D1452" s="1">
        <f>IFERROR(__xludf.DUMMYFUNCTION("""COMPUTED_VALUE"""),55.8)</f>
        <v>55.8</v>
      </c>
      <c r="E1452" s="1">
        <f>IFERROR(__xludf.DUMMYFUNCTION("""COMPUTED_VALUE"""),55.84)</f>
        <v>55.84</v>
      </c>
      <c r="F1452" s="1">
        <f>IFERROR(__xludf.DUMMYFUNCTION("""COMPUTED_VALUE"""),9164900.0)</f>
        <v>9164900</v>
      </c>
    </row>
    <row r="1453">
      <c r="A1453" s="2">
        <f>IFERROR(__xludf.DUMMYFUNCTION("""COMPUTED_VALUE"""),38636.666666666664)</f>
        <v>38636.66667</v>
      </c>
      <c r="B1453" s="1">
        <f>IFERROR(__xludf.DUMMYFUNCTION("""COMPUTED_VALUE"""),56.0)</f>
        <v>56</v>
      </c>
      <c r="C1453" s="1">
        <f>IFERROR(__xludf.DUMMYFUNCTION("""COMPUTED_VALUE"""),56.37)</f>
        <v>56.37</v>
      </c>
      <c r="D1453" s="1">
        <f>IFERROR(__xludf.DUMMYFUNCTION("""COMPUTED_VALUE"""),55.9)</f>
        <v>55.9</v>
      </c>
      <c r="E1453" s="1">
        <f>IFERROR(__xludf.DUMMYFUNCTION("""COMPUTED_VALUE"""),56.01)</f>
        <v>56.01</v>
      </c>
      <c r="F1453" s="1">
        <f>IFERROR(__xludf.DUMMYFUNCTION("""COMPUTED_VALUE"""),1.02432E7)</f>
        <v>10243200</v>
      </c>
    </row>
    <row r="1454">
      <c r="A1454" s="2">
        <f>IFERROR(__xludf.DUMMYFUNCTION("""COMPUTED_VALUE"""),38637.666666666664)</f>
        <v>38637.66667</v>
      </c>
      <c r="B1454" s="1">
        <f>IFERROR(__xludf.DUMMYFUNCTION("""COMPUTED_VALUE"""),56.01)</f>
        <v>56.01</v>
      </c>
      <c r="C1454" s="1">
        <f>IFERROR(__xludf.DUMMYFUNCTION("""COMPUTED_VALUE"""),56.23)</f>
        <v>56.23</v>
      </c>
      <c r="D1454" s="1">
        <f>IFERROR(__xludf.DUMMYFUNCTION("""COMPUTED_VALUE"""),55.6)</f>
        <v>55.6</v>
      </c>
      <c r="E1454" s="1">
        <f>IFERROR(__xludf.DUMMYFUNCTION("""COMPUTED_VALUE"""),56.03)</f>
        <v>56.03</v>
      </c>
      <c r="F1454" s="1">
        <f>IFERROR(__xludf.DUMMYFUNCTION("""COMPUTED_VALUE"""),9828300.0)</f>
        <v>9828300</v>
      </c>
    </row>
    <row r="1455">
      <c r="A1455" s="2">
        <f>IFERROR(__xludf.DUMMYFUNCTION("""COMPUTED_VALUE"""),38638.666666666664)</f>
        <v>38638.66667</v>
      </c>
      <c r="B1455" s="1">
        <f>IFERROR(__xludf.DUMMYFUNCTION("""COMPUTED_VALUE"""),55.98)</f>
        <v>55.98</v>
      </c>
      <c r="C1455" s="1">
        <f>IFERROR(__xludf.DUMMYFUNCTION("""COMPUTED_VALUE"""),56.51)</f>
        <v>56.51</v>
      </c>
      <c r="D1455" s="1">
        <f>IFERROR(__xludf.DUMMYFUNCTION("""COMPUTED_VALUE"""),55.96)</f>
        <v>55.96</v>
      </c>
      <c r="E1455" s="1">
        <f>IFERROR(__xludf.DUMMYFUNCTION("""COMPUTED_VALUE"""),56.2)</f>
        <v>56.2</v>
      </c>
      <c r="F1455" s="1">
        <f>IFERROR(__xludf.DUMMYFUNCTION("""COMPUTED_VALUE"""),8723300.0)</f>
        <v>8723300</v>
      </c>
    </row>
    <row r="1456">
      <c r="A1456" s="2">
        <f>IFERROR(__xludf.DUMMYFUNCTION("""COMPUTED_VALUE"""),38639.666666666664)</f>
        <v>38639.66667</v>
      </c>
      <c r="B1456" s="1">
        <f>IFERROR(__xludf.DUMMYFUNCTION("""COMPUTED_VALUE"""),55.85)</f>
        <v>55.85</v>
      </c>
      <c r="C1456" s="1">
        <f>IFERROR(__xludf.DUMMYFUNCTION("""COMPUTED_VALUE"""),56.29)</f>
        <v>56.29</v>
      </c>
      <c r="D1456" s="1">
        <f>IFERROR(__xludf.DUMMYFUNCTION("""COMPUTED_VALUE"""),55.78)</f>
        <v>55.78</v>
      </c>
      <c r="E1456" s="1">
        <f>IFERROR(__xludf.DUMMYFUNCTION("""COMPUTED_VALUE"""),56.11)</f>
        <v>56.11</v>
      </c>
      <c r="F1456" s="1">
        <f>IFERROR(__xludf.DUMMYFUNCTION("""COMPUTED_VALUE"""),8310100.0)</f>
        <v>8310100</v>
      </c>
    </row>
    <row r="1457">
      <c r="A1457" s="2">
        <f>IFERROR(__xludf.DUMMYFUNCTION("""COMPUTED_VALUE"""),38642.666666666664)</f>
        <v>38642.66667</v>
      </c>
      <c r="B1457" s="1">
        <f>IFERROR(__xludf.DUMMYFUNCTION("""COMPUTED_VALUE"""),56.02)</f>
        <v>56.02</v>
      </c>
      <c r="C1457" s="1">
        <f>IFERROR(__xludf.DUMMYFUNCTION("""COMPUTED_VALUE"""),56.11)</f>
        <v>56.11</v>
      </c>
      <c r="D1457" s="1">
        <f>IFERROR(__xludf.DUMMYFUNCTION("""COMPUTED_VALUE"""),55.4)</f>
        <v>55.4</v>
      </c>
      <c r="E1457" s="1">
        <f>IFERROR(__xludf.DUMMYFUNCTION("""COMPUTED_VALUE"""),55.78)</f>
        <v>55.78</v>
      </c>
      <c r="F1457" s="1">
        <f>IFERROR(__xludf.DUMMYFUNCTION("""COMPUTED_VALUE"""),8409100.0)</f>
        <v>8409100</v>
      </c>
    </row>
    <row r="1458">
      <c r="A1458" s="2">
        <f>IFERROR(__xludf.DUMMYFUNCTION("""COMPUTED_VALUE"""),38643.666666666664)</f>
        <v>38643.66667</v>
      </c>
      <c r="B1458" s="1">
        <f>IFERROR(__xludf.DUMMYFUNCTION("""COMPUTED_VALUE"""),55.4)</f>
        <v>55.4</v>
      </c>
      <c r="C1458" s="1">
        <f>IFERROR(__xludf.DUMMYFUNCTION("""COMPUTED_VALUE"""),55.59)</f>
        <v>55.59</v>
      </c>
      <c r="D1458" s="1">
        <f>IFERROR(__xludf.DUMMYFUNCTION("""COMPUTED_VALUE"""),54.87)</f>
        <v>54.87</v>
      </c>
      <c r="E1458" s="1">
        <f>IFERROR(__xludf.DUMMYFUNCTION("""COMPUTED_VALUE"""),55.35)</f>
        <v>55.35</v>
      </c>
      <c r="F1458" s="1">
        <f>IFERROR(__xludf.DUMMYFUNCTION("""COMPUTED_VALUE"""),8032800.0)</f>
        <v>8032800</v>
      </c>
    </row>
    <row r="1459">
      <c r="A1459" s="2">
        <f>IFERROR(__xludf.DUMMYFUNCTION("""COMPUTED_VALUE"""),38644.666666666664)</f>
        <v>38644.66667</v>
      </c>
      <c r="B1459" s="1">
        <f>IFERROR(__xludf.DUMMYFUNCTION("""COMPUTED_VALUE"""),54.65)</f>
        <v>54.65</v>
      </c>
      <c r="C1459" s="1">
        <f>IFERROR(__xludf.DUMMYFUNCTION("""COMPUTED_VALUE"""),55.7)</f>
        <v>55.7</v>
      </c>
      <c r="D1459" s="1">
        <f>IFERROR(__xludf.DUMMYFUNCTION("""COMPUTED_VALUE"""),54.62)</f>
        <v>54.62</v>
      </c>
      <c r="E1459" s="1">
        <f>IFERROR(__xludf.DUMMYFUNCTION("""COMPUTED_VALUE"""),55.67)</f>
        <v>55.67</v>
      </c>
      <c r="F1459" s="1">
        <f>IFERROR(__xludf.DUMMYFUNCTION("""COMPUTED_VALUE"""),8938000.0)</f>
        <v>8938000</v>
      </c>
    </row>
    <row r="1460">
      <c r="A1460" s="2">
        <f>IFERROR(__xludf.DUMMYFUNCTION("""COMPUTED_VALUE"""),38645.666666666664)</f>
        <v>38645.66667</v>
      </c>
      <c r="B1460" s="1">
        <f>IFERROR(__xludf.DUMMYFUNCTION("""COMPUTED_VALUE"""),55.7)</f>
        <v>55.7</v>
      </c>
      <c r="C1460" s="1">
        <f>IFERROR(__xludf.DUMMYFUNCTION("""COMPUTED_VALUE"""),55.96)</f>
        <v>55.96</v>
      </c>
      <c r="D1460" s="1">
        <f>IFERROR(__xludf.DUMMYFUNCTION("""COMPUTED_VALUE"""),54.97)</f>
        <v>54.97</v>
      </c>
      <c r="E1460" s="1">
        <f>IFERROR(__xludf.DUMMYFUNCTION("""COMPUTED_VALUE"""),55.17)</f>
        <v>55.17</v>
      </c>
      <c r="F1460" s="1">
        <f>IFERROR(__xludf.DUMMYFUNCTION("""COMPUTED_VALUE"""),9112000.0)</f>
        <v>9112000</v>
      </c>
    </row>
    <row r="1461">
      <c r="A1461" s="2">
        <f>IFERROR(__xludf.DUMMYFUNCTION("""COMPUTED_VALUE"""),38646.666666666664)</f>
        <v>38646.66667</v>
      </c>
      <c r="B1461" s="1">
        <f>IFERROR(__xludf.DUMMYFUNCTION("""COMPUTED_VALUE"""),55.17)</f>
        <v>55.17</v>
      </c>
      <c r="C1461" s="1">
        <f>IFERROR(__xludf.DUMMYFUNCTION("""COMPUTED_VALUE"""),55.35)</f>
        <v>55.35</v>
      </c>
      <c r="D1461" s="1">
        <f>IFERROR(__xludf.DUMMYFUNCTION("""COMPUTED_VALUE"""),54.78)</f>
        <v>54.78</v>
      </c>
      <c r="E1461" s="1">
        <f>IFERROR(__xludf.DUMMYFUNCTION("""COMPUTED_VALUE"""),54.81)</f>
        <v>54.81</v>
      </c>
      <c r="F1461" s="1">
        <f>IFERROR(__xludf.DUMMYFUNCTION("""COMPUTED_VALUE"""),1.0659E7)</f>
        <v>10659000</v>
      </c>
    </row>
    <row r="1462">
      <c r="A1462" s="2">
        <f>IFERROR(__xludf.DUMMYFUNCTION("""COMPUTED_VALUE"""),38649.666666666664)</f>
        <v>38649.66667</v>
      </c>
      <c r="B1462" s="1">
        <f>IFERROR(__xludf.DUMMYFUNCTION("""COMPUTED_VALUE"""),54.99)</f>
        <v>54.99</v>
      </c>
      <c r="C1462" s="1">
        <f>IFERROR(__xludf.DUMMYFUNCTION("""COMPUTED_VALUE"""),55.64)</f>
        <v>55.64</v>
      </c>
      <c r="D1462" s="1">
        <f>IFERROR(__xludf.DUMMYFUNCTION("""COMPUTED_VALUE"""),54.95)</f>
        <v>54.95</v>
      </c>
      <c r="E1462" s="1">
        <f>IFERROR(__xludf.DUMMYFUNCTION("""COMPUTED_VALUE"""),55.1)</f>
        <v>55.1</v>
      </c>
      <c r="F1462" s="1">
        <f>IFERROR(__xludf.DUMMYFUNCTION("""COMPUTED_VALUE"""),8230200.0)</f>
        <v>8230200</v>
      </c>
    </row>
    <row r="1463">
      <c r="A1463" s="2">
        <f>IFERROR(__xludf.DUMMYFUNCTION("""COMPUTED_VALUE"""),38650.666666666664)</f>
        <v>38650.66667</v>
      </c>
      <c r="B1463" s="1">
        <f>IFERROR(__xludf.DUMMYFUNCTION("""COMPUTED_VALUE"""),55.15)</f>
        <v>55.15</v>
      </c>
      <c r="C1463" s="1">
        <f>IFERROR(__xludf.DUMMYFUNCTION("""COMPUTED_VALUE"""),55.73)</f>
        <v>55.73</v>
      </c>
      <c r="D1463" s="1">
        <f>IFERROR(__xludf.DUMMYFUNCTION("""COMPUTED_VALUE"""),55.03)</f>
        <v>55.03</v>
      </c>
      <c r="E1463" s="1">
        <f>IFERROR(__xludf.DUMMYFUNCTION("""COMPUTED_VALUE"""),55.59)</f>
        <v>55.59</v>
      </c>
      <c r="F1463" s="1">
        <f>IFERROR(__xludf.DUMMYFUNCTION("""COMPUTED_VALUE"""),7570700.0)</f>
        <v>7570700</v>
      </c>
    </row>
    <row r="1464">
      <c r="A1464" s="2">
        <f>IFERROR(__xludf.DUMMYFUNCTION("""COMPUTED_VALUE"""),38651.666666666664)</f>
        <v>38651.66667</v>
      </c>
      <c r="B1464" s="1">
        <f>IFERROR(__xludf.DUMMYFUNCTION("""COMPUTED_VALUE"""),55.59)</f>
        <v>55.59</v>
      </c>
      <c r="C1464" s="1">
        <f>IFERROR(__xludf.DUMMYFUNCTION("""COMPUTED_VALUE"""),55.75)</f>
        <v>55.75</v>
      </c>
      <c r="D1464" s="1">
        <f>IFERROR(__xludf.DUMMYFUNCTION("""COMPUTED_VALUE"""),54.96)</f>
        <v>54.96</v>
      </c>
      <c r="E1464" s="1">
        <f>IFERROR(__xludf.DUMMYFUNCTION("""COMPUTED_VALUE"""),54.99)</f>
        <v>54.99</v>
      </c>
      <c r="F1464" s="1">
        <f>IFERROR(__xludf.DUMMYFUNCTION("""COMPUTED_VALUE"""),7635500.0)</f>
        <v>7635500</v>
      </c>
    </row>
    <row r="1465">
      <c r="A1465" s="2">
        <f>IFERROR(__xludf.DUMMYFUNCTION("""COMPUTED_VALUE"""),38652.666666666664)</f>
        <v>38652.66667</v>
      </c>
      <c r="B1465" s="1">
        <f>IFERROR(__xludf.DUMMYFUNCTION("""COMPUTED_VALUE"""),55.0)</f>
        <v>55</v>
      </c>
      <c r="C1465" s="1">
        <f>IFERROR(__xludf.DUMMYFUNCTION("""COMPUTED_VALUE"""),55.3)</f>
        <v>55.3</v>
      </c>
      <c r="D1465" s="1">
        <f>IFERROR(__xludf.DUMMYFUNCTION("""COMPUTED_VALUE"""),54.88)</f>
        <v>54.88</v>
      </c>
      <c r="E1465" s="1">
        <f>IFERROR(__xludf.DUMMYFUNCTION("""COMPUTED_VALUE"""),55.02)</f>
        <v>55.02</v>
      </c>
      <c r="F1465" s="1">
        <f>IFERROR(__xludf.DUMMYFUNCTION("""COMPUTED_VALUE"""),7239000.0)</f>
        <v>7239000</v>
      </c>
    </row>
    <row r="1466">
      <c r="A1466" s="2">
        <f>IFERROR(__xludf.DUMMYFUNCTION("""COMPUTED_VALUE"""),38653.666666666664)</f>
        <v>38653.66667</v>
      </c>
      <c r="B1466" s="1">
        <f>IFERROR(__xludf.DUMMYFUNCTION("""COMPUTED_VALUE"""),55.48)</f>
        <v>55.48</v>
      </c>
      <c r="C1466" s="1">
        <f>IFERROR(__xludf.DUMMYFUNCTION("""COMPUTED_VALUE"""),56.24)</f>
        <v>56.24</v>
      </c>
      <c r="D1466" s="1">
        <f>IFERROR(__xludf.DUMMYFUNCTION("""COMPUTED_VALUE"""),55.15)</f>
        <v>55.15</v>
      </c>
      <c r="E1466" s="1">
        <f>IFERROR(__xludf.DUMMYFUNCTION("""COMPUTED_VALUE"""),55.92)</f>
        <v>55.92</v>
      </c>
      <c r="F1466" s="1">
        <f>IFERROR(__xludf.DUMMYFUNCTION("""COMPUTED_VALUE"""),8209600.0)</f>
        <v>8209600</v>
      </c>
    </row>
    <row r="1467">
      <c r="A1467" s="2">
        <f>IFERROR(__xludf.DUMMYFUNCTION("""COMPUTED_VALUE"""),38656.666666666664)</f>
        <v>38656.66667</v>
      </c>
      <c r="B1467" s="1">
        <f>IFERROR(__xludf.DUMMYFUNCTION("""COMPUTED_VALUE"""),55.67)</f>
        <v>55.67</v>
      </c>
      <c r="C1467" s="1">
        <f>IFERROR(__xludf.DUMMYFUNCTION("""COMPUTED_VALUE"""),56.38)</f>
        <v>56.38</v>
      </c>
      <c r="D1467" s="1">
        <f>IFERROR(__xludf.DUMMYFUNCTION("""COMPUTED_VALUE"""),55.66)</f>
        <v>55.66</v>
      </c>
      <c r="E1467" s="1">
        <f>IFERROR(__xludf.DUMMYFUNCTION("""COMPUTED_VALUE"""),55.99)</f>
        <v>55.99</v>
      </c>
      <c r="F1467" s="1">
        <f>IFERROR(__xludf.DUMMYFUNCTION("""COMPUTED_VALUE"""),1.13265E7)</f>
        <v>11326500</v>
      </c>
    </row>
    <row r="1468">
      <c r="A1468" s="2">
        <f>IFERROR(__xludf.DUMMYFUNCTION("""COMPUTED_VALUE"""),38657.666666666664)</f>
        <v>38657.66667</v>
      </c>
      <c r="B1468" s="1">
        <f>IFERROR(__xludf.DUMMYFUNCTION("""COMPUTED_VALUE"""),56.5)</f>
        <v>56.5</v>
      </c>
      <c r="C1468" s="1">
        <f>IFERROR(__xludf.DUMMYFUNCTION("""COMPUTED_VALUE"""),56.72)</f>
        <v>56.72</v>
      </c>
      <c r="D1468" s="1">
        <f>IFERROR(__xludf.DUMMYFUNCTION("""COMPUTED_VALUE"""),55.25)</f>
        <v>55.25</v>
      </c>
      <c r="E1468" s="1">
        <f>IFERROR(__xludf.DUMMYFUNCTION("""COMPUTED_VALUE"""),55.25)</f>
        <v>55.25</v>
      </c>
      <c r="F1468" s="1">
        <f>IFERROR(__xludf.DUMMYFUNCTION("""COMPUTED_VALUE"""),1.08168E7)</f>
        <v>10816800</v>
      </c>
    </row>
    <row r="1469">
      <c r="A1469" s="2">
        <f>IFERROR(__xludf.DUMMYFUNCTION("""COMPUTED_VALUE"""),38658.666666666664)</f>
        <v>38658.66667</v>
      </c>
      <c r="B1469" s="1">
        <f>IFERROR(__xludf.DUMMYFUNCTION("""COMPUTED_VALUE"""),55.0)</f>
        <v>55</v>
      </c>
      <c r="C1469" s="1">
        <f>IFERROR(__xludf.DUMMYFUNCTION("""COMPUTED_VALUE"""),55.7)</f>
        <v>55.7</v>
      </c>
      <c r="D1469" s="1">
        <f>IFERROR(__xludf.DUMMYFUNCTION("""COMPUTED_VALUE"""),54.96)</f>
        <v>54.96</v>
      </c>
      <c r="E1469" s="1">
        <f>IFERROR(__xludf.DUMMYFUNCTION("""COMPUTED_VALUE"""),55.65)</f>
        <v>55.65</v>
      </c>
      <c r="F1469" s="1">
        <f>IFERROR(__xludf.DUMMYFUNCTION("""COMPUTED_VALUE"""),1.05736E7)</f>
        <v>10573600</v>
      </c>
    </row>
    <row r="1470">
      <c r="A1470" s="2">
        <f>IFERROR(__xludf.DUMMYFUNCTION("""COMPUTED_VALUE"""),38659.666666666664)</f>
        <v>38659.66667</v>
      </c>
      <c r="B1470" s="1">
        <f>IFERROR(__xludf.DUMMYFUNCTION("""COMPUTED_VALUE"""),55.9)</f>
        <v>55.9</v>
      </c>
      <c r="C1470" s="1">
        <f>IFERROR(__xludf.DUMMYFUNCTION("""COMPUTED_VALUE"""),56.11)</f>
        <v>56.11</v>
      </c>
      <c r="D1470" s="1">
        <f>IFERROR(__xludf.DUMMYFUNCTION("""COMPUTED_VALUE"""),55.75)</f>
        <v>55.75</v>
      </c>
      <c r="E1470" s="1">
        <f>IFERROR(__xludf.DUMMYFUNCTION("""COMPUTED_VALUE"""),55.96)</f>
        <v>55.96</v>
      </c>
      <c r="F1470" s="1">
        <f>IFERROR(__xludf.DUMMYFUNCTION("""COMPUTED_VALUE"""),8328300.0)</f>
        <v>8328300</v>
      </c>
    </row>
    <row r="1471">
      <c r="A1471" s="2">
        <f>IFERROR(__xludf.DUMMYFUNCTION("""COMPUTED_VALUE"""),38660.666666666664)</f>
        <v>38660.66667</v>
      </c>
      <c r="B1471" s="1">
        <f>IFERROR(__xludf.DUMMYFUNCTION("""COMPUTED_VALUE"""),56.2)</f>
        <v>56.2</v>
      </c>
      <c r="C1471" s="1">
        <f>IFERROR(__xludf.DUMMYFUNCTION("""COMPUTED_VALUE"""),56.3)</f>
        <v>56.3</v>
      </c>
      <c r="D1471" s="1">
        <f>IFERROR(__xludf.DUMMYFUNCTION("""COMPUTED_VALUE"""),55.75)</f>
        <v>55.75</v>
      </c>
      <c r="E1471" s="1">
        <f>IFERROR(__xludf.DUMMYFUNCTION("""COMPUTED_VALUE"""),55.92)</f>
        <v>55.92</v>
      </c>
      <c r="F1471" s="1">
        <f>IFERROR(__xludf.DUMMYFUNCTION("""COMPUTED_VALUE"""),6069600.0)</f>
        <v>6069600</v>
      </c>
    </row>
    <row r="1472">
      <c r="A1472" s="2">
        <f>IFERROR(__xludf.DUMMYFUNCTION("""COMPUTED_VALUE"""),38663.666666666664)</f>
        <v>38663.66667</v>
      </c>
      <c r="B1472" s="1">
        <f>IFERROR(__xludf.DUMMYFUNCTION("""COMPUTED_VALUE"""),55.52)</f>
        <v>55.52</v>
      </c>
      <c r="C1472" s="1">
        <f>IFERROR(__xludf.DUMMYFUNCTION("""COMPUTED_VALUE"""),55.81)</f>
        <v>55.81</v>
      </c>
      <c r="D1472" s="1">
        <f>IFERROR(__xludf.DUMMYFUNCTION("""COMPUTED_VALUE"""),55.14)</f>
        <v>55.14</v>
      </c>
      <c r="E1472" s="1">
        <f>IFERROR(__xludf.DUMMYFUNCTION("""COMPUTED_VALUE"""),55.58)</f>
        <v>55.58</v>
      </c>
      <c r="F1472" s="1">
        <f>IFERROR(__xludf.DUMMYFUNCTION("""COMPUTED_VALUE"""),7611800.0)</f>
        <v>7611800</v>
      </c>
    </row>
    <row r="1473">
      <c r="A1473" s="2">
        <f>IFERROR(__xludf.DUMMYFUNCTION("""COMPUTED_VALUE"""),38664.666666666664)</f>
        <v>38664.66667</v>
      </c>
      <c r="B1473" s="1">
        <f>IFERROR(__xludf.DUMMYFUNCTION("""COMPUTED_VALUE"""),55.37)</f>
        <v>55.37</v>
      </c>
      <c r="C1473" s="1">
        <f>IFERROR(__xludf.DUMMYFUNCTION("""COMPUTED_VALUE"""),55.89)</f>
        <v>55.89</v>
      </c>
      <c r="D1473" s="1">
        <f>IFERROR(__xludf.DUMMYFUNCTION("""COMPUTED_VALUE"""),55.34)</f>
        <v>55.34</v>
      </c>
      <c r="E1473" s="1">
        <f>IFERROR(__xludf.DUMMYFUNCTION("""COMPUTED_VALUE"""),55.71)</f>
        <v>55.71</v>
      </c>
      <c r="F1473" s="1">
        <f>IFERROR(__xludf.DUMMYFUNCTION("""COMPUTED_VALUE"""),6447900.0)</f>
        <v>6447900</v>
      </c>
    </row>
    <row r="1474">
      <c r="A1474" s="2">
        <f>IFERROR(__xludf.DUMMYFUNCTION("""COMPUTED_VALUE"""),38665.666666666664)</f>
        <v>38665.66667</v>
      </c>
      <c r="B1474" s="1">
        <f>IFERROR(__xludf.DUMMYFUNCTION("""COMPUTED_VALUE"""),55.88)</f>
        <v>55.88</v>
      </c>
      <c r="C1474" s="1">
        <f>IFERROR(__xludf.DUMMYFUNCTION("""COMPUTED_VALUE"""),56.33)</f>
        <v>56.33</v>
      </c>
      <c r="D1474" s="1">
        <f>IFERROR(__xludf.DUMMYFUNCTION("""COMPUTED_VALUE"""),55.75)</f>
        <v>55.75</v>
      </c>
      <c r="E1474" s="1">
        <f>IFERROR(__xludf.DUMMYFUNCTION("""COMPUTED_VALUE"""),56.0)</f>
        <v>56</v>
      </c>
      <c r="F1474" s="1">
        <f>IFERROR(__xludf.DUMMYFUNCTION("""COMPUTED_VALUE"""),6077100.0)</f>
        <v>6077100</v>
      </c>
    </row>
    <row r="1475">
      <c r="A1475" s="2">
        <f>IFERROR(__xludf.DUMMYFUNCTION("""COMPUTED_VALUE"""),38666.666666666664)</f>
        <v>38666.66667</v>
      </c>
      <c r="B1475" s="1">
        <f>IFERROR(__xludf.DUMMYFUNCTION("""COMPUTED_VALUE"""),56.0)</f>
        <v>56</v>
      </c>
      <c r="C1475" s="1">
        <f>IFERROR(__xludf.DUMMYFUNCTION("""COMPUTED_VALUE"""),56.56)</f>
        <v>56.56</v>
      </c>
      <c r="D1475" s="1">
        <f>IFERROR(__xludf.DUMMYFUNCTION("""COMPUTED_VALUE"""),55.92)</f>
        <v>55.92</v>
      </c>
      <c r="E1475" s="1">
        <f>IFERROR(__xludf.DUMMYFUNCTION("""COMPUTED_VALUE"""),56.37)</f>
        <v>56.37</v>
      </c>
      <c r="F1475" s="1">
        <f>IFERROR(__xludf.DUMMYFUNCTION("""COMPUTED_VALUE"""),7645800.0)</f>
        <v>7645800</v>
      </c>
    </row>
    <row r="1476">
      <c r="A1476" s="2">
        <f>IFERROR(__xludf.DUMMYFUNCTION("""COMPUTED_VALUE"""),38667.666666666664)</f>
        <v>38667.66667</v>
      </c>
      <c r="B1476" s="1">
        <f>IFERROR(__xludf.DUMMYFUNCTION("""COMPUTED_VALUE"""),56.41)</f>
        <v>56.41</v>
      </c>
      <c r="C1476" s="1">
        <f>IFERROR(__xludf.DUMMYFUNCTION("""COMPUTED_VALUE"""),56.7)</f>
        <v>56.7</v>
      </c>
      <c r="D1476" s="1">
        <f>IFERROR(__xludf.DUMMYFUNCTION("""COMPUTED_VALUE"""),56.26)</f>
        <v>56.26</v>
      </c>
      <c r="E1476" s="1">
        <f>IFERROR(__xludf.DUMMYFUNCTION("""COMPUTED_VALUE"""),56.37)</f>
        <v>56.37</v>
      </c>
      <c r="F1476" s="1">
        <f>IFERROR(__xludf.DUMMYFUNCTION("""COMPUTED_VALUE"""),7528500.0)</f>
        <v>7528500</v>
      </c>
    </row>
    <row r="1477">
      <c r="A1477" s="2">
        <f>IFERROR(__xludf.DUMMYFUNCTION("""COMPUTED_VALUE"""),38670.666666666664)</f>
        <v>38670.66667</v>
      </c>
      <c r="B1477" s="1">
        <f>IFERROR(__xludf.DUMMYFUNCTION("""COMPUTED_VALUE"""),56.3)</f>
        <v>56.3</v>
      </c>
      <c r="C1477" s="1">
        <f>IFERROR(__xludf.DUMMYFUNCTION("""COMPUTED_VALUE"""),56.51)</f>
        <v>56.51</v>
      </c>
      <c r="D1477" s="1">
        <f>IFERROR(__xludf.DUMMYFUNCTION("""COMPUTED_VALUE"""),55.71)</f>
        <v>55.71</v>
      </c>
      <c r="E1477" s="1">
        <f>IFERROR(__xludf.DUMMYFUNCTION("""COMPUTED_VALUE"""),55.92)</f>
        <v>55.92</v>
      </c>
      <c r="F1477" s="1">
        <f>IFERROR(__xludf.DUMMYFUNCTION("""COMPUTED_VALUE"""),9706700.0)</f>
        <v>9706700</v>
      </c>
    </row>
    <row r="1478">
      <c r="A1478" s="2">
        <f>IFERROR(__xludf.DUMMYFUNCTION("""COMPUTED_VALUE"""),38671.666666666664)</f>
        <v>38671.66667</v>
      </c>
      <c r="B1478" s="1">
        <f>IFERROR(__xludf.DUMMYFUNCTION("""COMPUTED_VALUE"""),55.97)</f>
        <v>55.97</v>
      </c>
      <c r="C1478" s="1">
        <f>IFERROR(__xludf.DUMMYFUNCTION("""COMPUTED_VALUE"""),56.12)</f>
        <v>56.12</v>
      </c>
      <c r="D1478" s="1">
        <f>IFERROR(__xludf.DUMMYFUNCTION("""COMPUTED_VALUE"""),55.92)</f>
        <v>55.92</v>
      </c>
      <c r="E1478" s="1">
        <f>IFERROR(__xludf.DUMMYFUNCTION("""COMPUTED_VALUE"""),56.0)</f>
        <v>56</v>
      </c>
      <c r="F1478" s="1">
        <f>IFERROR(__xludf.DUMMYFUNCTION("""COMPUTED_VALUE"""),9660800.0)</f>
        <v>9660800</v>
      </c>
    </row>
    <row r="1479">
      <c r="A1479" s="2">
        <f>IFERROR(__xludf.DUMMYFUNCTION("""COMPUTED_VALUE"""),38672.666666666664)</f>
        <v>38672.66667</v>
      </c>
      <c r="B1479" s="1">
        <f>IFERROR(__xludf.DUMMYFUNCTION("""COMPUTED_VALUE"""),56.18)</f>
        <v>56.18</v>
      </c>
      <c r="C1479" s="1">
        <f>IFERROR(__xludf.DUMMYFUNCTION("""COMPUTED_VALUE"""),56.85)</f>
        <v>56.85</v>
      </c>
      <c r="D1479" s="1">
        <f>IFERROR(__xludf.DUMMYFUNCTION("""COMPUTED_VALUE"""),56.14)</f>
        <v>56.14</v>
      </c>
      <c r="E1479" s="1">
        <f>IFERROR(__xludf.DUMMYFUNCTION("""COMPUTED_VALUE"""),56.6)</f>
        <v>56.6</v>
      </c>
      <c r="F1479" s="1">
        <f>IFERROR(__xludf.DUMMYFUNCTION("""COMPUTED_VALUE"""),9990200.0)</f>
        <v>9990200</v>
      </c>
    </row>
    <row r="1480">
      <c r="A1480" s="2">
        <f>IFERROR(__xludf.DUMMYFUNCTION("""COMPUTED_VALUE"""),38673.666666666664)</f>
        <v>38673.66667</v>
      </c>
      <c r="B1480" s="1">
        <f>IFERROR(__xludf.DUMMYFUNCTION("""COMPUTED_VALUE"""),56.85)</f>
        <v>56.85</v>
      </c>
      <c r="C1480" s="1">
        <f>IFERROR(__xludf.DUMMYFUNCTION("""COMPUTED_VALUE"""),57.43)</f>
        <v>57.43</v>
      </c>
      <c r="D1480" s="1">
        <f>IFERROR(__xludf.DUMMYFUNCTION("""COMPUTED_VALUE"""),56.6)</f>
        <v>56.6</v>
      </c>
      <c r="E1480" s="1">
        <f>IFERROR(__xludf.DUMMYFUNCTION("""COMPUTED_VALUE"""),57.15)</f>
        <v>57.15</v>
      </c>
      <c r="F1480" s="1">
        <f>IFERROR(__xludf.DUMMYFUNCTION("""COMPUTED_VALUE"""),8009500.0)</f>
        <v>8009500</v>
      </c>
    </row>
    <row r="1481">
      <c r="A1481" s="2">
        <f>IFERROR(__xludf.DUMMYFUNCTION("""COMPUTED_VALUE"""),38674.666666666664)</f>
        <v>38674.66667</v>
      </c>
      <c r="B1481" s="1">
        <f>IFERROR(__xludf.DUMMYFUNCTION("""COMPUTED_VALUE"""),57.65)</f>
        <v>57.65</v>
      </c>
      <c r="C1481" s="1">
        <f>IFERROR(__xludf.DUMMYFUNCTION("""COMPUTED_VALUE"""),57.66)</f>
        <v>57.66</v>
      </c>
      <c r="D1481" s="1">
        <f>IFERROR(__xludf.DUMMYFUNCTION("""COMPUTED_VALUE"""),57.02)</f>
        <v>57.02</v>
      </c>
      <c r="E1481" s="1">
        <f>IFERROR(__xludf.DUMMYFUNCTION("""COMPUTED_VALUE"""),57.45)</f>
        <v>57.45</v>
      </c>
      <c r="F1481" s="1">
        <f>IFERROR(__xludf.DUMMYFUNCTION("""COMPUTED_VALUE"""),1.19738E7)</f>
        <v>11973800</v>
      </c>
    </row>
    <row r="1482">
      <c r="A1482" s="2">
        <f>IFERROR(__xludf.DUMMYFUNCTION("""COMPUTED_VALUE"""),38677.666666666664)</f>
        <v>38677.66667</v>
      </c>
      <c r="B1482" s="1">
        <f>IFERROR(__xludf.DUMMYFUNCTION("""COMPUTED_VALUE"""),57.2)</f>
        <v>57.2</v>
      </c>
      <c r="C1482" s="1">
        <f>IFERROR(__xludf.DUMMYFUNCTION("""COMPUTED_VALUE"""),57.75)</f>
        <v>57.75</v>
      </c>
      <c r="D1482" s="1">
        <f>IFERROR(__xludf.DUMMYFUNCTION("""COMPUTED_VALUE"""),57.17)</f>
        <v>57.17</v>
      </c>
      <c r="E1482" s="1">
        <f>IFERROR(__xludf.DUMMYFUNCTION("""COMPUTED_VALUE"""),57.64)</f>
        <v>57.64</v>
      </c>
      <c r="F1482" s="1">
        <f>IFERROR(__xludf.DUMMYFUNCTION("""COMPUTED_VALUE"""),5644200.0)</f>
        <v>5644200</v>
      </c>
    </row>
    <row r="1483">
      <c r="A1483" s="2">
        <f>IFERROR(__xludf.DUMMYFUNCTION("""COMPUTED_VALUE"""),38678.666666666664)</f>
        <v>38678.66667</v>
      </c>
      <c r="B1483" s="1">
        <f>IFERROR(__xludf.DUMMYFUNCTION("""COMPUTED_VALUE"""),57.59)</f>
        <v>57.59</v>
      </c>
      <c r="C1483" s="1">
        <f>IFERROR(__xludf.DUMMYFUNCTION("""COMPUTED_VALUE"""),57.59)</f>
        <v>57.59</v>
      </c>
      <c r="D1483" s="1">
        <f>IFERROR(__xludf.DUMMYFUNCTION("""COMPUTED_VALUE"""),56.92)</f>
        <v>56.92</v>
      </c>
      <c r="E1483" s="1">
        <f>IFERROR(__xludf.DUMMYFUNCTION("""COMPUTED_VALUE"""),57.14)</f>
        <v>57.14</v>
      </c>
      <c r="F1483" s="1">
        <f>IFERROR(__xludf.DUMMYFUNCTION("""COMPUTED_VALUE"""),6845700.0)</f>
        <v>6845700</v>
      </c>
    </row>
    <row r="1484">
      <c r="A1484" s="2">
        <f>IFERROR(__xludf.DUMMYFUNCTION("""COMPUTED_VALUE"""),38679.666666666664)</f>
        <v>38679.66667</v>
      </c>
      <c r="B1484" s="1">
        <f>IFERROR(__xludf.DUMMYFUNCTION("""COMPUTED_VALUE"""),56.99)</f>
        <v>56.99</v>
      </c>
      <c r="C1484" s="1">
        <f>IFERROR(__xludf.DUMMYFUNCTION("""COMPUTED_VALUE"""),57.01)</f>
        <v>57.01</v>
      </c>
      <c r="D1484" s="1">
        <f>IFERROR(__xludf.DUMMYFUNCTION("""COMPUTED_VALUE"""),56.35)</f>
        <v>56.35</v>
      </c>
      <c r="E1484" s="1">
        <f>IFERROR(__xludf.DUMMYFUNCTION("""COMPUTED_VALUE"""),57.01)</f>
        <v>57.01</v>
      </c>
      <c r="F1484" s="1">
        <f>IFERROR(__xludf.DUMMYFUNCTION("""COMPUTED_VALUE"""),8448500.0)</f>
        <v>8448500</v>
      </c>
    </row>
    <row r="1485">
      <c r="A1485" s="2">
        <f>IFERROR(__xludf.DUMMYFUNCTION("""COMPUTED_VALUE"""),38681.666666666664)</f>
        <v>38681.66667</v>
      </c>
      <c r="B1485" s="1">
        <f>IFERROR(__xludf.DUMMYFUNCTION("""COMPUTED_VALUE"""),57.2)</f>
        <v>57.2</v>
      </c>
      <c r="C1485" s="1">
        <f>IFERROR(__xludf.DUMMYFUNCTION("""COMPUTED_VALUE"""),57.63)</f>
        <v>57.63</v>
      </c>
      <c r="D1485" s="1">
        <f>IFERROR(__xludf.DUMMYFUNCTION("""COMPUTED_VALUE"""),57.17)</f>
        <v>57.17</v>
      </c>
      <c r="E1485" s="1">
        <f>IFERROR(__xludf.DUMMYFUNCTION("""COMPUTED_VALUE"""),57.28)</f>
        <v>57.28</v>
      </c>
      <c r="F1485" s="1">
        <f>IFERROR(__xludf.DUMMYFUNCTION("""COMPUTED_VALUE"""),2281000.0)</f>
        <v>2281000</v>
      </c>
    </row>
    <row r="1486">
      <c r="A1486" s="2">
        <f>IFERROR(__xludf.DUMMYFUNCTION("""COMPUTED_VALUE"""),38684.666666666664)</f>
        <v>38684.66667</v>
      </c>
      <c r="B1486" s="1">
        <f>IFERROR(__xludf.DUMMYFUNCTION("""COMPUTED_VALUE"""),56.85)</f>
        <v>56.85</v>
      </c>
      <c r="C1486" s="1">
        <f>IFERROR(__xludf.DUMMYFUNCTION("""COMPUTED_VALUE"""),57.36)</f>
        <v>57.36</v>
      </c>
      <c r="D1486" s="1">
        <f>IFERROR(__xludf.DUMMYFUNCTION("""COMPUTED_VALUE"""),56.72)</f>
        <v>56.72</v>
      </c>
      <c r="E1486" s="1">
        <f>IFERROR(__xludf.DUMMYFUNCTION("""COMPUTED_VALUE"""),57.11)</f>
        <v>57.11</v>
      </c>
      <c r="F1486" s="1">
        <f>IFERROR(__xludf.DUMMYFUNCTION("""COMPUTED_VALUE"""),5787100.0)</f>
        <v>5787100</v>
      </c>
    </row>
    <row r="1487">
      <c r="A1487" s="2">
        <f>IFERROR(__xludf.DUMMYFUNCTION("""COMPUTED_VALUE"""),38685.666666666664)</f>
        <v>38685.66667</v>
      </c>
      <c r="B1487" s="1">
        <f>IFERROR(__xludf.DUMMYFUNCTION("""COMPUTED_VALUE"""),57.36)</f>
        <v>57.36</v>
      </c>
      <c r="C1487" s="1">
        <f>IFERROR(__xludf.DUMMYFUNCTION("""COMPUTED_VALUE"""),57.97)</f>
        <v>57.97</v>
      </c>
      <c r="D1487" s="1">
        <f>IFERROR(__xludf.DUMMYFUNCTION("""COMPUTED_VALUE"""),57.35)</f>
        <v>57.35</v>
      </c>
      <c r="E1487" s="1">
        <f>IFERROR(__xludf.DUMMYFUNCTION("""COMPUTED_VALUE"""),57.68)</f>
        <v>57.68</v>
      </c>
      <c r="F1487" s="1">
        <f>IFERROR(__xludf.DUMMYFUNCTION("""COMPUTED_VALUE"""),6821700.0)</f>
        <v>6821700</v>
      </c>
    </row>
    <row r="1488">
      <c r="A1488" s="2">
        <f>IFERROR(__xludf.DUMMYFUNCTION("""COMPUTED_VALUE"""),38686.666666666664)</f>
        <v>38686.66667</v>
      </c>
      <c r="B1488" s="1">
        <f>IFERROR(__xludf.DUMMYFUNCTION("""COMPUTED_VALUE"""),57.79)</f>
        <v>57.79</v>
      </c>
      <c r="C1488" s="1">
        <f>IFERROR(__xludf.DUMMYFUNCTION("""COMPUTED_VALUE"""),58.04)</f>
        <v>58.04</v>
      </c>
      <c r="D1488" s="1">
        <f>IFERROR(__xludf.DUMMYFUNCTION("""COMPUTED_VALUE"""),57.16)</f>
        <v>57.16</v>
      </c>
      <c r="E1488" s="1">
        <f>IFERROR(__xludf.DUMMYFUNCTION("""COMPUTED_VALUE"""),57.19)</f>
        <v>57.19</v>
      </c>
      <c r="F1488" s="1">
        <f>IFERROR(__xludf.DUMMYFUNCTION("""COMPUTED_VALUE"""),8624300.0)</f>
        <v>8624300</v>
      </c>
    </row>
    <row r="1489">
      <c r="A1489" s="2">
        <f>IFERROR(__xludf.DUMMYFUNCTION("""COMPUTED_VALUE"""),38687.666666666664)</f>
        <v>38687.66667</v>
      </c>
      <c r="B1489" s="1">
        <f>IFERROR(__xludf.DUMMYFUNCTION("""COMPUTED_VALUE"""),57.36)</f>
        <v>57.36</v>
      </c>
      <c r="C1489" s="1">
        <f>IFERROR(__xludf.DUMMYFUNCTION("""COMPUTED_VALUE"""),58.0)</f>
        <v>58</v>
      </c>
      <c r="D1489" s="1">
        <f>IFERROR(__xludf.DUMMYFUNCTION("""COMPUTED_VALUE"""),57.32)</f>
        <v>57.32</v>
      </c>
      <c r="E1489" s="1">
        <f>IFERROR(__xludf.DUMMYFUNCTION("""COMPUTED_VALUE"""),57.64)</f>
        <v>57.64</v>
      </c>
      <c r="F1489" s="1">
        <f>IFERROR(__xludf.DUMMYFUNCTION("""COMPUTED_VALUE"""),6894300.0)</f>
        <v>6894300</v>
      </c>
    </row>
    <row r="1490">
      <c r="A1490" s="2">
        <f>IFERROR(__xludf.DUMMYFUNCTION("""COMPUTED_VALUE"""),38688.666666666664)</f>
        <v>38688.66667</v>
      </c>
      <c r="B1490" s="1">
        <f>IFERROR(__xludf.DUMMYFUNCTION("""COMPUTED_VALUE"""),57.3)</f>
        <v>57.3</v>
      </c>
      <c r="C1490" s="1">
        <f>IFERROR(__xludf.DUMMYFUNCTION("""COMPUTED_VALUE"""),57.72)</f>
        <v>57.72</v>
      </c>
      <c r="D1490" s="1">
        <f>IFERROR(__xludf.DUMMYFUNCTION("""COMPUTED_VALUE"""),57.21)</f>
        <v>57.21</v>
      </c>
      <c r="E1490" s="1">
        <f>IFERROR(__xludf.DUMMYFUNCTION("""COMPUTED_VALUE"""),57.36)</f>
        <v>57.36</v>
      </c>
      <c r="F1490" s="1">
        <f>IFERROR(__xludf.DUMMYFUNCTION("""COMPUTED_VALUE"""),1.50609E7)</f>
        <v>15060900</v>
      </c>
    </row>
    <row r="1491">
      <c r="A1491" s="2">
        <f>IFERROR(__xludf.DUMMYFUNCTION("""COMPUTED_VALUE"""),38691.666666666664)</f>
        <v>38691.66667</v>
      </c>
      <c r="B1491" s="1">
        <f>IFERROR(__xludf.DUMMYFUNCTION("""COMPUTED_VALUE"""),57.12)</f>
        <v>57.12</v>
      </c>
      <c r="C1491" s="1">
        <f>IFERROR(__xludf.DUMMYFUNCTION("""COMPUTED_VALUE"""),57.6)</f>
        <v>57.6</v>
      </c>
      <c r="D1491" s="1">
        <f>IFERROR(__xludf.DUMMYFUNCTION("""COMPUTED_VALUE"""),57.12)</f>
        <v>57.12</v>
      </c>
      <c r="E1491" s="1">
        <f>IFERROR(__xludf.DUMMYFUNCTION("""COMPUTED_VALUE"""),57.43)</f>
        <v>57.43</v>
      </c>
      <c r="F1491" s="1">
        <f>IFERROR(__xludf.DUMMYFUNCTION("""COMPUTED_VALUE"""),6158800.0)</f>
        <v>6158800</v>
      </c>
    </row>
    <row r="1492">
      <c r="A1492" s="2">
        <f>IFERROR(__xludf.DUMMYFUNCTION("""COMPUTED_VALUE"""),38692.666666666664)</f>
        <v>38692.66667</v>
      </c>
      <c r="B1492" s="1">
        <f>IFERROR(__xludf.DUMMYFUNCTION("""COMPUTED_VALUE"""),57.4)</f>
        <v>57.4</v>
      </c>
      <c r="C1492" s="1">
        <f>IFERROR(__xludf.DUMMYFUNCTION("""COMPUTED_VALUE"""),57.82)</f>
        <v>57.82</v>
      </c>
      <c r="D1492" s="1">
        <f>IFERROR(__xludf.DUMMYFUNCTION("""COMPUTED_VALUE"""),57.34)</f>
        <v>57.34</v>
      </c>
      <c r="E1492" s="1">
        <f>IFERROR(__xludf.DUMMYFUNCTION("""COMPUTED_VALUE"""),57.41)</f>
        <v>57.41</v>
      </c>
      <c r="F1492" s="1">
        <f>IFERROR(__xludf.DUMMYFUNCTION("""COMPUTED_VALUE"""),6015500.0)</f>
        <v>6015500</v>
      </c>
    </row>
    <row r="1493">
      <c r="A1493" s="2">
        <f>IFERROR(__xludf.DUMMYFUNCTION("""COMPUTED_VALUE"""),38693.666666666664)</f>
        <v>38693.66667</v>
      </c>
      <c r="B1493" s="1">
        <f>IFERROR(__xludf.DUMMYFUNCTION("""COMPUTED_VALUE"""),57.5)</f>
        <v>57.5</v>
      </c>
      <c r="C1493" s="1">
        <f>IFERROR(__xludf.DUMMYFUNCTION("""COMPUTED_VALUE"""),57.66)</f>
        <v>57.66</v>
      </c>
      <c r="D1493" s="1">
        <f>IFERROR(__xludf.DUMMYFUNCTION("""COMPUTED_VALUE"""),56.8)</f>
        <v>56.8</v>
      </c>
      <c r="E1493" s="1">
        <f>IFERROR(__xludf.DUMMYFUNCTION("""COMPUTED_VALUE"""),57.04)</f>
        <v>57.04</v>
      </c>
      <c r="F1493" s="1">
        <f>IFERROR(__xludf.DUMMYFUNCTION("""COMPUTED_VALUE"""),6839200.0)</f>
        <v>6839200</v>
      </c>
    </row>
    <row r="1494">
      <c r="A1494" s="2">
        <f>IFERROR(__xludf.DUMMYFUNCTION("""COMPUTED_VALUE"""),38694.666666666664)</f>
        <v>38694.66667</v>
      </c>
      <c r="B1494" s="1">
        <f>IFERROR(__xludf.DUMMYFUNCTION("""COMPUTED_VALUE"""),57.0)</f>
        <v>57</v>
      </c>
      <c r="C1494" s="1">
        <f>IFERROR(__xludf.DUMMYFUNCTION("""COMPUTED_VALUE"""),57.5)</f>
        <v>57.5</v>
      </c>
      <c r="D1494" s="1">
        <f>IFERROR(__xludf.DUMMYFUNCTION("""COMPUTED_VALUE"""),56.7)</f>
        <v>56.7</v>
      </c>
      <c r="E1494" s="1">
        <f>IFERROR(__xludf.DUMMYFUNCTION("""COMPUTED_VALUE"""),57.01)</f>
        <v>57.01</v>
      </c>
      <c r="F1494" s="1">
        <f>IFERROR(__xludf.DUMMYFUNCTION("""COMPUTED_VALUE"""),5414100.0)</f>
        <v>5414100</v>
      </c>
    </row>
    <row r="1495">
      <c r="A1495" s="2">
        <f>IFERROR(__xludf.DUMMYFUNCTION("""COMPUTED_VALUE"""),38695.666666666664)</f>
        <v>38695.66667</v>
      </c>
      <c r="B1495" s="1">
        <f>IFERROR(__xludf.DUMMYFUNCTION("""COMPUTED_VALUE"""),57.05)</f>
        <v>57.05</v>
      </c>
      <c r="C1495" s="1">
        <f>IFERROR(__xludf.DUMMYFUNCTION("""COMPUTED_VALUE"""),57.5)</f>
        <v>57.5</v>
      </c>
      <c r="D1495" s="1">
        <f>IFERROR(__xludf.DUMMYFUNCTION("""COMPUTED_VALUE"""),57.05)</f>
        <v>57.05</v>
      </c>
      <c r="E1495" s="1">
        <f>IFERROR(__xludf.DUMMYFUNCTION("""COMPUTED_VALUE"""),57.33)</f>
        <v>57.33</v>
      </c>
      <c r="F1495" s="1">
        <f>IFERROR(__xludf.DUMMYFUNCTION("""COMPUTED_VALUE"""),5289200.0)</f>
        <v>5289200</v>
      </c>
    </row>
    <row r="1496">
      <c r="A1496" s="2">
        <f>IFERROR(__xludf.DUMMYFUNCTION("""COMPUTED_VALUE"""),38698.666666666664)</f>
        <v>38698.66667</v>
      </c>
      <c r="B1496" s="1">
        <f>IFERROR(__xludf.DUMMYFUNCTION("""COMPUTED_VALUE"""),57.3)</f>
        <v>57.3</v>
      </c>
      <c r="C1496" s="1">
        <f>IFERROR(__xludf.DUMMYFUNCTION("""COMPUTED_VALUE"""),57.54)</f>
        <v>57.54</v>
      </c>
      <c r="D1496" s="1">
        <f>IFERROR(__xludf.DUMMYFUNCTION("""COMPUTED_VALUE"""),56.82)</f>
        <v>56.82</v>
      </c>
      <c r="E1496" s="1">
        <f>IFERROR(__xludf.DUMMYFUNCTION("""COMPUTED_VALUE"""),56.91)</f>
        <v>56.91</v>
      </c>
      <c r="F1496" s="1">
        <f>IFERROR(__xludf.DUMMYFUNCTION("""COMPUTED_VALUE"""),6006100.0)</f>
        <v>6006100</v>
      </c>
    </row>
    <row r="1497">
      <c r="A1497" s="2">
        <f>IFERROR(__xludf.DUMMYFUNCTION("""COMPUTED_VALUE"""),38699.666666666664)</f>
        <v>38699.66667</v>
      </c>
      <c r="B1497" s="1">
        <f>IFERROR(__xludf.DUMMYFUNCTION("""COMPUTED_VALUE"""),57.2)</f>
        <v>57.2</v>
      </c>
      <c r="C1497" s="1">
        <f>IFERROR(__xludf.DUMMYFUNCTION("""COMPUTED_VALUE"""),58.75)</f>
        <v>58.75</v>
      </c>
      <c r="D1497" s="1">
        <f>IFERROR(__xludf.DUMMYFUNCTION("""COMPUTED_VALUE"""),57.2)</f>
        <v>57.2</v>
      </c>
      <c r="E1497" s="1">
        <f>IFERROR(__xludf.DUMMYFUNCTION("""COMPUTED_VALUE"""),58.51)</f>
        <v>58.51</v>
      </c>
      <c r="F1497" s="1">
        <f>IFERROR(__xludf.DUMMYFUNCTION("""COMPUTED_VALUE"""),1.01052E7)</f>
        <v>10105200</v>
      </c>
    </row>
    <row r="1498">
      <c r="A1498" s="2">
        <f>IFERROR(__xludf.DUMMYFUNCTION("""COMPUTED_VALUE"""),38700.666666666664)</f>
        <v>38700.66667</v>
      </c>
      <c r="B1498" s="1">
        <f>IFERROR(__xludf.DUMMYFUNCTION("""COMPUTED_VALUE"""),58.49)</f>
        <v>58.49</v>
      </c>
      <c r="C1498" s="1">
        <f>IFERROR(__xludf.DUMMYFUNCTION("""COMPUTED_VALUE"""),59.7)</f>
        <v>59.7</v>
      </c>
      <c r="D1498" s="1">
        <f>IFERROR(__xludf.DUMMYFUNCTION("""COMPUTED_VALUE"""),58.28)</f>
        <v>58.28</v>
      </c>
      <c r="E1498" s="1">
        <f>IFERROR(__xludf.DUMMYFUNCTION("""COMPUTED_VALUE"""),59.62)</f>
        <v>59.62</v>
      </c>
      <c r="F1498" s="1">
        <f>IFERROR(__xludf.DUMMYFUNCTION("""COMPUTED_VALUE"""),9403200.0)</f>
        <v>9403200</v>
      </c>
    </row>
    <row r="1499">
      <c r="A1499" s="2">
        <f>IFERROR(__xludf.DUMMYFUNCTION("""COMPUTED_VALUE"""),38701.666666666664)</f>
        <v>38701.66667</v>
      </c>
      <c r="B1499" s="1">
        <f>IFERROR(__xludf.DUMMYFUNCTION("""COMPUTED_VALUE"""),59.05)</f>
        <v>59.05</v>
      </c>
      <c r="C1499" s="1">
        <f>IFERROR(__xludf.DUMMYFUNCTION("""COMPUTED_VALUE"""),59.13)</f>
        <v>59.13</v>
      </c>
      <c r="D1499" s="1">
        <f>IFERROR(__xludf.DUMMYFUNCTION("""COMPUTED_VALUE"""),58.0)</f>
        <v>58</v>
      </c>
      <c r="E1499" s="1">
        <f>IFERROR(__xludf.DUMMYFUNCTION("""COMPUTED_VALUE"""),58.99)</f>
        <v>58.99</v>
      </c>
      <c r="F1499" s="1">
        <f>IFERROR(__xludf.DUMMYFUNCTION("""COMPUTED_VALUE"""),1.04309E7)</f>
        <v>10430900</v>
      </c>
    </row>
    <row r="1500">
      <c r="A1500" s="2">
        <f>IFERROR(__xludf.DUMMYFUNCTION("""COMPUTED_VALUE"""),38702.666666666664)</f>
        <v>38702.66667</v>
      </c>
      <c r="B1500" s="1">
        <f>IFERROR(__xludf.DUMMYFUNCTION("""COMPUTED_VALUE"""),59.19)</f>
        <v>59.19</v>
      </c>
      <c r="C1500" s="1">
        <f>IFERROR(__xludf.DUMMYFUNCTION("""COMPUTED_VALUE"""),59.45)</f>
        <v>59.45</v>
      </c>
      <c r="D1500" s="1">
        <f>IFERROR(__xludf.DUMMYFUNCTION("""COMPUTED_VALUE"""),57.5)</f>
        <v>57.5</v>
      </c>
      <c r="E1500" s="1">
        <f>IFERROR(__xludf.DUMMYFUNCTION("""COMPUTED_VALUE"""),58.11)</f>
        <v>58.11</v>
      </c>
      <c r="F1500" s="1">
        <f>IFERROR(__xludf.DUMMYFUNCTION("""COMPUTED_VALUE"""),1.85853E7)</f>
        <v>18585300</v>
      </c>
    </row>
    <row r="1501">
      <c r="A1501" s="2">
        <f>IFERROR(__xludf.DUMMYFUNCTION("""COMPUTED_VALUE"""),38705.666666666664)</f>
        <v>38705.66667</v>
      </c>
      <c r="B1501" s="1">
        <f>IFERROR(__xludf.DUMMYFUNCTION("""COMPUTED_VALUE"""),58.14)</f>
        <v>58.14</v>
      </c>
      <c r="C1501" s="1">
        <f>IFERROR(__xludf.DUMMYFUNCTION("""COMPUTED_VALUE"""),58.84)</f>
        <v>58.84</v>
      </c>
      <c r="D1501" s="1">
        <f>IFERROR(__xludf.DUMMYFUNCTION("""COMPUTED_VALUE"""),57.76)</f>
        <v>57.76</v>
      </c>
      <c r="E1501" s="1">
        <f>IFERROR(__xludf.DUMMYFUNCTION("""COMPUTED_VALUE"""),58.55)</f>
        <v>58.55</v>
      </c>
      <c r="F1501" s="1">
        <f>IFERROR(__xludf.DUMMYFUNCTION("""COMPUTED_VALUE"""),7062300.0)</f>
        <v>7062300</v>
      </c>
    </row>
    <row r="1502">
      <c r="A1502" s="2">
        <f>IFERROR(__xludf.DUMMYFUNCTION("""COMPUTED_VALUE"""),38706.666666666664)</f>
        <v>38706.66667</v>
      </c>
      <c r="B1502" s="1">
        <f>IFERROR(__xludf.DUMMYFUNCTION("""COMPUTED_VALUE"""),58.0)</f>
        <v>58</v>
      </c>
      <c r="C1502" s="1">
        <f>IFERROR(__xludf.DUMMYFUNCTION("""COMPUTED_VALUE"""),58.69)</f>
        <v>58.69</v>
      </c>
      <c r="D1502" s="1">
        <f>IFERROR(__xludf.DUMMYFUNCTION("""COMPUTED_VALUE"""),57.75)</f>
        <v>57.75</v>
      </c>
      <c r="E1502" s="1">
        <f>IFERROR(__xludf.DUMMYFUNCTION("""COMPUTED_VALUE"""),58.21)</f>
        <v>58.21</v>
      </c>
      <c r="F1502" s="1">
        <f>IFERROR(__xludf.DUMMYFUNCTION("""COMPUTED_VALUE"""),5440300.0)</f>
        <v>5440300</v>
      </c>
    </row>
    <row r="1503">
      <c r="A1503" s="2">
        <f>IFERROR(__xludf.DUMMYFUNCTION("""COMPUTED_VALUE"""),38707.666666666664)</f>
        <v>38707.66667</v>
      </c>
      <c r="B1503" s="1">
        <f>IFERROR(__xludf.DUMMYFUNCTION("""COMPUTED_VALUE"""),58.25)</f>
        <v>58.25</v>
      </c>
      <c r="C1503" s="1">
        <f>IFERROR(__xludf.DUMMYFUNCTION("""COMPUTED_VALUE"""),58.79)</f>
        <v>58.79</v>
      </c>
      <c r="D1503" s="1">
        <f>IFERROR(__xludf.DUMMYFUNCTION("""COMPUTED_VALUE"""),58.25)</f>
        <v>58.25</v>
      </c>
      <c r="E1503" s="1">
        <f>IFERROR(__xludf.DUMMYFUNCTION("""COMPUTED_VALUE"""),58.52)</f>
        <v>58.52</v>
      </c>
      <c r="F1503" s="1">
        <f>IFERROR(__xludf.DUMMYFUNCTION("""COMPUTED_VALUE"""),6078300.0)</f>
        <v>6078300</v>
      </c>
    </row>
    <row r="1504">
      <c r="A1504" s="2">
        <f>IFERROR(__xludf.DUMMYFUNCTION("""COMPUTED_VALUE"""),38708.666666666664)</f>
        <v>38708.66667</v>
      </c>
      <c r="B1504" s="1">
        <f>IFERROR(__xludf.DUMMYFUNCTION("""COMPUTED_VALUE"""),58.27)</f>
        <v>58.27</v>
      </c>
      <c r="C1504" s="1">
        <f>IFERROR(__xludf.DUMMYFUNCTION("""COMPUTED_VALUE"""),58.78)</f>
        <v>58.78</v>
      </c>
      <c r="D1504" s="1">
        <f>IFERROR(__xludf.DUMMYFUNCTION("""COMPUTED_VALUE"""),58.25)</f>
        <v>58.25</v>
      </c>
      <c r="E1504" s="1">
        <f>IFERROR(__xludf.DUMMYFUNCTION("""COMPUTED_VALUE"""),58.78)</f>
        <v>58.78</v>
      </c>
      <c r="F1504" s="1">
        <f>IFERROR(__xludf.DUMMYFUNCTION("""COMPUTED_VALUE"""),5800000.0)</f>
        <v>5800000</v>
      </c>
    </row>
    <row r="1505">
      <c r="A1505" s="2">
        <f>IFERROR(__xludf.DUMMYFUNCTION("""COMPUTED_VALUE"""),38709.666666666664)</f>
        <v>38709.66667</v>
      </c>
      <c r="B1505" s="1">
        <f>IFERROR(__xludf.DUMMYFUNCTION("""COMPUTED_VALUE"""),58.81)</f>
        <v>58.81</v>
      </c>
      <c r="C1505" s="1">
        <f>IFERROR(__xludf.DUMMYFUNCTION("""COMPUTED_VALUE"""),59.19)</f>
        <v>59.19</v>
      </c>
      <c r="D1505" s="1">
        <f>IFERROR(__xludf.DUMMYFUNCTION("""COMPUTED_VALUE"""),58.17)</f>
        <v>58.17</v>
      </c>
      <c r="E1505" s="1">
        <f>IFERROR(__xludf.DUMMYFUNCTION("""COMPUTED_VALUE"""),58.88)</f>
        <v>58.88</v>
      </c>
      <c r="F1505" s="1">
        <f>IFERROR(__xludf.DUMMYFUNCTION("""COMPUTED_VALUE"""),3913000.0)</f>
        <v>3913000</v>
      </c>
    </row>
    <row r="1506">
      <c r="A1506" s="2">
        <f>IFERROR(__xludf.DUMMYFUNCTION("""COMPUTED_VALUE"""),38713.666666666664)</f>
        <v>38713.66667</v>
      </c>
      <c r="B1506" s="1">
        <f>IFERROR(__xludf.DUMMYFUNCTION("""COMPUTED_VALUE"""),58.66)</f>
        <v>58.66</v>
      </c>
      <c r="C1506" s="1">
        <f>IFERROR(__xludf.DUMMYFUNCTION("""COMPUTED_VALUE"""),58.95)</f>
        <v>58.95</v>
      </c>
      <c r="D1506" s="1">
        <f>IFERROR(__xludf.DUMMYFUNCTION("""COMPUTED_VALUE"""),58.45)</f>
        <v>58.45</v>
      </c>
      <c r="E1506" s="1">
        <f>IFERROR(__xludf.DUMMYFUNCTION("""COMPUTED_VALUE"""),58.6)</f>
        <v>58.6</v>
      </c>
      <c r="F1506" s="1">
        <f>IFERROR(__xludf.DUMMYFUNCTION("""COMPUTED_VALUE"""),4745300.0)</f>
        <v>4745300</v>
      </c>
    </row>
    <row r="1507">
      <c r="A1507" s="2">
        <f>IFERROR(__xludf.DUMMYFUNCTION("""COMPUTED_VALUE"""),38714.666666666664)</f>
        <v>38714.66667</v>
      </c>
      <c r="B1507" s="1">
        <f>IFERROR(__xludf.DUMMYFUNCTION("""COMPUTED_VALUE"""),58.59)</f>
        <v>58.59</v>
      </c>
      <c r="C1507" s="1">
        <f>IFERROR(__xludf.DUMMYFUNCTION("""COMPUTED_VALUE"""),58.8)</f>
        <v>58.8</v>
      </c>
      <c r="D1507" s="1">
        <f>IFERROR(__xludf.DUMMYFUNCTION("""COMPUTED_VALUE"""),58.36)</f>
        <v>58.36</v>
      </c>
      <c r="E1507" s="1">
        <f>IFERROR(__xludf.DUMMYFUNCTION("""COMPUTED_VALUE"""),58.54)</f>
        <v>58.54</v>
      </c>
      <c r="F1507" s="1">
        <f>IFERROR(__xludf.DUMMYFUNCTION("""COMPUTED_VALUE"""),5663000.0)</f>
        <v>5663000</v>
      </c>
    </row>
    <row r="1508">
      <c r="A1508" s="2">
        <f>IFERROR(__xludf.DUMMYFUNCTION("""COMPUTED_VALUE"""),38715.666666666664)</f>
        <v>38715.66667</v>
      </c>
      <c r="B1508" s="1">
        <f>IFERROR(__xludf.DUMMYFUNCTION("""COMPUTED_VALUE"""),58.43)</f>
        <v>58.43</v>
      </c>
      <c r="C1508" s="1">
        <f>IFERROR(__xludf.DUMMYFUNCTION("""COMPUTED_VALUE"""),58.65)</f>
        <v>58.65</v>
      </c>
      <c r="D1508" s="1">
        <f>IFERROR(__xludf.DUMMYFUNCTION("""COMPUTED_VALUE"""),58.12)</f>
        <v>58.12</v>
      </c>
      <c r="E1508" s="1">
        <f>IFERROR(__xludf.DUMMYFUNCTION("""COMPUTED_VALUE"""),58.42)</f>
        <v>58.42</v>
      </c>
      <c r="F1508" s="1">
        <f>IFERROR(__xludf.DUMMYFUNCTION("""COMPUTED_VALUE"""),4008100.0)</f>
        <v>4008100</v>
      </c>
    </row>
    <row r="1509">
      <c r="A1509" s="2">
        <f>IFERROR(__xludf.DUMMYFUNCTION("""COMPUTED_VALUE"""),38716.666666666664)</f>
        <v>38716.66667</v>
      </c>
      <c r="B1509" s="1">
        <f>IFERROR(__xludf.DUMMYFUNCTION("""COMPUTED_VALUE"""),58.15)</f>
        <v>58.15</v>
      </c>
      <c r="C1509" s="1">
        <f>IFERROR(__xludf.DUMMYFUNCTION("""COMPUTED_VALUE"""),58.56)</f>
        <v>58.56</v>
      </c>
      <c r="D1509" s="1">
        <f>IFERROR(__xludf.DUMMYFUNCTION("""COMPUTED_VALUE"""),57.88)</f>
        <v>57.88</v>
      </c>
      <c r="E1509" s="1">
        <f>IFERROR(__xludf.DUMMYFUNCTION("""COMPUTED_VALUE"""),57.88)</f>
        <v>57.88</v>
      </c>
      <c r="F1509" s="1">
        <f>IFERROR(__xludf.DUMMYFUNCTION("""COMPUTED_VALUE"""),5928600.0)</f>
        <v>5928600</v>
      </c>
    </row>
    <row r="1510">
      <c r="A1510" s="2">
        <f>IFERROR(__xludf.DUMMYFUNCTION("""COMPUTED_VALUE"""),38720.666666666664)</f>
        <v>38720.66667</v>
      </c>
      <c r="B1510" s="1">
        <f>IFERROR(__xludf.DUMMYFUNCTION("""COMPUTED_VALUE"""),58.3)</f>
        <v>58.3</v>
      </c>
      <c r="C1510" s="1">
        <f>IFERROR(__xludf.DUMMYFUNCTION("""COMPUTED_VALUE"""),58.86)</f>
        <v>58.86</v>
      </c>
      <c r="D1510" s="1">
        <f>IFERROR(__xludf.DUMMYFUNCTION("""COMPUTED_VALUE"""),57.69)</f>
        <v>57.69</v>
      </c>
      <c r="E1510" s="1">
        <f>IFERROR(__xludf.DUMMYFUNCTION("""COMPUTED_VALUE"""),58.78)</f>
        <v>58.78</v>
      </c>
      <c r="F1510" s="1">
        <f>IFERROR(__xludf.DUMMYFUNCTION("""COMPUTED_VALUE"""),9741600.0)</f>
        <v>9741600</v>
      </c>
    </row>
    <row r="1511">
      <c r="A1511" s="2">
        <f>IFERROR(__xludf.DUMMYFUNCTION("""COMPUTED_VALUE"""),38721.666666666664)</f>
        <v>38721.66667</v>
      </c>
      <c r="B1511" s="1">
        <f>IFERROR(__xludf.DUMMYFUNCTION("""COMPUTED_VALUE"""),58.8)</f>
        <v>58.8</v>
      </c>
      <c r="C1511" s="1">
        <f>IFERROR(__xludf.DUMMYFUNCTION("""COMPUTED_VALUE"""),59.12)</f>
        <v>59.12</v>
      </c>
      <c r="D1511" s="1">
        <f>IFERROR(__xludf.DUMMYFUNCTION("""COMPUTED_VALUE"""),58.56)</f>
        <v>58.56</v>
      </c>
      <c r="E1511" s="1">
        <f>IFERROR(__xludf.DUMMYFUNCTION("""COMPUTED_VALUE"""),58.89)</f>
        <v>58.89</v>
      </c>
      <c r="F1511" s="1">
        <f>IFERROR(__xludf.DUMMYFUNCTION("""COMPUTED_VALUE"""),6746400.0)</f>
        <v>6746400</v>
      </c>
    </row>
    <row r="1512">
      <c r="A1512" s="2">
        <f>IFERROR(__xludf.DUMMYFUNCTION("""COMPUTED_VALUE"""),38722.666666666664)</f>
        <v>38722.66667</v>
      </c>
      <c r="B1512" s="1">
        <f>IFERROR(__xludf.DUMMYFUNCTION("""COMPUTED_VALUE"""),58.7)</f>
        <v>58.7</v>
      </c>
      <c r="C1512" s="1">
        <f>IFERROR(__xludf.DUMMYFUNCTION("""COMPUTED_VALUE"""),59.07)</f>
        <v>59.07</v>
      </c>
      <c r="D1512" s="1">
        <f>IFERROR(__xludf.DUMMYFUNCTION("""COMPUTED_VALUE"""),58.61)</f>
        <v>58.61</v>
      </c>
      <c r="E1512" s="1">
        <f>IFERROR(__xludf.DUMMYFUNCTION("""COMPUTED_VALUE"""),58.7)</f>
        <v>58.7</v>
      </c>
      <c r="F1512" s="1">
        <f>IFERROR(__xludf.DUMMYFUNCTION("""COMPUTED_VALUE"""),8936100.0)</f>
        <v>8936100</v>
      </c>
    </row>
    <row r="1513">
      <c r="A1513" s="2">
        <f>IFERROR(__xludf.DUMMYFUNCTION("""COMPUTED_VALUE"""),38723.666666666664)</f>
        <v>38723.66667</v>
      </c>
      <c r="B1513" s="1">
        <f>IFERROR(__xludf.DUMMYFUNCTION("""COMPUTED_VALUE"""),58.74)</f>
        <v>58.74</v>
      </c>
      <c r="C1513" s="1">
        <f>IFERROR(__xludf.DUMMYFUNCTION("""COMPUTED_VALUE"""),58.8)</f>
        <v>58.8</v>
      </c>
      <c r="D1513" s="1">
        <f>IFERROR(__xludf.DUMMYFUNCTION("""COMPUTED_VALUE"""),58.48)</f>
        <v>58.48</v>
      </c>
      <c r="E1513" s="1">
        <f>IFERROR(__xludf.DUMMYFUNCTION("""COMPUTED_VALUE"""),58.64)</f>
        <v>58.64</v>
      </c>
      <c r="F1513" s="1">
        <f>IFERROR(__xludf.DUMMYFUNCTION("""COMPUTED_VALUE"""),8826300.0)</f>
        <v>8826300</v>
      </c>
    </row>
    <row r="1514">
      <c r="A1514" s="2">
        <f>IFERROR(__xludf.DUMMYFUNCTION("""COMPUTED_VALUE"""),38726.666666666664)</f>
        <v>38726.66667</v>
      </c>
      <c r="B1514" s="1">
        <f>IFERROR(__xludf.DUMMYFUNCTION("""COMPUTED_VALUE"""),58.45)</f>
        <v>58.45</v>
      </c>
      <c r="C1514" s="1">
        <f>IFERROR(__xludf.DUMMYFUNCTION("""COMPUTED_VALUE"""),59.09)</f>
        <v>59.09</v>
      </c>
      <c r="D1514" s="1">
        <f>IFERROR(__xludf.DUMMYFUNCTION("""COMPUTED_VALUE"""),58.45)</f>
        <v>58.45</v>
      </c>
      <c r="E1514" s="1">
        <f>IFERROR(__xludf.DUMMYFUNCTION("""COMPUTED_VALUE"""),59.08)</f>
        <v>59.08</v>
      </c>
      <c r="F1514" s="1">
        <f>IFERROR(__xludf.DUMMYFUNCTION("""COMPUTED_VALUE"""),7715700.0)</f>
        <v>7715700</v>
      </c>
    </row>
    <row r="1515">
      <c r="A1515" s="2">
        <f>IFERROR(__xludf.DUMMYFUNCTION("""COMPUTED_VALUE"""),38727.666666666664)</f>
        <v>38727.66667</v>
      </c>
      <c r="B1515" s="1">
        <f>IFERROR(__xludf.DUMMYFUNCTION("""COMPUTED_VALUE"""),58.89)</f>
        <v>58.89</v>
      </c>
      <c r="C1515" s="1">
        <f>IFERROR(__xludf.DUMMYFUNCTION("""COMPUTED_VALUE"""),58.9)</f>
        <v>58.9</v>
      </c>
      <c r="D1515" s="1">
        <f>IFERROR(__xludf.DUMMYFUNCTION("""COMPUTED_VALUE"""),58.57)</f>
        <v>58.57</v>
      </c>
      <c r="E1515" s="1">
        <f>IFERROR(__xludf.DUMMYFUNCTION("""COMPUTED_VALUE"""),58.85)</f>
        <v>58.85</v>
      </c>
      <c r="F1515" s="1">
        <f>IFERROR(__xludf.DUMMYFUNCTION("""COMPUTED_VALUE"""),8553600.0)</f>
        <v>8553600</v>
      </c>
    </row>
    <row r="1516">
      <c r="A1516" s="2">
        <f>IFERROR(__xludf.DUMMYFUNCTION("""COMPUTED_VALUE"""),38728.666666666664)</f>
        <v>38728.66667</v>
      </c>
      <c r="B1516" s="1">
        <f>IFERROR(__xludf.DUMMYFUNCTION("""COMPUTED_VALUE"""),58.94)</f>
        <v>58.94</v>
      </c>
      <c r="C1516" s="1">
        <f>IFERROR(__xludf.DUMMYFUNCTION("""COMPUTED_VALUE"""),59.07)</f>
        <v>59.07</v>
      </c>
      <c r="D1516" s="1">
        <f>IFERROR(__xludf.DUMMYFUNCTION("""COMPUTED_VALUE"""),58.6)</f>
        <v>58.6</v>
      </c>
      <c r="E1516" s="1">
        <f>IFERROR(__xludf.DUMMYFUNCTION("""COMPUTED_VALUE"""),59.06)</f>
        <v>59.06</v>
      </c>
      <c r="F1516" s="1">
        <f>IFERROR(__xludf.DUMMYFUNCTION("""COMPUTED_VALUE"""),8791800.0)</f>
        <v>8791800</v>
      </c>
    </row>
    <row r="1517">
      <c r="A1517" s="2">
        <f>IFERROR(__xludf.DUMMYFUNCTION("""COMPUTED_VALUE"""),38729.666666666664)</f>
        <v>38729.66667</v>
      </c>
      <c r="B1517" s="1">
        <f>IFERROR(__xludf.DUMMYFUNCTION("""COMPUTED_VALUE"""),58.98)</f>
        <v>58.98</v>
      </c>
      <c r="C1517" s="1">
        <f>IFERROR(__xludf.DUMMYFUNCTION("""COMPUTED_VALUE"""),59.0)</f>
        <v>59</v>
      </c>
      <c r="D1517" s="1">
        <f>IFERROR(__xludf.DUMMYFUNCTION("""COMPUTED_VALUE"""),58.4)</f>
        <v>58.4</v>
      </c>
      <c r="E1517" s="1">
        <f>IFERROR(__xludf.DUMMYFUNCTION("""COMPUTED_VALUE"""),58.41)</f>
        <v>58.41</v>
      </c>
      <c r="F1517" s="1">
        <f>IFERROR(__xludf.DUMMYFUNCTION("""COMPUTED_VALUE"""),6612800.0)</f>
        <v>6612800</v>
      </c>
    </row>
    <row r="1518">
      <c r="A1518" s="2">
        <f>IFERROR(__xludf.DUMMYFUNCTION("""COMPUTED_VALUE"""),38730.666666666664)</f>
        <v>38730.66667</v>
      </c>
      <c r="B1518" s="1">
        <f>IFERROR(__xludf.DUMMYFUNCTION("""COMPUTED_VALUE"""),58.41)</f>
        <v>58.41</v>
      </c>
      <c r="C1518" s="1">
        <f>IFERROR(__xludf.DUMMYFUNCTION("""COMPUTED_VALUE"""),58.92)</f>
        <v>58.92</v>
      </c>
      <c r="D1518" s="1">
        <f>IFERROR(__xludf.DUMMYFUNCTION("""COMPUTED_VALUE"""),58.39)</f>
        <v>58.39</v>
      </c>
      <c r="E1518" s="1">
        <f>IFERROR(__xludf.DUMMYFUNCTION("""COMPUTED_VALUE"""),58.9)</f>
        <v>58.9</v>
      </c>
      <c r="F1518" s="1">
        <f>IFERROR(__xludf.DUMMYFUNCTION("""COMPUTED_VALUE"""),7146800.0)</f>
        <v>7146800</v>
      </c>
    </row>
    <row r="1519">
      <c r="A1519" s="2">
        <f>IFERROR(__xludf.DUMMYFUNCTION("""COMPUTED_VALUE"""),38734.666666666664)</f>
        <v>38734.66667</v>
      </c>
      <c r="B1519" s="1">
        <f>IFERROR(__xludf.DUMMYFUNCTION("""COMPUTED_VALUE"""),58.45)</f>
        <v>58.45</v>
      </c>
      <c r="C1519" s="1">
        <f>IFERROR(__xludf.DUMMYFUNCTION("""COMPUTED_VALUE"""),58.86)</f>
        <v>58.86</v>
      </c>
      <c r="D1519" s="1">
        <f>IFERROR(__xludf.DUMMYFUNCTION("""COMPUTED_VALUE"""),58.42)</f>
        <v>58.42</v>
      </c>
      <c r="E1519" s="1">
        <f>IFERROR(__xludf.DUMMYFUNCTION("""COMPUTED_VALUE"""),58.65)</f>
        <v>58.65</v>
      </c>
      <c r="F1519" s="1">
        <f>IFERROR(__xludf.DUMMYFUNCTION("""COMPUTED_VALUE"""),5299200.0)</f>
        <v>5299200</v>
      </c>
    </row>
    <row r="1520">
      <c r="A1520" s="2">
        <f>IFERROR(__xludf.DUMMYFUNCTION("""COMPUTED_VALUE"""),38735.666666666664)</f>
        <v>38735.66667</v>
      </c>
      <c r="B1520" s="1">
        <f>IFERROR(__xludf.DUMMYFUNCTION("""COMPUTED_VALUE"""),58.5)</f>
        <v>58.5</v>
      </c>
      <c r="C1520" s="1">
        <f>IFERROR(__xludf.DUMMYFUNCTION("""COMPUTED_VALUE"""),58.75)</f>
        <v>58.75</v>
      </c>
      <c r="D1520" s="1">
        <f>IFERROR(__xludf.DUMMYFUNCTION("""COMPUTED_VALUE"""),58.37)</f>
        <v>58.37</v>
      </c>
      <c r="E1520" s="1">
        <f>IFERROR(__xludf.DUMMYFUNCTION("""COMPUTED_VALUE"""),58.67)</f>
        <v>58.67</v>
      </c>
      <c r="F1520" s="1">
        <f>IFERROR(__xludf.DUMMYFUNCTION("""COMPUTED_VALUE"""),6688900.0)</f>
        <v>6688900</v>
      </c>
    </row>
    <row r="1521">
      <c r="A1521" s="2">
        <f>IFERROR(__xludf.DUMMYFUNCTION("""COMPUTED_VALUE"""),38736.666666666664)</f>
        <v>38736.66667</v>
      </c>
      <c r="B1521" s="1">
        <f>IFERROR(__xludf.DUMMYFUNCTION("""COMPUTED_VALUE"""),58.0)</f>
        <v>58</v>
      </c>
      <c r="C1521" s="1">
        <f>IFERROR(__xludf.DUMMYFUNCTION("""COMPUTED_VALUE"""),58.88)</f>
        <v>58.88</v>
      </c>
      <c r="D1521" s="1">
        <f>IFERROR(__xludf.DUMMYFUNCTION("""COMPUTED_VALUE"""),58.0)</f>
        <v>58</v>
      </c>
      <c r="E1521" s="1">
        <f>IFERROR(__xludf.DUMMYFUNCTION("""COMPUTED_VALUE"""),58.51)</f>
        <v>58.51</v>
      </c>
      <c r="F1521" s="1">
        <f>IFERROR(__xludf.DUMMYFUNCTION("""COMPUTED_VALUE"""),8067300.0)</f>
        <v>8067300</v>
      </c>
    </row>
    <row r="1522">
      <c r="A1522" s="2">
        <f>IFERROR(__xludf.DUMMYFUNCTION("""COMPUTED_VALUE"""),38737.666666666664)</f>
        <v>38737.66667</v>
      </c>
      <c r="B1522" s="1">
        <f>IFERROR(__xludf.DUMMYFUNCTION("""COMPUTED_VALUE"""),58.51)</f>
        <v>58.51</v>
      </c>
      <c r="C1522" s="1">
        <f>IFERROR(__xludf.DUMMYFUNCTION("""COMPUTED_VALUE"""),58.56)</f>
        <v>58.56</v>
      </c>
      <c r="D1522" s="1">
        <f>IFERROR(__xludf.DUMMYFUNCTION("""COMPUTED_VALUE"""),57.79)</f>
        <v>57.79</v>
      </c>
      <c r="E1522" s="1">
        <f>IFERROR(__xludf.DUMMYFUNCTION("""COMPUTED_VALUE"""),57.84)</f>
        <v>57.84</v>
      </c>
      <c r="F1522" s="1">
        <f>IFERROR(__xludf.DUMMYFUNCTION("""COMPUTED_VALUE"""),1.04934E7)</f>
        <v>10493400</v>
      </c>
    </row>
    <row r="1523">
      <c r="A1523" s="2">
        <f>IFERROR(__xludf.DUMMYFUNCTION("""COMPUTED_VALUE"""),38740.666666666664)</f>
        <v>38740.66667</v>
      </c>
      <c r="B1523" s="1">
        <f>IFERROR(__xludf.DUMMYFUNCTION("""COMPUTED_VALUE"""),57.84)</f>
        <v>57.84</v>
      </c>
      <c r="C1523" s="1">
        <f>IFERROR(__xludf.DUMMYFUNCTION("""COMPUTED_VALUE"""),58.26)</f>
        <v>58.26</v>
      </c>
      <c r="D1523" s="1">
        <f>IFERROR(__xludf.DUMMYFUNCTION("""COMPUTED_VALUE"""),57.64)</f>
        <v>57.64</v>
      </c>
      <c r="E1523" s="1">
        <f>IFERROR(__xludf.DUMMYFUNCTION("""COMPUTED_VALUE"""),57.64)</f>
        <v>57.64</v>
      </c>
      <c r="F1523" s="1">
        <f>IFERROR(__xludf.DUMMYFUNCTION("""COMPUTED_VALUE"""),9437800.0)</f>
        <v>9437800</v>
      </c>
    </row>
    <row r="1524">
      <c r="A1524" s="2">
        <f>IFERROR(__xludf.DUMMYFUNCTION("""COMPUTED_VALUE"""),38741.666666666664)</f>
        <v>38741.66667</v>
      </c>
      <c r="B1524" s="1">
        <f>IFERROR(__xludf.DUMMYFUNCTION("""COMPUTED_VALUE"""),58.0)</f>
        <v>58</v>
      </c>
      <c r="C1524" s="1">
        <f>IFERROR(__xludf.DUMMYFUNCTION("""COMPUTED_VALUE"""),58.16)</f>
        <v>58.16</v>
      </c>
      <c r="D1524" s="1">
        <f>IFERROR(__xludf.DUMMYFUNCTION("""COMPUTED_VALUE"""),57.29)</f>
        <v>57.29</v>
      </c>
      <c r="E1524" s="1">
        <f>IFERROR(__xludf.DUMMYFUNCTION("""COMPUTED_VALUE"""),57.87)</f>
        <v>57.87</v>
      </c>
      <c r="F1524" s="1">
        <f>IFERROR(__xludf.DUMMYFUNCTION("""COMPUTED_VALUE"""),8163500.0)</f>
        <v>8163500</v>
      </c>
    </row>
    <row r="1525">
      <c r="A1525" s="2">
        <f>IFERROR(__xludf.DUMMYFUNCTION("""COMPUTED_VALUE"""),38742.666666666664)</f>
        <v>38742.66667</v>
      </c>
      <c r="B1525" s="1">
        <f>IFERROR(__xludf.DUMMYFUNCTION("""COMPUTED_VALUE"""),58.1)</f>
        <v>58.1</v>
      </c>
      <c r="C1525" s="1">
        <f>IFERROR(__xludf.DUMMYFUNCTION("""COMPUTED_VALUE"""),58.47)</f>
        <v>58.47</v>
      </c>
      <c r="D1525" s="1">
        <f>IFERROR(__xludf.DUMMYFUNCTION("""COMPUTED_VALUE"""),57.83)</f>
        <v>57.83</v>
      </c>
      <c r="E1525" s="1">
        <f>IFERROR(__xludf.DUMMYFUNCTION("""COMPUTED_VALUE"""),58.47)</f>
        <v>58.47</v>
      </c>
      <c r="F1525" s="1">
        <f>IFERROR(__xludf.DUMMYFUNCTION("""COMPUTED_VALUE"""),8932300.0)</f>
        <v>8932300</v>
      </c>
    </row>
    <row r="1526">
      <c r="A1526" s="2">
        <f>IFERROR(__xludf.DUMMYFUNCTION("""COMPUTED_VALUE"""),38743.666666666664)</f>
        <v>38743.66667</v>
      </c>
      <c r="B1526" s="1">
        <f>IFERROR(__xludf.DUMMYFUNCTION("""COMPUTED_VALUE"""),58.75)</f>
        <v>58.75</v>
      </c>
      <c r="C1526" s="1">
        <f>IFERROR(__xludf.DUMMYFUNCTION("""COMPUTED_VALUE"""),59.0)</f>
        <v>59</v>
      </c>
      <c r="D1526" s="1">
        <f>IFERROR(__xludf.DUMMYFUNCTION("""COMPUTED_VALUE"""),58.59)</f>
        <v>58.59</v>
      </c>
      <c r="E1526" s="1">
        <f>IFERROR(__xludf.DUMMYFUNCTION("""COMPUTED_VALUE"""),58.82)</f>
        <v>58.82</v>
      </c>
      <c r="F1526" s="1">
        <f>IFERROR(__xludf.DUMMYFUNCTION("""COMPUTED_VALUE"""),7007000.0)</f>
        <v>7007000</v>
      </c>
    </row>
    <row r="1527">
      <c r="A1527" s="2">
        <f>IFERROR(__xludf.DUMMYFUNCTION("""COMPUTED_VALUE"""),38744.666666666664)</f>
        <v>38744.66667</v>
      </c>
      <c r="B1527" s="1">
        <f>IFERROR(__xludf.DUMMYFUNCTION("""COMPUTED_VALUE"""),59.4)</f>
        <v>59.4</v>
      </c>
      <c r="C1527" s="1">
        <f>IFERROR(__xludf.DUMMYFUNCTION("""COMPUTED_VALUE"""),59.8)</f>
        <v>59.8</v>
      </c>
      <c r="D1527" s="1">
        <f>IFERROR(__xludf.DUMMYFUNCTION("""COMPUTED_VALUE"""),59.05)</f>
        <v>59.05</v>
      </c>
      <c r="E1527" s="1">
        <f>IFERROR(__xludf.DUMMYFUNCTION("""COMPUTED_VALUE"""),59.74)</f>
        <v>59.74</v>
      </c>
      <c r="F1527" s="1">
        <f>IFERROR(__xludf.DUMMYFUNCTION("""COMPUTED_VALUE"""),1.17479E7)</f>
        <v>11747900</v>
      </c>
    </row>
    <row r="1528">
      <c r="A1528" s="2">
        <f>IFERROR(__xludf.DUMMYFUNCTION("""COMPUTED_VALUE"""),38747.666666666664)</f>
        <v>38747.66667</v>
      </c>
      <c r="B1528" s="1">
        <f>IFERROR(__xludf.DUMMYFUNCTION("""COMPUTED_VALUE"""),59.13)</f>
        <v>59.13</v>
      </c>
      <c r="C1528" s="1">
        <f>IFERROR(__xludf.DUMMYFUNCTION("""COMPUTED_VALUE"""),59.7)</f>
        <v>59.7</v>
      </c>
      <c r="D1528" s="1">
        <f>IFERROR(__xludf.DUMMYFUNCTION("""COMPUTED_VALUE"""),58.95)</f>
        <v>58.95</v>
      </c>
      <c r="E1528" s="1">
        <f>IFERROR(__xludf.DUMMYFUNCTION("""COMPUTED_VALUE"""),59.14)</f>
        <v>59.14</v>
      </c>
      <c r="F1528" s="1">
        <f>IFERROR(__xludf.DUMMYFUNCTION("""COMPUTED_VALUE"""),7909700.0)</f>
        <v>7909700</v>
      </c>
    </row>
    <row r="1529">
      <c r="A1529" s="2">
        <f>IFERROR(__xludf.DUMMYFUNCTION("""COMPUTED_VALUE"""),38748.666666666664)</f>
        <v>38748.66667</v>
      </c>
      <c r="B1529" s="1">
        <f>IFERROR(__xludf.DUMMYFUNCTION("""COMPUTED_VALUE"""),58.95)</f>
        <v>58.95</v>
      </c>
      <c r="C1529" s="1">
        <f>IFERROR(__xludf.DUMMYFUNCTION("""COMPUTED_VALUE"""),59.35)</f>
        <v>59.35</v>
      </c>
      <c r="D1529" s="1">
        <f>IFERROR(__xludf.DUMMYFUNCTION("""COMPUTED_VALUE"""),58.89)</f>
        <v>58.89</v>
      </c>
      <c r="E1529" s="1">
        <f>IFERROR(__xludf.DUMMYFUNCTION("""COMPUTED_VALUE"""),59.23)</f>
        <v>59.23</v>
      </c>
      <c r="F1529" s="1">
        <f>IFERROR(__xludf.DUMMYFUNCTION("""COMPUTED_VALUE"""),1.03476E7)</f>
        <v>10347600</v>
      </c>
    </row>
    <row r="1530">
      <c r="A1530" s="2">
        <f>IFERROR(__xludf.DUMMYFUNCTION("""COMPUTED_VALUE"""),38749.666666666664)</f>
        <v>38749.66667</v>
      </c>
      <c r="B1530" s="1">
        <f>IFERROR(__xludf.DUMMYFUNCTION("""COMPUTED_VALUE"""),59.1)</f>
        <v>59.1</v>
      </c>
      <c r="C1530" s="1">
        <f>IFERROR(__xludf.DUMMYFUNCTION("""COMPUTED_VALUE"""),60.02)</f>
        <v>60.02</v>
      </c>
      <c r="D1530" s="1">
        <f>IFERROR(__xludf.DUMMYFUNCTION("""COMPUTED_VALUE"""),59.06)</f>
        <v>59.06</v>
      </c>
      <c r="E1530" s="1">
        <f>IFERROR(__xludf.DUMMYFUNCTION("""COMPUTED_VALUE"""),59.82)</f>
        <v>59.82</v>
      </c>
      <c r="F1530" s="1">
        <f>IFERROR(__xludf.DUMMYFUNCTION("""COMPUTED_VALUE"""),1.08299E7)</f>
        <v>10829900</v>
      </c>
    </row>
    <row r="1531">
      <c r="A1531" s="2">
        <f>IFERROR(__xludf.DUMMYFUNCTION("""COMPUTED_VALUE"""),38750.666666666664)</f>
        <v>38750.66667</v>
      </c>
      <c r="B1531" s="1">
        <f>IFERROR(__xludf.DUMMYFUNCTION("""COMPUTED_VALUE"""),59.74)</f>
        <v>59.74</v>
      </c>
      <c r="C1531" s="1">
        <f>IFERROR(__xludf.DUMMYFUNCTION("""COMPUTED_VALUE"""),60.15)</f>
        <v>60.15</v>
      </c>
      <c r="D1531" s="1">
        <f>IFERROR(__xludf.DUMMYFUNCTION("""COMPUTED_VALUE"""),59.64)</f>
        <v>59.64</v>
      </c>
      <c r="E1531" s="1">
        <f>IFERROR(__xludf.DUMMYFUNCTION("""COMPUTED_VALUE"""),59.65)</f>
        <v>59.65</v>
      </c>
      <c r="F1531" s="1">
        <f>IFERROR(__xludf.DUMMYFUNCTION("""COMPUTED_VALUE"""),9759100.0)</f>
        <v>9759100</v>
      </c>
    </row>
    <row r="1532">
      <c r="A1532" s="2">
        <f>IFERROR(__xludf.DUMMYFUNCTION("""COMPUTED_VALUE"""),38751.666666666664)</f>
        <v>38751.66667</v>
      </c>
      <c r="B1532" s="1">
        <f>IFERROR(__xludf.DUMMYFUNCTION("""COMPUTED_VALUE"""),59.39)</f>
        <v>59.39</v>
      </c>
      <c r="C1532" s="1">
        <f>IFERROR(__xludf.DUMMYFUNCTION("""COMPUTED_VALUE"""),60.05)</f>
        <v>60.05</v>
      </c>
      <c r="D1532" s="1">
        <f>IFERROR(__xludf.DUMMYFUNCTION("""COMPUTED_VALUE"""),59.32)</f>
        <v>59.32</v>
      </c>
      <c r="E1532" s="1">
        <f>IFERROR(__xludf.DUMMYFUNCTION("""COMPUTED_VALUE"""),59.68)</f>
        <v>59.68</v>
      </c>
      <c r="F1532" s="1">
        <f>IFERROR(__xludf.DUMMYFUNCTION("""COMPUTED_VALUE"""),7816700.0)</f>
        <v>7816700</v>
      </c>
    </row>
    <row r="1533">
      <c r="A1533" s="2">
        <f>IFERROR(__xludf.DUMMYFUNCTION("""COMPUTED_VALUE"""),38754.666666666664)</f>
        <v>38754.66667</v>
      </c>
      <c r="B1533" s="1">
        <f>IFERROR(__xludf.DUMMYFUNCTION("""COMPUTED_VALUE"""),59.58)</f>
        <v>59.58</v>
      </c>
      <c r="C1533" s="1">
        <f>IFERROR(__xludf.DUMMYFUNCTION("""COMPUTED_VALUE"""),59.9)</f>
        <v>59.9</v>
      </c>
      <c r="D1533" s="1">
        <f>IFERROR(__xludf.DUMMYFUNCTION("""COMPUTED_VALUE"""),59.1)</f>
        <v>59.1</v>
      </c>
      <c r="E1533" s="1">
        <f>IFERROR(__xludf.DUMMYFUNCTION("""COMPUTED_VALUE"""),59.79)</f>
        <v>59.79</v>
      </c>
      <c r="F1533" s="1">
        <f>IFERROR(__xludf.DUMMYFUNCTION("""COMPUTED_VALUE"""),4998800.0)</f>
        <v>4998800</v>
      </c>
    </row>
    <row r="1534">
      <c r="A1534" s="2">
        <f>IFERROR(__xludf.DUMMYFUNCTION("""COMPUTED_VALUE"""),38755.666666666664)</f>
        <v>38755.66667</v>
      </c>
      <c r="B1534" s="1">
        <f>IFERROR(__xludf.DUMMYFUNCTION("""COMPUTED_VALUE"""),59.47)</f>
        <v>59.47</v>
      </c>
      <c r="C1534" s="1">
        <f>IFERROR(__xludf.DUMMYFUNCTION("""COMPUTED_VALUE"""),59.81)</f>
        <v>59.81</v>
      </c>
      <c r="D1534" s="1">
        <f>IFERROR(__xludf.DUMMYFUNCTION("""COMPUTED_VALUE"""),59.11)</f>
        <v>59.11</v>
      </c>
      <c r="E1534" s="1">
        <f>IFERROR(__xludf.DUMMYFUNCTION("""COMPUTED_VALUE"""),59.32)</f>
        <v>59.32</v>
      </c>
      <c r="F1534" s="1">
        <f>IFERROR(__xludf.DUMMYFUNCTION("""COMPUTED_VALUE"""),6405700.0)</f>
        <v>6405700</v>
      </c>
    </row>
    <row r="1535">
      <c r="A1535" s="2">
        <f>IFERROR(__xludf.DUMMYFUNCTION("""COMPUTED_VALUE"""),38756.666666666664)</f>
        <v>38756.66667</v>
      </c>
      <c r="B1535" s="1">
        <f>IFERROR(__xludf.DUMMYFUNCTION("""COMPUTED_VALUE"""),59.4)</f>
        <v>59.4</v>
      </c>
      <c r="C1535" s="1">
        <f>IFERROR(__xludf.DUMMYFUNCTION("""COMPUTED_VALUE"""),59.8)</f>
        <v>59.8</v>
      </c>
      <c r="D1535" s="1">
        <f>IFERROR(__xludf.DUMMYFUNCTION("""COMPUTED_VALUE"""),59.23)</f>
        <v>59.23</v>
      </c>
      <c r="E1535" s="1">
        <f>IFERROR(__xludf.DUMMYFUNCTION("""COMPUTED_VALUE"""),59.47)</f>
        <v>59.47</v>
      </c>
      <c r="F1535" s="1">
        <f>IFERROR(__xludf.DUMMYFUNCTION("""COMPUTED_VALUE"""),7338000.0)</f>
        <v>7338000</v>
      </c>
    </row>
    <row r="1536">
      <c r="A1536" s="2">
        <f>IFERROR(__xludf.DUMMYFUNCTION("""COMPUTED_VALUE"""),38757.666666666664)</f>
        <v>38757.66667</v>
      </c>
      <c r="B1536" s="1">
        <f>IFERROR(__xludf.DUMMYFUNCTION("""COMPUTED_VALUE"""),59.46)</f>
        <v>59.46</v>
      </c>
      <c r="C1536" s="1">
        <f>IFERROR(__xludf.DUMMYFUNCTION("""COMPUTED_VALUE"""),59.85)</f>
        <v>59.85</v>
      </c>
      <c r="D1536" s="1">
        <f>IFERROR(__xludf.DUMMYFUNCTION("""COMPUTED_VALUE"""),59.32)</f>
        <v>59.32</v>
      </c>
      <c r="E1536" s="1">
        <f>IFERROR(__xludf.DUMMYFUNCTION("""COMPUTED_VALUE"""),59.62)</f>
        <v>59.62</v>
      </c>
      <c r="F1536" s="1">
        <f>IFERROR(__xludf.DUMMYFUNCTION("""COMPUTED_VALUE"""),6242200.0)</f>
        <v>6242200</v>
      </c>
    </row>
    <row r="1537">
      <c r="A1537" s="2">
        <f>IFERROR(__xludf.DUMMYFUNCTION("""COMPUTED_VALUE"""),38758.666666666664)</f>
        <v>38758.66667</v>
      </c>
      <c r="B1537" s="1">
        <f>IFERROR(__xludf.DUMMYFUNCTION("""COMPUTED_VALUE"""),59.63)</f>
        <v>59.63</v>
      </c>
      <c r="C1537" s="1">
        <f>IFERROR(__xludf.DUMMYFUNCTION("""COMPUTED_VALUE"""),59.79)</f>
        <v>59.79</v>
      </c>
      <c r="D1537" s="1">
        <f>IFERROR(__xludf.DUMMYFUNCTION("""COMPUTED_VALUE"""),59.46)</f>
        <v>59.46</v>
      </c>
      <c r="E1537" s="1">
        <f>IFERROR(__xludf.DUMMYFUNCTION("""COMPUTED_VALUE"""),59.7)</f>
        <v>59.7</v>
      </c>
      <c r="F1537" s="1">
        <f>IFERROR(__xludf.DUMMYFUNCTION("""COMPUTED_VALUE"""),5804900.0)</f>
        <v>5804900</v>
      </c>
    </row>
    <row r="1538">
      <c r="A1538" s="2">
        <f>IFERROR(__xludf.DUMMYFUNCTION("""COMPUTED_VALUE"""),38761.666666666664)</f>
        <v>38761.66667</v>
      </c>
      <c r="B1538" s="1">
        <f>IFERROR(__xludf.DUMMYFUNCTION("""COMPUTED_VALUE"""),59.58)</f>
        <v>59.58</v>
      </c>
      <c r="C1538" s="1">
        <f>IFERROR(__xludf.DUMMYFUNCTION("""COMPUTED_VALUE"""),59.67)</f>
        <v>59.67</v>
      </c>
      <c r="D1538" s="1">
        <f>IFERROR(__xludf.DUMMYFUNCTION("""COMPUTED_VALUE"""),59.27)</f>
        <v>59.27</v>
      </c>
      <c r="E1538" s="1">
        <f>IFERROR(__xludf.DUMMYFUNCTION("""COMPUTED_VALUE"""),59.44)</f>
        <v>59.44</v>
      </c>
      <c r="F1538" s="1">
        <f>IFERROR(__xludf.DUMMYFUNCTION("""COMPUTED_VALUE"""),5198600.0)</f>
        <v>5198600</v>
      </c>
    </row>
    <row r="1539">
      <c r="A1539" s="2">
        <f>IFERROR(__xludf.DUMMYFUNCTION("""COMPUTED_VALUE"""),38762.666666666664)</f>
        <v>38762.66667</v>
      </c>
      <c r="B1539" s="1">
        <f>IFERROR(__xludf.DUMMYFUNCTION("""COMPUTED_VALUE"""),59.55)</f>
        <v>59.55</v>
      </c>
      <c r="C1539" s="1">
        <f>IFERROR(__xludf.DUMMYFUNCTION("""COMPUTED_VALUE"""),60.0)</f>
        <v>60</v>
      </c>
      <c r="D1539" s="1">
        <f>IFERROR(__xludf.DUMMYFUNCTION("""COMPUTED_VALUE"""),59.48)</f>
        <v>59.48</v>
      </c>
      <c r="E1539" s="1">
        <f>IFERROR(__xludf.DUMMYFUNCTION("""COMPUTED_VALUE"""),59.84)</f>
        <v>59.84</v>
      </c>
      <c r="F1539" s="1">
        <f>IFERROR(__xludf.DUMMYFUNCTION("""COMPUTED_VALUE"""),7923000.0)</f>
        <v>7923000</v>
      </c>
    </row>
    <row r="1540">
      <c r="A1540" s="2">
        <f>IFERROR(__xludf.DUMMYFUNCTION("""COMPUTED_VALUE"""),38763.666666666664)</f>
        <v>38763.66667</v>
      </c>
      <c r="B1540" s="1">
        <f>IFERROR(__xludf.DUMMYFUNCTION("""COMPUTED_VALUE"""),59.75)</f>
        <v>59.75</v>
      </c>
      <c r="C1540" s="1">
        <f>IFERROR(__xludf.DUMMYFUNCTION("""COMPUTED_VALUE"""),60.25)</f>
        <v>60.25</v>
      </c>
      <c r="D1540" s="1">
        <f>IFERROR(__xludf.DUMMYFUNCTION("""COMPUTED_VALUE"""),59.71)</f>
        <v>59.71</v>
      </c>
      <c r="E1540" s="1">
        <f>IFERROR(__xludf.DUMMYFUNCTION("""COMPUTED_VALUE"""),60.11)</f>
        <v>60.11</v>
      </c>
      <c r="F1540" s="1">
        <f>IFERROR(__xludf.DUMMYFUNCTION("""COMPUTED_VALUE"""),8575200.0)</f>
        <v>8575200</v>
      </c>
    </row>
    <row r="1541">
      <c r="A1541" s="2">
        <f>IFERROR(__xludf.DUMMYFUNCTION("""COMPUTED_VALUE"""),38764.666666666664)</f>
        <v>38764.66667</v>
      </c>
      <c r="B1541" s="1">
        <f>IFERROR(__xludf.DUMMYFUNCTION("""COMPUTED_VALUE"""),60.02)</f>
        <v>60.02</v>
      </c>
      <c r="C1541" s="1">
        <f>IFERROR(__xludf.DUMMYFUNCTION("""COMPUTED_VALUE"""),60.83)</f>
        <v>60.83</v>
      </c>
      <c r="D1541" s="1">
        <f>IFERROR(__xludf.DUMMYFUNCTION("""COMPUTED_VALUE"""),60.01)</f>
        <v>60.01</v>
      </c>
      <c r="E1541" s="1">
        <f>IFERROR(__xludf.DUMMYFUNCTION("""COMPUTED_VALUE"""),60.73)</f>
        <v>60.73</v>
      </c>
      <c r="F1541" s="1">
        <f>IFERROR(__xludf.DUMMYFUNCTION("""COMPUTED_VALUE"""),6998200.0)</f>
        <v>6998200</v>
      </c>
    </row>
    <row r="1542">
      <c r="A1542" s="2">
        <f>IFERROR(__xludf.DUMMYFUNCTION("""COMPUTED_VALUE"""),38765.666666666664)</f>
        <v>38765.66667</v>
      </c>
      <c r="B1542" s="1">
        <f>IFERROR(__xludf.DUMMYFUNCTION("""COMPUTED_VALUE"""),60.59)</f>
        <v>60.59</v>
      </c>
      <c r="C1542" s="1">
        <f>IFERROR(__xludf.DUMMYFUNCTION("""COMPUTED_VALUE"""),61.03)</f>
        <v>61.03</v>
      </c>
      <c r="D1542" s="1">
        <f>IFERROR(__xludf.DUMMYFUNCTION("""COMPUTED_VALUE"""),60.42)</f>
        <v>60.42</v>
      </c>
      <c r="E1542" s="1">
        <f>IFERROR(__xludf.DUMMYFUNCTION("""COMPUTED_VALUE"""),61.0)</f>
        <v>61</v>
      </c>
      <c r="F1542" s="1">
        <f>IFERROR(__xludf.DUMMYFUNCTION("""COMPUTED_VALUE"""),9137500.0)</f>
        <v>9137500</v>
      </c>
    </row>
    <row r="1543">
      <c r="A1543" s="2">
        <f>IFERROR(__xludf.DUMMYFUNCTION("""COMPUTED_VALUE"""),38769.666666666664)</f>
        <v>38769.66667</v>
      </c>
      <c r="B1543" s="1">
        <f>IFERROR(__xludf.DUMMYFUNCTION("""COMPUTED_VALUE"""),60.88)</f>
        <v>60.88</v>
      </c>
      <c r="C1543" s="1">
        <f>IFERROR(__xludf.DUMMYFUNCTION("""COMPUTED_VALUE"""),61.0)</f>
        <v>61</v>
      </c>
      <c r="D1543" s="1">
        <f>IFERROR(__xludf.DUMMYFUNCTION("""COMPUTED_VALUE"""),60.69)</f>
        <v>60.69</v>
      </c>
      <c r="E1543" s="1">
        <f>IFERROR(__xludf.DUMMYFUNCTION("""COMPUTED_VALUE"""),60.88)</f>
        <v>60.88</v>
      </c>
      <c r="F1543" s="1">
        <f>IFERROR(__xludf.DUMMYFUNCTION("""COMPUTED_VALUE"""),6770600.0)</f>
        <v>6770600</v>
      </c>
    </row>
    <row r="1544">
      <c r="A1544" s="2">
        <f>IFERROR(__xludf.DUMMYFUNCTION("""COMPUTED_VALUE"""),38770.666666666664)</f>
        <v>38770.66667</v>
      </c>
      <c r="B1544" s="1">
        <f>IFERROR(__xludf.DUMMYFUNCTION("""COMPUTED_VALUE"""),61.0)</f>
        <v>61</v>
      </c>
      <c r="C1544" s="1">
        <f>IFERROR(__xludf.DUMMYFUNCTION("""COMPUTED_VALUE"""),62.0)</f>
        <v>62</v>
      </c>
      <c r="D1544" s="1">
        <f>IFERROR(__xludf.DUMMYFUNCTION("""COMPUTED_VALUE"""),60.98)</f>
        <v>60.98</v>
      </c>
      <c r="E1544" s="1">
        <f>IFERROR(__xludf.DUMMYFUNCTION("""COMPUTED_VALUE"""),61.94)</f>
        <v>61.94</v>
      </c>
      <c r="F1544" s="1">
        <f>IFERROR(__xludf.DUMMYFUNCTION("""COMPUTED_VALUE"""),9974000.0)</f>
        <v>9974000</v>
      </c>
    </row>
    <row r="1545">
      <c r="A1545" s="2">
        <f>IFERROR(__xludf.DUMMYFUNCTION("""COMPUTED_VALUE"""),38771.666666666664)</f>
        <v>38771.66667</v>
      </c>
      <c r="B1545" s="1">
        <f>IFERROR(__xludf.DUMMYFUNCTION("""COMPUTED_VALUE"""),61.85)</f>
        <v>61.85</v>
      </c>
      <c r="C1545" s="1">
        <f>IFERROR(__xludf.DUMMYFUNCTION("""COMPUTED_VALUE"""),62.09)</f>
        <v>62.09</v>
      </c>
      <c r="D1545" s="1">
        <f>IFERROR(__xludf.DUMMYFUNCTION("""COMPUTED_VALUE"""),61.39)</f>
        <v>61.39</v>
      </c>
      <c r="E1545" s="1">
        <f>IFERROR(__xludf.DUMMYFUNCTION("""COMPUTED_VALUE"""),61.48)</f>
        <v>61.48</v>
      </c>
      <c r="F1545" s="1">
        <f>IFERROR(__xludf.DUMMYFUNCTION("""COMPUTED_VALUE"""),7110800.0)</f>
        <v>7110800</v>
      </c>
    </row>
    <row r="1546">
      <c r="A1546" s="2">
        <f>IFERROR(__xludf.DUMMYFUNCTION("""COMPUTED_VALUE"""),38772.666666666664)</f>
        <v>38772.66667</v>
      </c>
      <c r="B1546" s="1">
        <f>IFERROR(__xludf.DUMMYFUNCTION("""COMPUTED_VALUE"""),61.32)</f>
        <v>61.32</v>
      </c>
      <c r="C1546" s="1">
        <f>IFERROR(__xludf.DUMMYFUNCTION("""COMPUTED_VALUE"""),61.73)</f>
        <v>61.73</v>
      </c>
      <c r="D1546" s="1">
        <f>IFERROR(__xludf.DUMMYFUNCTION("""COMPUTED_VALUE"""),61.06)</f>
        <v>61.06</v>
      </c>
      <c r="E1546" s="1">
        <f>IFERROR(__xludf.DUMMYFUNCTION("""COMPUTED_VALUE"""),61.5)</f>
        <v>61.5</v>
      </c>
      <c r="F1546" s="1">
        <f>IFERROR(__xludf.DUMMYFUNCTION("""COMPUTED_VALUE"""),5610800.0)</f>
        <v>5610800</v>
      </c>
    </row>
    <row r="1547">
      <c r="A1547" s="2">
        <f>IFERROR(__xludf.DUMMYFUNCTION("""COMPUTED_VALUE"""),38775.666666666664)</f>
        <v>38775.66667</v>
      </c>
      <c r="B1547" s="1">
        <f>IFERROR(__xludf.DUMMYFUNCTION("""COMPUTED_VALUE"""),61.68)</f>
        <v>61.68</v>
      </c>
      <c r="C1547" s="1">
        <f>IFERROR(__xludf.DUMMYFUNCTION("""COMPUTED_VALUE"""),61.89)</f>
        <v>61.89</v>
      </c>
      <c r="D1547" s="1">
        <f>IFERROR(__xludf.DUMMYFUNCTION("""COMPUTED_VALUE"""),61.35)</f>
        <v>61.35</v>
      </c>
      <c r="E1547" s="1">
        <f>IFERROR(__xludf.DUMMYFUNCTION("""COMPUTED_VALUE"""),61.35)</f>
        <v>61.35</v>
      </c>
      <c r="F1547" s="1">
        <f>IFERROR(__xludf.DUMMYFUNCTION("""COMPUTED_VALUE"""),6723400.0)</f>
        <v>6723400</v>
      </c>
    </row>
    <row r="1548">
      <c r="A1548" s="2">
        <f>IFERROR(__xludf.DUMMYFUNCTION("""COMPUTED_VALUE"""),38776.666666666664)</f>
        <v>38776.66667</v>
      </c>
      <c r="B1548" s="1">
        <f>IFERROR(__xludf.DUMMYFUNCTION("""COMPUTED_VALUE"""),61.0)</f>
        <v>61</v>
      </c>
      <c r="C1548" s="1">
        <f>IFERROR(__xludf.DUMMYFUNCTION("""COMPUTED_VALUE"""),61.21)</f>
        <v>61.21</v>
      </c>
      <c r="D1548" s="1">
        <f>IFERROR(__xludf.DUMMYFUNCTION("""COMPUTED_VALUE"""),59.85)</f>
        <v>59.85</v>
      </c>
      <c r="E1548" s="1">
        <f>IFERROR(__xludf.DUMMYFUNCTION("""COMPUTED_VALUE"""),59.93)</f>
        <v>59.93</v>
      </c>
      <c r="F1548" s="1">
        <f>IFERROR(__xludf.DUMMYFUNCTION("""COMPUTED_VALUE"""),1.44674E7)</f>
        <v>14467400</v>
      </c>
    </row>
    <row r="1549">
      <c r="A1549" s="2">
        <f>IFERROR(__xludf.DUMMYFUNCTION("""COMPUTED_VALUE"""),38777.666666666664)</f>
        <v>38777.66667</v>
      </c>
      <c r="B1549" s="1">
        <f>IFERROR(__xludf.DUMMYFUNCTION("""COMPUTED_VALUE"""),60.11)</f>
        <v>60.11</v>
      </c>
      <c r="C1549" s="1">
        <f>IFERROR(__xludf.DUMMYFUNCTION("""COMPUTED_VALUE"""),60.46)</f>
        <v>60.46</v>
      </c>
      <c r="D1549" s="1">
        <f>IFERROR(__xludf.DUMMYFUNCTION("""COMPUTED_VALUE"""),60.02)</f>
        <v>60.02</v>
      </c>
      <c r="E1549" s="1">
        <f>IFERROR(__xludf.DUMMYFUNCTION("""COMPUTED_VALUE"""),60.11)</f>
        <v>60.11</v>
      </c>
      <c r="F1549" s="1">
        <f>IFERROR(__xludf.DUMMYFUNCTION("""COMPUTED_VALUE"""),9218800.0)</f>
        <v>9218800</v>
      </c>
    </row>
    <row r="1550">
      <c r="A1550" s="2">
        <f>IFERROR(__xludf.DUMMYFUNCTION("""COMPUTED_VALUE"""),38778.666666666664)</f>
        <v>38778.66667</v>
      </c>
      <c r="B1550" s="1">
        <f>IFERROR(__xludf.DUMMYFUNCTION("""COMPUTED_VALUE"""),59.99)</f>
        <v>59.99</v>
      </c>
      <c r="C1550" s="1">
        <f>IFERROR(__xludf.DUMMYFUNCTION("""COMPUTED_VALUE"""),60.02)</f>
        <v>60.02</v>
      </c>
      <c r="D1550" s="1">
        <f>IFERROR(__xludf.DUMMYFUNCTION("""COMPUTED_VALUE"""),59.36)</f>
        <v>59.36</v>
      </c>
      <c r="E1550" s="1">
        <f>IFERROR(__xludf.DUMMYFUNCTION("""COMPUTED_VALUE"""),59.55)</f>
        <v>59.55</v>
      </c>
      <c r="F1550" s="1">
        <f>IFERROR(__xludf.DUMMYFUNCTION("""COMPUTED_VALUE"""),1.08768E7)</f>
        <v>10876800</v>
      </c>
    </row>
    <row r="1551">
      <c r="A1551" s="2">
        <f>IFERROR(__xludf.DUMMYFUNCTION("""COMPUTED_VALUE"""),38779.666666666664)</f>
        <v>38779.66667</v>
      </c>
      <c r="B1551" s="1">
        <f>IFERROR(__xludf.DUMMYFUNCTION("""COMPUTED_VALUE"""),59.3)</f>
        <v>59.3</v>
      </c>
      <c r="C1551" s="1">
        <f>IFERROR(__xludf.DUMMYFUNCTION("""COMPUTED_VALUE"""),60.16)</f>
        <v>60.16</v>
      </c>
      <c r="D1551" s="1">
        <f>IFERROR(__xludf.DUMMYFUNCTION("""COMPUTED_VALUE"""),59.3)</f>
        <v>59.3</v>
      </c>
      <c r="E1551" s="1">
        <f>IFERROR(__xludf.DUMMYFUNCTION("""COMPUTED_VALUE"""),59.67)</f>
        <v>59.67</v>
      </c>
      <c r="F1551" s="1">
        <f>IFERROR(__xludf.DUMMYFUNCTION("""COMPUTED_VALUE"""),7800900.0)</f>
        <v>7800900</v>
      </c>
    </row>
    <row r="1552">
      <c r="A1552" s="2">
        <f>IFERROR(__xludf.DUMMYFUNCTION("""COMPUTED_VALUE"""),38782.666666666664)</f>
        <v>38782.66667</v>
      </c>
      <c r="B1552" s="1">
        <f>IFERROR(__xludf.DUMMYFUNCTION("""COMPUTED_VALUE"""),59.55)</f>
        <v>59.55</v>
      </c>
      <c r="C1552" s="1">
        <f>IFERROR(__xludf.DUMMYFUNCTION("""COMPUTED_VALUE"""),59.96)</f>
        <v>59.96</v>
      </c>
      <c r="D1552" s="1">
        <f>IFERROR(__xludf.DUMMYFUNCTION("""COMPUTED_VALUE"""),59.5)</f>
        <v>59.5</v>
      </c>
      <c r="E1552" s="1">
        <f>IFERROR(__xludf.DUMMYFUNCTION("""COMPUTED_VALUE"""),59.67)</f>
        <v>59.67</v>
      </c>
      <c r="F1552" s="1">
        <f>IFERROR(__xludf.DUMMYFUNCTION("""COMPUTED_VALUE"""),4631300.0)</f>
        <v>4631300</v>
      </c>
    </row>
    <row r="1553">
      <c r="A1553" s="2">
        <f>IFERROR(__xludf.DUMMYFUNCTION("""COMPUTED_VALUE"""),38783.666666666664)</f>
        <v>38783.66667</v>
      </c>
      <c r="B1553" s="1">
        <f>IFERROR(__xludf.DUMMYFUNCTION("""COMPUTED_VALUE"""),59.56)</f>
        <v>59.56</v>
      </c>
      <c r="C1553" s="1">
        <f>IFERROR(__xludf.DUMMYFUNCTION("""COMPUTED_VALUE"""),60.56)</f>
        <v>60.56</v>
      </c>
      <c r="D1553" s="1">
        <f>IFERROR(__xludf.DUMMYFUNCTION("""COMPUTED_VALUE"""),59.42)</f>
        <v>59.42</v>
      </c>
      <c r="E1553" s="1">
        <f>IFERROR(__xludf.DUMMYFUNCTION("""COMPUTED_VALUE"""),60.3)</f>
        <v>60.3</v>
      </c>
      <c r="F1553" s="1">
        <f>IFERROR(__xludf.DUMMYFUNCTION("""COMPUTED_VALUE"""),7366400.0)</f>
        <v>7366400</v>
      </c>
    </row>
    <row r="1554">
      <c r="A1554" s="2">
        <f>IFERROR(__xludf.DUMMYFUNCTION("""COMPUTED_VALUE"""),38784.666666666664)</f>
        <v>38784.66667</v>
      </c>
      <c r="B1554" s="1">
        <f>IFERROR(__xludf.DUMMYFUNCTION("""COMPUTED_VALUE"""),60.25)</f>
        <v>60.25</v>
      </c>
      <c r="C1554" s="1">
        <f>IFERROR(__xludf.DUMMYFUNCTION("""COMPUTED_VALUE"""),61.33)</f>
        <v>61.33</v>
      </c>
      <c r="D1554" s="1">
        <f>IFERROR(__xludf.DUMMYFUNCTION("""COMPUTED_VALUE"""),60.23)</f>
        <v>60.23</v>
      </c>
      <c r="E1554" s="1">
        <f>IFERROR(__xludf.DUMMYFUNCTION("""COMPUTED_VALUE"""),61.07)</f>
        <v>61.07</v>
      </c>
      <c r="F1554" s="1">
        <f>IFERROR(__xludf.DUMMYFUNCTION("""COMPUTED_VALUE"""),8680200.0)</f>
        <v>8680200</v>
      </c>
    </row>
    <row r="1555">
      <c r="A1555" s="2">
        <f>IFERROR(__xludf.DUMMYFUNCTION("""COMPUTED_VALUE"""),38785.666666666664)</f>
        <v>38785.66667</v>
      </c>
      <c r="B1555" s="1">
        <f>IFERROR(__xludf.DUMMYFUNCTION("""COMPUTED_VALUE"""),61.5)</f>
        <v>61.5</v>
      </c>
      <c r="C1555" s="1">
        <f>IFERROR(__xludf.DUMMYFUNCTION("""COMPUTED_VALUE"""),62.0)</f>
        <v>62</v>
      </c>
      <c r="D1555" s="1">
        <f>IFERROR(__xludf.DUMMYFUNCTION("""COMPUTED_VALUE"""),61.1)</f>
        <v>61.1</v>
      </c>
      <c r="E1555" s="1">
        <f>IFERROR(__xludf.DUMMYFUNCTION("""COMPUTED_VALUE"""),61.4)</f>
        <v>61.4</v>
      </c>
      <c r="F1555" s="1">
        <f>IFERROR(__xludf.DUMMYFUNCTION("""COMPUTED_VALUE"""),7114000.0)</f>
        <v>7114000</v>
      </c>
    </row>
    <row r="1556">
      <c r="A1556" s="2">
        <f>IFERROR(__xludf.DUMMYFUNCTION("""COMPUTED_VALUE"""),38786.666666666664)</f>
        <v>38786.66667</v>
      </c>
      <c r="B1556" s="1">
        <f>IFERROR(__xludf.DUMMYFUNCTION("""COMPUTED_VALUE"""),61.45)</f>
        <v>61.45</v>
      </c>
      <c r="C1556" s="1">
        <f>IFERROR(__xludf.DUMMYFUNCTION("""COMPUTED_VALUE"""),62.44)</f>
        <v>62.44</v>
      </c>
      <c r="D1556" s="1">
        <f>IFERROR(__xludf.DUMMYFUNCTION("""COMPUTED_VALUE"""),61.45)</f>
        <v>61.45</v>
      </c>
      <c r="E1556" s="1">
        <f>IFERROR(__xludf.DUMMYFUNCTION("""COMPUTED_VALUE"""),62.25)</f>
        <v>62.25</v>
      </c>
      <c r="F1556" s="1">
        <f>IFERROR(__xludf.DUMMYFUNCTION("""COMPUTED_VALUE"""),8507000.0)</f>
        <v>8507000</v>
      </c>
    </row>
    <row r="1557">
      <c r="A1557" s="2">
        <f>IFERROR(__xludf.DUMMYFUNCTION("""COMPUTED_VALUE"""),38789.666666666664)</f>
        <v>38789.66667</v>
      </c>
      <c r="B1557" s="1">
        <f>IFERROR(__xludf.DUMMYFUNCTION("""COMPUTED_VALUE"""),62.11)</f>
        <v>62.11</v>
      </c>
      <c r="C1557" s="1">
        <f>IFERROR(__xludf.DUMMYFUNCTION("""COMPUTED_VALUE"""),62.5)</f>
        <v>62.5</v>
      </c>
      <c r="D1557" s="1">
        <f>IFERROR(__xludf.DUMMYFUNCTION("""COMPUTED_VALUE"""),61.8)</f>
        <v>61.8</v>
      </c>
      <c r="E1557" s="1">
        <f>IFERROR(__xludf.DUMMYFUNCTION("""COMPUTED_VALUE"""),61.98)</f>
        <v>61.98</v>
      </c>
      <c r="F1557" s="1">
        <f>IFERROR(__xludf.DUMMYFUNCTION("""COMPUTED_VALUE"""),5956200.0)</f>
        <v>5956200</v>
      </c>
    </row>
    <row r="1558">
      <c r="A1558" s="2">
        <f>IFERROR(__xludf.DUMMYFUNCTION("""COMPUTED_VALUE"""),38790.666666666664)</f>
        <v>38790.66667</v>
      </c>
      <c r="B1558" s="1">
        <f>IFERROR(__xludf.DUMMYFUNCTION("""COMPUTED_VALUE"""),60.09)</f>
        <v>60.09</v>
      </c>
      <c r="C1558" s="1">
        <f>IFERROR(__xludf.DUMMYFUNCTION("""COMPUTED_VALUE"""),60.68)</f>
        <v>60.68</v>
      </c>
      <c r="D1558" s="1">
        <f>IFERROR(__xludf.DUMMYFUNCTION("""COMPUTED_VALUE"""),59.6)</f>
        <v>59.6</v>
      </c>
      <c r="E1558" s="1">
        <f>IFERROR(__xludf.DUMMYFUNCTION("""COMPUTED_VALUE"""),60.01)</f>
        <v>60.01</v>
      </c>
      <c r="F1558" s="1">
        <f>IFERROR(__xludf.DUMMYFUNCTION("""COMPUTED_VALUE"""),1.83069E7)</f>
        <v>18306900</v>
      </c>
    </row>
    <row r="1559">
      <c r="A1559" s="2">
        <f>IFERROR(__xludf.DUMMYFUNCTION("""COMPUTED_VALUE"""),38791.666666666664)</f>
        <v>38791.66667</v>
      </c>
      <c r="B1559" s="1">
        <f>IFERROR(__xludf.DUMMYFUNCTION("""COMPUTED_VALUE"""),60.49)</f>
        <v>60.49</v>
      </c>
      <c r="C1559" s="1">
        <f>IFERROR(__xludf.DUMMYFUNCTION("""COMPUTED_VALUE"""),60.51)</f>
        <v>60.51</v>
      </c>
      <c r="D1559" s="1">
        <f>IFERROR(__xludf.DUMMYFUNCTION("""COMPUTED_VALUE"""),59.77)</f>
        <v>59.77</v>
      </c>
      <c r="E1559" s="1">
        <f>IFERROR(__xludf.DUMMYFUNCTION("""COMPUTED_VALUE"""),59.9)</f>
        <v>59.9</v>
      </c>
      <c r="F1559" s="1">
        <f>IFERROR(__xludf.DUMMYFUNCTION("""COMPUTED_VALUE"""),9813700.0)</f>
        <v>9813700</v>
      </c>
    </row>
    <row r="1560">
      <c r="A1560" s="2">
        <f>IFERROR(__xludf.DUMMYFUNCTION("""COMPUTED_VALUE"""),38792.666666666664)</f>
        <v>38792.66667</v>
      </c>
      <c r="B1560" s="1">
        <f>IFERROR(__xludf.DUMMYFUNCTION("""COMPUTED_VALUE"""),59.8)</f>
        <v>59.8</v>
      </c>
      <c r="C1560" s="1">
        <f>IFERROR(__xludf.DUMMYFUNCTION("""COMPUTED_VALUE"""),59.86)</f>
        <v>59.86</v>
      </c>
      <c r="D1560" s="1">
        <f>IFERROR(__xludf.DUMMYFUNCTION("""COMPUTED_VALUE"""),59.0)</f>
        <v>59</v>
      </c>
      <c r="E1560" s="1">
        <f>IFERROR(__xludf.DUMMYFUNCTION("""COMPUTED_VALUE"""),59.39)</f>
        <v>59.39</v>
      </c>
      <c r="F1560" s="1">
        <f>IFERROR(__xludf.DUMMYFUNCTION("""COMPUTED_VALUE"""),1.24898E7)</f>
        <v>12489800</v>
      </c>
    </row>
    <row r="1561">
      <c r="A1561" s="2">
        <f>IFERROR(__xludf.DUMMYFUNCTION("""COMPUTED_VALUE"""),38793.666666666664)</f>
        <v>38793.66667</v>
      </c>
      <c r="B1561" s="1">
        <f>IFERROR(__xludf.DUMMYFUNCTION("""COMPUTED_VALUE"""),59.39)</f>
        <v>59.39</v>
      </c>
      <c r="C1561" s="1">
        <f>IFERROR(__xludf.DUMMYFUNCTION("""COMPUTED_VALUE"""),59.4)</f>
        <v>59.4</v>
      </c>
      <c r="D1561" s="1">
        <f>IFERROR(__xludf.DUMMYFUNCTION("""COMPUTED_VALUE"""),58.85)</f>
        <v>58.85</v>
      </c>
      <c r="E1561" s="1">
        <f>IFERROR(__xludf.DUMMYFUNCTION("""COMPUTED_VALUE"""),59.1)</f>
        <v>59.1</v>
      </c>
      <c r="F1561" s="1">
        <f>IFERROR(__xludf.DUMMYFUNCTION("""COMPUTED_VALUE"""),1.74184E7)</f>
        <v>17418400</v>
      </c>
    </row>
    <row r="1562">
      <c r="A1562" s="2">
        <f>IFERROR(__xludf.DUMMYFUNCTION("""COMPUTED_VALUE"""),38796.666666666664)</f>
        <v>38796.66667</v>
      </c>
      <c r="B1562" s="1">
        <f>IFERROR(__xludf.DUMMYFUNCTION("""COMPUTED_VALUE"""),59.38)</f>
        <v>59.38</v>
      </c>
      <c r="C1562" s="1">
        <f>IFERROR(__xludf.DUMMYFUNCTION("""COMPUTED_VALUE"""),59.38)</f>
        <v>59.38</v>
      </c>
      <c r="D1562" s="1">
        <f>IFERROR(__xludf.DUMMYFUNCTION("""COMPUTED_VALUE"""),58.71)</f>
        <v>58.71</v>
      </c>
      <c r="E1562" s="1">
        <f>IFERROR(__xludf.DUMMYFUNCTION("""COMPUTED_VALUE"""),59.18)</f>
        <v>59.18</v>
      </c>
      <c r="F1562" s="1">
        <f>IFERROR(__xludf.DUMMYFUNCTION("""COMPUTED_VALUE"""),7027800.0)</f>
        <v>7027800</v>
      </c>
    </row>
    <row r="1563">
      <c r="A1563" s="2">
        <f>IFERROR(__xludf.DUMMYFUNCTION("""COMPUTED_VALUE"""),38797.666666666664)</f>
        <v>38797.66667</v>
      </c>
      <c r="B1563" s="1">
        <f>IFERROR(__xludf.DUMMYFUNCTION("""COMPUTED_VALUE"""),59.21)</f>
        <v>59.21</v>
      </c>
      <c r="C1563" s="1">
        <f>IFERROR(__xludf.DUMMYFUNCTION("""COMPUTED_VALUE"""),59.72)</f>
        <v>59.72</v>
      </c>
      <c r="D1563" s="1">
        <f>IFERROR(__xludf.DUMMYFUNCTION("""COMPUTED_VALUE"""),58.94)</f>
        <v>58.94</v>
      </c>
      <c r="E1563" s="1">
        <f>IFERROR(__xludf.DUMMYFUNCTION("""COMPUTED_VALUE"""),59.03)</f>
        <v>59.03</v>
      </c>
      <c r="F1563" s="1">
        <f>IFERROR(__xludf.DUMMYFUNCTION("""COMPUTED_VALUE"""),6909400.0)</f>
        <v>6909400</v>
      </c>
    </row>
    <row r="1564">
      <c r="A1564" s="2">
        <f>IFERROR(__xludf.DUMMYFUNCTION("""COMPUTED_VALUE"""),38798.666666666664)</f>
        <v>38798.66667</v>
      </c>
      <c r="B1564" s="1">
        <f>IFERROR(__xludf.DUMMYFUNCTION("""COMPUTED_VALUE"""),58.7)</f>
        <v>58.7</v>
      </c>
      <c r="C1564" s="1">
        <f>IFERROR(__xludf.DUMMYFUNCTION("""COMPUTED_VALUE"""),59.6)</f>
        <v>59.6</v>
      </c>
      <c r="D1564" s="1">
        <f>IFERROR(__xludf.DUMMYFUNCTION("""COMPUTED_VALUE"""),58.7)</f>
        <v>58.7</v>
      </c>
      <c r="E1564" s="1">
        <f>IFERROR(__xludf.DUMMYFUNCTION("""COMPUTED_VALUE"""),59.49)</f>
        <v>59.49</v>
      </c>
      <c r="F1564" s="1">
        <f>IFERROR(__xludf.DUMMYFUNCTION("""COMPUTED_VALUE"""),5850200.0)</f>
        <v>5850200</v>
      </c>
    </row>
    <row r="1565">
      <c r="A1565" s="2">
        <f>IFERROR(__xludf.DUMMYFUNCTION("""COMPUTED_VALUE"""),38799.666666666664)</f>
        <v>38799.66667</v>
      </c>
      <c r="B1565" s="1">
        <f>IFERROR(__xludf.DUMMYFUNCTION("""COMPUTED_VALUE"""),59.26)</f>
        <v>59.26</v>
      </c>
      <c r="C1565" s="1">
        <f>IFERROR(__xludf.DUMMYFUNCTION("""COMPUTED_VALUE"""),59.4)</f>
        <v>59.4</v>
      </c>
      <c r="D1565" s="1">
        <f>IFERROR(__xludf.DUMMYFUNCTION("""COMPUTED_VALUE"""),58.44)</f>
        <v>58.44</v>
      </c>
      <c r="E1565" s="1">
        <f>IFERROR(__xludf.DUMMYFUNCTION("""COMPUTED_VALUE"""),58.65)</f>
        <v>58.65</v>
      </c>
      <c r="F1565" s="1">
        <f>IFERROR(__xludf.DUMMYFUNCTION("""COMPUTED_VALUE"""),9166600.0)</f>
        <v>9166600</v>
      </c>
    </row>
    <row r="1566">
      <c r="A1566" s="2">
        <f>IFERROR(__xludf.DUMMYFUNCTION("""COMPUTED_VALUE"""),38800.666666666664)</f>
        <v>38800.66667</v>
      </c>
      <c r="B1566" s="1">
        <f>IFERROR(__xludf.DUMMYFUNCTION("""COMPUTED_VALUE"""),58.56)</f>
        <v>58.56</v>
      </c>
      <c r="C1566" s="1">
        <f>IFERROR(__xludf.DUMMYFUNCTION("""COMPUTED_VALUE"""),58.95)</f>
        <v>58.95</v>
      </c>
      <c r="D1566" s="1">
        <f>IFERROR(__xludf.DUMMYFUNCTION("""COMPUTED_VALUE"""),57.98)</f>
        <v>57.98</v>
      </c>
      <c r="E1566" s="1">
        <f>IFERROR(__xludf.DUMMYFUNCTION("""COMPUTED_VALUE"""),58.74)</f>
        <v>58.74</v>
      </c>
      <c r="F1566" s="1">
        <f>IFERROR(__xludf.DUMMYFUNCTION("""COMPUTED_VALUE"""),8883300.0)</f>
        <v>8883300</v>
      </c>
    </row>
    <row r="1567">
      <c r="A1567" s="2">
        <f>IFERROR(__xludf.DUMMYFUNCTION("""COMPUTED_VALUE"""),38803.666666666664)</f>
        <v>38803.66667</v>
      </c>
      <c r="B1567" s="1">
        <f>IFERROR(__xludf.DUMMYFUNCTION("""COMPUTED_VALUE"""),58.38)</f>
        <v>58.38</v>
      </c>
      <c r="C1567" s="1">
        <f>IFERROR(__xludf.DUMMYFUNCTION("""COMPUTED_VALUE"""),58.62)</f>
        <v>58.62</v>
      </c>
      <c r="D1567" s="1">
        <f>IFERROR(__xludf.DUMMYFUNCTION("""COMPUTED_VALUE"""),58.26)</f>
        <v>58.26</v>
      </c>
      <c r="E1567" s="1">
        <f>IFERROR(__xludf.DUMMYFUNCTION("""COMPUTED_VALUE"""),58.29)</f>
        <v>58.29</v>
      </c>
      <c r="F1567" s="1">
        <f>IFERROR(__xludf.DUMMYFUNCTION("""COMPUTED_VALUE"""),8041500.0)</f>
        <v>8041500</v>
      </c>
    </row>
    <row r="1568">
      <c r="A1568" s="2">
        <f>IFERROR(__xludf.DUMMYFUNCTION("""COMPUTED_VALUE"""),38804.666666666664)</f>
        <v>38804.66667</v>
      </c>
      <c r="B1568" s="1">
        <f>IFERROR(__xludf.DUMMYFUNCTION("""COMPUTED_VALUE"""),58.0)</f>
        <v>58</v>
      </c>
      <c r="C1568" s="1">
        <f>IFERROR(__xludf.DUMMYFUNCTION("""COMPUTED_VALUE"""),58.28)</f>
        <v>58.28</v>
      </c>
      <c r="D1568" s="1">
        <f>IFERROR(__xludf.DUMMYFUNCTION("""COMPUTED_VALUE"""),57.5)</f>
        <v>57.5</v>
      </c>
      <c r="E1568" s="1">
        <f>IFERROR(__xludf.DUMMYFUNCTION("""COMPUTED_VALUE"""),57.53)</f>
        <v>57.53</v>
      </c>
      <c r="F1568" s="1">
        <f>IFERROR(__xludf.DUMMYFUNCTION("""COMPUTED_VALUE"""),1.4113E7)</f>
        <v>14113000</v>
      </c>
    </row>
    <row r="1569">
      <c r="A1569" s="2">
        <f>IFERROR(__xludf.DUMMYFUNCTION("""COMPUTED_VALUE"""),38805.666666666664)</f>
        <v>38805.66667</v>
      </c>
      <c r="B1569" s="1">
        <f>IFERROR(__xludf.DUMMYFUNCTION("""COMPUTED_VALUE"""),57.44)</f>
        <v>57.44</v>
      </c>
      <c r="C1569" s="1">
        <f>IFERROR(__xludf.DUMMYFUNCTION("""COMPUTED_VALUE"""),57.98)</f>
        <v>57.98</v>
      </c>
      <c r="D1569" s="1">
        <f>IFERROR(__xludf.DUMMYFUNCTION("""COMPUTED_VALUE"""),57.0)</f>
        <v>57</v>
      </c>
      <c r="E1569" s="1">
        <f>IFERROR(__xludf.DUMMYFUNCTION("""COMPUTED_VALUE"""),57.74)</f>
        <v>57.74</v>
      </c>
      <c r="F1569" s="1">
        <f>IFERROR(__xludf.DUMMYFUNCTION("""COMPUTED_VALUE"""),1.24308E7)</f>
        <v>12430800</v>
      </c>
    </row>
    <row r="1570">
      <c r="A1570" s="2">
        <f>IFERROR(__xludf.DUMMYFUNCTION("""COMPUTED_VALUE"""),38806.666666666664)</f>
        <v>38806.66667</v>
      </c>
      <c r="B1570" s="1">
        <f>IFERROR(__xludf.DUMMYFUNCTION("""COMPUTED_VALUE"""),57.53)</f>
        <v>57.53</v>
      </c>
      <c r="C1570" s="1">
        <f>IFERROR(__xludf.DUMMYFUNCTION("""COMPUTED_VALUE"""),58.1)</f>
        <v>58.1</v>
      </c>
      <c r="D1570" s="1">
        <f>IFERROR(__xludf.DUMMYFUNCTION("""COMPUTED_VALUE"""),57.4)</f>
        <v>57.4</v>
      </c>
      <c r="E1570" s="1">
        <f>IFERROR(__xludf.DUMMYFUNCTION("""COMPUTED_VALUE"""),57.63)</f>
        <v>57.63</v>
      </c>
      <c r="F1570" s="1">
        <f>IFERROR(__xludf.DUMMYFUNCTION("""COMPUTED_VALUE"""),8419500.0)</f>
        <v>8419500</v>
      </c>
    </row>
    <row r="1571">
      <c r="A1571" s="2">
        <f>IFERROR(__xludf.DUMMYFUNCTION("""COMPUTED_VALUE"""),38807.666666666664)</f>
        <v>38807.66667</v>
      </c>
      <c r="B1571" s="1">
        <f>IFERROR(__xludf.DUMMYFUNCTION("""COMPUTED_VALUE"""),57.63)</f>
        <v>57.63</v>
      </c>
      <c r="C1571" s="1">
        <f>IFERROR(__xludf.DUMMYFUNCTION("""COMPUTED_VALUE"""),58.3)</f>
        <v>58.3</v>
      </c>
      <c r="D1571" s="1">
        <f>IFERROR(__xludf.DUMMYFUNCTION("""COMPUTED_VALUE"""),57.58)</f>
        <v>57.58</v>
      </c>
      <c r="E1571" s="1">
        <f>IFERROR(__xludf.DUMMYFUNCTION("""COMPUTED_VALUE"""),57.63)</f>
        <v>57.63</v>
      </c>
      <c r="F1571" s="1">
        <f>IFERROR(__xludf.DUMMYFUNCTION("""COMPUTED_VALUE"""),1.11761E7)</f>
        <v>11176100</v>
      </c>
    </row>
    <row r="1572">
      <c r="A1572" s="2">
        <f>IFERROR(__xludf.DUMMYFUNCTION("""COMPUTED_VALUE"""),38810.666666666664)</f>
        <v>38810.66667</v>
      </c>
      <c r="B1572" s="1">
        <f>IFERROR(__xludf.DUMMYFUNCTION("""COMPUTED_VALUE"""),57.69)</f>
        <v>57.69</v>
      </c>
      <c r="C1572" s="1">
        <f>IFERROR(__xludf.DUMMYFUNCTION("""COMPUTED_VALUE"""),58.36)</f>
        <v>58.36</v>
      </c>
      <c r="D1572" s="1">
        <f>IFERROR(__xludf.DUMMYFUNCTION("""COMPUTED_VALUE"""),57.69)</f>
        <v>57.69</v>
      </c>
      <c r="E1572" s="1">
        <f>IFERROR(__xludf.DUMMYFUNCTION("""COMPUTED_VALUE"""),57.88)</f>
        <v>57.88</v>
      </c>
      <c r="F1572" s="1">
        <f>IFERROR(__xludf.DUMMYFUNCTION("""COMPUTED_VALUE"""),8113400.0)</f>
        <v>8113400</v>
      </c>
    </row>
    <row r="1573">
      <c r="A1573" s="2">
        <f>IFERROR(__xludf.DUMMYFUNCTION("""COMPUTED_VALUE"""),38811.666666666664)</f>
        <v>38811.66667</v>
      </c>
      <c r="B1573" s="1">
        <f>IFERROR(__xludf.DUMMYFUNCTION("""COMPUTED_VALUE"""),57.83)</f>
        <v>57.83</v>
      </c>
      <c r="C1573" s="1">
        <f>IFERROR(__xludf.DUMMYFUNCTION("""COMPUTED_VALUE"""),58.48)</f>
        <v>58.48</v>
      </c>
      <c r="D1573" s="1">
        <f>IFERROR(__xludf.DUMMYFUNCTION("""COMPUTED_VALUE"""),57.77)</f>
        <v>57.77</v>
      </c>
      <c r="E1573" s="1">
        <f>IFERROR(__xludf.DUMMYFUNCTION("""COMPUTED_VALUE"""),58.0)</f>
        <v>58</v>
      </c>
      <c r="F1573" s="1">
        <f>IFERROR(__xludf.DUMMYFUNCTION("""COMPUTED_VALUE"""),8874300.0)</f>
        <v>8874300</v>
      </c>
    </row>
    <row r="1574">
      <c r="A1574" s="2">
        <f>IFERROR(__xludf.DUMMYFUNCTION("""COMPUTED_VALUE"""),38812.666666666664)</f>
        <v>38812.66667</v>
      </c>
      <c r="B1574" s="1">
        <f>IFERROR(__xludf.DUMMYFUNCTION("""COMPUTED_VALUE"""),57.95)</f>
        <v>57.95</v>
      </c>
      <c r="C1574" s="1">
        <f>IFERROR(__xludf.DUMMYFUNCTION("""COMPUTED_VALUE"""),58.1)</f>
        <v>58.1</v>
      </c>
      <c r="D1574" s="1">
        <f>IFERROR(__xludf.DUMMYFUNCTION("""COMPUTED_VALUE"""),57.54)</f>
        <v>57.54</v>
      </c>
      <c r="E1574" s="1">
        <f>IFERROR(__xludf.DUMMYFUNCTION("""COMPUTED_VALUE"""),57.62)</f>
        <v>57.62</v>
      </c>
      <c r="F1574" s="1">
        <f>IFERROR(__xludf.DUMMYFUNCTION("""COMPUTED_VALUE"""),8933900.0)</f>
        <v>8933900</v>
      </c>
    </row>
    <row r="1575">
      <c r="A1575" s="2">
        <f>IFERROR(__xludf.DUMMYFUNCTION("""COMPUTED_VALUE"""),38813.666666666664)</f>
        <v>38813.66667</v>
      </c>
      <c r="B1575" s="1">
        <f>IFERROR(__xludf.DUMMYFUNCTION("""COMPUTED_VALUE"""),57.57)</f>
        <v>57.57</v>
      </c>
      <c r="C1575" s="1">
        <f>IFERROR(__xludf.DUMMYFUNCTION("""COMPUTED_VALUE"""),57.92)</f>
        <v>57.92</v>
      </c>
      <c r="D1575" s="1">
        <f>IFERROR(__xludf.DUMMYFUNCTION("""COMPUTED_VALUE"""),57.24)</f>
        <v>57.24</v>
      </c>
      <c r="E1575" s="1">
        <f>IFERROR(__xludf.DUMMYFUNCTION("""COMPUTED_VALUE"""),57.5)</f>
        <v>57.5</v>
      </c>
      <c r="F1575" s="1">
        <f>IFERROR(__xludf.DUMMYFUNCTION("""COMPUTED_VALUE"""),6607300.0)</f>
        <v>6607300</v>
      </c>
    </row>
    <row r="1576">
      <c r="A1576" s="2">
        <f>IFERROR(__xludf.DUMMYFUNCTION("""COMPUTED_VALUE"""),38814.666666666664)</f>
        <v>38814.66667</v>
      </c>
      <c r="B1576" s="1">
        <f>IFERROR(__xludf.DUMMYFUNCTION("""COMPUTED_VALUE"""),57.5)</f>
        <v>57.5</v>
      </c>
      <c r="C1576" s="1">
        <f>IFERROR(__xludf.DUMMYFUNCTION("""COMPUTED_VALUE"""),57.94)</f>
        <v>57.94</v>
      </c>
      <c r="D1576" s="1">
        <f>IFERROR(__xludf.DUMMYFUNCTION("""COMPUTED_VALUE"""),57.26)</f>
        <v>57.26</v>
      </c>
      <c r="E1576" s="1">
        <f>IFERROR(__xludf.DUMMYFUNCTION("""COMPUTED_VALUE"""),57.28)</f>
        <v>57.28</v>
      </c>
      <c r="F1576" s="1">
        <f>IFERROR(__xludf.DUMMYFUNCTION("""COMPUTED_VALUE"""),7395500.0)</f>
        <v>7395500</v>
      </c>
    </row>
    <row r="1577">
      <c r="A1577" s="2">
        <f>IFERROR(__xludf.DUMMYFUNCTION("""COMPUTED_VALUE"""),38817.666666666664)</f>
        <v>38817.66667</v>
      </c>
      <c r="B1577" s="1">
        <f>IFERROR(__xludf.DUMMYFUNCTION("""COMPUTED_VALUE"""),57.3)</f>
        <v>57.3</v>
      </c>
      <c r="C1577" s="1">
        <f>IFERROR(__xludf.DUMMYFUNCTION("""COMPUTED_VALUE"""),57.4)</f>
        <v>57.4</v>
      </c>
      <c r="D1577" s="1">
        <f>IFERROR(__xludf.DUMMYFUNCTION("""COMPUTED_VALUE"""),56.95)</f>
        <v>56.95</v>
      </c>
      <c r="E1577" s="1">
        <f>IFERROR(__xludf.DUMMYFUNCTION("""COMPUTED_VALUE"""),57.15)</f>
        <v>57.15</v>
      </c>
      <c r="F1577" s="1">
        <f>IFERROR(__xludf.DUMMYFUNCTION("""COMPUTED_VALUE"""),7153800.0)</f>
        <v>7153800</v>
      </c>
    </row>
    <row r="1578">
      <c r="A1578" s="2">
        <f>IFERROR(__xludf.DUMMYFUNCTION("""COMPUTED_VALUE"""),38818.666666666664)</f>
        <v>38818.66667</v>
      </c>
      <c r="B1578" s="1">
        <f>IFERROR(__xludf.DUMMYFUNCTION("""COMPUTED_VALUE"""),57.27)</f>
        <v>57.27</v>
      </c>
      <c r="C1578" s="1">
        <f>IFERROR(__xludf.DUMMYFUNCTION("""COMPUTED_VALUE"""),57.3)</f>
        <v>57.3</v>
      </c>
      <c r="D1578" s="1">
        <f>IFERROR(__xludf.DUMMYFUNCTION("""COMPUTED_VALUE"""),56.09)</f>
        <v>56.09</v>
      </c>
      <c r="E1578" s="1">
        <f>IFERROR(__xludf.DUMMYFUNCTION("""COMPUTED_VALUE"""),56.49)</f>
        <v>56.49</v>
      </c>
      <c r="F1578" s="1">
        <f>IFERROR(__xludf.DUMMYFUNCTION("""COMPUTED_VALUE"""),1.34438E7)</f>
        <v>13443800</v>
      </c>
    </row>
    <row r="1579">
      <c r="A1579" s="2">
        <f>IFERROR(__xludf.DUMMYFUNCTION("""COMPUTED_VALUE"""),38819.666666666664)</f>
        <v>38819.66667</v>
      </c>
      <c r="B1579" s="1">
        <f>IFERROR(__xludf.DUMMYFUNCTION("""COMPUTED_VALUE"""),56.3)</f>
        <v>56.3</v>
      </c>
      <c r="C1579" s="1">
        <f>IFERROR(__xludf.DUMMYFUNCTION("""COMPUTED_VALUE"""),56.5)</f>
        <v>56.5</v>
      </c>
      <c r="D1579" s="1">
        <f>IFERROR(__xludf.DUMMYFUNCTION("""COMPUTED_VALUE"""),56.28)</f>
        <v>56.28</v>
      </c>
      <c r="E1579" s="1">
        <f>IFERROR(__xludf.DUMMYFUNCTION("""COMPUTED_VALUE"""),56.42)</f>
        <v>56.42</v>
      </c>
      <c r="F1579" s="1">
        <f>IFERROR(__xludf.DUMMYFUNCTION("""COMPUTED_VALUE"""),8850500.0)</f>
        <v>8850500</v>
      </c>
    </row>
    <row r="1580">
      <c r="A1580" s="2">
        <f>IFERROR(__xludf.DUMMYFUNCTION("""COMPUTED_VALUE"""),38820.666666666664)</f>
        <v>38820.66667</v>
      </c>
      <c r="B1580" s="1">
        <f>IFERROR(__xludf.DUMMYFUNCTION("""COMPUTED_VALUE"""),56.4)</f>
        <v>56.4</v>
      </c>
      <c r="C1580" s="1">
        <f>IFERROR(__xludf.DUMMYFUNCTION("""COMPUTED_VALUE"""),56.67)</f>
        <v>56.67</v>
      </c>
      <c r="D1580" s="1">
        <f>IFERROR(__xludf.DUMMYFUNCTION("""COMPUTED_VALUE"""),56.35)</f>
        <v>56.35</v>
      </c>
      <c r="E1580" s="1">
        <f>IFERROR(__xludf.DUMMYFUNCTION("""COMPUTED_VALUE"""),56.6)</f>
        <v>56.6</v>
      </c>
      <c r="F1580" s="1">
        <f>IFERROR(__xludf.DUMMYFUNCTION("""COMPUTED_VALUE"""),6852400.0)</f>
        <v>6852400</v>
      </c>
    </row>
    <row r="1581">
      <c r="A1581" s="2">
        <f>IFERROR(__xludf.DUMMYFUNCTION("""COMPUTED_VALUE"""),38824.666666666664)</f>
        <v>38824.66667</v>
      </c>
      <c r="B1581" s="1">
        <f>IFERROR(__xludf.DUMMYFUNCTION("""COMPUTED_VALUE"""),56.41)</f>
        <v>56.41</v>
      </c>
      <c r="C1581" s="1">
        <f>IFERROR(__xludf.DUMMYFUNCTION("""COMPUTED_VALUE"""),56.47)</f>
        <v>56.47</v>
      </c>
      <c r="D1581" s="1">
        <f>IFERROR(__xludf.DUMMYFUNCTION("""COMPUTED_VALUE"""),55.75)</f>
        <v>55.75</v>
      </c>
      <c r="E1581" s="1">
        <f>IFERROR(__xludf.DUMMYFUNCTION("""COMPUTED_VALUE"""),56.03)</f>
        <v>56.03</v>
      </c>
      <c r="F1581" s="1">
        <f>IFERROR(__xludf.DUMMYFUNCTION("""COMPUTED_VALUE"""),1.31805E7)</f>
        <v>13180500</v>
      </c>
    </row>
    <row r="1582">
      <c r="A1582" s="2">
        <f>IFERROR(__xludf.DUMMYFUNCTION("""COMPUTED_VALUE"""),38825.666666666664)</f>
        <v>38825.66667</v>
      </c>
      <c r="B1582" s="1">
        <f>IFERROR(__xludf.DUMMYFUNCTION("""COMPUTED_VALUE"""),55.94)</f>
        <v>55.94</v>
      </c>
      <c r="C1582" s="1">
        <f>IFERROR(__xludf.DUMMYFUNCTION("""COMPUTED_VALUE"""),56.37)</f>
        <v>56.37</v>
      </c>
      <c r="D1582" s="1">
        <f>IFERROR(__xludf.DUMMYFUNCTION("""COMPUTED_VALUE"""),55.84)</f>
        <v>55.84</v>
      </c>
      <c r="E1582" s="1">
        <f>IFERROR(__xludf.DUMMYFUNCTION("""COMPUTED_VALUE"""),56.16)</f>
        <v>56.16</v>
      </c>
      <c r="F1582" s="1">
        <f>IFERROR(__xludf.DUMMYFUNCTION("""COMPUTED_VALUE"""),1.11871E7)</f>
        <v>11187100</v>
      </c>
    </row>
    <row r="1583">
      <c r="A1583" s="2">
        <f>IFERROR(__xludf.DUMMYFUNCTION("""COMPUTED_VALUE"""),38826.666666666664)</f>
        <v>38826.66667</v>
      </c>
      <c r="B1583" s="1">
        <f>IFERROR(__xludf.DUMMYFUNCTION("""COMPUTED_VALUE"""),55.68)</f>
        <v>55.68</v>
      </c>
      <c r="C1583" s="1">
        <f>IFERROR(__xludf.DUMMYFUNCTION("""COMPUTED_VALUE"""),56.08)</f>
        <v>56.08</v>
      </c>
      <c r="D1583" s="1">
        <f>IFERROR(__xludf.DUMMYFUNCTION("""COMPUTED_VALUE"""),55.07)</f>
        <v>55.07</v>
      </c>
      <c r="E1583" s="1">
        <f>IFERROR(__xludf.DUMMYFUNCTION("""COMPUTED_VALUE"""),56.07)</f>
        <v>56.07</v>
      </c>
      <c r="F1583" s="1">
        <f>IFERROR(__xludf.DUMMYFUNCTION("""COMPUTED_VALUE"""),1.28768E7)</f>
        <v>12876800</v>
      </c>
    </row>
    <row r="1584">
      <c r="A1584" s="2">
        <f>IFERROR(__xludf.DUMMYFUNCTION("""COMPUTED_VALUE"""),38827.666666666664)</f>
        <v>38827.66667</v>
      </c>
      <c r="B1584" s="1">
        <f>IFERROR(__xludf.DUMMYFUNCTION("""COMPUTED_VALUE"""),56.16)</f>
        <v>56.16</v>
      </c>
      <c r="C1584" s="1">
        <f>IFERROR(__xludf.DUMMYFUNCTION("""COMPUTED_VALUE"""),56.8)</f>
        <v>56.8</v>
      </c>
      <c r="D1584" s="1">
        <f>IFERROR(__xludf.DUMMYFUNCTION("""COMPUTED_VALUE"""),55.77)</f>
        <v>55.77</v>
      </c>
      <c r="E1584" s="1">
        <f>IFERROR(__xludf.DUMMYFUNCTION("""COMPUTED_VALUE"""),56.26)</f>
        <v>56.26</v>
      </c>
      <c r="F1584" s="1">
        <f>IFERROR(__xludf.DUMMYFUNCTION("""COMPUTED_VALUE"""),1.55837E7)</f>
        <v>15583700</v>
      </c>
    </row>
    <row r="1585">
      <c r="A1585" s="2">
        <f>IFERROR(__xludf.DUMMYFUNCTION("""COMPUTED_VALUE"""),38828.666666666664)</f>
        <v>38828.66667</v>
      </c>
      <c r="B1585" s="1">
        <f>IFERROR(__xludf.DUMMYFUNCTION("""COMPUTED_VALUE"""),56.1)</f>
        <v>56.1</v>
      </c>
      <c r="C1585" s="1">
        <f>IFERROR(__xludf.DUMMYFUNCTION("""COMPUTED_VALUE"""),56.76)</f>
        <v>56.76</v>
      </c>
      <c r="D1585" s="1">
        <f>IFERROR(__xludf.DUMMYFUNCTION("""COMPUTED_VALUE"""),55.99)</f>
        <v>55.99</v>
      </c>
      <c r="E1585" s="1">
        <f>IFERROR(__xludf.DUMMYFUNCTION("""COMPUTED_VALUE"""),56.34)</f>
        <v>56.34</v>
      </c>
      <c r="F1585" s="1">
        <f>IFERROR(__xludf.DUMMYFUNCTION("""COMPUTED_VALUE"""),1.20775E7)</f>
        <v>12077500</v>
      </c>
    </row>
    <row r="1586">
      <c r="A1586" s="2">
        <f>IFERROR(__xludf.DUMMYFUNCTION("""COMPUTED_VALUE"""),38831.666666666664)</f>
        <v>38831.66667</v>
      </c>
      <c r="B1586" s="1">
        <f>IFERROR(__xludf.DUMMYFUNCTION("""COMPUTED_VALUE"""),56.15)</f>
        <v>56.15</v>
      </c>
      <c r="C1586" s="1">
        <f>IFERROR(__xludf.DUMMYFUNCTION("""COMPUTED_VALUE"""),57.0)</f>
        <v>57</v>
      </c>
      <c r="D1586" s="1">
        <f>IFERROR(__xludf.DUMMYFUNCTION("""COMPUTED_VALUE"""),56.15)</f>
        <v>56.15</v>
      </c>
      <c r="E1586" s="1">
        <f>IFERROR(__xludf.DUMMYFUNCTION("""COMPUTED_VALUE"""),56.6)</f>
        <v>56.6</v>
      </c>
      <c r="F1586" s="1">
        <f>IFERROR(__xludf.DUMMYFUNCTION("""COMPUTED_VALUE"""),9313700.0)</f>
        <v>9313700</v>
      </c>
    </row>
    <row r="1587">
      <c r="A1587" s="2">
        <f>IFERROR(__xludf.DUMMYFUNCTION("""COMPUTED_VALUE"""),38832.666666666664)</f>
        <v>38832.66667</v>
      </c>
      <c r="B1587" s="1">
        <f>IFERROR(__xludf.DUMMYFUNCTION("""COMPUTED_VALUE"""),56.9)</f>
        <v>56.9</v>
      </c>
      <c r="C1587" s="1">
        <f>IFERROR(__xludf.DUMMYFUNCTION("""COMPUTED_VALUE"""),57.52)</f>
        <v>57.52</v>
      </c>
      <c r="D1587" s="1">
        <f>IFERROR(__xludf.DUMMYFUNCTION("""COMPUTED_VALUE"""),56.63)</f>
        <v>56.63</v>
      </c>
      <c r="E1587" s="1">
        <f>IFERROR(__xludf.DUMMYFUNCTION("""COMPUTED_VALUE"""),57.27)</f>
        <v>57.27</v>
      </c>
      <c r="F1587" s="1">
        <f>IFERROR(__xludf.DUMMYFUNCTION("""COMPUTED_VALUE"""),2.23698E7)</f>
        <v>22369800</v>
      </c>
    </row>
    <row r="1588">
      <c r="A1588" s="2">
        <f>IFERROR(__xludf.DUMMYFUNCTION("""COMPUTED_VALUE"""),38833.666666666664)</f>
        <v>38833.66667</v>
      </c>
      <c r="B1588" s="1">
        <f>IFERROR(__xludf.DUMMYFUNCTION("""COMPUTED_VALUE"""),57.56)</f>
        <v>57.56</v>
      </c>
      <c r="C1588" s="1">
        <f>IFERROR(__xludf.DUMMYFUNCTION("""COMPUTED_VALUE"""),58.06)</f>
        <v>58.06</v>
      </c>
      <c r="D1588" s="1">
        <f>IFERROR(__xludf.DUMMYFUNCTION("""COMPUTED_VALUE"""),57.48)</f>
        <v>57.48</v>
      </c>
      <c r="E1588" s="1">
        <f>IFERROR(__xludf.DUMMYFUNCTION("""COMPUTED_VALUE"""),58.01)</f>
        <v>58.01</v>
      </c>
      <c r="F1588" s="1">
        <f>IFERROR(__xludf.DUMMYFUNCTION("""COMPUTED_VALUE"""),1.58691E7)</f>
        <v>15869100</v>
      </c>
    </row>
    <row r="1589">
      <c r="A1589" s="2">
        <f>IFERROR(__xludf.DUMMYFUNCTION("""COMPUTED_VALUE"""),38834.666666666664)</f>
        <v>38834.66667</v>
      </c>
      <c r="B1589" s="1">
        <f>IFERROR(__xludf.DUMMYFUNCTION("""COMPUTED_VALUE"""),57.8)</f>
        <v>57.8</v>
      </c>
      <c r="C1589" s="1">
        <f>IFERROR(__xludf.DUMMYFUNCTION("""COMPUTED_VALUE"""),58.73)</f>
        <v>58.73</v>
      </c>
      <c r="D1589" s="1">
        <f>IFERROR(__xludf.DUMMYFUNCTION("""COMPUTED_VALUE"""),57.76)</f>
        <v>57.76</v>
      </c>
      <c r="E1589" s="1">
        <f>IFERROR(__xludf.DUMMYFUNCTION("""COMPUTED_VALUE"""),58.38)</f>
        <v>58.38</v>
      </c>
      <c r="F1589" s="1">
        <f>IFERROR(__xludf.DUMMYFUNCTION("""COMPUTED_VALUE"""),8826800.0)</f>
        <v>8826800</v>
      </c>
    </row>
    <row r="1590">
      <c r="A1590" s="2">
        <f>IFERROR(__xludf.DUMMYFUNCTION("""COMPUTED_VALUE"""),38835.666666666664)</f>
        <v>38835.66667</v>
      </c>
      <c r="B1590" s="1">
        <f>IFERROR(__xludf.DUMMYFUNCTION("""COMPUTED_VALUE"""),58.3)</f>
        <v>58.3</v>
      </c>
      <c r="C1590" s="1">
        <f>IFERROR(__xludf.DUMMYFUNCTION("""COMPUTED_VALUE"""),58.47)</f>
        <v>58.47</v>
      </c>
      <c r="D1590" s="1">
        <f>IFERROR(__xludf.DUMMYFUNCTION("""COMPUTED_VALUE"""),58.0)</f>
        <v>58</v>
      </c>
      <c r="E1590" s="1">
        <f>IFERROR(__xludf.DUMMYFUNCTION("""COMPUTED_VALUE"""),58.21)</f>
        <v>58.21</v>
      </c>
      <c r="F1590" s="1">
        <f>IFERROR(__xludf.DUMMYFUNCTION("""COMPUTED_VALUE"""),8917700.0)</f>
        <v>8917700</v>
      </c>
    </row>
    <row r="1591">
      <c r="A1591" s="2">
        <f>IFERROR(__xludf.DUMMYFUNCTION("""COMPUTED_VALUE"""),38838.666666666664)</f>
        <v>38838.66667</v>
      </c>
      <c r="B1591" s="1">
        <f>IFERROR(__xludf.DUMMYFUNCTION("""COMPUTED_VALUE"""),58.43)</f>
        <v>58.43</v>
      </c>
      <c r="C1591" s="1">
        <f>IFERROR(__xludf.DUMMYFUNCTION("""COMPUTED_VALUE"""),58.67)</f>
        <v>58.67</v>
      </c>
      <c r="D1591" s="1">
        <f>IFERROR(__xludf.DUMMYFUNCTION("""COMPUTED_VALUE"""),57.76)</f>
        <v>57.76</v>
      </c>
      <c r="E1591" s="1">
        <f>IFERROR(__xludf.DUMMYFUNCTION("""COMPUTED_VALUE"""),57.88)</f>
        <v>57.88</v>
      </c>
      <c r="F1591" s="1">
        <f>IFERROR(__xludf.DUMMYFUNCTION("""COMPUTED_VALUE"""),7304800.0)</f>
        <v>7304800</v>
      </c>
    </row>
    <row r="1592">
      <c r="A1592" s="2">
        <f>IFERROR(__xludf.DUMMYFUNCTION("""COMPUTED_VALUE"""),38839.666666666664)</f>
        <v>38839.66667</v>
      </c>
      <c r="B1592" s="1">
        <f>IFERROR(__xludf.DUMMYFUNCTION("""COMPUTED_VALUE"""),57.66)</f>
        <v>57.66</v>
      </c>
      <c r="C1592" s="1">
        <f>IFERROR(__xludf.DUMMYFUNCTION("""COMPUTED_VALUE"""),58.34)</f>
        <v>58.34</v>
      </c>
      <c r="D1592" s="1">
        <f>IFERROR(__xludf.DUMMYFUNCTION("""COMPUTED_VALUE"""),57.43)</f>
        <v>57.43</v>
      </c>
      <c r="E1592" s="1">
        <f>IFERROR(__xludf.DUMMYFUNCTION("""COMPUTED_VALUE"""),58.11)</f>
        <v>58.11</v>
      </c>
      <c r="F1592" s="1">
        <f>IFERROR(__xludf.DUMMYFUNCTION("""COMPUTED_VALUE"""),8489400.0)</f>
        <v>8489400</v>
      </c>
    </row>
    <row r="1593">
      <c r="A1593" s="2">
        <f>IFERROR(__xludf.DUMMYFUNCTION("""COMPUTED_VALUE"""),38840.666666666664)</f>
        <v>38840.66667</v>
      </c>
      <c r="B1593" s="1">
        <f>IFERROR(__xludf.DUMMYFUNCTION("""COMPUTED_VALUE"""),56.25)</f>
        <v>56.25</v>
      </c>
      <c r="C1593" s="1">
        <f>IFERROR(__xludf.DUMMYFUNCTION("""COMPUTED_VALUE"""),56.49)</f>
        <v>56.49</v>
      </c>
      <c r="D1593" s="1">
        <f>IFERROR(__xludf.DUMMYFUNCTION("""COMPUTED_VALUE"""),55.18)</f>
        <v>55.18</v>
      </c>
      <c r="E1593" s="1">
        <f>IFERROR(__xludf.DUMMYFUNCTION("""COMPUTED_VALUE"""),56.22)</f>
        <v>56.22</v>
      </c>
      <c r="F1593" s="1">
        <f>IFERROR(__xludf.DUMMYFUNCTION("""COMPUTED_VALUE"""),2.876E7)</f>
        <v>28760000</v>
      </c>
    </row>
    <row r="1594">
      <c r="A1594" s="2">
        <f>IFERROR(__xludf.DUMMYFUNCTION("""COMPUTED_VALUE"""),38841.666666666664)</f>
        <v>38841.66667</v>
      </c>
      <c r="B1594" s="1">
        <f>IFERROR(__xludf.DUMMYFUNCTION("""COMPUTED_VALUE"""),56.23)</f>
        <v>56.23</v>
      </c>
      <c r="C1594" s="1">
        <f>IFERROR(__xludf.DUMMYFUNCTION("""COMPUTED_VALUE"""),56.69)</f>
        <v>56.69</v>
      </c>
      <c r="D1594" s="1">
        <f>IFERROR(__xludf.DUMMYFUNCTION("""COMPUTED_VALUE"""),55.6)</f>
        <v>55.6</v>
      </c>
      <c r="E1594" s="1">
        <f>IFERROR(__xludf.DUMMYFUNCTION("""COMPUTED_VALUE"""),55.86)</f>
        <v>55.86</v>
      </c>
      <c r="F1594" s="1">
        <f>IFERROR(__xludf.DUMMYFUNCTION("""COMPUTED_VALUE"""),1.54227E7)</f>
        <v>15422700</v>
      </c>
    </row>
    <row r="1595">
      <c r="A1595" s="2">
        <f>IFERROR(__xludf.DUMMYFUNCTION("""COMPUTED_VALUE"""),38842.666666666664)</f>
        <v>38842.66667</v>
      </c>
      <c r="B1595" s="1">
        <f>IFERROR(__xludf.DUMMYFUNCTION("""COMPUTED_VALUE"""),56.24)</f>
        <v>56.24</v>
      </c>
      <c r="C1595" s="1">
        <f>IFERROR(__xludf.DUMMYFUNCTION("""COMPUTED_VALUE"""),56.24)</f>
        <v>56.24</v>
      </c>
      <c r="D1595" s="1">
        <f>IFERROR(__xludf.DUMMYFUNCTION("""COMPUTED_VALUE"""),55.65)</f>
        <v>55.65</v>
      </c>
      <c r="E1595" s="1">
        <f>IFERROR(__xludf.DUMMYFUNCTION("""COMPUTED_VALUE"""),55.73)</f>
        <v>55.73</v>
      </c>
      <c r="F1595" s="1">
        <f>IFERROR(__xludf.DUMMYFUNCTION("""COMPUTED_VALUE"""),1.34082E7)</f>
        <v>13408200</v>
      </c>
    </row>
    <row r="1596">
      <c r="A1596" s="2">
        <f>IFERROR(__xludf.DUMMYFUNCTION("""COMPUTED_VALUE"""),38845.666666666664)</f>
        <v>38845.66667</v>
      </c>
      <c r="B1596" s="1">
        <f>IFERROR(__xludf.DUMMYFUNCTION("""COMPUTED_VALUE"""),56.01)</f>
        <v>56.01</v>
      </c>
      <c r="C1596" s="1">
        <f>IFERROR(__xludf.DUMMYFUNCTION("""COMPUTED_VALUE"""),56.6)</f>
        <v>56.6</v>
      </c>
      <c r="D1596" s="1">
        <f>IFERROR(__xludf.DUMMYFUNCTION("""COMPUTED_VALUE"""),55.42)</f>
        <v>55.42</v>
      </c>
      <c r="E1596" s="1">
        <f>IFERROR(__xludf.DUMMYFUNCTION("""COMPUTED_VALUE"""),56.34)</f>
        <v>56.34</v>
      </c>
      <c r="F1596" s="1">
        <f>IFERROR(__xludf.DUMMYFUNCTION("""COMPUTED_VALUE"""),1.46545E7)</f>
        <v>14654500</v>
      </c>
    </row>
    <row r="1597">
      <c r="A1597" s="2">
        <f>IFERROR(__xludf.DUMMYFUNCTION("""COMPUTED_VALUE"""),38846.666666666664)</f>
        <v>38846.66667</v>
      </c>
      <c r="B1597" s="1">
        <f>IFERROR(__xludf.DUMMYFUNCTION("""COMPUTED_VALUE"""),56.36)</f>
        <v>56.36</v>
      </c>
      <c r="C1597" s="1">
        <f>IFERROR(__xludf.DUMMYFUNCTION("""COMPUTED_VALUE"""),56.67)</f>
        <v>56.67</v>
      </c>
      <c r="D1597" s="1">
        <f>IFERROR(__xludf.DUMMYFUNCTION("""COMPUTED_VALUE"""),56.17)</f>
        <v>56.17</v>
      </c>
      <c r="E1597" s="1">
        <f>IFERROR(__xludf.DUMMYFUNCTION("""COMPUTED_VALUE"""),56.5)</f>
        <v>56.5</v>
      </c>
      <c r="F1597" s="1">
        <f>IFERROR(__xludf.DUMMYFUNCTION("""COMPUTED_VALUE"""),1.14599E7)</f>
        <v>11459900</v>
      </c>
    </row>
    <row r="1598">
      <c r="A1598" s="2">
        <f>IFERROR(__xludf.DUMMYFUNCTION("""COMPUTED_VALUE"""),38847.666666666664)</f>
        <v>38847.66667</v>
      </c>
      <c r="B1598" s="1">
        <f>IFERROR(__xludf.DUMMYFUNCTION("""COMPUTED_VALUE"""),56.69)</f>
        <v>56.69</v>
      </c>
      <c r="C1598" s="1">
        <f>IFERROR(__xludf.DUMMYFUNCTION("""COMPUTED_VALUE"""),56.74)</f>
        <v>56.74</v>
      </c>
      <c r="D1598" s="1">
        <f>IFERROR(__xludf.DUMMYFUNCTION("""COMPUTED_VALUE"""),56.25)</f>
        <v>56.25</v>
      </c>
      <c r="E1598" s="1">
        <f>IFERROR(__xludf.DUMMYFUNCTION("""COMPUTED_VALUE"""),56.34)</f>
        <v>56.34</v>
      </c>
      <c r="F1598" s="1">
        <f>IFERROR(__xludf.DUMMYFUNCTION("""COMPUTED_VALUE"""),9617500.0)</f>
        <v>9617500</v>
      </c>
    </row>
    <row r="1599">
      <c r="A1599" s="2">
        <f>IFERROR(__xludf.DUMMYFUNCTION("""COMPUTED_VALUE"""),38848.666666666664)</f>
        <v>38848.66667</v>
      </c>
      <c r="B1599" s="1">
        <f>IFERROR(__xludf.DUMMYFUNCTION("""COMPUTED_VALUE"""),56.65)</f>
        <v>56.65</v>
      </c>
      <c r="C1599" s="1">
        <f>IFERROR(__xludf.DUMMYFUNCTION("""COMPUTED_VALUE"""),56.65)</f>
        <v>56.65</v>
      </c>
      <c r="D1599" s="1">
        <f>IFERROR(__xludf.DUMMYFUNCTION("""COMPUTED_VALUE"""),55.51)</f>
        <v>55.51</v>
      </c>
      <c r="E1599" s="1">
        <f>IFERROR(__xludf.DUMMYFUNCTION("""COMPUTED_VALUE"""),55.65)</f>
        <v>55.65</v>
      </c>
      <c r="F1599" s="1">
        <f>IFERROR(__xludf.DUMMYFUNCTION("""COMPUTED_VALUE"""),1.2379E7)</f>
        <v>12379000</v>
      </c>
    </row>
    <row r="1600">
      <c r="A1600" s="2">
        <f>IFERROR(__xludf.DUMMYFUNCTION("""COMPUTED_VALUE"""),38849.666666666664)</f>
        <v>38849.66667</v>
      </c>
      <c r="B1600" s="1">
        <f>IFERROR(__xludf.DUMMYFUNCTION("""COMPUTED_VALUE"""),55.8)</f>
        <v>55.8</v>
      </c>
      <c r="C1600" s="1">
        <f>IFERROR(__xludf.DUMMYFUNCTION("""COMPUTED_VALUE"""),55.83)</f>
        <v>55.83</v>
      </c>
      <c r="D1600" s="1">
        <f>IFERROR(__xludf.DUMMYFUNCTION("""COMPUTED_VALUE"""),55.01)</f>
        <v>55.01</v>
      </c>
      <c r="E1600" s="1">
        <f>IFERROR(__xludf.DUMMYFUNCTION("""COMPUTED_VALUE"""),55.01)</f>
        <v>55.01</v>
      </c>
      <c r="F1600" s="1">
        <f>IFERROR(__xludf.DUMMYFUNCTION("""COMPUTED_VALUE"""),1.38906E7)</f>
        <v>13890600</v>
      </c>
    </row>
    <row r="1601">
      <c r="A1601" s="2">
        <f>IFERROR(__xludf.DUMMYFUNCTION("""COMPUTED_VALUE"""),38852.666666666664)</f>
        <v>38852.66667</v>
      </c>
      <c r="B1601" s="1">
        <f>IFERROR(__xludf.DUMMYFUNCTION("""COMPUTED_VALUE"""),54.69)</f>
        <v>54.69</v>
      </c>
      <c r="C1601" s="1">
        <f>IFERROR(__xludf.DUMMYFUNCTION("""COMPUTED_VALUE"""),55.7)</f>
        <v>55.7</v>
      </c>
      <c r="D1601" s="1">
        <f>IFERROR(__xludf.DUMMYFUNCTION("""COMPUTED_VALUE"""),54.05)</f>
        <v>54.05</v>
      </c>
      <c r="E1601" s="1">
        <f>IFERROR(__xludf.DUMMYFUNCTION("""COMPUTED_VALUE"""),55.57)</f>
        <v>55.57</v>
      </c>
      <c r="F1601" s="1">
        <f>IFERROR(__xludf.DUMMYFUNCTION("""COMPUTED_VALUE"""),1.15348E7)</f>
        <v>11534800</v>
      </c>
    </row>
    <row r="1602">
      <c r="A1602" s="2">
        <f>IFERROR(__xludf.DUMMYFUNCTION("""COMPUTED_VALUE"""),38853.666666666664)</f>
        <v>38853.66667</v>
      </c>
      <c r="B1602" s="1">
        <f>IFERROR(__xludf.DUMMYFUNCTION("""COMPUTED_VALUE"""),55.6)</f>
        <v>55.6</v>
      </c>
      <c r="C1602" s="1">
        <f>IFERROR(__xludf.DUMMYFUNCTION("""COMPUTED_VALUE"""),56.26)</f>
        <v>56.26</v>
      </c>
      <c r="D1602" s="1">
        <f>IFERROR(__xludf.DUMMYFUNCTION("""COMPUTED_VALUE"""),55.52)</f>
        <v>55.52</v>
      </c>
      <c r="E1602" s="1">
        <f>IFERROR(__xludf.DUMMYFUNCTION("""COMPUTED_VALUE"""),56.04)</f>
        <v>56.04</v>
      </c>
      <c r="F1602" s="1">
        <f>IFERROR(__xludf.DUMMYFUNCTION("""COMPUTED_VALUE"""),1.14881E7)</f>
        <v>11488100</v>
      </c>
    </row>
    <row r="1603">
      <c r="A1603" s="2">
        <f>IFERROR(__xludf.DUMMYFUNCTION("""COMPUTED_VALUE"""),38854.666666666664)</f>
        <v>38854.66667</v>
      </c>
      <c r="B1603" s="1">
        <f>IFERROR(__xludf.DUMMYFUNCTION("""COMPUTED_VALUE"""),55.56)</f>
        <v>55.56</v>
      </c>
      <c r="C1603" s="1">
        <f>IFERROR(__xludf.DUMMYFUNCTION("""COMPUTED_VALUE"""),55.92)</f>
        <v>55.92</v>
      </c>
      <c r="D1603" s="1">
        <f>IFERROR(__xludf.DUMMYFUNCTION("""COMPUTED_VALUE"""),55.25)</f>
        <v>55.25</v>
      </c>
      <c r="E1603" s="1">
        <f>IFERROR(__xludf.DUMMYFUNCTION("""COMPUTED_VALUE"""),55.33)</f>
        <v>55.33</v>
      </c>
      <c r="F1603" s="1">
        <f>IFERROR(__xludf.DUMMYFUNCTION("""COMPUTED_VALUE"""),1.00816E7)</f>
        <v>10081600</v>
      </c>
    </row>
    <row r="1604">
      <c r="A1604" s="2">
        <f>IFERROR(__xludf.DUMMYFUNCTION("""COMPUTED_VALUE"""),38855.666666666664)</f>
        <v>38855.66667</v>
      </c>
      <c r="B1604" s="1">
        <f>IFERROR(__xludf.DUMMYFUNCTION("""COMPUTED_VALUE"""),55.2)</f>
        <v>55.2</v>
      </c>
      <c r="C1604" s="1">
        <f>IFERROR(__xludf.DUMMYFUNCTION("""COMPUTED_VALUE"""),55.53)</f>
        <v>55.53</v>
      </c>
      <c r="D1604" s="1">
        <f>IFERROR(__xludf.DUMMYFUNCTION("""COMPUTED_VALUE"""),54.88)</f>
        <v>54.88</v>
      </c>
      <c r="E1604" s="1">
        <f>IFERROR(__xludf.DUMMYFUNCTION("""COMPUTED_VALUE"""),54.89)</f>
        <v>54.89</v>
      </c>
      <c r="F1604" s="1">
        <f>IFERROR(__xludf.DUMMYFUNCTION("""COMPUTED_VALUE"""),8131000.0)</f>
        <v>8131000</v>
      </c>
    </row>
    <row r="1605">
      <c r="A1605" s="2">
        <f>IFERROR(__xludf.DUMMYFUNCTION("""COMPUTED_VALUE"""),38856.666666666664)</f>
        <v>38856.66667</v>
      </c>
      <c r="B1605" s="1">
        <f>IFERROR(__xludf.DUMMYFUNCTION("""COMPUTED_VALUE"""),54.99)</f>
        <v>54.99</v>
      </c>
      <c r="C1605" s="1">
        <f>IFERROR(__xludf.DUMMYFUNCTION("""COMPUTED_VALUE"""),55.0)</f>
        <v>55</v>
      </c>
      <c r="D1605" s="1">
        <f>IFERROR(__xludf.DUMMYFUNCTION("""COMPUTED_VALUE"""),53.75)</f>
        <v>53.75</v>
      </c>
      <c r="E1605" s="1">
        <f>IFERROR(__xludf.DUMMYFUNCTION("""COMPUTED_VALUE"""),54.15)</f>
        <v>54.15</v>
      </c>
      <c r="F1605" s="1">
        <f>IFERROR(__xludf.DUMMYFUNCTION("""COMPUTED_VALUE"""),1.62669E7)</f>
        <v>16266900</v>
      </c>
    </row>
    <row r="1606">
      <c r="A1606" s="2">
        <f>IFERROR(__xludf.DUMMYFUNCTION("""COMPUTED_VALUE"""),38859.666666666664)</f>
        <v>38859.66667</v>
      </c>
      <c r="B1606" s="1">
        <f>IFERROR(__xludf.DUMMYFUNCTION("""COMPUTED_VALUE"""),53.96)</f>
        <v>53.96</v>
      </c>
      <c r="C1606" s="1">
        <f>IFERROR(__xludf.DUMMYFUNCTION("""COMPUTED_VALUE"""),54.49)</f>
        <v>54.49</v>
      </c>
      <c r="D1606" s="1">
        <f>IFERROR(__xludf.DUMMYFUNCTION("""COMPUTED_VALUE"""),53.95)</f>
        <v>53.95</v>
      </c>
      <c r="E1606" s="1">
        <f>IFERROR(__xludf.DUMMYFUNCTION("""COMPUTED_VALUE"""),54.28)</f>
        <v>54.28</v>
      </c>
      <c r="F1606" s="1">
        <f>IFERROR(__xludf.DUMMYFUNCTION("""COMPUTED_VALUE"""),9208400.0)</f>
        <v>9208400</v>
      </c>
    </row>
    <row r="1607">
      <c r="A1607" s="2">
        <f>IFERROR(__xludf.DUMMYFUNCTION("""COMPUTED_VALUE"""),38860.666666666664)</f>
        <v>38860.66667</v>
      </c>
      <c r="B1607" s="1">
        <f>IFERROR(__xludf.DUMMYFUNCTION("""COMPUTED_VALUE"""),54.31)</f>
        <v>54.31</v>
      </c>
      <c r="C1607" s="1">
        <f>IFERROR(__xludf.DUMMYFUNCTION("""COMPUTED_VALUE"""),54.99)</f>
        <v>54.99</v>
      </c>
      <c r="D1607" s="1">
        <f>IFERROR(__xludf.DUMMYFUNCTION("""COMPUTED_VALUE"""),54.06)</f>
        <v>54.06</v>
      </c>
      <c r="E1607" s="1">
        <f>IFERROR(__xludf.DUMMYFUNCTION("""COMPUTED_VALUE"""),54.49)</f>
        <v>54.49</v>
      </c>
      <c r="F1607" s="1">
        <f>IFERROR(__xludf.DUMMYFUNCTION("""COMPUTED_VALUE"""),9513200.0)</f>
        <v>9513200</v>
      </c>
    </row>
    <row r="1608">
      <c r="A1608" s="2">
        <f>IFERROR(__xludf.DUMMYFUNCTION("""COMPUTED_VALUE"""),38861.666666666664)</f>
        <v>38861.66667</v>
      </c>
      <c r="B1608" s="1">
        <f>IFERROR(__xludf.DUMMYFUNCTION("""COMPUTED_VALUE"""),54.56)</f>
        <v>54.56</v>
      </c>
      <c r="C1608" s="1">
        <f>IFERROR(__xludf.DUMMYFUNCTION("""COMPUTED_VALUE"""),55.14)</f>
        <v>55.14</v>
      </c>
      <c r="D1608" s="1">
        <f>IFERROR(__xludf.DUMMYFUNCTION("""COMPUTED_VALUE"""),54.19)</f>
        <v>54.19</v>
      </c>
      <c r="E1608" s="1">
        <f>IFERROR(__xludf.DUMMYFUNCTION("""COMPUTED_VALUE"""),54.82)</f>
        <v>54.82</v>
      </c>
      <c r="F1608" s="1">
        <f>IFERROR(__xludf.DUMMYFUNCTION("""COMPUTED_VALUE"""),1.00322E7)</f>
        <v>10032200</v>
      </c>
    </row>
    <row r="1609">
      <c r="A1609" s="2">
        <f>IFERROR(__xludf.DUMMYFUNCTION("""COMPUTED_VALUE"""),38862.666666666664)</f>
        <v>38862.66667</v>
      </c>
      <c r="B1609" s="1">
        <f>IFERROR(__xludf.DUMMYFUNCTION("""COMPUTED_VALUE"""),54.95)</f>
        <v>54.95</v>
      </c>
      <c r="C1609" s="1">
        <f>IFERROR(__xludf.DUMMYFUNCTION("""COMPUTED_VALUE"""),55.28)</f>
        <v>55.28</v>
      </c>
      <c r="D1609" s="1">
        <f>IFERROR(__xludf.DUMMYFUNCTION("""COMPUTED_VALUE"""),54.86)</f>
        <v>54.86</v>
      </c>
      <c r="E1609" s="1">
        <f>IFERROR(__xludf.DUMMYFUNCTION("""COMPUTED_VALUE"""),55.26)</f>
        <v>55.26</v>
      </c>
      <c r="F1609" s="1">
        <f>IFERROR(__xludf.DUMMYFUNCTION("""COMPUTED_VALUE"""),8082700.0)</f>
        <v>8082700</v>
      </c>
    </row>
    <row r="1610">
      <c r="A1610" s="2">
        <f>IFERROR(__xludf.DUMMYFUNCTION("""COMPUTED_VALUE"""),38863.666666666664)</f>
        <v>38863.66667</v>
      </c>
      <c r="B1610" s="1">
        <f>IFERROR(__xludf.DUMMYFUNCTION("""COMPUTED_VALUE"""),55.2)</f>
        <v>55.2</v>
      </c>
      <c r="C1610" s="1">
        <f>IFERROR(__xludf.DUMMYFUNCTION("""COMPUTED_VALUE"""),55.3)</f>
        <v>55.3</v>
      </c>
      <c r="D1610" s="1">
        <f>IFERROR(__xludf.DUMMYFUNCTION("""COMPUTED_VALUE"""),54.71)</f>
        <v>54.71</v>
      </c>
      <c r="E1610" s="1">
        <f>IFERROR(__xludf.DUMMYFUNCTION("""COMPUTED_VALUE"""),55.13)</f>
        <v>55.13</v>
      </c>
      <c r="F1610" s="1">
        <f>IFERROR(__xludf.DUMMYFUNCTION("""COMPUTED_VALUE"""),6442600.0)</f>
        <v>6442600</v>
      </c>
    </row>
    <row r="1611">
      <c r="A1611" s="2">
        <f>IFERROR(__xludf.DUMMYFUNCTION("""COMPUTED_VALUE"""),38867.666666666664)</f>
        <v>38867.66667</v>
      </c>
      <c r="B1611" s="1">
        <f>IFERROR(__xludf.DUMMYFUNCTION("""COMPUTED_VALUE"""),54.78)</f>
        <v>54.78</v>
      </c>
      <c r="C1611" s="1">
        <f>IFERROR(__xludf.DUMMYFUNCTION("""COMPUTED_VALUE"""),55.02)</f>
        <v>55.02</v>
      </c>
      <c r="D1611" s="1">
        <f>IFERROR(__xludf.DUMMYFUNCTION("""COMPUTED_VALUE"""),54.33)</f>
        <v>54.33</v>
      </c>
      <c r="E1611" s="1">
        <f>IFERROR(__xludf.DUMMYFUNCTION("""COMPUTED_VALUE"""),54.38)</f>
        <v>54.38</v>
      </c>
      <c r="F1611" s="1">
        <f>IFERROR(__xludf.DUMMYFUNCTION("""COMPUTED_VALUE"""),6972000.0)</f>
        <v>6972000</v>
      </c>
    </row>
    <row r="1612">
      <c r="A1612" s="2">
        <f>IFERROR(__xludf.DUMMYFUNCTION("""COMPUTED_VALUE"""),38868.666666666664)</f>
        <v>38868.66667</v>
      </c>
      <c r="B1612" s="1">
        <f>IFERROR(__xludf.DUMMYFUNCTION("""COMPUTED_VALUE"""),54.58)</f>
        <v>54.58</v>
      </c>
      <c r="C1612" s="1">
        <f>IFERROR(__xludf.DUMMYFUNCTION("""COMPUTED_VALUE"""),54.69)</f>
        <v>54.69</v>
      </c>
      <c r="D1612" s="1">
        <f>IFERROR(__xludf.DUMMYFUNCTION("""COMPUTED_VALUE"""),54.0)</f>
        <v>54</v>
      </c>
      <c r="E1612" s="1">
        <f>IFERROR(__xludf.DUMMYFUNCTION("""COMPUTED_VALUE"""),54.25)</f>
        <v>54.25</v>
      </c>
      <c r="F1612" s="1">
        <f>IFERROR(__xludf.DUMMYFUNCTION("""COMPUTED_VALUE"""),1.16241E7)</f>
        <v>11624100</v>
      </c>
    </row>
    <row r="1613">
      <c r="A1613" s="2">
        <f>IFERROR(__xludf.DUMMYFUNCTION("""COMPUTED_VALUE"""),38869.666666666664)</f>
        <v>38869.66667</v>
      </c>
      <c r="B1613" s="1">
        <f>IFERROR(__xludf.DUMMYFUNCTION("""COMPUTED_VALUE"""),54.35)</f>
        <v>54.35</v>
      </c>
      <c r="C1613" s="1">
        <f>IFERROR(__xludf.DUMMYFUNCTION("""COMPUTED_VALUE"""),54.51)</f>
        <v>54.51</v>
      </c>
      <c r="D1613" s="1">
        <f>IFERROR(__xludf.DUMMYFUNCTION("""COMPUTED_VALUE"""),54.03)</f>
        <v>54.03</v>
      </c>
      <c r="E1613" s="1">
        <f>IFERROR(__xludf.DUMMYFUNCTION("""COMPUTED_VALUE"""),54.48)</f>
        <v>54.48</v>
      </c>
      <c r="F1613" s="1">
        <f>IFERROR(__xludf.DUMMYFUNCTION("""COMPUTED_VALUE"""),6941200.0)</f>
        <v>6941200</v>
      </c>
    </row>
    <row r="1614">
      <c r="A1614" s="2">
        <f>IFERROR(__xludf.DUMMYFUNCTION("""COMPUTED_VALUE"""),38870.666666666664)</f>
        <v>38870.66667</v>
      </c>
      <c r="B1614" s="1">
        <f>IFERROR(__xludf.DUMMYFUNCTION("""COMPUTED_VALUE"""),54.37)</f>
        <v>54.37</v>
      </c>
      <c r="C1614" s="1">
        <f>IFERROR(__xludf.DUMMYFUNCTION("""COMPUTED_VALUE"""),54.55)</f>
        <v>54.55</v>
      </c>
      <c r="D1614" s="1">
        <f>IFERROR(__xludf.DUMMYFUNCTION("""COMPUTED_VALUE"""),53.8)</f>
        <v>53.8</v>
      </c>
      <c r="E1614" s="1">
        <f>IFERROR(__xludf.DUMMYFUNCTION("""COMPUTED_VALUE"""),53.95)</f>
        <v>53.95</v>
      </c>
      <c r="F1614" s="1">
        <f>IFERROR(__xludf.DUMMYFUNCTION("""COMPUTED_VALUE"""),8578200.0)</f>
        <v>8578200</v>
      </c>
    </row>
    <row r="1615">
      <c r="A1615" s="2">
        <f>IFERROR(__xludf.DUMMYFUNCTION("""COMPUTED_VALUE"""),38873.666666666664)</f>
        <v>38873.66667</v>
      </c>
      <c r="B1615" s="1">
        <f>IFERROR(__xludf.DUMMYFUNCTION("""COMPUTED_VALUE"""),53.8)</f>
        <v>53.8</v>
      </c>
      <c r="C1615" s="1">
        <f>IFERROR(__xludf.DUMMYFUNCTION("""COMPUTED_VALUE"""),54.04)</f>
        <v>54.04</v>
      </c>
      <c r="D1615" s="1">
        <f>IFERROR(__xludf.DUMMYFUNCTION("""COMPUTED_VALUE"""),53.07)</f>
        <v>53.07</v>
      </c>
      <c r="E1615" s="1">
        <f>IFERROR(__xludf.DUMMYFUNCTION("""COMPUTED_VALUE"""),53.18)</f>
        <v>53.18</v>
      </c>
      <c r="F1615" s="1">
        <f>IFERROR(__xludf.DUMMYFUNCTION("""COMPUTED_VALUE"""),8025800.0)</f>
        <v>8025800</v>
      </c>
    </row>
    <row r="1616">
      <c r="A1616" s="2">
        <f>IFERROR(__xludf.DUMMYFUNCTION("""COMPUTED_VALUE"""),38874.666666666664)</f>
        <v>38874.66667</v>
      </c>
      <c r="B1616" s="1">
        <f>IFERROR(__xludf.DUMMYFUNCTION("""COMPUTED_VALUE"""),53.11)</f>
        <v>53.11</v>
      </c>
      <c r="C1616" s="1">
        <f>IFERROR(__xludf.DUMMYFUNCTION("""COMPUTED_VALUE"""),53.5)</f>
        <v>53.5</v>
      </c>
      <c r="D1616" s="1">
        <f>IFERROR(__xludf.DUMMYFUNCTION("""COMPUTED_VALUE"""),52.75)</f>
        <v>52.75</v>
      </c>
      <c r="E1616" s="1">
        <f>IFERROR(__xludf.DUMMYFUNCTION("""COMPUTED_VALUE"""),53.37)</f>
        <v>53.37</v>
      </c>
      <c r="F1616" s="1">
        <f>IFERROR(__xludf.DUMMYFUNCTION("""COMPUTED_VALUE"""),9189300.0)</f>
        <v>9189300</v>
      </c>
    </row>
    <row r="1617">
      <c r="A1617" s="2">
        <f>IFERROR(__xludf.DUMMYFUNCTION("""COMPUTED_VALUE"""),38875.666666666664)</f>
        <v>38875.66667</v>
      </c>
      <c r="B1617" s="1">
        <f>IFERROR(__xludf.DUMMYFUNCTION("""COMPUTED_VALUE"""),53.6)</f>
        <v>53.6</v>
      </c>
      <c r="C1617" s="1">
        <f>IFERROR(__xludf.DUMMYFUNCTION("""COMPUTED_VALUE"""),54.13)</f>
        <v>54.13</v>
      </c>
      <c r="D1617" s="1">
        <f>IFERROR(__xludf.DUMMYFUNCTION("""COMPUTED_VALUE"""),53.16)</f>
        <v>53.16</v>
      </c>
      <c r="E1617" s="1">
        <f>IFERROR(__xludf.DUMMYFUNCTION("""COMPUTED_VALUE"""),53.24)</f>
        <v>53.24</v>
      </c>
      <c r="F1617" s="1">
        <f>IFERROR(__xludf.DUMMYFUNCTION("""COMPUTED_VALUE"""),8439600.0)</f>
        <v>8439600</v>
      </c>
    </row>
    <row r="1618">
      <c r="A1618" s="2">
        <f>IFERROR(__xludf.DUMMYFUNCTION("""COMPUTED_VALUE"""),38876.666666666664)</f>
        <v>38876.66667</v>
      </c>
      <c r="B1618" s="1">
        <f>IFERROR(__xludf.DUMMYFUNCTION("""COMPUTED_VALUE"""),53.5)</f>
        <v>53.5</v>
      </c>
      <c r="C1618" s="1">
        <f>IFERROR(__xludf.DUMMYFUNCTION("""COMPUTED_VALUE"""),55.1)</f>
        <v>55.1</v>
      </c>
      <c r="D1618" s="1">
        <f>IFERROR(__xludf.DUMMYFUNCTION("""COMPUTED_VALUE"""),53.3)</f>
        <v>53.3</v>
      </c>
      <c r="E1618" s="1">
        <f>IFERROR(__xludf.DUMMYFUNCTION("""COMPUTED_VALUE"""),54.74)</f>
        <v>54.74</v>
      </c>
      <c r="F1618" s="1">
        <f>IFERROR(__xludf.DUMMYFUNCTION("""COMPUTED_VALUE"""),1.50814E7)</f>
        <v>15081400</v>
      </c>
    </row>
    <row r="1619">
      <c r="A1619" s="2">
        <f>IFERROR(__xludf.DUMMYFUNCTION("""COMPUTED_VALUE"""),38877.666666666664)</f>
        <v>38877.66667</v>
      </c>
      <c r="B1619" s="1">
        <f>IFERROR(__xludf.DUMMYFUNCTION("""COMPUTED_VALUE"""),54.52)</f>
        <v>54.52</v>
      </c>
      <c r="C1619" s="1">
        <f>IFERROR(__xludf.DUMMYFUNCTION("""COMPUTED_VALUE"""),55.0)</f>
        <v>55</v>
      </c>
      <c r="D1619" s="1">
        <f>IFERROR(__xludf.DUMMYFUNCTION("""COMPUTED_VALUE"""),54.11)</f>
        <v>54.11</v>
      </c>
      <c r="E1619" s="1">
        <f>IFERROR(__xludf.DUMMYFUNCTION("""COMPUTED_VALUE"""),54.45)</f>
        <v>54.45</v>
      </c>
      <c r="F1619" s="1">
        <f>IFERROR(__xludf.DUMMYFUNCTION("""COMPUTED_VALUE"""),7723700.0)</f>
        <v>7723700</v>
      </c>
    </row>
    <row r="1620">
      <c r="A1620" s="2">
        <f>IFERROR(__xludf.DUMMYFUNCTION("""COMPUTED_VALUE"""),38880.666666666664)</f>
        <v>38880.66667</v>
      </c>
      <c r="B1620" s="1">
        <f>IFERROR(__xludf.DUMMYFUNCTION("""COMPUTED_VALUE"""),54.57)</f>
        <v>54.57</v>
      </c>
      <c r="C1620" s="1">
        <f>IFERROR(__xludf.DUMMYFUNCTION("""COMPUTED_VALUE"""),54.92)</f>
        <v>54.92</v>
      </c>
      <c r="D1620" s="1">
        <f>IFERROR(__xludf.DUMMYFUNCTION("""COMPUTED_VALUE"""),54.16)</f>
        <v>54.16</v>
      </c>
      <c r="E1620" s="1">
        <f>IFERROR(__xludf.DUMMYFUNCTION("""COMPUTED_VALUE"""),54.31)</f>
        <v>54.31</v>
      </c>
      <c r="F1620" s="1">
        <f>IFERROR(__xludf.DUMMYFUNCTION("""COMPUTED_VALUE"""),5924200.0)</f>
        <v>5924200</v>
      </c>
    </row>
    <row r="1621">
      <c r="A1621" s="2">
        <f>IFERROR(__xludf.DUMMYFUNCTION("""COMPUTED_VALUE"""),38881.666666666664)</f>
        <v>38881.66667</v>
      </c>
      <c r="B1621" s="1">
        <f>IFERROR(__xludf.DUMMYFUNCTION("""COMPUTED_VALUE"""),54.32)</f>
        <v>54.32</v>
      </c>
      <c r="C1621" s="1">
        <f>IFERROR(__xludf.DUMMYFUNCTION("""COMPUTED_VALUE"""),55.25)</f>
        <v>55.25</v>
      </c>
      <c r="D1621" s="1">
        <f>IFERROR(__xludf.DUMMYFUNCTION("""COMPUTED_VALUE"""),54.1)</f>
        <v>54.1</v>
      </c>
      <c r="E1621" s="1">
        <f>IFERROR(__xludf.DUMMYFUNCTION("""COMPUTED_VALUE"""),54.13)</f>
        <v>54.13</v>
      </c>
      <c r="F1621" s="1">
        <f>IFERROR(__xludf.DUMMYFUNCTION("""COMPUTED_VALUE"""),1.04324E7)</f>
        <v>10432400</v>
      </c>
    </row>
    <row r="1622">
      <c r="A1622" s="2">
        <f>IFERROR(__xludf.DUMMYFUNCTION("""COMPUTED_VALUE"""),38882.666666666664)</f>
        <v>38882.66667</v>
      </c>
      <c r="B1622" s="1">
        <f>IFERROR(__xludf.DUMMYFUNCTION("""COMPUTED_VALUE"""),54.0)</f>
        <v>54</v>
      </c>
      <c r="C1622" s="1">
        <f>IFERROR(__xludf.DUMMYFUNCTION("""COMPUTED_VALUE"""),54.93)</f>
        <v>54.93</v>
      </c>
      <c r="D1622" s="1">
        <f>IFERROR(__xludf.DUMMYFUNCTION("""COMPUTED_VALUE"""),53.79)</f>
        <v>53.79</v>
      </c>
      <c r="E1622" s="1">
        <f>IFERROR(__xludf.DUMMYFUNCTION("""COMPUTED_VALUE"""),54.83)</f>
        <v>54.83</v>
      </c>
      <c r="F1622" s="1">
        <f>IFERROR(__xludf.DUMMYFUNCTION("""COMPUTED_VALUE"""),8757400.0)</f>
        <v>8757400</v>
      </c>
    </row>
    <row r="1623">
      <c r="A1623" s="2">
        <f>IFERROR(__xludf.DUMMYFUNCTION("""COMPUTED_VALUE"""),38883.666666666664)</f>
        <v>38883.66667</v>
      </c>
      <c r="B1623" s="1">
        <f>IFERROR(__xludf.DUMMYFUNCTION("""COMPUTED_VALUE"""),54.97)</f>
        <v>54.97</v>
      </c>
      <c r="C1623" s="1">
        <f>IFERROR(__xludf.DUMMYFUNCTION("""COMPUTED_VALUE"""),55.09)</f>
        <v>55.09</v>
      </c>
      <c r="D1623" s="1">
        <f>IFERROR(__xludf.DUMMYFUNCTION("""COMPUTED_VALUE"""),53.97)</f>
        <v>53.97</v>
      </c>
      <c r="E1623" s="1">
        <f>IFERROR(__xludf.DUMMYFUNCTION("""COMPUTED_VALUE"""),54.88)</f>
        <v>54.88</v>
      </c>
      <c r="F1623" s="1">
        <f>IFERROR(__xludf.DUMMYFUNCTION("""COMPUTED_VALUE"""),8548000.0)</f>
        <v>8548000</v>
      </c>
    </row>
    <row r="1624">
      <c r="A1624" s="2">
        <f>IFERROR(__xludf.DUMMYFUNCTION("""COMPUTED_VALUE"""),38884.666666666664)</f>
        <v>38884.66667</v>
      </c>
      <c r="B1624" s="1">
        <f>IFERROR(__xludf.DUMMYFUNCTION("""COMPUTED_VALUE"""),54.89)</f>
        <v>54.89</v>
      </c>
      <c r="C1624" s="1">
        <f>IFERROR(__xludf.DUMMYFUNCTION("""COMPUTED_VALUE"""),55.2)</f>
        <v>55.2</v>
      </c>
      <c r="D1624" s="1">
        <f>IFERROR(__xludf.DUMMYFUNCTION("""COMPUTED_VALUE"""),54.83)</f>
        <v>54.83</v>
      </c>
      <c r="E1624" s="1">
        <f>IFERROR(__xludf.DUMMYFUNCTION("""COMPUTED_VALUE"""),55.02)</f>
        <v>55.02</v>
      </c>
      <c r="F1624" s="1">
        <f>IFERROR(__xludf.DUMMYFUNCTION("""COMPUTED_VALUE"""),1.08054E7)</f>
        <v>10805400</v>
      </c>
    </row>
    <row r="1625">
      <c r="A1625" s="2">
        <f>IFERROR(__xludf.DUMMYFUNCTION("""COMPUTED_VALUE"""),38887.666666666664)</f>
        <v>38887.66667</v>
      </c>
      <c r="B1625" s="1">
        <f>IFERROR(__xludf.DUMMYFUNCTION("""COMPUTED_VALUE"""),55.98)</f>
        <v>55.98</v>
      </c>
      <c r="C1625" s="1">
        <f>IFERROR(__xludf.DUMMYFUNCTION("""COMPUTED_VALUE"""),56.0)</f>
        <v>56</v>
      </c>
      <c r="D1625" s="1">
        <f>IFERROR(__xludf.DUMMYFUNCTION("""COMPUTED_VALUE"""),54.7)</f>
        <v>54.7</v>
      </c>
      <c r="E1625" s="1">
        <f>IFERROR(__xludf.DUMMYFUNCTION("""COMPUTED_VALUE"""),54.87)</f>
        <v>54.87</v>
      </c>
      <c r="F1625" s="1">
        <f>IFERROR(__xludf.DUMMYFUNCTION("""COMPUTED_VALUE"""),1.12392E7)</f>
        <v>11239200</v>
      </c>
    </row>
    <row r="1626">
      <c r="A1626" s="2">
        <f>IFERROR(__xludf.DUMMYFUNCTION("""COMPUTED_VALUE"""),38888.666666666664)</f>
        <v>38888.66667</v>
      </c>
      <c r="B1626" s="1">
        <f>IFERROR(__xludf.DUMMYFUNCTION("""COMPUTED_VALUE"""),55.23)</f>
        <v>55.23</v>
      </c>
      <c r="C1626" s="1">
        <f>IFERROR(__xludf.DUMMYFUNCTION("""COMPUTED_VALUE"""),55.84)</f>
        <v>55.84</v>
      </c>
      <c r="D1626" s="1">
        <f>IFERROR(__xludf.DUMMYFUNCTION("""COMPUTED_VALUE"""),54.86)</f>
        <v>54.86</v>
      </c>
      <c r="E1626" s="1">
        <f>IFERROR(__xludf.DUMMYFUNCTION("""COMPUTED_VALUE"""),55.58)</f>
        <v>55.58</v>
      </c>
      <c r="F1626" s="1">
        <f>IFERROR(__xludf.DUMMYFUNCTION("""COMPUTED_VALUE"""),1.13786E7)</f>
        <v>11378600</v>
      </c>
    </row>
    <row r="1627">
      <c r="A1627" s="2">
        <f>IFERROR(__xludf.DUMMYFUNCTION("""COMPUTED_VALUE"""),38889.666666666664)</f>
        <v>38889.66667</v>
      </c>
      <c r="B1627" s="1">
        <f>IFERROR(__xludf.DUMMYFUNCTION("""COMPUTED_VALUE"""),55.52)</f>
        <v>55.52</v>
      </c>
      <c r="C1627" s="1">
        <f>IFERROR(__xludf.DUMMYFUNCTION("""COMPUTED_VALUE"""),56.19)</f>
        <v>56.19</v>
      </c>
      <c r="D1627" s="1">
        <f>IFERROR(__xludf.DUMMYFUNCTION("""COMPUTED_VALUE"""),55.46)</f>
        <v>55.46</v>
      </c>
      <c r="E1627" s="1">
        <f>IFERROR(__xludf.DUMMYFUNCTION("""COMPUTED_VALUE"""),55.82)</f>
        <v>55.82</v>
      </c>
      <c r="F1627" s="1">
        <f>IFERROR(__xludf.DUMMYFUNCTION("""COMPUTED_VALUE"""),8701300.0)</f>
        <v>8701300</v>
      </c>
    </row>
    <row r="1628">
      <c r="A1628" s="2">
        <f>IFERROR(__xludf.DUMMYFUNCTION("""COMPUTED_VALUE"""),38890.666666666664)</f>
        <v>38890.66667</v>
      </c>
      <c r="B1628" s="1">
        <f>IFERROR(__xludf.DUMMYFUNCTION("""COMPUTED_VALUE"""),55.63)</f>
        <v>55.63</v>
      </c>
      <c r="C1628" s="1">
        <f>IFERROR(__xludf.DUMMYFUNCTION("""COMPUTED_VALUE"""),55.92)</f>
        <v>55.92</v>
      </c>
      <c r="D1628" s="1">
        <f>IFERROR(__xludf.DUMMYFUNCTION("""COMPUTED_VALUE"""),55.52)</f>
        <v>55.52</v>
      </c>
      <c r="E1628" s="1">
        <f>IFERROR(__xludf.DUMMYFUNCTION("""COMPUTED_VALUE"""),55.85)</f>
        <v>55.85</v>
      </c>
      <c r="F1628" s="1">
        <f>IFERROR(__xludf.DUMMYFUNCTION("""COMPUTED_VALUE"""),6128000.0)</f>
        <v>6128000</v>
      </c>
    </row>
    <row r="1629">
      <c r="A1629" s="2">
        <f>IFERROR(__xludf.DUMMYFUNCTION("""COMPUTED_VALUE"""),38891.666666666664)</f>
        <v>38891.66667</v>
      </c>
      <c r="B1629" s="1">
        <f>IFERROR(__xludf.DUMMYFUNCTION("""COMPUTED_VALUE"""),55.56)</f>
        <v>55.56</v>
      </c>
      <c r="C1629" s="1">
        <f>IFERROR(__xludf.DUMMYFUNCTION("""COMPUTED_VALUE"""),56.16)</f>
        <v>56.16</v>
      </c>
      <c r="D1629" s="1">
        <f>IFERROR(__xludf.DUMMYFUNCTION("""COMPUTED_VALUE"""),55.5)</f>
        <v>55.5</v>
      </c>
      <c r="E1629" s="1">
        <f>IFERROR(__xludf.DUMMYFUNCTION("""COMPUTED_VALUE"""),55.73)</f>
        <v>55.73</v>
      </c>
      <c r="F1629" s="1">
        <f>IFERROR(__xludf.DUMMYFUNCTION("""COMPUTED_VALUE"""),6917400.0)</f>
        <v>6917400</v>
      </c>
    </row>
    <row r="1630">
      <c r="A1630" s="2">
        <f>IFERROR(__xludf.DUMMYFUNCTION("""COMPUTED_VALUE"""),38894.666666666664)</f>
        <v>38894.66667</v>
      </c>
      <c r="B1630" s="1">
        <f>IFERROR(__xludf.DUMMYFUNCTION("""COMPUTED_VALUE"""),55.74)</f>
        <v>55.74</v>
      </c>
      <c r="C1630" s="1">
        <f>IFERROR(__xludf.DUMMYFUNCTION("""COMPUTED_VALUE"""),56.0)</f>
        <v>56</v>
      </c>
      <c r="D1630" s="1">
        <f>IFERROR(__xludf.DUMMYFUNCTION("""COMPUTED_VALUE"""),55.26)</f>
        <v>55.26</v>
      </c>
      <c r="E1630" s="1">
        <f>IFERROR(__xludf.DUMMYFUNCTION("""COMPUTED_VALUE"""),55.99)</f>
        <v>55.99</v>
      </c>
      <c r="F1630" s="1">
        <f>IFERROR(__xludf.DUMMYFUNCTION("""COMPUTED_VALUE"""),5617900.0)</f>
        <v>5617900</v>
      </c>
    </row>
    <row r="1631">
      <c r="A1631" s="2">
        <f>IFERROR(__xludf.DUMMYFUNCTION("""COMPUTED_VALUE"""),38895.666666666664)</f>
        <v>38895.66667</v>
      </c>
      <c r="B1631" s="1">
        <f>IFERROR(__xludf.DUMMYFUNCTION("""COMPUTED_VALUE"""),55.25)</f>
        <v>55.25</v>
      </c>
      <c r="C1631" s="1">
        <f>IFERROR(__xludf.DUMMYFUNCTION("""COMPUTED_VALUE"""),56.0)</f>
        <v>56</v>
      </c>
      <c r="D1631" s="1">
        <f>IFERROR(__xludf.DUMMYFUNCTION("""COMPUTED_VALUE"""),55.2)</f>
        <v>55.2</v>
      </c>
      <c r="E1631" s="1">
        <f>IFERROR(__xludf.DUMMYFUNCTION("""COMPUTED_VALUE"""),55.75)</f>
        <v>55.75</v>
      </c>
      <c r="F1631" s="1">
        <f>IFERROR(__xludf.DUMMYFUNCTION("""COMPUTED_VALUE"""),7336400.0)</f>
        <v>7336400</v>
      </c>
    </row>
    <row r="1632">
      <c r="A1632" s="2">
        <f>IFERROR(__xludf.DUMMYFUNCTION("""COMPUTED_VALUE"""),38896.666666666664)</f>
        <v>38896.66667</v>
      </c>
      <c r="B1632" s="1">
        <f>IFERROR(__xludf.DUMMYFUNCTION("""COMPUTED_VALUE"""),55.75)</f>
        <v>55.75</v>
      </c>
      <c r="C1632" s="1">
        <f>IFERROR(__xludf.DUMMYFUNCTION("""COMPUTED_VALUE"""),56.02)</f>
        <v>56.02</v>
      </c>
      <c r="D1632" s="1">
        <f>IFERROR(__xludf.DUMMYFUNCTION("""COMPUTED_VALUE"""),55.5)</f>
        <v>55.5</v>
      </c>
      <c r="E1632" s="1">
        <f>IFERROR(__xludf.DUMMYFUNCTION("""COMPUTED_VALUE"""),55.77)</f>
        <v>55.77</v>
      </c>
      <c r="F1632" s="1">
        <f>IFERROR(__xludf.DUMMYFUNCTION("""COMPUTED_VALUE"""),6488200.0)</f>
        <v>6488200</v>
      </c>
    </row>
    <row r="1633">
      <c r="A1633" s="2">
        <f>IFERROR(__xludf.DUMMYFUNCTION("""COMPUTED_VALUE"""),38897.666666666664)</f>
        <v>38897.66667</v>
      </c>
      <c r="B1633" s="1">
        <f>IFERROR(__xludf.DUMMYFUNCTION("""COMPUTED_VALUE"""),56.12)</f>
        <v>56.12</v>
      </c>
      <c r="C1633" s="1">
        <f>IFERROR(__xludf.DUMMYFUNCTION("""COMPUTED_VALUE"""),57.0)</f>
        <v>57</v>
      </c>
      <c r="D1633" s="1">
        <f>IFERROR(__xludf.DUMMYFUNCTION("""COMPUTED_VALUE"""),55.82)</f>
        <v>55.82</v>
      </c>
      <c r="E1633" s="1">
        <f>IFERROR(__xludf.DUMMYFUNCTION("""COMPUTED_VALUE"""),56.99)</f>
        <v>56.99</v>
      </c>
      <c r="F1633" s="1">
        <f>IFERROR(__xludf.DUMMYFUNCTION("""COMPUTED_VALUE"""),1.03192E7)</f>
        <v>10319200</v>
      </c>
    </row>
    <row r="1634">
      <c r="A1634" s="2">
        <f>IFERROR(__xludf.DUMMYFUNCTION("""COMPUTED_VALUE"""),38898.666666666664)</f>
        <v>38898.66667</v>
      </c>
      <c r="B1634" s="1">
        <f>IFERROR(__xludf.DUMMYFUNCTION("""COMPUTED_VALUE"""),57.0)</f>
        <v>57</v>
      </c>
      <c r="C1634" s="1">
        <f>IFERROR(__xludf.DUMMYFUNCTION("""COMPUTED_VALUE"""),57.19)</f>
        <v>57.19</v>
      </c>
      <c r="D1634" s="1">
        <f>IFERROR(__xludf.DUMMYFUNCTION("""COMPUTED_VALUE"""),55.6)</f>
        <v>55.6</v>
      </c>
      <c r="E1634" s="1">
        <f>IFERROR(__xludf.DUMMYFUNCTION("""COMPUTED_VALUE"""),55.6)</f>
        <v>55.6</v>
      </c>
      <c r="F1634" s="1">
        <f>IFERROR(__xludf.DUMMYFUNCTION("""COMPUTED_VALUE"""),2.11616E7)</f>
        <v>21161600</v>
      </c>
    </row>
    <row r="1635">
      <c r="A1635" s="2">
        <f>IFERROR(__xludf.DUMMYFUNCTION("""COMPUTED_VALUE"""),38901.666666666664)</f>
        <v>38901.66667</v>
      </c>
      <c r="B1635" s="1">
        <f>IFERROR(__xludf.DUMMYFUNCTION("""COMPUTED_VALUE"""),56.02)</f>
        <v>56.02</v>
      </c>
      <c r="C1635" s="1">
        <f>IFERROR(__xludf.DUMMYFUNCTION("""COMPUTED_VALUE"""),56.41)</f>
        <v>56.41</v>
      </c>
      <c r="D1635" s="1">
        <f>IFERROR(__xludf.DUMMYFUNCTION("""COMPUTED_VALUE"""),56.02)</f>
        <v>56.02</v>
      </c>
      <c r="E1635" s="1">
        <f>IFERROR(__xludf.DUMMYFUNCTION("""COMPUTED_VALUE"""),56.3)</f>
        <v>56.3</v>
      </c>
      <c r="F1635" s="1">
        <f>IFERROR(__xludf.DUMMYFUNCTION("""COMPUTED_VALUE"""),4592900.0)</f>
        <v>4592900</v>
      </c>
    </row>
    <row r="1636">
      <c r="A1636" s="2">
        <f>IFERROR(__xludf.DUMMYFUNCTION("""COMPUTED_VALUE"""),38903.666666666664)</f>
        <v>38903.66667</v>
      </c>
      <c r="B1636" s="1">
        <f>IFERROR(__xludf.DUMMYFUNCTION("""COMPUTED_VALUE"""),55.7)</f>
        <v>55.7</v>
      </c>
      <c r="C1636" s="1">
        <f>IFERROR(__xludf.DUMMYFUNCTION("""COMPUTED_VALUE"""),56.14)</f>
        <v>56.14</v>
      </c>
      <c r="D1636" s="1">
        <f>IFERROR(__xludf.DUMMYFUNCTION("""COMPUTED_VALUE"""),55.65)</f>
        <v>55.65</v>
      </c>
      <c r="E1636" s="1">
        <f>IFERROR(__xludf.DUMMYFUNCTION("""COMPUTED_VALUE"""),55.93)</f>
        <v>55.93</v>
      </c>
      <c r="F1636" s="1">
        <f>IFERROR(__xludf.DUMMYFUNCTION("""COMPUTED_VALUE"""),9147000.0)</f>
        <v>9147000</v>
      </c>
    </row>
    <row r="1637">
      <c r="A1637" s="2">
        <f>IFERROR(__xludf.DUMMYFUNCTION("""COMPUTED_VALUE"""),38904.666666666664)</f>
        <v>38904.66667</v>
      </c>
      <c r="B1637" s="1">
        <f>IFERROR(__xludf.DUMMYFUNCTION("""COMPUTED_VALUE"""),55.97)</f>
        <v>55.97</v>
      </c>
      <c r="C1637" s="1">
        <f>IFERROR(__xludf.DUMMYFUNCTION("""COMPUTED_VALUE"""),56.75)</f>
        <v>56.75</v>
      </c>
      <c r="D1637" s="1">
        <f>IFERROR(__xludf.DUMMYFUNCTION("""COMPUTED_VALUE"""),55.94)</f>
        <v>55.94</v>
      </c>
      <c r="E1637" s="1">
        <f>IFERROR(__xludf.DUMMYFUNCTION("""COMPUTED_VALUE"""),56.45)</f>
        <v>56.45</v>
      </c>
      <c r="F1637" s="1">
        <f>IFERROR(__xludf.DUMMYFUNCTION("""COMPUTED_VALUE"""),7215500.0)</f>
        <v>7215500</v>
      </c>
    </row>
    <row r="1638">
      <c r="A1638" s="2">
        <f>IFERROR(__xludf.DUMMYFUNCTION("""COMPUTED_VALUE"""),38905.666666666664)</f>
        <v>38905.66667</v>
      </c>
      <c r="B1638" s="1">
        <f>IFERROR(__xludf.DUMMYFUNCTION("""COMPUTED_VALUE"""),56.45)</f>
        <v>56.45</v>
      </c>
      <c r="C1638" s="1">
        <f>IFERROR(__xludf.DUMMYFUNCTION("""COMPUTED_VALUE"""),56.75)</f>
        <v>56.75</v>
      </c>
      <c r="D1638" s="1">
        <f>IFERROR(__xludf.DUMMYFUNCTION("""COMPUTED_VALUE"""),56.25)</f>
        <v>56.25</v>
      </c>
      <c r="E1638" s="1">
        <f>IFERROR(__xludf.DUMMYFUNCTION("""COMPUTED_VALUE"""),56.5)</f>
        <v>56.5</v>
      </c>
      <c r="F1638" s="1">
        <f>IFERROR(__xludf.DUMMYFUNCTION("""COMPUTED_VALUE"""),6834700.0)</f>
        <v>6834700</v>
      </c>
    </row>
    <row r="1639">
      <c r="A1639" s="2">
        <f>IFERROR(__xludf.DUMMYFUNCTION("""COMPUTED_VALUE"""),38908.666666666664)</f>
        <v>38908.66667</v>
      </c>
      <c r="B1639" s="1">
        <f>IFERROR(__xludf.DUMMYFUNCTION("""COMPUTED_VALUE"""),56.43)</f>
        <v>56.43</v>
      </c>
      <c r="C1639" s="1">
        <f>IFERROR(__xludf.DUMMYFUNCTION("""COMPUTED_VALUE"""),57.13)</f>
        <v>57.13</v>
      </c>
      <c r="D1639" s="1">
        <f>IFERROR(__xludf.DUMMYFUNCTION("""COMPUTED_VALUE"""),56.43)</f>
        <v>56.43</v>
      </c>
      <c r="E1639" s="1">
        <f>IFERROR(__xludf.DUMMYFUNCTION("""COMPUTED_VALUE"""),56.98)</f>
        <v>56.98</v>
      </c>
      <c r="F1639" s="1">
        <f>IFERROR(__xludf.DUMMYFUNCTION("""COMPUTED_VALUE"""),6776600.0)</f>
        <v>6776600</v>
      </c>
    </row>
    <row r="1640">
      <c r="A1640" s="2">
        <f>IFERROR(__xludf.DUMMYFUNCTION("""COMPUTED_VALUE"""),38909.666666666664)</f>
        <v>38909.66667</v>
      </c>
      <c r="B1640" s="1">
        <f>IFERROR(__xludf.DUMMYFUNCTION("""COMPUTED_VALUE"""),56.78)</f>
        <v>56.78</v>
      </c>
      <c r="C1640" s="1">
        <f>IFERROR(__xludf.DUMMYFUNCTION("""COMPUTED_VALUE"""),57.34)</f>
        <v>57.34</v>
      </c>
      <c r="D1640" s="1">
        <f>IFERROR(__xludf.DUMMYFUNCTION("""COMPUTED_VALUE"""),56.78)</f>
        <v>56.78</v>
      </c>
      <c r="E1640" s="1">
        <f>IFERROR(__xludf.DUMMYFUNCTION("""COMPUTED_VALUE"""),57.25)</f>
        <v>57.25</v>
      </c>
      <c r="F1640" s="1">
        <f>IFERROR(__xludf.DUMMYFUNCTION("""COMPUTED_VALUE"""),6104100.0)</f>
        <v>6104100</v>
      </c>
    </row>
    <row r="1641">
      <c r="A1641" s="2">
        <f>IFERROR(__xludf.DUMMYFUNCTION("""COMPUTED_VALUE"""),38910.666666666664)</f>
        <v>38910.66667</v>
      </c>
      <c r="B1641" s="1">
        <f>IFERROR(__xludf.DUMMYFUNCTION("""COMPUTED_VALUE"""),57.25)</f>
        <v>57.25</v>
      </c>
      <c r="C1641" s="1">
        <f>IFERROR(__xludf.DUMMYFUNCTION("""COMPUTED_VALUE"""),57.33)</f>
        <v>57.33</v>
      </c>
      <c r="D1641" s="1">
        <f>IFERROR(__xludf.DUMMYFUNCTION("""COMPUTED_VALUE"""),56.51)</f>
        <v>56.51</v>
      </c>
      <c r="E1641" s="1">
        <f>IFERROR(__xludf.DUMMYFUNCTION("""COMPUTED_VALUE"""),56.61)</f>
        <v>56.61</v>
      </c>
      <c r="F1641" s="1">
        <f>IFERROR(__xludf.DUMMYFUNCTION("""COMPUTED_VALUE"""),7060100.0)</f>
        <v>7060100</v>
      </c>
    </row>
    <row r="1642">
      <c r="A1642" s="2">
        <f>IFERROR(__xludf.DUMMYFUNCTION("""COMPUTED_VALUE"""),38911.666666666664)</f>
        <v>38911.66667</v>
      </c>
      <c r="B1642" s="1">
        <f>IFERROR(__xludf.DUMMYFUNCTION("""COMPUTED_VALUE"""),56.61)</f>
        <v>56.61</v>
      </c>
      <c r="C1642" s="1">
        <f>IFERROR(__xludf.DUMMYFUNCTION("""COMPUTED_VALUE"""),56.79)</f>
        <v>56.79</v>
      </c>
      <c r="D1642" s="1">
        <f>IFERROR(__xludf.DUMMYFUNCTION("""COMPUTED_VALUE"""),56.4)</f>
        <v>56.4</v>
      </c>
      <c r="E1642" s="1">
        <f>IFERROR(__xludf.DUMMYFUNCTION("""COMPUTED_VALUE"""),56.54)</f>
        <v>56.54</v>
      </c>
      <c r="F1642" s="1">
        <f>IFERROR(__xludf.DUMMYFUNCTION("""COMPUTED_VALUE"""),9209500.0)</f>
        <v>9209500</v>
      </c>
    </row>
    <row r="1643">
      <c r="A1643" s="2">
        <f>IFERROR(__xludf.DUMMYFUNCTION("""COMPUTED_VALUE"""),38912.666666666664)</f>
        <v>38912.66667</v>
      </c>
      <c r="B1643" s="1">
        <f>IFERROR(__xludf.DUMMYFUNCTION("""COMPUTED_VALUE"""),56.29)</f>
        <v>56.29</v>
      </c>
      <c r="C1643" s="1">
        <f>IFERROR(__xludf.DUMMYFUNCTION("""COMPUTED_VALUE"""),56.36)</f>
        <v>56.36</v>
      </c>
      <c r="D1643" s="1">
        <f>IFERROR(__xludf.DUMMYFUNCTION("""COMPUTED_VALUE"""),55.25)</f>
        <v>55.25</v>
      </c>
      <c r="E1643" s="1">
        <f>IFERROR(__xludf.DUMMYFUNCTION("""COMPUTED_VALUE"""),55.66)</f>
        <v>55.66</v>
      </c>
      <c r="F1643" s="1">
        <f>IFERROR(__xludf.DUMMYFUNCTION("""COMPUTED_VALUE"""),8959200.0)</f>
        <v>8959200</v>
      </c>
    </row>
    <row r="1644">
      <c r="A1644" s="2">
        <f>IFERROR(__xludf.DUMMYFUNCTION("""COMPUTED_VALUE"""),38915.666666666664)</f>
        <v>38915.66667</v>
      </c>
      <c r="B1644" s="1">
        <f>IFERROR(__xludf.DUMMYFUNCTION("""COMPUTED_VALUE"""),55.63)</f>
        <v>55.63</v>
      </c>
      <c r="C1644" s="1">
        <f>IFERROR(__xludf.DUMMYFUNCTION("""COMPUTED_VALUE"""),56.17)</f>
        <v>56.17</v>
      </c>
      <c r="D1644" s="1">
        <f>IFERROR(__xludf.DUMMYFUNCTION("""COMPUTED_VALUE"""),55.55)</f>
        <v>55.55</v>
      </c>
      <c r="E1644" s="1">
        <f>IFERROR(__xludf.DUMMYFUNCTION("""COMPUTED_VALUE"""),55.82)</f>
        <v>55.82</v>
      </c>
      <c r="F1644" s="1">
        <f>IFERROR(__xludf.DUMMYFUNCTION("""COMPUTED_VALUE"""),6167300.0)</f>
        <v>6167300</v>
      </c>
    </row>
    <row r="1645">
      <c r="A1645" s="2">
        <f>IFERROR(__xludf.DUMMYFUNCTION("""COMPUTED_VALUE"""),38916.666666666664)</f>
        <v>38916.66667</v>
      </c>
      <c r="B1645" s="1">
        <f>IFERROR(__xludf.DUMMYFUNCTION("""COMPUTED_VALUE"""),55.65)</f>
        <v>55.65</v>
      </c>
      <c r="C1645" s="1">
        <f>IFERROR(__xludf.DUMMYFUNCTION("""COMPUTED_VALUE"""),55.92)</f>
        <v>55.92</v>
      </c>
      <c r="D1645" s="1">
        <f>IFERROR(__xludf.DUMMYFUNCTION("""COMPUTED_VALUE"""),55.3)</f>
        <v>55.3</v>
      </c>
      <c r="E1645" s="1">
        <f>IFERROR(__xludf.DUMMYFUNCTION("""COMPUTED_VALUE"""),55.81)</f>
        <v>55.81</v>
      </c>
      <c r="F1645" s="1">
        <f>IFERROR(__xludf.DUMMYFUNCTION("""COMPUTED_VALUE"""),7123000.0)</f>
        <v>7123000</v>
      </c>
    </row>
    <row r="1646">
      <c r="A1646" s="2">
        <f>IFERROR(__xludf.DUMMYFUNCTION("""COMPUTED_VALUE"""),38917.666666666664)</f>
        <v>38917.66667</v>
      </c>
      <c r="B1646" s="1">
        <f>IFERROR(__xludf.DUMMYFUNCTION("""COMPUTED_VALUE"""),55.8)</f>
        <v>55.8</v>
      </c>
      <c r="C1646" s="1">
        <f>IFERROR(__xludf.DUMMYFUNCTION("""COMPUTED_VALUE"""),56.85)</f>
        <v>56.85</v>
      </c>
      <c r="D1646" s="1">
        <f>IFERROR(__xludf.DUMMYFUNCTION("""COMPUTED_VALUE"""),55.5)</f>
        <v>55.5</v>
      </c>
      <c r="E1646" s="1">
        <f>IFERROR(__xludf.DUMMYFUNCTION("""COMPUTED_VALUE"""),56.64)</f>
        <v>56.64</v>
      </c>
      <c r="F1646" s="1">
        <f>IFERROR(__xludf.DUMMYFUNCTION("""COMPUTED_VALUE"""),7781900.0)</f>
        <v>7781900</v>
      </c>
    </row>
    <row r="1647">
      <c r="A1647" s="2">
        <f>IFERROR(__xludf.DUMMYFUNCTION("""COMPUTED_VALUE"""),38918.666666666664)</f>
        <v>38918.66667</v>
      </c>
      <c r="B1647" s="1">
        <f>IFERROR(__xludf.DUMMYFUNCTION("""COMPUTED_VALUE"""),56.41)</f>
        <v>56.41</v>
      </c>
      <c r="C1647" s="1">
        <f>IFERROR(__xludf.DUMMYFUNCTION("""COMPUTED_VALUE"""),56.99)</f>
        <v>56.99</v>
      </c>
      <c r="D1647" s="1">
        <f>IFERROR(__xludf.DUMMYFUNCTION("""COMPUTED_VALUE"""),56.18)</f>
        <v>56.18</v>
      </c>
      <c r="E1647" s="1">
        <f>IFERROR(__xludf.DUMMYFUNCTION("""COMPUTED_VALUE"""),56.61)</f>
        <v>56.61</v>
      </c>
      <c r="F1647" s="1">
        <f>IFERROR(__xludf.DUMMYFUNCTION("""COMPUTED_VALUE"""),5751700.0)</f>
        <v>5751700</v>
      </c>
    </row>
    <row r="1648">
      <c r="A1648" s="2">
        <f>IFERROR(__xludf.DUMMYFUNCTION("""COMPUTED_VALUE"""),38919.666666666664)</f>
        <v>38919.66667</v>
      </c>
      <c r="B1648" s="1">
        <f>IFERROR(__xludf.DUMMYFUNCTION("""COMPUTED_VALUE"""),56.85)</f>
        <v>56.85</v>
      </c>
      <c r="C1648" s="1">
        <f>IFERROR(__xludf.DUMMYFUNCTION("""COMPUTED_VALUE"""),56.98)</f>
        <v>56.98</v>
      </c>
      <c r="D1648" s="1">
        <f>IFERROR(__xludf.DUMMYFUNCTION("""COMPUTED_VALUE"""),55.92)</f>
        <v>55.92</v>
      </c>
      <c r="E1648" s="1">
        <f>IFERROR(__xludf.DUMMYFUNCTION("""COMPUTED_VALUE"""),56.07)</f>
        <v>56.07</v>
      </c>
      <c r="F1648" s="1">
        <f>IFERROR(__xludf.DUMMYFUNCTION("""COMPUTED_VALUE"""),8014400.0)</f>
        <v>8014400</v>
      </c>
    </row>
    <row r="1649">
      <c r="A1649" s="2">
        <f>IFERROR(__xludf.DUMMYFUNCTION("""COMPUTED_VALUE"""),38922.666666666664)</f>
        <v>38922.66667</v>
      </c>
      <c r="B1649" s="1">
        <f>IFERROR(__xludf.DUMMYFUNCTION("""COMPUTED_VALUE"""),56.35)</f>
        <v>56.35</v>
      </c>
      <c r="C1649" s="1">
        <f>IFERROR(__xludf.DUMMYFUNCTION("""COMPUTED_VALUE"""),56.99)</f>
        <v>56.99</v>
      </c>
      <c r="D1649" s="1">
        <f>IFERROR(__xludf.DUMMYFUNCTION("""COMPUTED_VALUE"""),56.15)</f>
        <v>56.15</v>
      </c>
      <c r="E1649" s="1">
        <f>IFERROR(__xludf.DUMMYFUNCTION("""COMPUTED_VALUE"""),56.9)</f>
        <v>56.9</v>
      </c>
      <c r="F1649" s="1">
        <f>IFERROR(__xludf.DUMMYFUNCTION("""COMPUTED_VALUE"""),4482400.0)</f>
        <v>4482400</v>
      </c>
    </row>
    <row r="1650">
      <c r="A1650" s="2">
        <f>IFERROR(__xludf.DUMMYFUNCTION("""COMPUTED_VALUE"""),38923.666666666664)</f>
        <v>38923.66667</v>
      </c>
      <c r="B1650" s="1">
        <f>IFERROR(__xludf.DUMMYFUNCTION("""COMPUTED_VALUE"""),56.6)</f>
        <v>56.6</v>
      </c>
      <c r="C1650" s="1">
        <f>IFERROR(__xludf.DUMMYFUNCTION("""COMPUTED_VALUE"""),57.25)</f>
        <v>57.25</v>
      </c>
      <c r="D1650" s="1">
        <f>IFERROR(__xludf.DUMMYFUNCTION("""COMPUTED_VALUE"""),56.22)</f>
        <v>56.22</v>
      </c>
      <c r="E1650" s="1">
        <f>IFERROR(__xludf.DUMMYFUNCTION("""COMPUTED_VALUE"""),56.88)</f>
        <v>56.88</v>
      </c>
      <c r="F1650" s="1">
        <f>IFERROR(__xludf.DUMMYFUNCTION("""COMPUTED_VALUE"""),6701600.0)</f>
        <v>6701600</v>
      </c>
    </row>
    <row r="1651">
      <c r="A1651" s="2">
        <f>IFERROR(__xludf.DUMMYFUNCTION("""COMPUTED_VALUE"""),38924.666666666664)</f>
        <v>38924.66667</v>
      </c>
      <c r="B1651" s="1">
        <f>IFERROR(__xludf.DUMMYFUNCTION("""COMPUTED_VALUE"""),56.65)</f>
        <v>56.65</v>
      </c>
      <c r="C1651" s="1">
        <f>IFERROR(__xludf.DUMMYFUNCTION("""COMPUTED_VALUE"""),56.77)</f>
        <v>56.77</v>
      </c>
      <c r="D1651" s="1">
        <f>IFERROR(__xludf.DUMMYFUNCTION("""COMPUTED_VALUE"""),56.31)</f>
        <v>56.31</v>
      </c>
      <c r="E1651" s="1">
        <f>IFERROR(__xludf.DUMMYFUNCTION("""COMPUTED_VALUE"""),56.67)</f>
        <v>56.67</v>
      </c>
      <c r="F1651" s="1">
        <f>IFERROR(__xludf.DUMMYFUNCTION("""COMPUTED_VALUE"""),7223500.0)</f>
        <v>7223500</v>
      </c>
    </row>
    <row r="1652">
      <c r="A1652" s="2">
        <f>IFERROR(__xludf.DUMMYFUNCTION("""COMPUTED_VALUE"""),38925.666666666664)</f>
        <v>38925.66667</v>
      </c>
      <c r="B1652" s="1">
        <f>IFERROR(__xludf.DUMMYFUNCTION("""COMPUTED_VALUE"""),56.85)</f>
        <v>56.85</v>
      </c>
      <c r="C1652" s="1">
        <f>IFERROR(__xludf.DUMMYFUNCTION("""COMPUTED_VALUE"""),56.99)</f>
        <v>56.99</v>
      </c>
      <c r="D1652" s="1">
        <f>IFERROR(__xludf.DUMMYFUNCTION("""COMPUTED_VALUE"""),56.4)</f>
        <v>56.4</v>
      </c>
      <c r="E1652" s="1">
        <f>IFERROR(__xludf.DUMMYFUNCTION("""COMPUTED_VALUE"""),56.44)</f>
        <v>56.44</v>
      </c>
      <c r="F1652" s="1">
        <f>IFERROR(__xludf.DUMMYFUNCTION("""COMPUTED_VALUE"""),5575300.0)</f>
        <v>5575300</v>
      </c>
    </row>
    <row r="1653">
      <c r="A1653" s="2">
        <f>IFERROR(__xludf.DUMMYFUNCTION("""COMPUTED_VALUE"""),38926.666666666664)</f>
        <v>38926.66667</v>
      </c>
      <c r="B1653" s="1">
        <f>IFERROR(__xludf.DUMMYFUNCTION("""COMPUTED_VALUE"""),56.87)</f>
        <v>56.87</v>
      </c>
      <c r="C1653" s="1">
        <f>IFERROR(__xludf.DUMMYFUNCTION("""COMPUTED_VALUE"""),57.23)</f>
        <v>57.23</v>
      </c>
      <c r="D1653" s="1">
        <f>IFERROR(__xludf.DUMMYFUNCTION("""COMPUTED_VALUE"""),56.66)</f>
        <v>56.66</v>
      </c>
      <c r="E1653" s="1">
        <f>IFERROR(__xludf.DUMMYFUNCTION("""COMPUTED_VALUE"""),56.81)</f>
        <v>56.81</v>
      </c>
      <c r="F1653" s="1">
        <f>IFERROR(__xludf.DUMMYFUNCTION("""COMPUTED_VALUE"""),5886700.0)</f>
        <v>5886700</v>
      </c>
    </row>
    <row r="1654">
      <c r="A1654" s="2">
        <f>IFERROR(__xludf.DUMMYFUNCTION("""COMPUTED_VALUE"""),38929.666666666664)</f>
        <v>38929.66667</v>
      </c>
      <c r="B1654" s="1">
        <f>IFERROR(__xludf.DUMMYFUNCTION("""COMPUTED_VALUE"""),56.41)</f>
        <v>56.41</v>
      </c>
      <c r="C1654" s="1">
        <f>IFERROR(__xludf.DUMMYFUNCTION("""COMPUTED_VALUE"""),56.66)</f>
        <v>56.66</v>
      </c>
      <c r="D1654" s="1">
        <f>IFERROR(__xludf.DUMMYFUNCTION("""COMPUTED_VALUE"""),56.07)</f>
        <v>56.07</v>
      </c>
      <c r="E1654" s="1">
        <f>IFERROR(__xludf.DUMMYFUNCTION("""COMPUTED_VALUE"""),56.2)</f>
        <v>56.2</v>
      </c>
      <c r="F1654" s="1">
        <f>IFERROR(__xludf.DUMMYFUNCTION("""COMPUTED_VALUE"""),7592900.0)</f>
        <v>7592900</v>
      </c>
    </row>
    <row r="1655">
      <c r="A1655" s="2">
        <f>IFERROR(__xludf.DUMMYFUNCTION("""COMPUTED_VALUE"""),38930.666666666664)</f>
        <v>38930.66667</v>
      </c>
      <c r="B1655" s="1">
        <f>IFERROR(__xludf.DUMMYFUNCTION("""COMPUTED_VALUE"""),56.0)</f>
        <v>56</v>
      </c>
      <c r="C1655" s="1">
        <f>IFERROR(__xludf.DUMMYFUNCTION("""COMPUTED_VALUE"""),56.07)</f>
        <v>56.07</v>
      </c>
      <c r="D1655" s="1">
        <f>IFERROR(__xludf.DUMMYFUNCTION("""COMPUTED_VALUE"""),55.7)</f>
        <v>55.7</v>
      </c>
      <c r="E1655" s="1">
        <f>IFERROR(__xludf.DUMMYFUNCTION("""COMPUTED_VALUE"""),55.93)</f>
        <v>55.93</v>
      </c>
      <c r="F1655" s="1">
        <f>IFERROR(__xludf.DUMMYFUNCTION("""COMPUTED_VALUE"""),5851700.0)</f>
        <v>5851700</v>
      </c>
    </row>
    <row r="1656">
      <c r="A1656" s="2">
        <f>IFERROR(__xludf.DUMMYFUNCTION("""COMPUTED_VALUE"""),38931.666666666664)</f>
        <v>38931.66667</v>
      </c>
      <c r="B1656" s="1">
        <f>IFERROR(__xludf.DUMMYFUNCTION("""COMPUTED_VALUE"""),57.98)</f>
        <v>57.98</v>
      </c>
      <c r="C1656" s="1">
        <f>IFERROR(__xludf.DUMMYFUNCTION("""COMPUTED_VALUE"""),58.9)</f>
        <v>58.9</v>
      </c>
      <c r="D1656" s="1">
        <f>IFERROR(__xludf.DUMMYFUNCTION("""COMPUTED_VALUE"""),57.47)</f>
        <v>57.47</v>
      </c>
      <c r="E1656" s="1">
        <f>IFERROR(__xludf.DUMMYFUNCTION("""COMPUTED_VALUE"""),58.29)</f>
        <v>58.29</v>
      </c>
      <c r="F1656" s="1">
        <f>IFERROR(__xludf.DUMMYFUNCTION("""COMPUTED_VALUE"""),1.77081E7)</f>
        <v>17708100</v>
      </c>
    </row>
    <row r="1657">
      <c r="A1657" s="2">
        <f>IFERROR(__xludf.DUMMYFUNCTION("""COMPUTED_VALUE"""),38932.666666666664)</f>
        <v>38932.66667</v>
      </c>
      <c r="B1657" s="1">
        <f>IFERROR(__xludf.DUMMYFUNCTION("""COMPUTED_VALUE"""),58.46)</f>
        <v>58.46</v>
      </c>
      <c r="C1657" s="1">
        <f>IFERROR(__xludf.DUMMYFUNCTION("""COMPUTED_VALUE"""),59.69)</f>
        <v>59.69</v>
      </c>
      <c r="D1657" s="1">
        <f>IFERROR(__xludf.DUMMYFUNCTION("""COMPUTED_VALUE"""),58.13)</f>
        <v>58.13</v>
      </c>
      <c r="E1657" s="1">
        <f>IFERROR(__xludf.DUMMYFUNCTION("""COMPUTED_VALUE"""),59.45)</f>
        <v>59.45</v>
      </c>
      <c r="F1657" s="1">
        <f>IFERROR(__xludf.DUMMYFUNCTION("""COMPUTED_VALUE"""),1.23705E7)</f>
        <v>12370500</v>
      </c>
    </row>
    <row r="1658">
      <c r="A1658" s="2">
        <f>IFERROR(__xludf.DUMMYFUNCTION("""COMPUTED_VALUE"""),38933.666666666664)</f>
        <v>38933.66667</v>
      </c>
      <c r="B1658" s="1">
        <f>IFERROR(__xludf.DUMMYFUNCTION("""COMPUTED_VALUE"""),59.59)</f>
        <v>59.59</v>
      </c>
      <c r="C1658" s="1">
        <f>IFERROR(__xludf.DUMMYFUNCTION("""COMPUTED_VALUE"""),59.76)</f>
        <v>59.76</v>
      </c>
      <c r="D1658" s="1">
        <f>IFERROR(__xludf.DUMMYFUNCTION("""COMPUTED_VALUE"""),59.09)</f>
        <v>59.09</v>
      </c>
      <c r="E1658" s="1">
        <f>IFERROR(__xludf.DUMMYFUNCTION("""COMPUTED_VALUE"""),59.45)</f>
        <v>59.45</v>
      </c>
      <c r="F1658" s="1">
        <f>IFERROR(__xludf.DUMMYFUNCTION("""COMPUTED_VALUE"""),7888800.0)</f>
        <v>7888800</v>
      </c>
    </row>
    <row r="1659">
      <c r="A1659" s="2">
        <f>IFERROR(__xludf.DUMMYFUNCTION("""COMPUTED_VALUE"""),38936.666666666664)</f>
        <v>38936.66667</v>
      </c>
      <c r="B1659" s="1">
        <f>IFERROR(__xludf.DUMMYFUNCTION("""COMPUTED_VALUE"""),59.14)</f>
        <v>59.14</v>
      </c>
      <c r="C1659" s="1">
        <f>IFERROR(__xludf.DUMMYFUNCTION("""COMPUTED_VALUE"""),59.47)</f>
        <v>59.47</v>
      </c>
      <c r="D1659" s="1">
        <f>IFERROR(__xludf.DUMMYFUNCTION("""COMPUTED_VALUE"""),58.84)</f>
        <v>58.84</v>
      </c>
      <c r="E1659" s="1">
        <f>IFERROR(__xludf.DUMMYFUNCTION("""COMPUTED_VALUE"""),59.4)</f>
        <v>59.4</v>
      </c>
      <c r="F1659" s="1">
        <f>IFERROR(__xludf.DUMMYFUNCTION("""COMPUTED_VALUE"""),6377400.0)</f>
        <v>6377400</v>
      </c>
    </row>
    <row r="1660">
      <c r="A1660" s="2">
        <f>IFERROR(__xludf.DUMMYFUNCTION("""COMPUTED_VALUE"""),38937.666666666664)</f>
        <v>38937.66667</v>
      </c>
      <c r="B1660" s="1">
        <f>IFERROR(__xludf.DUMMYFUNCTION("""COMPUTED_VALUE"""),59.75)</f>
        <v>59.75</v>
      </c>
      <c r="C1660" s="1">
        <f>IFERROR(__xludf.DUMMYFUNCTION("""COMPUTED_VALUE"""),60.0)</f>
        <v>60</v>
      </c>
      <c r="D1660" s="1">
        <f>IFERROR(__xludf.DUMMYFUNCTION("""COMPUTED_VALUE"""),59.28)</f>
        <v>59.28</v>
      </c>
      <c r="E1660" s="1">
        <f>IFERROR(__xludf.DUMMYFUNCTION("""COMPUTED_VALUE"""),59.72)</f>
        <v>59.72</v>
      </c>
      <c r="F1660" s="1">
        <f>IFERROR(__xludf.DUMMYFUNCTION("""COMPUTED_VALUE"""),9319300.0)</f>
        <v>9319300</v>
      </c>
    </row>
    <row r="1661">
      <c r="A1661" s="2">
        <f>IFERROR(__xludf.DUMMYFUNCTION("""COMPUTED_VALUE"""),38938.666666666664)</f>
        <v>38938.66667</v>
      </c>
      <c r="B1661" s="1">
        <f>IFERROR(__xludf.DUMMYFUNCTION("""COMPUTED_VALUE"""),59.8)</f>
        <v>59.8</v>
      </c>
      <c r="C1661" s="1">
        <f>IFERROR(__xludf.DUMMYFUNCTION("""COMPUTED_VALUE"""),59.98)</f>
        <v>59.98</v>
      </c>
      <c r="D1661" s="1">
        <f>IFERROR(__xludf.DUMMYFUNCTION("""COMPUTED_VALUE"""),59.4)</f>
        <v>59.4</v>
      </c>
      <c r="E1661" s="1">
        <f>IFERROR(__xludf.DUMMYFUNCTION("""COMPUTED_VALUE"""),59.54)</f>
        <v>59.54</v>
      </c>
      <c r="F1661" s="1">
        <f>IFERROR(__xludf.DUMMYFUNCTION("""COMPUTED_VALUE"""),5617000.0)</f>
        <v>5617000</v>
      </c>
    </row>
    <row r="1662">
      <c r="A1662" s="2">
        <f>IFERROR(__xludf.DUMMYFUNCTION("""COMPUTED_VALUE"""),38939.666666666664)</f>
        <v>38939.66667</v>
      </c>
      <c r="B1662" s="1">
        <f>IFERROR(__xludf.DUMMYFUNCTION("""COMPUTED_VALUE"""),59.6)</f>
        <v>59.6</v>
      </c>
      <c r="C1662" s="1">
        <f>IFERROR(__xludf.DUMMYFUNCTION("""COMPUTED_VALUE"""),60.29)</f>
        <v>60.29</v>
      </c>
      <c r="D1662" s="1">
        <f>IFERROR(__xludf.DUMMYFUNCTION("""COMPUTED_VALUE"""),59.58)</f>
        <v>59.58</v>
      </c>
      <c r="E1662" s="1">
        <f>IFERROR(__xludf.DUMMYFUNCTION("""COMPUTED_VALUE"""),60.26)</f>
        <v>60.26</v>
      </c>
      <c r="F1662" s="1">
        <f>IFERROR(__xludf.DUMMYFUNCTION("""COMPUTED_VALUE"""),8648900.0)</f>
        <v>8648900</v>
      </c>
    </row>
    <row r="1663">
      <c r="A1663" s="2">
        <f>IFERROR(__xludf.DUMMYFUNCTION("""COMPUTED_VALUE"""),38940.666666666664)</f>
        <v>38940.66667</v>
      </c>
      <c r="B1663" s="1">
        <f>IFERROR(__xludf.DUMMYFUNCTION("""COMPUTED_VALUE"""),59.99)</f>
        <v>59.99</v>
      </c>
      <c r="C1663" s="1">
        <f>IFERROR(__xludf.DUMMYFUNCTION("""COMPUTED_VALUE"""),60.45)</f>
        <v>60.45</v>
      </c>
      <c r="D1663" s="1">
        <f>IFERROR(__xludf.DUMMYFUNCTION("""COMPUTED_VALUE"""),59.79)</f>
        <v>59.79</v>
      </c>
      <c r="E1663" s="1">
        <f>IFERROR(__xludf.DUMMYFUNCTION("""COMPUTED_VALUE"""),60.26)</f>
        <v>60.26</v>
      </c>
      <c r="F1663" s="1">
        <f>IFERROR(__xludf.DUMMYFUNCTION("""COMPUTED_VALUE"""),8092600.0)</f>
        <v>8092600</v>
      </c>
    </row>
    <row r="1664">
      <c r="A1664" s="2">
        <f>IFERROR(__xludf.DUMMYFUNCTION("""COMPUTED_VALUE"""),38943.666666666664)</f>
        <v>38943.66667</v>
      </c>
      <c r="B1664" s="1">
        <f>IFERROR(__xludf.DUMMYFUNCTION("""COMPUTED_VALUE"""),60.26)</f>
        <v>60.26</v>
      </c>
      <c r="C1664" s="1">
        <f>IFERROR(__xludf.DUMMYFUNCTION("""COMPUTED_VALUE"""),60.75)</f>
        <v>60.75</v>
      </c>
      <c r="D1664" s="1">
        <f>IFERROR(__xludf.DUMMYFUNCTION("""COMPUTED_VALUE"""),59.64)</f>
        <v>59.64</v>
      </c>
      <c r="E1664" s="1">
        <f>IFERROR(__xludf.DUMMYFUNCTION("""COMPUTED_VALUE"""),59.76)</f>
        <v>59.76</v>
      </c>
      <c r="F1664" s="1">
        <f>IFERROR(__xludf.DUMMYFUNCTION("""COMPUTED_VALUE"""),8069500.0)</f>
        <v>8069500</v>
      </c>
    </row>
    <row r="1665">
      <c r="A1665" s="2">
        <f>IFERROR(__xludf.DUMMYFUNCTION("""COMPUTED_VALUE"""),38944.666666666664)</f>
        <v>38944.66667</v>
      </c>
      <c r="B1665" s="1">
        <f>IFERROR(__xludf.DUMMYFUNCTION("""COMPUTED_VALUE"""),60.25)</f>
        <v>60.25</v>
      </c>
      <c r="C1665" s="1">
        <f>IFERROR(__xludf.DUMMYFUNCTION("""COMPUTED_VALUE"""),60.62)</f>
        <v>60.62</v>
      </c>
      <c r="D1665" s="1">
        <f>IFERROR(__xludf.DUMMYFUNCTION("""COMPUTED_VALUE"""),60.1)</f>
        <v>60.1</v>
      </c>
      <c r="E1665" s="1">
        <f>IFERROR(__xludf.DUMMYFUNCTION("""COMPUTED_VALUE"""),60.44)</f>
        <v>60.44</v>
      </c>
      <c r="F1665" s="1">
        <f>IFERROR(__xludf.DUMMYFUNCTION("""COMPUTED_VALUE"""),6944800.0)</f>
        <v>6944800</v>
      </c>
    </row>
    <row r="1666">
      <c r="A1666" s="2">
        <f>IFERROR(__xludf.DUMMYFUNCTION("""COMPUTED_VALUE"""),38945.666666666664)</f>
        <v>38945.66667</v>
      </c>
      <c r="B1666" s="1">
        <f>IFERROR(__xludf.DUMMYFUNCTION("""COMPUTED_VALUE"""),60.38)</f>
        <v>60.38</v>
      </c>
      <c r="C1666" s="1">
        <f>IFERROR(__xludf.DUMMYFUNCTION("""COMPUTED_VALUE"""),60.56)</f>
        <v>60.56</v>
      </c>
      <c r="D1666" s="1">
        <f>IFERROR(__xludf.DUMMYFUNCTION("""COMPUTED_VALUE"""),60.23)</f>
        <v>60.23</v>
      </c>
      <c r="E1666" s="1">
        <f>IFERROR(__xludf.DUMMYFUNCTION("""COMPUTED_VALUE"""),60.42)</f>
        <v>60.42</v>
      </c>
      <c r="F1666" s="1">
        <f>IFERROR(__xludf.DUMMYFUNCTION("""COMPUTED_VALUE"""),6605100.0)</f>
        <v>6605100</v>
      </c>
    </row>
    <row r="1667">
      <c r="A1667" s="2">
        <f>IFERROR(__xludf.DUMMYFUNCTION("""COMPUTED_VALUE"""),38946.666666666664)</f>
        <v>38946.66667</v>
      </c>
      <c r="B1667" s="1">
        <f>IFERROR(__xludf.DUMMYFUNCTION("""COMPUTED_VALUE"""),60.14)</f>
        <v>60.14</v>
      </c>
      <c r="C1667" s="1">
        <f>IFERROR(__xludf.DUMMYFUNCTION("""COMPUTED_VALUE"""),60.64)</f>
        <v>60.64</v>
      </c>
      <c r="D1667" s="1">
        <f>IFERROR(__xludf.DUMMYFUNCTION("""COMPUTED_VALUE"""),60.14)</f>
        <v>60.14</v>
      </c>
      <c r="E1667" s="1">
        <f>IFERROR(__xludf.DUMMYFUNCTION("""COMPUTED_VALUE"""),60.34)</f>
        <v>60.34</v>
      </c>
      <c r="F1667" s="1">
        <f>IFERROR(__xludf.DUMMYFUNCTION("""COMPUTED_VALUE"""),6589200.0)</f>
        <v>6589200</v>
      </c>
    </row>
    <row r="1668">
      <c r="A1668" s="2">
        <f>IFERROR(__xludf.DUMMYFUNCTION("""COMPUTED_VALUE"""),38947.666666666664)</f>
        <v>38947.66667</v>
      </c>
      <c r="B1668" s="1">
        <f>IFERROR(__xludf.DUMMYFUNCTION("""COMPUTED_VALUE"""),60.35)</f>
        <v>60.35</v>
      </c>
      <c r="C1668" s="1">
        <f>IFERROR(__xludf.DUMMYFUNCTION("""COMPUTED_VALUE"""),60.42)</f>
        <v>60.42</v>
      </c>
      <c r="D1668" s="1">
        <f>IFERROR(__xludf.DUMMYFUNCTION("""COMPUTED_VALUE"""),59.78)</f>
        <v>59.78</v>
      </c>
      <c r="E1668" s="1">
        <f>IFERROR(__xludf.DUMMYFUNCTION("""COMPUTED_VALUE"""),60.39)</f>
        <v>60.39</v>
      </c>
      <c r="F1668" s="1">
        <f>IFERROR(__xludf.DUMMYFUNCTION("""COMPUTED_VALUE"""),6865300.0)</f>
        <v>6865300</v>
      </c>
    </row>
    <row r="1669">
      <c r="A1669" s="2">
        <f>IFERROR(__xludf.DUMMYFUNCTION("""COMPUTED_VALUE"""),38950.666666666664)</f>
        <v>38950.66667</v>
      </c>
      <c r="B1669" s="1">
        <f>IFERROR(__xludf.DUMMYFUNCTION("""COMPUTED_VALUE"""),60.3)</f>
        <v>60.3</v>
      </c>
      <c r="C1669" s="1">
        <f>IFERROR(__xludf.DUMMYFUNCTION("""COMPUTED_VALUE"""),60.93)</f>
        <v>60.93</v>
      </c>
      <c r="D1669" s="1">
        <f>IFERROR(__xludf.DUMMYFUNCTION("""COMPUTED_VALUE"""),60.28)</f>
        <v>60.28</v>
      </c>
      <c r="E1669" s="1">
        <f>IFERROR(__xludf.DUMMYFUNCTION("""COMPUTED_VALUE"""),60.78)</f>
        <v>60.78</v>
      </c>
      <c r="F1669" s="1">
        <f>IFERROR(__xludf.DUMMYFUNCTION("""COMPUTED_VALUE"""),5296600.0)</f>
        <v>5296600</v>
      </c>
    </row>
    <row r="1670">
      <c r="A1670" s="2">
        <f>IFERROR(__xludf.DUMMYFUNCTION("""COMPUTED_VALUE"""),38951.666666666664)</f>
        <v>38951.66667</v>
      </c>
      <c r="B1670" s="1">
        <f>IFERROR(__xludf.DUMMYFUNCTION("""COMPUTED_VALUE"""),60.72)</f>
        <v>60.72</v>
      </c>
      <c r="C1670" s="1">
        <f>IFERROR(__xludf.DUMMYFUNCTION("""COMPUTED_VALUE"""),61.18)</f>
        <v>61.18</v>
      </c>
      <c r="D1670" s="1">
        <f>IFERROR(__xludf.DUMMYFUNCTION("""COMPUTED_VALUE"""),60.71)</f>
        <v>60.71</v>
      </c>
      <c r="E1670" s="1">
        <f>IFERROR(__xludf.DUMMYFUNCTION("""COMPUTED_VALUE"""),61.05)</f>
        <v>61.05</v>
      </c>
      <c r="F1670" s="1">
        <f>IFERROR(__xludf.DUMMYFUNCTION("""COMPUTED_VALUE"""),6521600.0)</f>
        <v>6521600</v>
      </c>
    </row>
    <row r="1671">
      <c r="A1671" s="2">
        <f>IFERROR(__xludf.DUMMYFUNCTION("""COMPUTED_VALUE"""),38952.666666666664)</f>
        <v>38952.66667</v>
      </c>
      <c r="B1671" s="1">
        <f>IFERROR(__xludf.DUMMYFUNCTION("""COMPUTED_VALUE"""),60.9)</f>
        <v>60.9</v>
      </c>
      <c r="C1671" s="1">
        <f>IFERROR(__xludf.DUMMYFUNCTION("""COMPUTED_VALUE"""),61.45)</f>
        <v>61.45</v>
      </c>
      <c r="D1671" s="1">
        <f>IFERROR(__xludf.DUMMYFUNCTION("""COMPUTED_VALUE"""),60.73)</f>
        <v>60.73</v>
      </c>
      <c r="E1671" s="1">
        <f>IFERROR(__xludf.DUMMYFUNCTION("""COMPUTED_VALUE"""),60.92)</f>
        <v>60.92</v>
      </c>
      <c r="F1671" s="1">
        <f>IFERROR(__xludf.DUMMYFUNCTION("""COMPUTED_VALUE"""),4850200.0)</f>
        <v>4850200</v>
      </c>
    </row>
    <row r="1672">
      <c r="A1672" s="2">
        <f>IFERROR(__xludf.DUMMYFUNCTION("""COMPUTED_VALUE"""),38953.666666666664)</f>
        <v>38953.66667</v>
      </c>
      <c r="B1672" s="1">
        <f>IFERROR(__xludf.DUMMYFUNCTION("""COMPUTED_VALUE"""),60.88)</f>
        <v>60.88</v>
      </c>
      <c r="C1672" s="1">
        <f>IFERROR(__xludf.DUMMYFUNCTION("""COMPUTED_VALUE"""),61.38)</f>
        <v>61.38</v>
      </c>
      <c r="D1672" s="1">
        <f>IFERROR(__xludf.DUMMYFUNCTION("""COMPUTED_VALUE"""),60.82)</f>
        <v>60.82</v>
      </c>
      <c r="E1672" s="1">
        <f>IFERROR(__xludf.DUMMYFUNCTION("""COMPUTED_VALUE"""),61.05)</f>
        <v>61.05</v>
      </c>
      <c r="F1672" s="1">
        <f>IFERROR(__xludf.DUMMYFUNCTION("""COMPUTED_VALUE"""),5346300.0)</f>
        <v>5346300</v>
      </c>
    </row>
    <row r="1673">
      <c r="A1673" s="2">
        <f>IFERROR(__xludf.DUMMYFUNCTION("""COMPUTED_VALUE"""),38954.666666666664)</f>
        <v>38954.66667</v>
      </c>
      <c r="B1673" s="1">
        <f>IFERROR(__xludf.DUMMYFUNCTION("""COMPUTED_VALUE"""),60.83)</f>
        <v>60.83</v>
      </c>
      <c r="C1673" s="1">
        <f>IFERROR(__xludf.DUMMYFUNCTION("""COMPUTED_VALUE"""),61.17)</f>
        <v>61.17</v>
      </c>
      <c r="D1673" s="1">
        <f>IFERROR(__xludf.DUMMYFUNCTION("""COMPUTED_VALUE"""),60.82)</f>
        <v>60.82</v>
      </c>
      <c r="E1673" s="1">
        <f>IFERROR(__xludf.DUMMYFUNCTION("""COMPUTED_VALUE"""),60.87)</f>
        <v>60.87</v>
      </c>
      <c r="F1673" s="1">
        <f>IFERROR(__xludf.DUMMYFUNCTION("""COMPUTED_VALUE"""),4492800.0)</f>
        <v>4492800</v>
      </c>
    </row>
    <row r="1674">
      <c r="A1674" s="2">
        <f>IFERROR(__xludf.DUMMYFUNCTION("""COMPUTED_VALUE"""),38957.666666666664)</f>
        <v>38957.66667</v>
      </c>
      <c r="B1674" s="1">
        <f>IFERROR(__xludf.DUMMYFUNCTION("""COMPUTED_VALUE"""),60.42)</f>
        <v>60.42</v>
      </c>
      <c r="C1674" s="1">
        <f>IFERROR(__xludf.DUMMYFUNCTION("""COMPUTED_VALUE"""),61.22)</f>
        <v>61.22</v>
      </c>
      <c r="D1674" s="1">
        <f>IFERROR(__xludf.DUMMYFUNCTION("""COMPUTED_VALUE"""),60.22)</f>
        <v>60.22</v>
      </c>
      <c r="E1674" s="1">
        <f>IFERROR(__xludf.DUMMYFUNCTION("""COMPUTED_VALUE"""),60.98)</f>
        <v>60.98</v>
      </c>
      <c r="F1674" s="1">
        <f>IFERROR(__xludf.DUMMYFUNCTION("""COMPUTED_VALUE"""),6248600.0)</f>
        <v>6248600</v>
      </c>
    </row>
    <row r="1675">
      <c r="A1675" s="2">
        <f>IFERROR(__xludf.DUMMYFUNCTION("""COMPUTED_VALUE"""),38958.666666666664)</f>
        <v>38958.66667</v>
      </c>
      <c r="B1675" s="1">
        <f>IFERROR(__xludf.DUMMYFUNCTION("""COMPUTED_VALUE"""),61.0)</f>
        <v>61</v>
      </c>
      <c r="C1675" s="1">
        <f>IFERROR(__xludf.DUMMYFUNCTION("""COMPUTED_VALUE"""),61.39)</f>
        <v>61.39</v>
      </c>
      <c r="D1675" s="1">
        <f>IFERROR(__xludf.DUMMYFUNCTION("""COMPUTED_VALUE"""),60.76)</f>
        <v>60.76</v>
      </c>
      <c r="E1675" s="1">
        <f>IFERROR(__xludf.DUMMYFUNCTION("""COMPUTED_VALUE"""),61.2)</f>
        <v>61.2</v>
      </c>
      <c r="F1675" s="1">
        <f>IFERROR(__xludf.DUMMYFUNCTION("""COMPUTED_VALUE"""),4940800.0)</f>
        <v>4940800</v>
      </c>
    </row>
    <row r="1676">
      <c r="A1676" s="2">
        <f>IFERROR(__xludf.DUMMYFUNCTION("""COMPUTED_VALUE"""),38959.666666666664)</f>
        <v>38959.66667</v>
      </c>
      <c r="B1676" s="1">
        <f>IFERROR(__xludf.DUMMYFUNCTION("""COMPUTED_VALUE"""),61.45)</f>
        <v>61.45</v>
      </c>
      <c r="C1676" s="1">
        <f>IFERROR(__xludf.DUMMYFUNCTION("""COMPUTED_VALUE"""),62.03)</f>
        <v>62.03</v>
      </c>
      <c r="D1676" s="1">
        <f>IFERROR(__xludf.DUMMYFUNCTION("""COMPUTED_VALUE"""),61.4)</f>
        <v>61.4</v>
      </c>
      <c r="E1676" s="1">
        <f>IFERROR(__xludf.DUMMYFUNCTION("""COMPUTED_VALUE"""),61.75)</f>
        <v>61.75</v>
      </c>
      <c r="F1676" s="1">
        <f>IFERROR(__xludf.DUMMYFUNCTION("""COMPUTED_VALUE"""),8797700.0)</f>
        <v>8797700</v>
      </c>
    </row>
    <row r="1677">
      <c r="A1677" s="2">
        <f>IFERROR(__xludf.DUMMYFUNCTION("""COMPUTED_VALUE"""),38960.666666666664)</f>
        <v>38960.66667</v>
      </c>
      <c r="B1677" s="1">
        <f>IFERROR(__xludf.DUMMYFUNCTION("""COMPUTED_VALUE"""),61.57)</f>
        <v>61.57</v>
      </c>
      <c r="C1677" s="1">
        <f>IFERROR(__xludf.DUMMYFUNCTION("""COMPUTED_VALUE"""),62.03)</f>
        <v>62.03</v>
      </c>
      <c r="D1677" s="1">
        <f>IFERROR(__xludf.DUMMYFUNCTION("""COMPUTED_VALUE"""),61.55)</f>
        <v>61.55</v>
      </c>
      <c r="E1677" s="1">
        <f>IFERROR(__xludf.DUMMYFUNCTION("""COMPUTED_VALUE"""),61.9)</f>
        <v>61.9</v>
      </c>
      <c r="F1677" s="1">
        <f>IFERROR(__xludf.DUMMYFUNCTION("""COMPUTED_VALUE"""),6514600.0)</f>
        <v>6514600</v>
      </c>
    </row>
    <row r="1678">
      <c r="A1678" s="2">
        <f>IFERROR(__xludf.DUMMYFUNCTION("""COMPUTED_VALUE"""),38961.666666666664)</f>
        <v>38961.66667</v>
      </c>
      <c r="B1678" s="1">
        <f>IFERROR(__xludf.DUMMYFUNCTION("""COMPUTED_VALUE"""),61.99)</f>
        <v>61.99</v>
      </c>
      <c r="C1678" s="1">
        <f>IFERROR(__xludf.DUMMYFUNCTION("""COMPUTED_VALUE"""),62.09)</f>
        <v>62.09</v>
      </c>
      <c r="D1678" s="1">
        <f>IFERROR(__xludf.DUMMYFUNCTION("""COMPUTED_VALUE"""),61.75)</f>
        <v>61.75</v>
      </c>
      <c r="E1678" s="1">
        <f>IFERROR(__xludf.DUMMYFUNCTION("""COMPUTED_VALUE"""),61.91)</f>
        <v>61.91</v>
      </c>
      <c r="F1678" s="1">
        <f>IFERROR(__xludf.DUMMYFUNCTION("""COMPUTED_VALUE"""),4132300.0)</f>
        <v>4132300</v>
      </c>
    </row>
    <row r="1679">
      <c r="A1679" s="2">
        <f>IFERROR(__xludf.DUMMYFUNCTION("""COMPUTED_VALUE"""),38965.666666666664)</f>
        <v>38965.66667</v>
      </c>
      <c r="B1679" s="1">
        <f>IFERROR(__xludf.DUMMYFUNCTION("""COMPUTED_VALUE"""),61.5)</f>
        <v>61.5</v>
      </c>
      <c r="C1679" s="1">
        <f>IFERROR(__xludf.DUMMYFUNCTION("""COMPUTED_VALUE"""),61.69)</f>
        <v>61.69</v>
      </c>
      <c r="D1679" s="1">
        <f>IFERROR(__xludf.DUMMYFUNCTION("""COMPUTED_VALUE"""),61.19)</f>
        <v>61.19</v>
      </c>
      <c r="E1679" s="1">
        <f>IFERROR(__xludf.DUMMYFUNCTION("""COMPUTED_VALUE"""),61.56)</f>
        <v>61.56</v>
      </c>
      <c r="F1679" s="1">
        <f>IFERROR(__xludf.DUMMYFUNCTION("""COMPUTED_VALUE"""),6288700.0)</f>
        <v>6288700</v>
      </c>
    </row>
    <row r="1680">
      <c r="A1680" s="2">
        <f>IFERROR(__xludf.DUMMYFUNCTION("""COMPUTED_VALUE"""),38966.666666666664)</f>
        <v>38966.66667</v>
      </c>
      <c r="B1680" s="1">
        <f>IFERROR(__xludf.DUMMYFUNCTION("""COMPUTED_VALUE"""),61.56)</f>
        <v>61.56</v>
      </c>
      <c r="C1680" s="1">
        <f>IFERROR(__xludf.DUMMYFUNCTION("""COMPUTED_VALUE"""),61.67)</f>
        <v>61.67</v>
      </c>
      <c r="D1680" s="1">
        <f>IFERROR(__xludf.DUMMYFUNCTION("""COMPUTED_VALUE"""),61.14)</f>
        <v>61.14</v>
      </c>
      <c r="E1680" s="1">
        <f>IFERROR(__xludf.DUMMYFUNCTION("""COMPUTED_VALUE"""),61.44)</f>
        <v>61.44</v>
      </c>
      <c r="F1680" s="1">
        <f>IFERROR(__xludf.DUMMYFUNCTION("""COMPUTED_VALUE"""),4595800.0)</f>
        <v>4595800</v>
      </c>
    </row>
    <row r="1681">
      <c r="A1681" s="2">
        <f>IFERROR(__xludf.DUMMYFUNCTION("""COMPUTED_VALUE"""),38967.666666666664)</f>
        <v>38967.66667</v>
      </c>
      <c r="B1681" s="1">
        <f>IFERROR(__xludf.DUMMYFUNCTION("""COMPUTED_VALUE"""),61.89)</f>
        <v>61.89</v>
      </c>
      <c r="C1681" s="1">
        <f>IFERROR(__xludf.DUMMYFUNCTION("""COMPUTED_VALUE"""),62.03)</f>
        <v>62.03</v>
      </c>
      <c r="D1681" s="1">
        <f>IFERROR(__xludf.DUMMYFUNCTION("""COMPUTED_VALUE"""),61.34)</f>
        <v>61.34</v>
      </c>
      <c r="E1681" s="1">
        <f>IFERROR(__xludf.DUMMYFUNCTION("""COMPUTED_VALUE"""),61.53)</f>
        <v>61.53</v>
      </c>
      <c r="F1681" s="1">
        <f>IFERROR(__xludf.DUMMYFUNCTION("""COMPUTED_VALUE"""),7174100.0)</f>
        <v>7174100</v>
      </c>
    </row>
    <row r="1682">
      <c r="A1682" s="2">
        <f>IFERROR(__xludf.DUMMYFUNCTION("""COMPUTED_VALUE"""),38968.666666666664)</f>
        <v>38968.66667</v>
      </c>
      <c r="B1682" s="1">
        <f>IFERROR(__xludf.DUMMYFUNCTION("""COMPUTED_VALUE"""),62.34)</f>
        <v>62.34</v>
      </c>
      <c r="C1682" s="1">
        <f>IFERROR(__xludf.DUMMYFUNCTION("""COMPUTED_VALUE"""),62.34)</f>
        <v>62.34</v>
      </c>
      <c r="D1682" s="1">
        <f>IFERROR(__xludf.DUMMYFUNCTION("""COMPUTED_VALUE"""),61.1)</f>
        <v>61.1</v>
      </c>
      <c r="E1682" s="1">
        <f>IFERROR(__xludf.DUMMYFUNCTION("""COMPUTED_VALUE"""),61.14)</f>
        <v>61.14</v>
      </c>
      <c r="F1682" s="1">
        <f>IFERROR(__xludf.DUMMYFUNCTION("""COMPUTED_VALUE"""),5725900.0)</f>
        <v>5725900</v>
      </c>
    </row>
    <row r="1683">
      <c r="A1683" s="2">
        <f>IFERROR(__xludf.DUMMYFUNCTION("""COMPUTED_VALUE"""),38971.666666666664)</f>
        <v>38971.66667</v>
      </c>
      <c r="B1683" s="1">
        <f>IFERROR(__xludf.DUMMYFUNCTION("""COMPUTED_VALUE"""),61.1)</f>
        <v>61.1</v>
      </c>
      <c r="C1683" s="1">
        <f>IFERROR(__xludf.DUMMYFUNCTION("""COMPUTED_VALUE"""),62.1)</f>
        <v>62.1</v>
      </c>
      <c r="D1683" s="1">
        <f>IFERROR(__xludf.DUMMYFUNCTION("""COMPUTED_VALUE"""),61.09)</f>
        <v>61.09</v>
      </c>
      <c r="E1683" s="1">
        <f>IFERROR(__xludf.DUMMYFUNCTION("""COMPUTED_VALUE"""),61.92)</f>
        <v>61.92</v>
      </c>
      <c r="F1683" s="1">
        <f>IFERROR(__xludf.DUMMYFUNCTION("""COMPUTED_VALUE"""),9152200.0)</f>
        <v>9152200</v>
      </c>
    </row>
    <row r="1684">
      <c r="A1684" s="2">
        <f>IFERROR(__xludf.DUMMYFUNCTION("""COMPUTED_VALUE"""),38972.666666666664)</f>
        <v>38972.66667</v>
      </c>
      <c r="B1684" s="1">
        <f>IFERROR(__xludf.DUMMYFUNCTION("""COMPUTED_VALUE"""),61.92)</f>
        <v>61.92</v>
      </c>
      <c r="C1684" s="1">
        <f>IFERROR(__xludf.DUMMYFUNCTION("""COMPUTED_VALUE"""),62.18)</f>
        <v>62.18</v>
      </c>
      <c r="D1684" s="1">
        <f>IFERROR(__xludf.DUMMYFUNCTION("""COMPUTED_VALUE"""),61.75)</f>
        <v>61.75</v>
      </c>
      <c r="E1684" s="1">
        <f>IFERROR(__xludf.DUMMYFUNCTION("""COMPUTED_VALUE"""),61.85)</f>
        <v>61.85</v>
      </c>
      <c r="F1684" s="1">
        <f>IFERROR(__xludf.DUMMYFUNCTION("""COMPUTED_VALUE"""),5626800.0)</f>
        <v>5626800</v>
      </c>
    </row>
    <row r="1685">
      <c r="A1685" s="2">
        <f>IFERROR(__xludf.DUMMYFUNCTION("""COMPUTED_VALUE"""),38973.666666666664)</f>
        <v>38973.66667</v>
      </c>
      <c r="B1685" s="1">
        <f>IFERROR(__xludf.DUMMYFUNCTION("""COMPUTED_VALUE"""),61.83)</f>
        <v>61.83</v>
      </c>
      <c r="C1685" s="1">
        <f>IFERROR(__xludf.DUMMYFUNCTION("""COMPUTED_VALUE"""),61.85)</f>
        <v>61.85</v>
      </c>
      <c r="D1685" s="1">
        <f>IFERROR(__xludf.DUMMYFUNCTION("""COMPUTED_VALUE"""),60.42)</f>
        <v>60.42</v>
      </c>
      <c r="E1685" s="1">
        <f>IFERROR(__xludf.DUMMYFUNCTION("""COMPUTED_VALUE"""),60.56)</f>
        <v>60.56</v>
      </c>
      <c r="F1685" s="1">
        <f>IFERROR(__xludf.DUMMYFUNCTION("""COMPUTED_VALUE"""),1.10581E7)</f>
        <v>11058100</v>
      </c>
    </row>
    <row r="1686">
      <c r="A1686" s="2">
        <f>IFERROR(__xludf.DUMMYFUNCTION("""COMPUTED_VALUE"""),38974.666666666664)</f>
        <v>38974.66667</v>
      </c>
      <c r="B1686" s="1">
        <f>IFERROR(__xludf.DUMMYFUNCTION("""COMPUTED_VALUE"""),60.05)</f>
        <v>60.05</v>
      </c>
      <c r="C1686" s="1">
        <f>IFERROR(__xludf.DUMMYFUNCTION("""COMPUTED_VALUE"""),60.97)</f>
        <v>60.97</v>
      </c>
      <c r="D1686" s="1">
        <f>IFERROR(__xludf.DUMMYFUNCTION("""COMPUTED_VALUE"""),59.83)</f>
        <v>59.83</v>
      </c>
      <c r="E1686" s="1">
        <f>IFERROR(__xludf.DUMMYFUNCTION("""COMPUTED_VALUE"""),60.77)</f>
        <v>60.77</v>
      </c>
      <c r="F1686" s="1">
        <f>IFERROR(__xludf.DUMMYFUNCTION("""COMPUTED_VALUE"""),8959600.0)</f>
        <v>8959600</v>
      </c>
    </row>
    <row r="1687">
      <c r="A1687" s="2">
        <f>IFERROR(__xludf.DUMMYFUNCTION("""COMPUTED_VALUE"""),38975.666666666664)</f>
        <v>38975.66667</v>
      </c>
      <c r="B1687" s="1">
        <f>IFERROR(__xludf.DUMMYFUNCTION("""COMPUTED_VALUE"""),61.1)</f>
        <v>61.1</v>
      </c>
      <c r="C1687" s="1">
        <f>IFERROR(__xludf.DUMMYFUNCTION("""COMPUTED_VALUE"""),61.75)</f>
        <v>61.75</v>
      </c>
      <c r="D1687" s="1">
        <f>IFERROR(__xludf.DUMMYFUNCTION("""COMPUTED_VALUE"""),60.9)</f>
        <v>60.9</v>
      </c>
      <c r="E1687" s="1">
        <f>IFERROR(__xludf.DUMMYFUNCTION("""COMPUTED_VALUE"""),60.9)</f>
        <v>60.9</v>
      </c>
      <c r="F1687" s="1">
        <f>IFERROR(__xludf.DUMMYFUNCTION("""COMPUTED_VALUE"""),1.7544E7)</f>
        <v>17544000</v>
      </c>
    </row>
    <row r="1688">
      <c r="A1688" s="2">
        <f>IFERROR(__xludf.DUMMYFUNCTION("""COMPUTED_VALUE"""),38978.666666666664)</f>
        <v>38978.66667</v>
      </c>
      <c r="B1688" s="1">
        <f>IFERROR(__xludf.DUMMYFUNCTION("""COMPUTED_VALUE"""),60.73)</f>
        <v>60.73</v>
      </c>
      <c r="C1688" s="1">
        <f>IFERROR(__xludf.DUMMYFUNCTION("""COMPUTED_VALUE"""),60.98)</f>
        <v>60.98</v>
      </c>
      <c r="D1688" s="1">
        <f>IFERROR(__xludf.DUMMYFUNCTION("""COMPUTED_VALUE"""),60.44)</f>
        <v>60.44</v>
      </c>
      <c r="E1688" s="1">
        <f>IFERROR(__xludf.DUMMYFUNCTION("""COMPUTED_VALUE"""),60.5)</f>
        <v>60.5</v>
      </c>
      <c r="F1688" s="1">
        <f>IFERROR(__xludf.DUMMYFUNCTION("""COMPUTED_VALUE"""),6676300.0)</f>
        <v>6676300</v>
      </c>
    </row>
    <row r="1689">
      <c r="A1689" s="2">
        <f>IFERROR(__xludf.DUMMYFUNCTION("""COMPUTED_VALUE"""),38979.666666666664)</f>
        <v>38979.66667</v>
      </c>
      <c r="B1689" s="1">
        <f>IFERROR(__xludf.DUMMYFUNCTION("""COMPUTED_VALUE"""),60.45)</f>
        <v>60.45</v>
      </c>
      <c r="C1689" s="1">
        <f>IFERROR(__xludf.DUMMYFUNCTION("""COMPUTED_VALUE"""),60.93)</f>
        <v>60.93</v>
      </c>
      <c r="D1689" s="1">
        <f>IFERROR(__xludf.DUMMYFUNCTION("""COMPUTED_VALUE"""),60.21)</f>
        <v>60.21</v>
      </c>
      <c r="E1689" s="1">
        <f>IFERROR(__xludf.DUMMYFUNCTION("""COMPUTED_VALUE"""),60.91)</f>
        <v>60.91</v>
      </c>
      <c r="F1689" s="1">
        <f>IFERROR(__xludf.DUMMYFUNCTION("""COMPUTED_VALUE"""),7318100.0)</f>
        <v>7318100</v>
      </c>
    </row>
    <row r="1690">
      <c r="A1690" s="2">
        <f>IFERROR(__xludf.DUMMYFUNCTION("""COMPUTED_VALUE"""),38980.666666666664)</f>
        <v>38980.66667</v>
      </c>
      <c r="B1690" s="1">
        <f>IFERROR(__xludf.DUMMYFUNCTION("""COMPUTED_VALUE"""),61.1)</f>
        <v>61.1</v>
      </c>
      <c r="C1690" s="1">
        <f>IFERROR(__xludf.DUMMYFUNCTION("""COMPUTED_VALUE"""),61.78)</f>
        <v>61.78</v>
      </c>
      <c r="D1690" s="1">
        <f>IFERROR(__xludf.DUMMYFUNCTION("""COMPUTED_VALUE"""),60.76)</f>
        <v>60.76</v>
      </c>
      <c r="E1690" s="1">
        <f>IFERROR(__xludf.DUMMYFUNCTION("""COMPUTED_VALUE"""),61.63)</f>
        <v>61.63</v>
      </c>
      <c r="F1690" s="1">
        <f>IFERROR(__xludf.DUMMYFUNCTION("""COMPUTED_VALUE"""),6997800.0)</f>
        <v>6997800</v>
      </c>
    </row>
    <row r="1691">
      <c r="A1691" s="2">
        <f>IFERROR(__xludf.DUMMYFUNCTION("""COMPUTED_VALUE"""),38981.666666666664)</f>
        <v>38981.66667</v>
      </c>
      <c r="B1691" s="1">
        <f>IFERROR(__xludf.DUMMYFUNCTION("""COMPUTED_VALUE"""),61.81)</f>
        <v>61.81</v>
      </c>
      <c r="C1691" s="1">
        <f>IFERROR(__xludf.DUMMYFUNCTION("""COMPUTED_VALUE"""),62.02)</f>
        <v>62.02</v>
      </c>
      <c r="D1691" s="1">
        <f>IFERROR(__xludf.DUMMYFUNCTION("""COMPUTED_VALUE"""),61.43)</f>
        <v>61.43</v>
      </c>
      <c r="E1691" s="1">
        <f>IFERROR(__xludf.DUMMYFUNCTION("""COMPUTED_VALUE"""),61.74)</f>
        <v>61.74</v>
      </c>
      <c r="F1691" s="1">
        <f>IFERROR(__xludf.DUMMYFUNCTION("""COMPUTED_VALUE"""),9904700.0)</f>
        <v>9904700</v>
      </c>
    </row>
    <row r="1692">
      <c r="A1692" s="2">
        <f>IFERROR(__xludf.DUMMYFUNCTION("""COMPUTED_VALUE"""),38982.666666666664)</f>
        <v>38982.66667</v>
      </c>
      <c r="B1692" s="1">
        <f>IFERROR(__xludf.DUMMYFUNCTION("""COMPUTED_VALUE"""),61.65)</f>
        <v>61.65</v>
      </c>
      <c r="C1692" s="1">
        <f>IFERROR(__xludf.DUMMYFUNCTION("""COMPUTED_VALUE"""),62.0)</f>
        <v>62</v>
      </c>
      <c r="D1692" s="1">
        <f>IFERROR(__xludf.DUMMYFUNCTION("""COMPUTED_VALUE"""),61.54)</f>
        <v>61.54</v>
      </c>
      <c r="E1692" s="1">
        <f>IFERROR(__xludf.DUMMYFUNCTION("""COMPUTED_VALUE"""),61.81)</f>
        <v>61.81</v>
      </c>
      <c r="F1692" s="1">
        <f>IFERROR(__xludf.DUMMYFUNCTION("""COMPUTED_VALUE"""),6795200.0)</f>
        <v>6795200</v>
      </c>
    </row>
    <row r="1693">
      <c r="A1693" s="2">
        <f>IFERROR(__xludf.DUMMYFUNCTION("""COMPUTED_VALUE"""),38985.666666666664)</f>
        <v>38985.66667</v>
      </c>
      <c r="B1693" s="1">
        <f>IFERROR(__xludf.DUMMYFUNCTION("""COMPUTED_VALUE"""),61.57)</f>
        <v>61.57</v>
      </c>
      <c r="C1693" s="1">
        <f>IFERROR(__xludf.DUMMYFUNCTION("""COMPUTED_VALUE"""),62.5)</f>
        <v>62.5</v>
      </c>
      <c r="D1693" s="1">
        <f>IFERROR(__xludf.DUMMYFUNCTION("""COMPUTED_VALUE"""),61.56)</f>
        <v>61.56</v>
      </c>
      <c r="E1693" s="1">
        <f>IFERROR(__xludf.DUMMYFUNCTION("""COMPUTED_VALUE"""),62.29)</f>
        <v>62.29</v>
      </c>
      <c r="F1693" s="1">
        <f>IFERROR(__xludf.DUMMYFUNCTION("""COMPUTED_VALUE"""),8143300.0)</f>
        <v>8143300</v>
      </c>
    </row>
    <row r="1694">
      <c r="A1694" s="2">
        <f>IFERROR(__xludf.DUMMYFUNCTION("""COMPUTED_VALUE"""),38986.666666666664)</f>
        <v>38986.66667</v>
      </c>
      <c r="B1694" s="1">
        <f>IFERROR(__xludf.DUMMYFUNCTION("""COMPUTED_VALUE"""),62.03)</f>
        <v>62.03</v>
      </c>
      <c r="C1694" s="1">
        <f>IFERROR(__xludf.DUMMYFUNCTION("""COMPUTED_VALUE"""),62.65)</f>
        <v>62.65</v>
      </c>
      <c r="D1694" s="1">
        <f>IFERROR(__xludf.DUMMYFUNCTION("""COMPUTED_VALUE"""),61.91)</f>
        <v>61.91</v>
      </c>
      <c r="E1694" s="1">
        <f>IFERROR(__xludf.DUMMYFUNCTION("""COMPUTED_VALUE"""),62.48)</f>
        <v>62.48</v>
      </c>
      <c r="F1694" s="1">
        <f>IFERROR(__xludf.DUMMYFUNCTION("""COMPUTED_VALUE"""),8944700.0)</f>
        <v>8944700</v>
      </c>
    </row>
    <row r="1695">
      <c r="A1695" s="2">
        <f>IFERROR(__xludf.DUMMYFUNCTION("""COMPUTED_VALUE"""),38987.666666666664)</f>
        <v>38987.66667</v>
      </c>
      <c r="B1695" s="1">
        <f>IFERROR(__xludf.DUMMYFUNCTION("""COMPUTED_VALUE"""),62.48)</f>
        <v>62.48</v>
      </c>
      <c r="C1695" s="1">
        <f>IFERROR(__xludf.DUMMYFUNCTION("""COMPUTED_VALUE"""),62.85)</f>
        <v>62.85</v>
      </c>
      <c r="D1695" s="1">
        <f>IFERROR(__xludf.DUMMYFUNCTION("""COMPUTED_VALUE"""),62.36)</f>
        <v>62.36</v>
      </c>
      <c r="E1695" s="1">
        <f>IFERROR(__xludf.DUMMYFUNCTION("""COMPUTED_VALUE"""),62.73)</f>
        <v>62.73</v>
      </c>
      <c r="F1695" s="1">
        <f>IFERROR(__xludf.DUMMYFUNCTION("""COMPUTED_VALUE"""),8368600.0)</f>
        <v>8368600</v>
      </c>
    </row>
    <row r="1696">
      <c r="A1696" s="2">
        <f>IFERROR(__xludf.DUMMYFUNCTION("""COMPUTED_VALUE"""),38988.666666666664)</f>
        <v>38988.66667</v>
      </c>
      <c r="B1696" s="1">
        <f>IFERROR(__xludf.DUMMYFUNCTION("""COMPUTED_VALUE"""),62.41)</f>
        <v>62.41</v>
      </c>
      <c r="C1696" s="1">
        <f>IFERROR(__xludf.DUMMYFUNCTION("""COMPUTED_VALUE"""),62.55)</f>
        <v>62.55</v>
      </c>
      <c r="D1696" s="1">
        <f>IFERROR(__xludf.DUMMYFUNCTION("""COMPUTED_VALUE"""),61.92)</f>
        <v>61.92</v>
      </c>
      <c r="E1696" s="1">
        <f>IFERROR(__xludf.DUMMYFUNCTION("""COMPUTED_VALUE"""),62.26)</f>
        <v>62.26</v>
      </c>
      <c r="F1696" s="1">
        <f>IFERROR(__xludf.DUMMYFUNCTION("""COMPUTED_VALUE"""),9379800.0)</f>
        <v>9379800</v>
      </c>
    </row>
    <row r="1697">
      <c r="A1697" s="2">
        <f>IFERROR(__xludf.DUMMYFUNCTION("""COMPUTED_VALUE"""),38989.666666666664)</f>
        <v>38989.66667</v>
      </c>
      <c r="B1697" s="1">
        <f>IFERROR(__xludf.DUMMYFUNCTION("""COMPUTED_VALUE"""),62.13)</f>
        <v>62.13</v>
      </c>
      <c r="C1697" s="1">
        <f>IFERROR(__xludf.DUMMYFUNCTION("""COMPUTED_VALUE"""),62.69)</f>
        <v>62.69</v>
      </c>
      <c r="D1697" s="1">
        <f>IFERROR(__xludf.DUMMYFUNCTION("""COMPUTED_VALUE"""),61.98)</f>
        <v>61.98</v>
      </c>
      <c r="E1697" s="1">
        <f>IFERROR(__xludf.DUMMYFUNCTION("""COMPUTED_VALUE"""),61.98)</f>
        <v>61.98</v>
      </c>
      <c r="F1697" s="1">
        <f>IFERROR(__xludf.DUMMYFUNCTION("""COMPUTED_VALUE"""),7232500.0)</f>
        <v>7232500</v>
      </c>
    </row>
    <row r="1698">
      <c r="A1698" s="2">
        <f>IFERROR(__xludf.DUMMYFUNCTION("""COMPUTED_VALUE"""),38992.666666666664)</f>
        <v>38992.66667</v>
      </c>
      <c r="B1698" s="1">
        <f>IFERROR(__xludf.DUMMYFUNCTION("""COMPUTED_VALUE"""),61.99)</f>
        <v>61.99</v>
      </c>
      <c r="C1698" s="1">
        <f>IFERROR(__xludf.DUMMYFUNCTION("""COMPUTED_VALUE"""),62.31)</f>
        <v>62.31</v>
      </c>
      <c r="D1698" s="1">
        <f>IFERROR(__xludf.DUMMYFUNCTION("""COMPUTED_VALUE"""),61.89)</f>
        <v>61.89</v>
      </c>
      <c r="E1698" s="1">
        <f>IFERROR(__xludf.DUMMYFUNCTION("""COMPUTED_VALUE"""),62.04)</f>
        <v>62.04</v>
      </c>
      <c r="F1698" s="1">
        <f>IFERROR(__xludf.DUMMYFUNCTION("""COMPUTED_VALUE"""),4772100.0)</f>
        <v>4772100</v>
      </c>
    </row>
    <row r="1699">
      <c r="A1699" s="2">
        <f>IFERROR(__xludf.DUMMYFUNCTION("""COMPUTED_VALUE"""),38993.666666666664)</f>
        <v>38993.66667</v>
      </c>
      <c r="B1699" s="1">
        <f>IFERROR(__xludf.DUMMYFUNCTION("""COMPUTED_VALUE"""),61.89)</f>
        <v>61.89</v>
      </c>
      <c r="C1699" s="1">
        <f>IFERROR(__xludf.DUMMYFUNCTION("""COMPUTED_VALUE"""),62.5)</f>
        <v>62.5</v>
      </c>
      <c r="D1699" s="1">
        <f>IFERROR(__xludf.DUMMYFUNCTION("""COMPUTED_VALUE"""),61.89)</f>
        <v>61.89</v>
      </c>
      <c r="E1699" s="1">
        <f>IFERROR(__xludf.DUMMYFUNCTION("""COMPUTED_VALUE"""),62.3)</f>
        <v>62.3</v>
      </c>
      <c r="F1699" s="1">
        <f>IFERROR(__xludf.DUMMYFUNCTION("""COMPUTED_VALUE"""),8824800.0)</f>
        <v>8824800</v>
      </c>
    </row>
    <row r="1700">
      <c r="A1700" s="2">
        <f>IFERROR(__xludf.DUMMYFUNCTION("""COMPUTED_VALUE"""),38994.666666666664)</f>
        <v>38994.66667</v>
      </c>
      <c r="B1700" s="1">
        <f>IFERROR(__xludf.DUMMYFUNCTION("""COMPUTED_VALUE"""),62.08)</f>
        <v>62.08</v>
      </c>
      <c r="C1700" s="1">
        <f>IFERROR(__xludf.DUMMYFUNCTION("""COMPUTED_VALUE"""),63.53)</f>
        <v>63.53</v>
      </c>
      <c r="D1700" s="1">
        <f>IFERROR(__xludf.DUMMYFUNCTION("""COMPUTED_VALUE"""),62.02)</f>
        <v>62.02</v>
      </c>
      <c r="E1700" s="1">
        <f>IFERROR(__xludf.DUMMYFUNCTION("""COMPUTED_VALUE"""),63.34)</f>
        <v>63.34</v>
      </c>
      <c r="F1700" s="1">
        <f>IFERROR(__xludf.DUMMYFUNCTION("""COMPUTED_VALUE"""),1.51304E7)</f>
        <v>15130400</v>
      </c>
    </row>
    <row r="1701">
      <c r="A1701" s="2">
        <f>IFERROR(__xludf.DUMMYFUNCTION("""COMPUTED_VALUE"""),38995.666666666664)</f>
        <v>38995.66667</v>
      </c>
      <c r="B1701" s="1">
        <f>IFERROR(__xludf.DUMMYFUNCTION("""COMPUTED_VALUE"""),63.23)</f>
        <v>63.23</v>
      </c>
      <c r="C1701" s="1">
        <f>IFERROR(__xludf.DUMMYFUNCTION("""COMPUTED_VALUE"""),63.74)</f>
        <v>63.74</v>
      </c>
      <c r="D1701" s="1">
        <f>IFERROR(__xludf.DUMMYFUNCTION("""COMPUTED_VALUE"""),63.21)</f>
        <v>63.21</v>
      </c>
      <c r="E1701" s="1">
        <f>IFERROR(__xludf.DUMMYFUNCTION("""COMPUTED_VALUE"""),63.52)</f>
        <v>63.52</v>
      </c>
      <c r="F1701" s="1">
        <f>IFERROR(__xludf.DUMMYFUNCTION("""COMPUTED_VALUE"""),8246900.0)</f>
        <v>8246900</v>
      </c>
    </row>
    <row r="1702">
      <c r="A1702" s="2">
        <f>IFERROR(__xludf.DUMMYFUNCTION("""COMPUTED_VALUE"""),38996.666666666664)</f>
        <v>38996.66667</v>
      </c>
      <c r="B1702" s="1">
        <f>IFERROR(__xludf.DUMMYFUNCTION("""COMPUTED_VALUE"""),63.15)</f>
        <v>63.15</v>
      </c>
      <c r="C1702" s="1">
        <f>IFERROR(__xludf.DUMMYFUNCTION("""COMPUTED_VALUE"""),63.31)</f>
        <v>63.31</v>
      </c>
      <c r="D1702" s="1">
        <f>IFERROR(__xludf.DUMMYFUNCTION("""COMPUTED_VALUE"""),62.72)</f>
        <v>62.72</v>
      </c>
      <c r="E1702" s="1">
        <f>IFERROR(__xludf.DUMMYFUNCTION("""COMPUTED_VALUE"""),63.09)</f>
        <v>63.09</v>
      </c>
      <c r="F1702" s="1">
        <f>IFERROR(__xludf.DUMMYFUNCTION("""COMPUTED_VALUE"""),7072300.0)</f>
        <v>7072300</v>
      </c>
    </row>
    <row r="1703">
      <c r="A1703" s="2">
        <f>IFERROR(__xludf.DUMMYFUNCTION("""COMPUTED_VALUE"""),38999.666666666664)</f>
        <v>38999.66667</v>
      </c>
      <c r="B1703" s="1">
        <f>IFERROR(__xludf.DUMMYFUNCTION("""COMPUTED_VALUE"""),62.78)</f>
        <v>62.78</v>
      </c>
      <c r="C1703" s="1">
        <f>IFERROR(__xludf.DUMMYFUNCTION("""COMPUTED_VALUE"""),63.04)</f>
        <v>63.04</v>
      </c>
      <c r="D1703" s="1">
        <f>IFERROR(__xludf.DUMMYFUNCTION("""COMPUTED_VALUE"""),62.74)</f>
        <v>62.74</v>
      </c>
      <c r="E1703" s="1">
        <f>IFERROR(__xludf.DUMMYFUNCTION("""COMPUTED_VALUE"""),62.85)</f>
        <v>62.85</v>
      </c>
      <c r="F1703" s="1">
        <f>IFERROR(__xludf.DUMMYFUNCTION("""COMPUTED_VALUE"""),3882500.0)</f>
        <v>3882500</v>
      </c>
    </row>
    <row r="1704">
      <c r="A1704" s="2">
        <f>IFERROR(__xludf.DUMMYFUNCTION("""COMPUTED_VALUE"""),39000.666666666664)</f>
        <v>39000.66667</v>
      </c>
      <c r="B1704" s="1">
        <f>IFERROR(__xludf.DUMMYFUNCTION("""COMPUTED_VALUE"""),62.61)</f>
        <v>62.61</v>
      </c>
      <c r="C1704" s="1">
        <f>IFERROR(__xludf.DUMMYFUNCTION("""COMPUTED_VALUE"""),62.72)</f>
        <v>62.72</v>
      </c>
      <c r="D1704" s="1">
        <f>IFERROR(__xludf.DUMMYFUNCTION("""COMPUTED_VALUE"""),62.05)</f>
        <v>62.05</v>
      </c>
      <c r="E1704" s="1">
        <f>IFERROR(__xludf.DUMMYFUNCTION("""COMPUTED_VALUE"""),62.72)</f>
        <v>62.72</v>
      </c>
      <c r="F1704" s="1">
        <f>IFERROR(__xludf.DUMMYFUNCTION("""COMPUTED_VALUE"""),7690400.0)</f>
        <v>7690400</v>
      </c>
    </row>
    <row r="1705">
      <c r="A1705" s="2">
        <f>IFERROR(__xludf.DUMMYFUNCTION("""COMPUTED_VALUE"""),39001.666666666664)</f>
        <v>39001.66667</v>
      </c>
      <c r="B1705" s="1">
        <f>IFERROR(__xludf.DUMMYFUNCTION("""COMPUTED_VALUE"""),62.28)</f>
        <v>62.28</v>
      </c>
      <c r="C1705" s="1">
        <f>IFERROR(__xludf.DUMMYFUNCTION("""COMPUTED_VALUE"""),62.67)</f>
        <v>62.67</v>
      </c>
      <c r="D1705" s="1">
        <f>IFERROR(__xludf.DUMMYFUNCTION("""COMPUTED_VALUE"""),62.12)</f>
        <v>62.12</v>
      </c>
      <c r="E1705" s="1">
        <f>IFERROR(__xludf.DUMMYFUNCTION("""COMPUTED_VALUE"""),62.48)</f>
        <v>62.48</v>
      </c>
      <c r="F1705" s="1">
        <f>IFERROR(__xludf.DUMMYFUNCTION("""COMPUTED_VALUE"""),4826500.0)</f>
        <v>4826500</v>
      </c>
    </row>
    <row r="1706">
      <c r="A1706" s="2">
        <f>IFERROR(__xludf.DUMMYFUNCTION("""COMPUTED_VALUE"""),39002.666666666664)</f>
        <v>39002.66667</v>
      </c>
      <c r="B1706" s="1">
        <f>IFERROR(__xludf.DUMMYFUNCTION("""COMPUTED_VALUE"""),62.57)</f>
        <v>62.57</v>
      </c>
      <c r="C1706" s="1">
        <f>IFERROR(__xludf.DUMMYFUNCTION("""COMPUTED_VALUE"""),62.87)</f>
        <v>62.87</v>
      </c>
      <c r="D1706" s="1">
        <f>IFERROR(__xludf.DUMMYFUNCTION("""COMPUTED_VALUE"""),62.32)</f>
        <v>62.32</v>
      </c>
      <c r="E1706" s="1">
        <f>IFERROR(__xludf.DUMMYFUNCTION("""COMPUTED_VALUE"""),62.41)</f>
        <v>62.41</v>
      </c>
      <c r="F1706" s="1">
        <f>IFERROR(__xludf.DUMMYFUNCTION("""COMPUTED_VALUE"""),5933100.0)</f>
        <v>5933100</v>
      </c>
    </row>
    <row r="1707">
      <c r="A1707" s="2">
        <f>IFERROR(__xludf.DUMMYFUNCTION("""COMPUTED_VALUE"""),39003.666666666664)</f>
        <v>39003.66667</v>
      </c>
      <c r="B1707" s="1">
        <f>IFERROR(__xludf.DUMMYFUNCTION("""COMPUTED_VALUE"""),62.16)</f>
        <v>62.16</v>
      </c>
      <c r="C1707" s="1">
        <f>IFERROR(__xludf.DUMMYFUNCTION("""COMPUTED_VALUE"""),62.19)</f>
        <v>62.19</v>
      </c>
      <c r="D1707" s="1">
        <f>IFERROR(__xludf.DUMMYFUNCTION("""COMPUTED_VALUE"""),61.65)</f>
        <v>61.65</v>
      </c>
      <c r="E1707" s="1">
        <f>IFERROR(__xludf.DUMMYFUNCTION("""COMPUTED_VALUE"""),62.13)</f>
        <v>62.13</v>
      </c>
      <c r="F1707" s="1">
        <f>IFERROR(__xludf.DUMMYFUNCTION("""COMPUTED_VALUE"""),7187800.0)</f>
        <v>7187800</v>
      </c>
    </row>
    <row r="1708">
      <c r="A1708" s="2">
        <f>IFERROR(__xludf.DUMMYFUNCTION("""COMPUTED_VALUE"""),39006.666666666664)</f>
        <v>39006.66667</v>
      </c>
      <c r="B1708" s="1">
        <f>IFERROR(__xludf.DUMMYFUNCTION("""COMPUTED_VALUE"""),61.82)</f>
        <v>61.82</v>
      </c>
      <c r="C1708" s="1">
        <f>IFERROR(__xludf.DUMMYFUNCTION("""COMPUTED_VALUE"""),62.23)</f>
        <v>62.23</v>
      </c>
      <c r="D1708" s="1">
        <f>IFERROR(__xludf.DUMMYFUNCTION("""COMPUTED_VALUE"""),61.5)</f>
        <v>61.5</v>
      </c>
      <c r="E1708" s="1">
        <f>IFERROR(__xludf.DUMMYFUNCTION("""COMPUTED_VALUE"""),62.05)</f>
        <v>62.05</v>
      </c>
      <c r="F1708" s="1">
        <f>IFERROR(__xludf.DUMMYFUNCTION("""COMPUTED_VALUE"""),5243500.0)</f>
        <v>5243500</v>
      </c>
    </row>
    <row r="1709">
      <c r="A1709" s="2">
        <f>IFERROR(__xludf.DUMMYFUNCTION("""COMPUTED_VALUE"""),39007.666666666664)</f>
        <v>39007.66667</v>
      </c>
      <c r="B1709" s="1">
        <f>IFERROR(__xludf.DUMMYFUNCTION("""COMPUTED_VALUE"""),61.79)</f>
        <v>61.79</v>
      </c>
      <c r="C1709" s="1">
        <f>IFERROR(__xludf.DUMMYFUNCTION("""COMPUTED_VALUE"""),62.48)</f>
        <v>62.48</v>
      </c>
      <c r="D1709" s="1">
        <f>IFERROR(__xludf.DUMMYFUNCTION("""COMPUTED_VALUE"""),61.77)</f>
        <v>61.77</v>
      </c>
      <c r="E1709" s="1">
        <f>IFERROR(__xludf.DUMMYFUNCTION("""COMPUTED_VALUE"""),62.25)</f>
        <v>62.25</v>
      </c>
      <c r="F1709" s="1">
        <f>IFERROR(__xludf.DUMMYFUNCTION("""COMPUTED_VALUE"""),6684200.0)</f>
        <v>6684200</v>
      </c>
    </row>
    <row r="1710">
      <c r="A1710" s="2">
        <f>IFERROR(__xludf.DUMMYFUNCTION("""COMPUTED_VALUE"""),39008.666666666664)</f>
        <v>39008.66667</v>
      </c>
      <c r="B1710" s="1">
        <f>IFERROR(__xludf.DUMMYFUNCTION("""COMPUTED_VALUE"""),62.15)</f>
        <v>62.15</v>
      </c>
      <c r="C1710" s="1">
        <f>IFERROR(__xludf.DUMMYFUNCTION("""COMPUTED_VALUE"""),62.83)</f>
        <v>62.83</v>
      </c>
      <c r="D1710" s="1">
        <f>IFERROR(__xludf.DUMMYFUNCTION("""COMPUTED_VALUE"""),62.0)</f>
        <v>62</v>
      </c>
      <c r="E1710" s="1">
        <f>IFERROR(__xludf.DUMMYFUNCTION("""COMPUTED_VALUE"""),62.59)</f>
        <v>62.59</v>
      </c>
      <c r="F1710" s="1">
        <f>IFERROR(__xludf.DUMMYFUNCTION("""COMPUTED_VALUE"""),7517900.0)</f>
        <v>7517900</v>
      </c>
    </row>
    <row r="1711">
      <c r="A1711" s="2">
        <f>IFERROR(__xludf.DUMMYFUNCTION("""COMPUTED_VALUE"""),39009.666666666664)</f>
        <v>39009.66667</v>
      </c>
      <c r="B1711" s="1">
        <f>IFERROR(__xludf.DUMMYFUNCTION("""COMPUTED_VALUE"""),62.45)</f>
        <v>62.45</v>
      </c>
      <c r="C1711" s="1">
        <f>IFERROR(__xludf.DUMMYFUNCTION("""COMPUTED_VALUE"""),62.56)</f>
        <v>62.56</v>
      </c>
      <c r="D1711" s="1">
        <f>IFERROR(__xludf.DUMMYFUNCTION("""COMPUTED_VALUE"""),62.14)</f>
        <v>62.14</v>
      </c>
      <c r="E1711" s="1">
        <f>IFERROR(__xludf.DUMMYFUNCTION("""COMPUTED_VALUE"""),62.5)</f>
        <v>62.5</v>
      </c>
      <c r="F1711" s="1">
        <f>IFERROR(__xludf.DUMMYFUNCTION("""COMPUTED_VALUE"""),5236800.0)</f>
        <v>5236800</v>
      </c>
    </row>
    <row r="1712">
      <c r="A1712" s="2">
        <f>IFERROR(__xludf.DUMMYFUNCTION("""COMPUTED_VALUE"""),39010.666666666664)</f>
        <v>39010.66667</v>
      </c>
      <c r="B1712" s="1">
        <f>IFERROR(__xludf.DUMMYFUNCTION("""COMPUTED_VALUE"""),62.73)</f>
        <v>62.73</v>
      </c>
      <c r="C1712" s="1">
        <f>IFERROR(__xludf.DUMMYFUNCTION("""COMPUTED_VALUE"""),62.88)</f>
        <v>62.88</v>
      </c>
      <c r="D1712" s="1">
        <f>IFERROR(__xludf.DUMMYFUNCTION("""COMPUTED_VALUE"""),62.15)</f>
        <v>62.15</v>
      </c>
      <c r="E1712" s="1">
        <f>IFERROR(__xludf.DUMMYFUNCTION("""COMPUTED_VALUE"""),62.68)</f>
        <v>62.68</v>
      </c>
      <c r="F1712" s="1">
        <f>IFERROR(__xludf.DUMMYFUNCTION("""COMPUTED_VALUE"""),8001100.0)</f>
        <v>8001100</v>
      </c>
    </row>
    <row r="1713">
      <c r="A1713" s="2">
        <f>IFERROR(__xludf.DUMMYFUNCTION("""COMPUTED_VALUE"""),39013.666666666664)</f>
        <v>39013.66667</v>
      </c>
      <c r="B1713" s="1">
        <f>IFERROR(__xludf.DUMMYFUNCTION("""COMPUTED_VALUE"""),62.28)</f>
        <v>62.28</v>
      </c>
      <c r="C1713" s="1">
        <f>IFERROR(__xludf.DUMMYFUNCTION("""COMPUTED_VALUE"""),63.47)</f>
        <v>63.47</v>
      </c>
      <c r="D1713" s="1">
        <f>IFERROR(__xludf.DUMMYFUNCTION("""COMPUTED_VALUE"""),62.25)</f>
        <v>62.25</v>
      </c>
      <c r="E1713" s="1">
        <f>IFERROR(__xludf.DUMMYFUNCTION("""COMPUTED_VALUE"""),63.28)</f>
        <v>63.28</v>
      </c>
      <c r="F1713" s="1">
        <f>IFERROR(__xludf.DUMMYFUNCTION("""COMPUTED_VALUE"""),7354400.0)</f>
        <v>7354400</v>
      </c>
    </row>
    <row r="1714">
      <c r="A1714" s="2">
        <f>IFERROR(__xludf.DUMMYFUNCTION("""COMPUTED_VALUE"""),39014.666666666664)</f>
        <v>39014.66667</v>
      </c>
      <c r="B1714" s="1">
        <f>IFERROR(__xludf.DUMMYFUNCTION("""COMPUTED_VALUE"""),63.0)</f>
        <v>63</v>
      </c>
      <c r="C1714" s="1">
        <f>IFERROR(__xludf.DUMMYFUNCTION("""COMPUTED_VALUE"""),63.17)</f>
        <v>63.17</v>
      </c>
      <c r="D1714" s="1">
        <f>IFERROR(__xludf.DUMMYFUNCTION("""COMPUTED_VALUE"""),62.67)</f>
        <v>62.67</v>
      </c>
      <c r="E1714" s="1">
        <f>IFERROR(__xludf.DUMMYFUNCTION("""COMPUTED_VALUE"""),62.88)</f>
        <v>62.88</v>
      </c>
      <c r="F1714" s="1">
        <f>IFERROR(__xludf.DUMMYFUNCTION("""COMPUTED_VALUE"""),6879900.0)</f>
        <v>6879900</v>
      </c>
    </row>
    <row r="1715">
      <c r="A1715" s="2">
        <f>IFERROR(__xludf.DUMMYFUNCTION("""COMPUTED_VALUE"""),39015.666666666664)</f>
        <v>39015.66667</v>
      </c>
      <c r="B1715" s="1">
        <f>IFERROR(__xludf.DUMMYFUNCTION("""COMPUTED_VALUE"""),62.98)</f>
        <v>62.98</v>
      </c>
      <c r="C1715" s="1">
        <f>IFERROR(__xludf.DUMMYFUNCTION("""COMPUTED_VALUE"""),63.4)</f>
        <v>63.4</v>
      </c>
      <c r="D1715" s="1">
        <f>IFERROR(__xludf.DUMMYFUNCTION("""COMPUTED_VALUE"""),62.82)</f>
        <v>62.82</v>
      </c>
      <c r="E1715" s="1">
        <f>IFERROR(__xludf.DUMMYFUNCTION("""COMPUTED_VALUE"""),63.13)</f>
        <v>63.13</v>
      </c>
      <c r="F1715" s="1">
        <f>IFERROR(__xludf.DUMMYFUNCTION("""COMPUTED_VALUE"""),5911000.0)</f>
        <v>5911000</v>
      </c>
    </row>
    <row r="1716">
      <c r="A1716" s="2">
        <f>IFERROR(__xludf.DUMMYFUNCTION("""COMPUTED_VALUE"""),39016.666666666664)</f>
        <v>39016.66667</v>
      </c>
      <c r="B1716" s="1">
        <f>IFERROR(__xludf.DUMMYFUNCTION("""COMPUTED_VALUE"""),63.1)</f>
        <v>63.1</v>
      </c>
      <c r="C1716" s="1">
        <f>IFERROR(__xludf.DUMMYFUNCTION("""COMPUTED_VALUE"""),63.67)</f>
        <v>63.67</v>
      </c>
      <c r="D1716" s="1">
        <f>IFERROR(__xludf.DUMMYFUNCTION("""COMPUTED_VALUE"""),62.9)</f>
        <v>62.9</v>
      </c>
      <c r="E1716" s="1">
        <f>IFERROR(__xludf.DUMMYFUNCTION("""COMPUTED_VALUE"""),63.5)</f>
        <v>63.5</v>
      </c>
      <c r="F1716" s="1">
        <f>IFERROR(__xludf.DUMMYFUNCTION("""COMPUTED_VALUE"""),6426000.0)</f>
        <v>6426000</v>
      </c>
    </row>
    <row r="1717">
      <c r="A1717" s="2">
        <f>IFERROR(__xludf.DUMMYFUNCTION("""COMPUTED_VALUE"""),39017.666666666664)</f>
        <v>39017.66667</v>
      </c>
      <c r="B1717" s="1">
        <f>IFERROR(__xludf.DUMMYFUNCTION("""COMPUTED_VALUE"""),63.31)</f>
        <v>63.31</v>
      </c>
      <c r="C1717" s="1">
        <f>IFERROR(__xludf.DUMMYFUNCTION("""COMPUTED_VALUE"""),63.84)</f>
        <v>63.84</v>
      </c>
      <c r="D1717" s="1">
        <f>IFERROR(__xludf.DUMMYFUNCTION("""COMPUTED_VALUE"""),63.15)</f>
        <v>63.15</v>
      </c>
      <c r="E1717" s="1">
        <f>IFERROR(__xludf.DUMMYFUNCTION("""COMPUTED_VALUE"""),63.56)</f>
        <v>63.56</v>
      </c>
      <c r="F1717" s="1">
        <f>IFERROR(__xludf.DUMMYFUNCTION("""COMPUTED_VALUE"""),7174500.0)</f>
        <v>7174500</v>
      </c>
    </row>
    <row r="1718">
      <c r="A1718" s="2">
        <f>IFERROR(__xludf.DUMMYFUNCTION("""COMPUTED_VALUE"""),39020.666666666664)</f>
        <v>39020.66667</v>
      </c>
      <c r="B1718" s="1">
        <f>IFERROR(__xludf.DUMMYFUNCTION("""COMPUTED_VALUE"""),63.57)</f>
        <v>63.57</v>
      </c>
      <c r="C1718" s="1">
        <f>IFERROR(__xludf.DUMMYFUNCTION("""COMPUTED_VALUE"""),64.02)</f>
        <v>64.02</v>
      </c>
      <c r="D1718" s="1">
        <f>IFERROR(__xludf.DUMMYFUNCTION("""COMPUTED_VALUE"""),63.45)</f>
        <v>63.45</v>
      </c>
      <c r="E1718" s="1">
        <f>IFERROR(__xludf.DUMMYFUNCTION("""COMPUTED_VALUE"""),63.81)</f>
        <v>63.81</v>
      </c>
      <c r="F1718" s="1">
        <f>IFERROR(__xludf.DUMMYFUNCTION("""COMPUTED_VALUE"""),8786900.0)</f>
        <v>8786900</v>
      </c>
    </row>
    <row r="1719">
      <c r="A1719" s="2">
        <f>IFERROR(__xludf.DUMMYFUNCTION("""COMPUTED_VALUE"""),39021.666666666664)</f>
        <v>39021.66667</v>
      </c>
      <c r="B1719" s="1">
        <f>IFERROR(__xludf.DUMMYFUNCTION("""COMPUTED_VALUE"""),62.21)</f>
        <v>62.21</v>
      </c>
      <c r="C1719" s="1">
        <f>IFERROR(__xludf.DUMMYFUNCTION("""COMPUTED_VALUE"""),63.53)</f>
        <v>63.53</v>
      </c>
      <c r="D1719" s="1">
        <f>IFERROR(__xludf.DUMMYFUNCTION("""COMPUTED_VALUE"""),62.21)</f>
        <v>62.21</v>
      </c>
      <c r="E1719" s="1">
        <f>IFERROR(__xludf.DUMMYFUNCTION("""COMPUTED_VALUE"""),63.39)</f>
        <v>63.39</v>
      </c>
      <c r="F1719" s="1">
        <f>IFERROR(__xludf.DUMMYFUNCTION("""COMPUTED_VALUE"""),1.48775E7)</f>
        <v>14877500</v>
      </c>
    </row>
    <row r="1720">
      <c r="A1720" s="2">
        <f>IFERROR(__xludf.DUMMYFUNCTION("""COMPUTED_VALUE"""),39022.666666666664)</f>
        <v>39022.66667</v>
      </c>
      <c r="B1720" s="1">
        <f>IFERROR(__xludf.DUMMYFUNCTION("""COMPUTED_VALUE"""),63.2)</f>
        <v>63.2</v>
      </c>
      <c r="C1720" s="1">
        <f>IFERROR(__xludf.DUMMYFUNCTION("""COMPUTED_VALUE"""),63.63)</f>
        <v>63.63</v>
      </c>
      <c r="D1720" s="1">
        <f>IFERROR(__xludf.DUMMYFUNCTION("""COMPUTED_VALUE"""),62.55)</f>
        <v>62.55</v>
      </c>
      <c r="E1720" s="1">
        <f>IFERROR(__xludf.DUMMYFUNCTION("""COMPUTED_VALUE"""),63.04)</f>
        <v>63.04</v>
      </c>
      <c r="F1720" s="1">
        <f>IFERROR(__xludf.DUMMYFUNCTION("""COMPUTED_VALUE"""),8882800.0)</f>
        <v>8882800</v>
      </c>
    </row>
    <row r="1721">
      <c r="A1721" s="2">
        <f>IFERROR(__xludf.DUMMYFUNCTION("""COMPUTED_VALUE"""),39023.666666666664)</f>
        <v>39023.66667</v>
      </c>
      <c r="B1721" s="1">
        <f>IFERROR(__xludf.DUMMYFUNCTION("""COMPUTED_VALUE"""),62.84)</f>
        <v>62.84</v>
      </c>
      <c r="C1721" s="1">
        <f>IFERROR(__xludf.DUMMYFUNCTION("""COMPUTED_VALUE"""),63.39)</f>
        <v>63.39</v>
      </c>
      <c r="D1721" s="1">
        <f>IFERROR(__xludf.DUMMYFUNCTION("""COMPUTED_VALUE"""),62.76)</f>
        <v>62.76</v>
      </c>
      <c r="E1721" s="1">
        <f>IFERROR(__xludf.DUMMYFUNCTION("""COMPUTED_VALUE"""),63.27)</f>
        <v>63.27</v>
      </c>
      <c r="F1721" s="1">
        <f>IFERROR(__xludf.DUMMYFUNCTION("""COMPUTED_VALUE"""),8152800.0)</f>
        <v>8152800</v>
      </c>
    </row>
    <row r="1722">
      <c r="A1722" s="2">
        <f>IFERROR(__xludf.DUMMYFUNCTION("""COMPUTED_VALUE"""),39024.666666666664)</f>
        <v>39024.66667</v>
      </c>
      <c r="B1722" s="1">
        <f>IFERROR(__xludf.DUMMYFUNCTION("""COMPUTED_VALUE"""),63.27)</f>
        <v>63.27</v>
      </c>
      <c r="C1722" s="1">
        <f>IFERROR(__xludf.DUMMYFUNCTION("""COMPUTED_VALUE"""),63.49)</f>
        <v>63.49</v>
      </c>
      <c r="D1722" s="1">
        <f>IFERROR(__xludf.DUMMYFUNCTION("""COMPUTED_VALUE"""),63.1)</f>
        <v>63.1</v>
      </c>
      <c r="E1722" s="1">
        <f>IFERROR(__xludf.DUMMYFUNCTION("""COMPUTED_VALUE"""),63.4)</f>
        <v>63.4</v>
      </c>
      <c r="F1722" s="1">
        <f>IFERROR(__xludf.DUMMYFUNCTION("""COMPUTED_VALUE"""),5501500.0)</f>
        <v>5501500</v>
      </c>
    </row>
    <row r="1723">
      <c r="A1723" s="2">
        <f>IFERROR(__xludf.DUMMYFUNCTION("""COMPUTED_VALUE"""),39027.666666666664)</f>
        <v>39027.66667</v>
      </c>
      <c r="B1723" s="1">
        <f>IFERROR(__xludf.DUMMYFUNCTION("""COMPUTED_VALUE"""),63.23)</f>
        <v>63.23</v>
      </c>
      <c r="C1723" s="1">
        <f>IFERROR(__xludf.DUMMYFUNCTION("""COMPUTED_VALUE"""),63.75)</f>
        <v>63.75</v>
      </c>
      <c r="D1723" s="1">
        <f>IFERROR(__xludf.DUMMYFUNCTION("""COMPUTED_VALUE"""),63.12)</f>
        <v>63.12</v>
      </c>
      <c r="E1723" s="1">
        <f>IFERROR(__xludf.DUMMYFUNCTION("""COMPUTED_VALUE"""),63.56)</f>
        <v>63.56</v>
      </c>
      <c r="F1723" s="1">
        <f>IFERROR(__xludf.DUMMYFUNCTION("""COMPUTED_VALUE"""),9449700.0)</f>
        <v>9449700</v>
      </c>
    </row>
    <row r="1724">
      <c r="A1724" s="2">
        <f>IFERROR(__xludf.DUMMYFUNCTION("""COMPUTED_VALUE"""),39028.666666666664)</f>
        <v>39028.66667</v>
      </c>
      <c r="B1724" s="1">
        <f>IFERROR(__xludf.DUMMYFUNCTION("""COMPUTED_VALUE"""),63.56)</f>
        <v>63.56</v>
      </c>
      <c r="C1724" s="1">
        <f>IFERROR(__xludf.DUMMYFUNCTION("""COMPUTED_VALUE"""),64.38)</f>
        <v>64.38</v>
      </c>
      <c r="D1724" s="1">
        <f>IFERROR(__xludf.DUMMYFUNCTION("""COMPUTED_VALUE"""),63.42)</f>
        <v>63.42</v>
      </c>
      <c r="E1724" s="1">
        <f>IFERROR(__xludf.DUMMYFUNCTION("""COMPUTED_VALUE"""),64.11)</f>
        <v>64.11</v>
      </c>
      <c r="F1724" s="1">
        <f>IFERROR(__xludf.DUMMYFUNCTION("""COMPUTED_VALUE"""),7796700.0)</f>
        <v>7796700</v>
      </c>
    </row>
    <row r="1725">
      <c r="A1725" s="2">
        <f>IFERROR(__xludf.DUMMYFUNCTION("""COMPUTED_VALUE"""),39029.666666666664)</f>
        <v>39029.66667</v>
      </c>
      <c r="B1725" s="1">
        <f>IFERROR(__xludf.DUMMYFUNCTION("""COMPUTED_VALUE"""),64.13)</f>
        <v>64.13</v>
      </c>
      <c r="C1725" s="1">
        <f>IFERROR(__xludf.DUMMYFUNCTION("""COMPUTED_VALUE"""),64.35)</f>
        <v>64.35</v>
      </c>
      <c r="D1725" s="1">
        <f>IFERROR(__xludf.DUMMYFUNCTION("""COMPUTED_VALUE"""),63.94)</f>
        <v>63.94</v>
      </c>
      <c r="E1725" s="1">
        <f>IFERROR(__xludf.DUMMYFUNCTION("""COMPUTED_VALUE"""),64.04)</f>
        <v>64.04</v>
      </c>
      <c r="F1725" s="1">
        <f>IFERROR(__xludf.DUMMYFUNCTION("""COMPUTED_VALUE"""),9745400.0)</f>
        <v>9745400</v>
      </c>
    </row>
    <row r="1726">
      <c r="A1726" s="2">
        <f>IFERROR(__xludf.DUMMYFUNCTION("""COMPUTED_VALUE"""),39030.666666666664)</f>
        <v>39030.66667</v>
      </c>
      <c r="B1726" s="1">
        <f>IFERROR(__xludf.DUMMYFUNCTION("""COMPUTED_VALUE"""),63.86)</f>
        <v>63.86</v>
      </c>
      <c r="C1726" s="1">
        <f>IFERROR(__xludf.DUMMYFUNCTION("""COMPUTED_VALUE"""),64.0)</f>
        <v>64</v>
      </c>
      <c r="D1726" s="1">
        <f>IFERROR(__xludf.DUMMYFUNCTION("""COMPUTED_VALUE"""),63.19)</f>
        <v>63.19</v>
      </c>
      <c r="E1726" s="1">
        <f>IFERROR(__xludf.DUMMYFUNCTION("""COMPUTED_VALUE"""),63.8)</f>
        <v>63.8</v>
      </c>
      <c r="F1726" s="1">
        <f>IFERROR(__xludf.DUMMYFUNCTION("""COMPUTED_VALUE"""),8202500.0)</f>
        <v>8202500</v>
      </c>
    </row>
    <row r="1727">
      <c r="A1727" s="2">
        <f>IFERROR(__xludf.DUMMYFUNCTION("""COMPUTED_VALUE"""),39031.666666666664)</f>
        <v>39031.66667</v>
      </c>
      <c r="B1727" s="1">
        <f>IFERROR(__xludf.DUMMYFUNCTION("""COMPUTED_VALUE"""),63.96)</f>
        <v>63.96</v>
      </c>
      <c r="C1727" s="1">
        <f>IFERROR(__xludf.DUMMYFUNCTION("""COMPUTED_VALUE"""),64.0)</f>
        <v>64</v>
      </c>
      <c r="D1727" s="1">
        <f>IFERROR(__xludf.DUMMYFUNCTION("""COMPUTED_VALUE"""),63.35)</f>
        <v>63.35</v>
      </c>
      <c r="E1727" s="1">
        <f>IFERROR(__xludf.DUMMYFUNCTION("""COMPUTED_VALUE"""),63.7)</f>
        <v>63.7</v>
      </c>
      <c r="F1727" s="1">
        <f>IFERROR(__xludf.DUMMYFUNCTION("""COMPUTED_VALUE"""),6891900.0)</f>
        <v>6891900</v>
      </c>
    </row>
    <row r="1728">
      <c r="A1728" s="2">
        <f>IFERROR(__xludf.DUMMYFUNCTION("""COMPUTED_VALUE"""),39034.666666666664)</f>
        <v>39034.66667</v>
      </c>
      <c r="B1728" s="1">
        <f>IFERROR(__xludf.DUMMYFUNCTION("""COMPUTED_VALUE"""),63.77)</f>
        <v>63.77</v>
      </c>
      <c r="C1728" s="1">
        <f>IFERROR(__xludf.DUMMYFUNCTION("""COMPUTED_VALUE"""),63.79)</f>
        <v>63.79</v>
      </c>
      <c r="D1728" s="1">
        <f>IFERROR(__xludf.DUMMYFUNCTION("""COMPUTED_VALUE"""),63.15)</f>
        <v>63.15</v>
      </c>
      <c r="E1728" s="1">
        <f>IFERROR(__xludf.DUMMYFUNCTION("""COMPUTED_VALUE"""),63.25)</f>
        <v>63.25</v>
      </c>
      <c r="F1728" s="1">
        <f>IFERROR(__xludf.DUMMYFUNCTION("""COMPUTED_VALUE"""),6033000.0)</f>
        <v>6033000</v>
      </c>
    </row>
    <row r="1729">
      <c r="A1729" s="2">
        <f>IFERROR(__xludf.DUMMYFUNCTION("""COMPUTED_VALUE"""),39035.666666666664)</f>
        <v>39035.66667</v>
      </c>
      <c r="B1729" s="1">
        <f>IFERROR(__xludf.DUMMYFUNCTION("""COMPUTED_VALUE"""),63.18)</f>
        <v>63.18</v>
      </c>
      <c r="C1729" s="1">
        <f>IFERROR(__xludf.DUMMYFUNCTION("""COMPUTED_VALUE"""),63.39)</f>
        <v>63.39</v>
      </c>
      <c r="D1729" s="1">
        <f>IFERROR(__xludf.DUMMYFUNCTION("""COMPUTED_VALUE"""),62.74)</f>
        <v>62.74</v>
      </c>
      <c r="E1729" s="1">
        <f>IFERROR(__xludf.DUMMYFUNCTION("""COMPUTED_VALUE"""),63.2)</f>
        <v>63.2</v>
      </c>
      <c r="F1729" s="1">
        <f>IFERROR(__xludf.DUMMYFUNCTION("""COMPUTED_VALUE"""),7899400.0)</f>
        <v>7899400</v>
      </c>
    </row>
    <row r="1730">
      <c r="A1730" s="2">
        <f>IFERROR(__xludf.DUMMYFUNCTION("""COMPUTED_VALUE"""),39036.666666666664)</f>
        <v>39036.66667</v>
      </c>
      <c r="B1730" s="1">
        <f>IFERROR(__xludf.DUMMYFUNCTION("""COMPUTED_VALUE"""),63.12)</f>
        <v>63.12</v>
      </c>
      <c r="C1730" s="1">
        <f>IFERROR(__xludf.DUMMYFUNCTION("""COMPUTED_VALUE"""),63.47)</f>
        <v>63.47</v>
      </c>
      <c r="D1730" s="1">
        <f>IFERROR(__xludf.DUMMYFUNCTION("""COMPUTED_VALUE"""),62.98)</f>
        <v>62.98</v>
      </c>
      <c r="E1730" s="1">
        <f>IFERROR(__xludf.DUMMYFUNCTION("""COMPUTED_VALUE"""),63.12)</f>
        <v>63.12</v>
      </c>
      <c r="F1730" s="1">
        <f>IFERROR(__xludf.DUMMYFUNCTION("""COMPUTED_VALUE"""),5562100.0)</f>
        <v>5562100</v>
      </c>
    </row>
    <row r="1731">
      <c r="A1731" s="2">
        <f>IFERROR(__xludf.DUMMYFUNCTION("""COMPUTED_VALUE"""),39037.666666666664)</f>
        <v>39037.66667</v>
      </c>
      <c r="B1731" s="1">
        <f>IFERROR(__xludf.DUMMYFUNCTION("""COMPUTED_VALUE"""),63.27)</f>
        <v>63.27</v>
      </c>
      <c r="C1731" s="1">
        <f>IFERROR(__xludf.DUMMYFUNCTION("""COMPUTED_VALUE"""),63.81)</f>
        <v>63.81</v>
      </c>
      <c r="D1731" s="1">
        <f>IFERROR(__xludf.DUMMYFUNCTION("""COMPUTED_VALUE"""),63.0)</f>
        <v>63</v>
      </c>
      <c r="E1731" s="1">
        <f>IFERROR(__xludf.DUMMYFUNCTION("""COMPUTED_VALUE"""),63.52)</f>
        <v>63.52</v>
      </c>
      <c r="F1731" s="1">
        <f>IFERROR(__xludf.DUMMYFUNCTION("""COMPUTED_VALUE"""),4839700.0)</f>
        <v>4839700</v>
      </c>
    </row>
    <row r="1732">
      <c r="A1732" s="2">
        <f>IFERROR(__xludf.DUMMYFUNCTION("""COMPUTED_VALUE"""),39038.666666666664)</f>
        <v>39038.66667</v>
      </c>
      <c r="B1732" s="1">
        <f>IFERROR(__xludf.DUMMYFUNCTION("""COMPUTED_VALUE"""),63.5)</f>
        <v>63.5</v>
      </c>
      <c r="C1732" s="1">
        <f>IFERROR(__xludf.DUMMYFUNCTION("""COMPUTED_VALUE"""),63.87)</f>
        <v>63.87</v>
      </c>
      <c r="D1732" s="1">
        <f>IFERROR(__xludf.DUMMYFUNCTION("""COMPUTED_VALUE"""),63.3)</f>
        <v>63.3</v>
      </c>
      <c r="E1732" s="1">
        <f>IFERROR(__xludf.DUMMYFUNCTION("""COMPUTED_VALUE"""),63.86)</f>
        <v>63.86</v>
      </c>
      <c r="F1732" s="1">
        <f>IFERROR(__xludf.DUMMYFUNCTION("""COMPUTED_VALUE"""),6249100.0)</f>
        <v>6249100</v>
      </c>
    </row>
    <row r="1733">
      <c r="A1733" s="2">
        <f>IFERROR(__xludf.DUMMYFUNCTION("""COMPUTED_VALUE"""),39041.666666666664)</f>
        <v>39041.66667</v>
      </c>
      <c r="B1733" s="1">
        <f>IFERROR(__xludf.DUMMYFUNCTION("""COMPUTED_VALUE"""),63.9)</f>
        <v>63.9</v>
      </c>
      <c r="C1733" s="1">
        <f>IFERROR(__xludf.DUMMYFUNCTION("""COMPUTED_VALUE"""),63.97)</f>
        <v>63.97</v>
      </c>
      <c r="D1733" s="1">
        <f>IFERROR(__xludf.DUMMYFUNCTION("""COMPUTED_VALUE"""),63.63)</f>
        <v>63.63</v>
      </c>
      <c r="E1733" s="1">
        <f>IFERROR(__xludf.DUMMYFUNCTION("""COMPUTED_VALUE"""),63.69)</f>
        <v>63.69</v>
      </c>
      <c r="F1733" s="1">
        <f>IFERROR(__xludf.DUMMYFUNCTION("""COMPUTED_VALUE"""),4624800.0)</f>
        <v>4624800</v>
      </c>
    </row>
    <row r="1734">
      <c r="A1734" s="2">
        <f>IFERROR(__xludf.DUMMYFUNCTION("""COMPUTED_VALUE"""),39042.666666666664)</f>
        <v>39042.66667</v>
      </c>
      <c r="B1734" s="1">
        <f>IFERROR(__xludf.DUMMYFUNCTION("""COMPUTED_VALUE"""),63.48)</f>
        <v>63.48</v>
      </c>
      <c r="C1734" s="1">
        <f>IFERROR(__xludf.DUMMYFUNCTION("""COMPUTED_VALUE"""),63.71)</f>
        <v>63.71</v>
      </c>
      <c r="D1734" s="1">
        <f>IFERROR(__xludf.DUMMYFUNCTION("""COMPUTED_VALUE"""),63.26)</f>
        <v>63.26</v>
      </c>
      <c r="E1734" s="1">
        <f>IFERROR(__xludf.DUMMYFUNCTION("""COMPUTED_VALUE"""),63.26)</f>
        <v>63.26</v>
      </c>
      <c r="F1734" s="1">
        <f>IFERROR(__xludf.DUMMYFUNCTION("""COMPUTED_VALUE"""),5115700.0)</f>
        <v>5115700</v>
      </c>
    </row>
    <row r="1735">
      <c r="A1735" s="2">
        <f>IFERROR(__xludf.DUMMYFUNCTION("""COMPUTED_VALUE"""),39043.666666666664)</f>
        <v>39043.66667</v>
      </c>
      <c r="B1735" s="1">
        <f>IFERROR(__xludf.DUMMYFUNCTION("""COMPUTED_VALUE"""),63.27)</f>
        <v>63.27</v>
      </c>
      <c r="C1735" s="1">
        <f>IFERROR(__xludf.DUMMYFUNCTION("""COMPUTED_VALUE"""),63.64)</f>
        <v>63.64</v>
      </c>
      <c r="D1735" s="1">
        <f>IFERROR(__xludf.DUMMYFUNCTION("""COMPUTED_VALUE"""),63.06)</f>
        <v>63.06</v>
      </c>
      <c r="E1735" s="1">
        <f>IFERROR(__xludf.DUMMYFUNCTION("""COMPUTED_VALUE"""),63.64)</f>
        <v>63.64</v>
      </c>
      <c r="F1735" s="1">
        <f>IFERROR(__xludf.DUMMYFUNCTION("""COMPUTED_VALUE"""),4059300.0)</f>
        <v>4059300</v>
      </c>
    </row>
    <row r="1736">
      <c r="A1736" s="2">
        <f>IFERROR(__xludf.DUMMYFUNCTION("""COMPUTED_VALUE"""),39045.666666666664)</f>
        <v>39045.66667</v>
      </c>
      <c r="B1736" s="1">
        <f>IFERROR(__xludf.DUMMYFUNCTION("""COMPUTED_VALUE"""),63.64)</f>
        <v>63.64</v>
      </c>
      <c r="C1736" s="1">
        <f>IFERROR(__xludf.DUMMYFUNCTION("""COMPUTED_VALUE"""),63.74)</f>
        <v>63.74</v>
      </c>
      <c r="D1736" s="1">
        <f>IFERROR(__xludf.DUMMYFUNCTION("""COMPUTED_VALUE"""),63.4)</f>
        <v>63.4</v>
      </c>
      <c r="E1736" s="1">
        <f>IFERROR(__xludf.DUMMYFUNCTION("""COMPUTED_VALUE"""),63.53)</f>
        <v>63.53</v>
      </c>
      <c r="F1736" s="1">
        <f>IFERROR(__xludf.DUMMYFUNCTION("""COMPUTED_VALUE"""),2288700.0)</f>
        <v>2288700</v>
      </c>
    </row>
    <row r="1737">
      <c r="A1737" s="2">
        <f>IFERROR(__xludf.DUMMYFUNCTION("""COMPUTED_VALUE"""),39048.666666666664)</f>
        <v>39048.66667</v>
      </c>
      <c r="B1737" s="1">
        <f>IFERROR(__xludf.DUMMYFUNCTION("""COMPUTED_VALUE"""),63.17)</f>
        <v>63.17</v>
      </c>
      <c r="C1737" s="1">
        <f>IFERROR(__xludf.DUMMYFUNCTION("""COMPUTED_VALUE"""),63.35)</f>
        <v>63.35</v>
      </c>
      <c r="D1737" s="1">
        <f>IFERROR(__xludf.DUMMYFUNCTION("""COMPUTED_VALUE"""),62.53)</f>
        <v>62.53</v>
      </c>
      <c r="E1737" s="1">
        <f>IFERROR(__xludf.DUMMYFUNCTION("""COMPUTED_VALUE"""),62.84)</f>
        <v>62.84</v>
      </c>
      <c r="F1737" s="1">
        <f>IFERROR(__xludf.DUMMYFUNCTION("""COMPUTED_VALUE"""),7187300.0)</f>
        <v>7187300</v>
      </c>
    </row>
    <row r="1738">
      <c r="A1738" s="2">
        <f>IFERROR(__xludf.DUMMYFUNCTION("""COMPUTED_VALUE"""),39049.666666666664)</f>
        <v>39049.66667</v>
      </c>
      <c r="B1738" s="1">
        <f>IFERROR(__xludf.DUMMYFUNCTION("""COMPUTED_VALUE"""),62.7)</f>
        <v>62.7</v>
      </c>
      <c r="C1738" s="1">
        <f>IFERROR(__xludf.DUMMYFUNCTION("""COMPUTED_VALUE"""),63.36)</f>
        <v>63.36</v>
      </c>
      <c r="D1738" s="1">
        <f>IFERROR(__xludf.DUMMYFUNCTION("""COMPUTED_VALUE"""),62.29)</f>
        <v>62.29</v>
      </c>
      <c r="E1738" s="1">
        <f>IFERROR(__xludf.DUMMYFUNCTION("""COMPUTED_VALUE"""),63.07)</f>
        <v>63.07</v>
      </c>
      <c r="F1738" s="1">
        <f>IFERROR(__xludf.DUMMYFUNCTION("""COMPUTED_VALUE"""),7152000.0)</f>
        <v>7152000</v>
      </c>
    </row>
    <row r="1739">
      <c r="A1739" s="2">
        <f>IFERROR(__xludf.DUMMYFUNCTION("""COMPUTED_VALUE"""),39050.666666666664)</f>
        <v>39050.66667</v>
      </c>
      <c r="B1739" s="1">
        <f>IFERROR(__xludf.DUMMYFUNCTION("""COMPUTED_VALUE"""),62.95)</f>
        <v>62.95</v>
      </c>
      <c r="C1739" s="1">
        <f>IFERROR(__xludf.DUMMYFUNCTION("""COMPUTED_VALUE"""),63.24)</f>
        <v>63.24</v>
      </c>
      <c r="D1739" s="1">
        <f>IFERROR(__xludf.DUMMYFUNCTION("""COMPUTED_VALUE"""),62.59)</f>
        <v>62.59</v>
      </c>
      <c r="E1739" s="1">
        <f>IFERROR(__xludf.DUMMYFUNCTION("""COMPUTED_VALUE"""),63.21)</f>
        <v>63.21</v>
      </c>
      <c r="F1739" s="1">
        <f>IFERROR(__xludf.DUMMYFUNCTION("""COMPUTED_VALUE"""),5767900.0)</f>
        <v>5767900</v>
      </c>
    </row>
    <row r="1740">
      <c r="A1740" s="2">
        <f>IFERROR(__xludf.DUMMYFUNCTION("""COMPUTED_VALUE"""),39051.666666666664)</f>
        <v>39051.66667</v>
      </c>
      <c r="B1740" s="1">
        <f>IFERROR(__xludf.DUMMYFUNCTION("""COMPUTED_VALUE"""),63.04)</f>
        <v>63.04</v>
      </c>
      <c r="C1740" s="1">
        <f>IFERROR(__xludf.DUMMYFUNCTION("""COMPUTED_VALUE"""),63.24)</f>
        <v>63.24</v>
      </c>
      <c r="D1740" s="1">
        <f>IFERROR(__xludf.DUMMYFUNCTION("""COMPUTED_VALUE"""),62.53)</f>
        <v>62.53</v>
      </c>
      <c r="E1740" s="1">
        <f>IFERROR(__xludf.DUMMYFUNCTION("""COMPUTED_VALUE"""),62.79)</f>
        <v>62.79</v>
      </c>
      <c r="F1740" s="1">
        <f>IFERROR(__xludf.DUMMYFUNCTION("""COMPUTED_VALUE"""),9012100.0)</f>
        <v>9012100</v>
      </c>
    </row>
    <row r="1741">
      <c r="A1741" s="2">
        <f>IFERROR(__xludf.DUMMYFUNCTION("""COMPUTED_VALUE"""),39052.666666666664)</f>
        <v>39052.66667</v>
      </c>
      <c r="B1741" s="1">
        <f>IFERROR(__xludf.DUMMYFUNCTION("""COMPUTED_VALUE"""),63.01)</f>
        <v>63.01</v>
      </c>
      <c r="C1741" s="1">
        <f>IFERROR(__xludf.DUMMYFUNCTION("""COMPUTED_VALUE"""),63.1)</f>
        <v>63.1</v>
      </c>
      <c r="D1741" s="1">
        <f>IFERROR(__xludf.DUMMYFUNCTION("""COMPUTED_VALUE"""),62.21)</f>
        <v>62.21</v>
      </c>
      <c r="E1741" s="1">
        <f>IFERROR(__xludf.DUMMYFUNCTION("""COMPUTED_VALUE"""),62.69)</f>
        <v>62.69</v>
      </c>
      <c r="F1741" s="1">
        <f>IFERROR(__xludf.DUMMYFUNCTION("""COMPUTED_VALUE"""),6604400.0)</f>
        <v>6604400</v>
      </c>
    </row>
    <row r="1742">
      <c r="A1742" s="2">
        <f>IFERROR(__xludf.DUMMYFUNCTION("""COMPUTED_VALUE"""),39055.666666666664)</f>
        <v>39055.66667</v>
      </c>
      <c r="B1742" s="1">
        <f>IFERROR(__xludf.DUMMYFUNCTION("""COMPUTED_VALUE"""),63.08)</f>
        <v>63.08</v>
      </c>
      <c r="C1742" s="1">
        <f>IFERROR(__xludf.DUMMYFUNCTION("""COMPUTED_VALUE"""),63.55)</f>
        <v>63.55</v>
      </c>
      <c r="D1742" s="1">
        <f>IFERROR(__xludf.DUMMYFUNCTION("""COMPUTED_VALUE"""),62.75)</f>
        <v>62.75</v>
      </c>
      <c r="E1742" s="1">
        <f>IFERROR(__xludf.DUMMYFUNCTION("""COMPUTED_VALUE"""),63.42)</f>
        <v>63.42</v>
      </c>
      <c r="F1742" s="1">
        <f>IFERROR(__xludf.DUMMYFUNCTION("""COMPUTED_VALUE"""),7102600.0)</f>
        <v>7102600</v>
      </c>
    </row>
    <row r="1743">
      <c r="A1743" s="2">
        <f>IFERROR(__xludf.DUMMYFUNCTION("""COMPUTED_VALUE"""),39056.666666666664)</f>
        <v>39056.66667</v>
      </c>
      <c r="B1743" s="1">
        <f>IFERROR(__xludf.DUMMYFUNCTION("""COMPUTED_VALUE"""),63.42)</f>
        <v>63.42</v>
      </c>
      <c r="C1743" s="1">
        <f>IFERROR(__xludf.DUMMYFUNCTION("""COMPUTED_VALUE"""),63.96)</f>
        <v>63.96</v>
      </c>
      <c r="D1743" s="1">
        <f>IFERROR(__xludf.DUMMYFUNCTION("""COMPUTED_VALUE"""),63.3)</f>
        <v>63.3</v>
      </c>
      <c r="E1743" s="1">
        <f>IFERROR(__xludf.DUMMYFUNCTION("""COMPUTED_VALUE"""),63.51)</f>
        <v>63.51</v>
      </c>
      <c r="F1743" s="1">
        <f>IFERROR(__xludf.DUMMYFUNCTION("""COMPUTED_VALUE"""),6025100.0)</f>
        <v>6025100</v>
      </c>
    </row>
    <row r="1744">
      <c r="A1744" s="2">
        <f>IFERROR(__xludf.DUMMYFUNCTION("""COMPUTED_VALUE"""),39057.666666666664)</f>
        <v>39057.66667</v>
      </c>
      <c r="B1744" s="1">
        <f>IFERROR(__xludf.DUMMYFUNCTION("""COMPUTED_VALUE"""),63.57)</f>
        <v>63.57</v>
      </c>
      <c r="C1744" s="1">
        <f>IFERROR(__xludf.DUMMYFUNCTION("""COMPUTED_VALUE"""),63.81)</f>
        <v>63.81</v>
      </c>
      <c r="D1744" s="1">
        <f>IFERROR(__xludf.DUMMYFUNCTION("""COMPUTED_VALUE"""),63.29)</f>
        <v>63.29</v>
      </c>
      <c r="E1744" s="1">
        <f>IFERROR(__xludf.DUMMYFUNCTION("""COMPUTED_VALUE"""),63.8)</f>
        <v>63.8</v>
      </c>
      <c r="F1744" s="1">
        <f>IFERROR(__xludf.DUMMYFUNCTION("""COMPUTED_VALUE"""),5554200.0)</f>
        <v>5554200</v>
      </c>
    </row>
    <row r="1745">
      <c r="A1745" s="2">
        <f>IFERROR(__xludf.DUMMYFUNCTION("""COMPUTED_VALUE"""),39058.666666666664)</f>
        <v>39058.66667</v>
      </c>
      <c r="B1745" s="1">
        <f>IFERROR(__xludf.DUMMYFUNCTION("""COMPUTED_VALUE"""),63.95)</f>
        <v>63.95</v>
      </c>
      <c r="C1745" s="1">
        <f>IFERROR(__xludf.DUMMYFUNCTION("""COMPUTED_VALUE"""),64.04)</f>
        <v>64.04</v>
      </c>
      <c r="D1745" s="1">
        <f>IFERROR(__xludf.DUMMYFUNCTION("""COMPUTED_VALUE"""),63.68)</f>
        <v>63.68</v>
      </c>
      <c r="E1745" s="1">
        <f>IFERROR(__xludf.DUMMYFUNCTION("""COMPUTED_VALUE"""),63.8)</f>
        <v>63.8</v>
      </c>
      <c r="F1745" s="1">
        <f>IFERROR(__xludf.DUMMYFUNCTION("""COMPUTED_VALUE"""),6999200.0)</f>
        <v>6999200</v>
      </c>
    </row>
    <row r="1746">
      <c r="A1746" s="2">
        <f>IFERROR(__xludf.DUMMYFUNCTION("""COMPUTED_VALUE"""),39059.666666666664)</f>
        <v>39059.66667</v>
      </c>
      <c r="B1746" s="1">
        <f>IFERROR(__xludf.DUMMYFUNCTION("""COMPUTED_VALUE"""),63.7)</f>
        <v>63.7</v>
      </c>
      <c r="C1746" s="1">
        <f>IFERROR(__xludf.DUMMYFUNCTION("""COMPUTED_VALUE"""),64.18)</f>
        <v>64.18</v>
      </c>
      <c r="D1746" s="1">
        <f>IFERROR(__xludf.DUMMYFUNCTION("""COMPUTED_VALUE"""),63.57)</f>
        <v>63.57</v>
      </c>
      <c r="E1746" s="1">
        <f>IFERROR(__xludf.DUMMYFUNCTION("""COMPUTED_VALUE"""),63.89)</f>
        <v>63.89</v>
      </c>
      <c r="F1746" s="1">
        <f>IFERROR(__xludf.DUMMYFUNCTION("""COMPUTED_VALUE"""),4695400.0)</f>
        <v>4695400</v>
      </c>
    </row>
    <row r="1747">
      <c r="A1747" s="2">
        <f>IFERROR(__xludf.DUMMYFUNCTION("""COMPUTED_VALUE"""),39062.666666666664)</f>
        <v>39062.66667</v>
      </c>
      <c r="B1747" s="1">
        <f>IFERROR(__xludf.DUMMYFUNCTION("""COMPUTED_VALUE"""),63.7)</f>
        <v>63.7</v>
      </c>
      <c r="C1747" s="1">
        <f>IFERROR(__xludf.DUMMYFUNCTION("""COMPUTED_VALUE"""),64.03)</f>
        <v>64.03</v>
      </c>
      <c r="D1747" s="1">
        <f>IFERROR(__xludf.DUMMYFUNCTION("""COMPUTED_VALUE"""),63.6)</f>
        <v>63.6</v>
      </c>
      <c r="E1747" s="1">
        <f>IFERROR(__xludf.DUMMYFUNCTION("""COMPUTED_VALUE"""),63.87)</f>
        <v>63.87</v>
      </c>
      <c r="F1747" s="1">
        <f>IFERROR(__xludf.DUMMYFUNCTION("""COMPUTED_VALUE"""),3864800.0)</f>
        <v>3864800</v>
      </c>
    </row>
    <row r="1748">
      <c r="A1748" s="2">
        <f>IFERROR(__xludf.DUMMYFUNCTION("""COMPUTED_VALUE"""),39063.666666666664)</f>
        <v>39063.66667</v>
      </c>
      <c r="B1748" s="1">
        <f>IFERROR(__xludf.DUMMYFUNCTION("""COMPUTED_VALUE"""),63.92)</f>
        <v>63.92</v>
      </c>
      <c r="C1748" s="1">
        <f>IFERROR(__xludf.DUMMYFUNCTION("""COMPUTED_VALUE"""),64.06)</f>
        <v>64.06</v>
      </c>
      <c r="D1748" s="1">
        <f>IFERROR(__xludf.DUMMYFUNCTION("""COMPUTED_VALUE"""),63.45)</f>
        <v>63.45</v>
      </c>
      <c r="E1748" s="1">
        <f>IFERROR(__xludf.DUMMYFUNCTION("""COMPUTED_VALUE"""),63.7)</f>
        <v>63.7</v>
      </c>
      <c r="F1748" s="1">
        <f>IFERROR(__xludf.DUMMYFUNCTION("""COMPUTED_VALUE"""),7023600.0)</f>
        <v>7023600</v>
      </c>
    </row>
    <row r="1749">
      <c r="A1749" s="2">
        <f>IFERROR(__xludf.DUMMYFUNCTION("""COMPUTED_VALUE"""),39064.666666666664)</f>
        <v>39064.66667</v>
      </c>
      <c r="B1749" s="1">
        <f>IFERROR(__xludf.DUMMYFUNCTION("""COMPUTED_VALUE"""),63.73)</f>
        <v>63.73</v>
      </c>
      <c r="C1749" s="1">
        <f>IFERROR(__xludf.DUMMYFUNCTION("""COMPUTED_VALUE"""),63.95)</f>
        <v>63.95</v>
      </c>
      <c r="D1749" s="1">
        <f>IFERROR(__xludf.DUMMYFUNCTION("""COMPUTED_VALUE"""),63.25)</f>
        <v>63.25</v>
      </c>
      <c r="E1749" s="1">
        <f>IFERROR(__xludf.DUMMYFUNCTION("""COMPUTED_VALUE"""),63.4)</f>
        <v>63.4</v>
      </c>
      <c r="F1749" s="1">
        <f>IFERROR(__xludf.DUMMYFUNCTION("""COMPUTED_VALUE"""),6102100.0)</f>
        <v>6102100</v>
      </c>
    </row>
    <row r="1750">
      <c r="A1750" s="2">
        <f>IFERROR(__xludf.DUMMYFUNCTION("""COMPUTED_VALUE"""),39065.666666666664)</f>
        <v>39065.66667</v>
      </c>
      <c r="B1750" s="1">
        <f>IFERROR(__xludf.DUMMYFUNCTION("""COMPUTED_VALUE"""),63.3)</f>
        <v>63.3</v>
      </c>
      <c r="C1750" s="1">
        <f>IFERROR(__xludf.DUMMYFUNCTION("""COMPUTED_VALUE"""),63.78)</f>
        <v>63.78</v>
      </c>
      <c r="D1750" s="1">
        <f>IFERROR(__xludf.DUMMYFUNCTION("""COMPUTED_VALUE"""),63.28)</f>
        <v>63.28</v>
      </c>
      <c r="E1750" s="1">
        <f>IFERROR(__xludf.DUMMYFUNCTION("""COMPUTED_VALUE"""),63.35)</f>
        <v>63.35</v>
      </c>
      <c r="F1750" s="1">
        <f>IFERROR(__xludf.DUMMYFUNCTION("""COMPUTED_VALUE"""),5850500.0)</f>
        <v>5850500</v>
      </c>
    </row>
    <row r="1751">
      <c r="A1751" s="2">
        <f>IFERROR(__xludf.DUMMYFUNCTION("""COMPUTED_VALUE"""),39066.666666666664)</f>
        <v>39066.66667</v>
      </c>
      <c r="B1751" s="1">
        <f>IFERROR(__xludf.DUMMYFUNCTION("""COMPUTED_VALUE"""),63.49)</f>
        <v>63.49</v>
      </c>
      <c r="C1751" s="1">
        <f>IFERROR(__xludf.DUMMYFUNCTION("""COMPUTED_VALUE"""),64.24)</f>
        <v>64.24</v>
      </c>
      <c r="D1751" s="1">
        <f>IFERROR(__xludf.DUMMYFUNCTION("""COMPUTED_VALUE"""),63.37)</f>
        <v>63.37</v>
      </c>
      <c r="E1751" s="1">
        <f>IFERROR(__xludf.DUMMYFUNCTION("""COMPUTED_VALUE"""),64.11)</f>
        <v>64.11</v>
      </c>
      <c r="F1751" s="1">
        <f>IFERROR(__xludf.DUMMYFUNCTION("""COMPUTED_VALUE"""),1.15423E7)</f>
        <v>11542300</v>
      </c>
    </row>
    <row r="1752">
      <c r="A1752" s="2">
        <f>IFERROR(__xludf.DUMMYFUNCTION("""COMPUTED_VALUE"""),39069.666666666664)</f>
        <v>39069.66667</v>
      </c>
      <c r="B1752" s="1">
        <f>IFERROR(__xludf.DUMMYFUNCTION("""COMPUTED_VALUE"""),64.02)</f>
        <v>64.02</v>
      </c>
      <c r="C1752" s="1">
        <f>IFERROR(__xludf.DUMMYFUNCTION("""COMPUTED_VALUE"""),64.27)</f>
        <v>64.27</v>
      </c>
      <c r="D1752" s="1">
        <f>IFERROR(__xludf.DUMMYFUNCTION("""COMPUTED_VALUE"""),63.65)</f>
        <v>63.65</v>
      </c>
      <c r="E1752" s="1">
        <f>IFERROR(__xludf.DUMMYFUNCTION("""COMPUTED_VALUE"""),64.16)</f>
        <v>64.16</v>
      </c>
      <c r="F1752" s="1">
        <f>IFERROR(__xludf.DUMMYFUNCTION("""COMPUTED_VALUE"""),5769300.0)</f>
        <v>5769300</v>
      </c>
    </row>
    <row r="1753">
      <c r="A1753" s="2">
        <f>IFERROR(__xludf.DUMMYFUNCTION("""COMPUTED_VALUE"""),39070.666666666664)</f>
        <v>39070.66667</v>
      </c>
      <c r="B1753" s="1">
        <f>IFERROR(__xludf.DUMMYFUNCTION("""COMPUTED_VALUE"""),63.72)</f>
        <v>63.72</v>
      </c>
      <c r="C1753" s="1">
        <f>IFERROR(__xludf.DUMMYFUNCTION("""COMPUTED_VALUE"""),64.45)</f>
        <v>64.45</v>
      </c>
      <c r="D1753" s="1">
        <f>IFERROR(__xludf.DUMMYFUNCTION("""COMPUTED_VALUE"""),63.7)</f>
        <v>63.7</v>
      </c>
      <c r="E1753" s="1">
        <f>IFERROR(__xludf.DUMMYFUNCTION("""COMPUTED_VALUE"""),64.39)</f>
        <v>64.39</v>
      </c>
      <c r="F1753" s="1">
        <f>IFERROR(__xludf.DUMMYFUNCTION("""COMPUTED_VALUE"""),6102700.0)</f>
        <v>6102700</v>
      </c>
    </row>
    <row r="1754">
      <c r="A1754" s="2">
        <f>IFERROR(__xludf.DUMMYFUNCTION("""COMPUTED_VALUE"""),39071.666666666664)</f>
        <v>39071.66667</v>
      </c>
      <c r="B1754" s="1">
        <f>IFERROR(__xludf.DUMMYFUNCTION("""COMPUTED_VALUE"""),64.3)</f>
        <v>64.3</v>
      </c>
      <c r="C1754" s="1">
        <f>IFERROR(__xludf.DUMMYFUNCTION("""COMPUTED_VALUE"""),64.48)</f>
        <v>64.48</v>
      </c>
      <c r="D1754" s="1">
        <f>IFERROR(__xludf.DUMMYFUNCTION("""COMPUTED_VALUE"""),64.02)</f>
        <v>64.02</v>
      </c>
      <c r="E1754" s="1">
        <f>IFERROR(__xludf.DUMMYFUNCTION("""COMPUTED_VALUE"""),64.47)</f>
        <v>64.47</v>
      </c>
      <c r="F1754" s="1">
        <f>IFERROR(__xludf.DUMMYFUNCTION("""COMPUTED_VALUE"""),4525700.0)</f>
        <v>4525700</v>
      </c>
    </row>
    <row r="1755">
      <c r="A1755" s="2">
        <f>IFERROR(__xludf.DUMMYFUNCTION("""COMPUTED_VALUE"""),39072.666666666664)</f>
        <v>39072.66667</v>
      </c>
      <c r="B1755" s="1">
        <f>IFERROR(__xludf.DUMMYFUNCTION("""COMPUTED_VALUE"""),64.3)</f>
        <v>64.3</v>
      </c>
      <c r="C1755" s="1">
        <f>IFERROR(__xludf.DUMMYFUNCTION("""COMPUTED_VALUE"""),64.5)</f>
        <v>64.5</v>
      </c>
      <c r="D1755" s="1">
        <f>IFERROR(__xludf.DUMMYFUNCTION("""COMPUTED_VALUE"""),63.92)</f>
        <v>63.92</v>
      </c>
      <c r="E1755" s="1">
        <f>IFERROR(__xludf.DUMMYFUNCTION("""COMPUTED_VALUE"""),64.05)</f>
        <v>64.05</v>
      </c>
      <c r="F1755" s="1">
        <f>IFERROR(__xludf.DUMMYFUNCTION("""COMPUTED_VALUE"""),6111400.0)</f>
        <v>6111400</v>
      </c>
    </row>
    <row r="1756">
      <c r="A1756" s="2">
        <f>IFERROR(__xludf.DUMMYFUNCTION("""COMPUTED_VALUE"""),39073.666666666664)</f>
        <v>39073.66667</v>
      </c>
      <c r="B1756" s="1">
        <f>IFERROR(__xludf.DUMMYFUNCTION("""COMPUTED_VALUE"""),64.23)</f>
        <v>64.23</v>
      </c>
      <c r="C1756" s="1">
        <f>IFERROR(__xludf.DUMMYFUNCTION("""COMPUTED_VALUE"""),64.25)</f>
        <v>64.25</v>
      </c>
      <c r="D1756" s="1">
        <f>IFERROR(__xludf.DUMMYFUNCTION("""COMPUTED_VALUE"""),63.75)</f>
        <v>63.75</v>
      </c>
      <c r="E1756" s="1">
        <f>IFERROR(__xludf.DUMMYFUNCTION("""COMPUTED_VALUE"""),63.8)</f>
        <v>63.8</v>
      </c>
      <c r="F1756" s="1">
        <f>IFERROR(__xludf.DUMMYFUNCTION("""COMPUTED_VALUE"""),4390700.0)</f>
        <v>4390700</v>
      </c>
    </row>
    <row r="1757">
      <c r="A1757" s="2">
        <f>IFERROR(__xludf.DUMMYFUNCTION("""COMPUTED_VALUE"""),39077.666666666664)</f>
        <v>39077.66667</v>
      </c>
      <c r="B1757" s="1">
        <f>IFERROR(__xludf.DUMMYFUNCTION("""COMPUTED_VALUE"""),63.67)</f>
        <v>63.67</v>
      </c>
      <c r="C1757" s="1">
        <f>IFERROR(__xludf.DUMMYFUNCTION("""COMPUTED_VALUE"""),64.27)</f>
        <v>64.27</v>
      </c>
      <c r="D1757" s="1">
        <f>IFERROR(__xludf.DUMMYFUNCTION("""COMPUTED_VALUE"""),63.6)</f>
        <v>63.6</v>
      </c>
      <c r="E1757" s="1">
        <f>IFERROR(__xludf.DUMMYFUNCTION("""COMPUTED_VALUE"""),64.19)</f>
        <v>64.19</v>
      </c>
      <c r="F1757" s="1">
        <f>IFERROR(__xludf.DUMMYFUNCTION("""COMPUTED_VALUE"""),4020000.0)</f>
        <v>4020000</v>
      </c>
    </row>
    <row r="1758">
      <c r="A1758" s="2">
        <f>IFERROR(__xludf.DUMMYFUNCTION("""COMPUTED_VALUE"""),39078.666666666664)</f>
        <v>39078.66667</v>
      </c>
      <c r="B1758" s="1">
        <f>IFERROR(__xludf.DUMMYFUNCTION("""COMPUTED_VALUE"""),64.4)</f>
        <v>64.4</v>
      </c>
      <c r="C1758" s="1">
        <f>IFERROR(__xludf.DUMMYFUNCTION("""COMPUTED_VALUE"""),64.58)</f>
        <v>64.58</v>
      </c>
      <c r="D1758" s="1">
        <f>IFERROR(__xludf.DUMMYFUNCTION("""COMPUTED_VALUE"""),64.25)</f>
        <v>64.25</v>
      </c>
      <c r="E1758" s="1">
        <f>IFERROR(__xludf.DUMMYFUNCTION("""COMPUTED_VALUE"""),64.42)</f>
        <v>64.42</v>
      </c>
      <c r="F1758" s="1">
        <f>IFERROR(__xludf.DUMMYFUNCTION("""COMPUTED_VALUE"""),5247200.0)</f>
        <v>5247200</v>
      </c>
    </row>
    <row r="1759">
      <c r="A1759" s="2">
        <f>IFERROR(__xludf.DUMMYFUNCTION("""COMPUTED_VALUE"""),39079.666666666664)</f>
        <v>39079.66667</v>
      </c>
      <c r="B1759" s="1">
        <f>IFERROR(__xludf.DUMMYFUNCTION("""COMPUTED_VALUE"""),64.17)</f>
        <v>64.17</v>
      </c>
      <c r="C1759" s="1">
        <f>IFERROR(__xludf.DUMMYFUNCTION("""COMPUTED_VALUE"""),64.62)</f>
        <v>64.62</v>
      </c>
      <c r="D1759" s="1">
        <f>IFERROR(__xludf.DUMMYFUNCTION("""COMPUTED_VALUE"""),64.12)</f>
        <v>64.12</v>
      </c>
      <c r="E1759" s="1">
        <f>IFERROR(__xludf.DUMMYFUNCTION("""COMPUTED_VALUE"""),64.48)</f>
        <v>64.48</v>
      </c>
      <c r="F1759" s="1">
        <f>IFERROR(__xludf.DUMMYFUNCTION("""COMPUTED_VALUE"""),3902300.0)</f>
        <v>3902300</v>
      </c>
    </row>
    <row r="1760">
      <c r="A1760" s="2">
        <f>IFERROR(__xludf.DUMMYFUNCTION("""COMPUTED_VALUE"""),39080.666666666664)</f>
        <v>39080.66667</v>
      </c>
      <c r="B1760" s="1">
        <f>IFERROR(__xludf.DUMMYFUNCTION("""COMPUTED_VALUE"""),64.36)</f>
        <v>64.36</v>
      </c>
      <c r="C1760" s="1">
        <f>IFERROR(__xludf.DUMMYFUNCTION("""COMPUTED_VALUE"""),64.73)</f>
        <v>64.73</v>
      </c>
      <c r="D1760" s="1">
        <f>IFERROR(__xludf.DUMMYFUNCTION("""COMPUTED_VALUE"""),64.1)</f>
        <v>64.1</v>
      </c>
      <c r="E1760" s="1">
        <f>IFERROR(__xludf.DUMMYFUNCTION("""COMPUTED_VALUE"""),64.27)</f>
        <v>64.27</v>
      </c>
      <c r="F1760" s="1">
        <f>IFERROR(__xludf.DUMMYFUNCTION("""COMPUTED_VALUE"""),4421700.0)</f>
        <v>4421700</v>
      </c>
    </row>
    <row r="1761">
      <c r="A1761" s="2">
        <f>IFERROR(__xludf.DUMMYFUNCTION("""COMPUTED_VALUE"""),39085.666666666664)</f>
        <v>39085.66667</v>
      </c>
      <c r="B1761" s="1">
        <f>IFERROR(__xludf.DUMMYFUNCTION("""COMPUTED_VALUE"""),63.72)</f>
        <v>63.72</v>
      </c>
      <c r="C1761" s="1">
        <f>IFERROR(__xludf.DUMMYFUNCTION("""COMPUTED_VALUE"""),64.66)</f>
        <v>64.66</v>
      </c>
      <c r="D1761" s="1">
        <f>IFERROR(__xludf.DUMMYFUNCTION("""COMPUTED_VALUE"""),63.7)</f>
        <v>63.7</v>
      </c>
      <c r="E1761" s="1">
        <f>IFERROR(__xludf.DUMMYFUNCTION("""COMPUTED_VALUE"""),64.54)</f>
        <v>64.54</v>
      </c>
      <c r="F1761" s="1">
        <f>IFERROR(__xludf.DUMMYFUNCTION("""COMPUTED_VALUE"""),9718300.0)</f>
        <v>9718300</v>
      </c>
    </row>
    <row r="1762">
      <c r="A1762" s="2">
        <f>IFERROR(__xludf.DUMMYFUNCTION("""COMPUTED_VALUE"""),39086.666666666664)</f>
        <v>39086.66667</v>
      </c>
      <c r="B1762" s="1">
        <f>IFERROR(__xludf.DUMMYFUNCTION("""COMPUTED_VALUE"""),64.34)</f>
        <v>64.34</v>
      </c>
      <c r="C1762" s="1">
        <f>IFERROR(__xludf.DUMMYFUNCTION("""COMPUTED_VALUE"""),64.5)</f>
        <v>64.5</v>
      </c>
      <c r="D1762" s="1">
        <f>IFERROR(__xludf.DUMMYFUNCTION("""COMPUTED_VALUE"""),63.75)</f>
        <v>63.75</v>
      </c>
      <c r="E1762" s="1">
        <f>IFERROR(__xludf.DUMMYFUNCTION("""COMPUTED_VALUE"""),64.05)</f>
        <v>64.05</v>
      </c>
      <c r="F1762" s="1">
        <f>IFERROR(__xludf.DUMMYFUNCTION("""COMPUTED_VALUE"""),8716600.0)</f>
        <v>8716600</v>
      </c>
    </row>
    <row r="1763">
      <c r="A1763" s="2">
        <f>IFERROR(__xludf.DUMMYFUNCTION("""COMPUTED_VALUE"""),39087.666666666664)</f>
        <v>39087.66667</v>
      </c>
      <c r="B1763" s="1">
        <f>IFERROR(__xludf.DUMMYFUNCTION("""COMPUTED_VALUE"""),63.87)</f>
        <v>63.87</v>
      </c>
      <c r="C1763" s="1">
        <f>IFERROR(__xludf.DUMMYFUNCTION("""COMPUTED_VALUE"""),64.0)</f>
        <v>64</v>
      </c>
      <c r="D1763" s="1">
        <f>IFERROR(__xludf.DUMMYFUNCTION("""COMPUTED_VALUE"""),63.34)</f>
        <v>63.34</v>
      </c>
      <c r="E1763" s="1">
        <f>IFERROR(__xludf.DUMMYFUNCTION("""COMPUTED_VALUE"""),63.5)</f>
        <v>63.5</v>
      </c>
      <c r="F1763" s="1">
        <f>IFERROR(__xludf.DUMMYFUNCTION("""COMPUTED_VALUE"""),9908000.0)</f>
        <v>9908000</v>
      </c>
    </row>
    <row r="1764">
      <c r="A1764" s="2">
        <f>IFERROR(__xludf.DUMMYFUNCTION("""COMPUTED_VALUE"""),39090.666666666664)</f>
        <v>39090.66667</v>
      </c>
      <c r="B1764" s="1">
        <f>IFERROR(__xludf.DUMMYFUNCTION("""COMPUTED_VALUE"""),63.59)</f>
        <v>63.59</v>
      </c>
      <c r="C1764" s="1">
        <f>IFERROR(__xludf.DUMMYFUNCTION("""COMPUTED_VALUE"""),63.78)</f>
        <v>63.78</v>
      </c>
      <c r="D1764" s="1">
        <f>IFERROR(__xludf.DUMMYFUNCTION("""COMPUTED_VALUE"""),63.23)</f>
        <v>63.23</v>
      </c>
      <c r="E1764" s="1">
        <f>IFERROR(__xludf.DUMMYFUNCTION("""COMPUTED_VALUE"""),63.64)</f>
        <v>63.64</v>
      </c>
      <c r="F1764" s="1">
        <f>IFERROR(__xludf.DUMMYFUNCTION("""COMPUTED_VALUE"""),1.10682E7)</f>
        <v>11068200</v>
      </c>
    </row>
    <row r="1765">
      <c r="A1765" s="2">
        <f>IFERROR(__xludf.DUMMYFUNCTION("""COMPUTED_VALUE"""),39091.666666666664)</f>
        <v>39091.66667</v>
      </c>
      <c r="B1765" s="1">
        <f>IFERROR(__xludf.DUMMYFUNCTION("""COMPUTED_VALUE"""),63.39)</f>
        <v>63.39</v>
      </c>
      <c r="C1765" s="1">
        <f>IFERROR(__xludf.DUMMYFUNCTION("""COMPUTED_VALUE"""),63.8)</f>
        <v>63.8</v>
      </c>
      <c r="D1765" s="1">
        <f>IFERROR(__xludf.DUMMYFUNCTION("""COMPUTED_VALUE"""),63.11)</f>
        <v>63.11</v>
      </c>
      <c r="E1765" s="1">
        <f>IFERROR(__xludf.DUMMYFUNCTION("""COMPUTED_VALUE"""),63.48)</f>
        <v>63.48</v>
      </c>
      <c r="F1765" s="1">
        <f>IFERROR(__xludf.DUMMYFUNCTION("""COMPUTED_VALUE"""),1.08268E7)</f>
        <v>10826800</v>
      </c>
    </row>
    <row r="1766">
      <c r="A1766" s="2">
        <f>IFERROR(__xludf.DUMMYFUNCTION("""COMPUTED_VALUE"""),39092.666666666664)</f>
        <v>39092.66667</v>
      </c>
      <c r="B1766" s="1">
        <f>IFERROR(__xludf.DUMMYFUNCTION("""COMPUTED_VALUE"""),63.27)</f>
        <v>63.27</v>
      </c>
      <c r="C1766" s="1">
        <f>IFERROR(__xludf.DUMMYFUNCTION("""COMPUTED_VALUE"""),64.33)</f>
        <v>64.33</v>
      </c>
      <c r="D1766" s="1">
        <f>IFERROR(__xludf.DUMMYFUNCTION("""COMPUTED_VALUE"""),63.25)</f>
        <v>63.25</v>
      </c>
      <c r="E1766" s="1">
        <f>IFERROR(__xludf.DUMMYFUNCTION("""COMPUTED_VALUE"""),64.24)</f>
        <v>64.24</v>
      </c>
      <c r="F1766" s="1">
        <f>IFERROR(__xludf.DUMMYFUNCTION("""COMPUTED_VALUE"""),8139500.0)</f>
        <v>8139500</v>
      </c>
    </row>
    <row r="1767">
      <c r="A1767" s="2">
        <f>IFERROR(__xludf.DUMMYFUNCTION("""COMPUTED_VALUE"""),39093.666666666664)</f>
        <v>39093.66667</v>
      </c>
      <c r="B1767" s="1">
        <f>IFERROR(__xludf.DUMMYFUNCTION("""COMPUTED_VALUE"""),64.16)</f>
        <v>64.16</v>
      </c>
      <c r="C1767" s="1">
        <f>IFERROR(__xludf.DUMMYFUNCTION("""COMPUTED_VALUE"""),64.8)</f>
        <v>64.8</v>
      </c>
      <c r="D1767" s="1">
        <f>IFERROR(__xludf.DUMMYFUNCTION("""COMPUTED_VALUE"""),64.1)</f>
        <v>64.1</v>
      </c>
      <c r="E1767" s="1">
        <f>IFERROR(__xludf.DUMMYFUNCTION("""COMPUTED_VALUE"""),64.64)</f>
        <v>64.64</v>
      </c>
      <c r="F1767" s="1">
        <f>IFERROR(__xludf.DUMMYFUNCTION("""COMPUTED_VALUE"""),6593200.0)</f>
        <v>6593200</v>
      </c>
    </row>
    <row r="1768">
      <c r="A1768" s="2">
        <f>IFERROR(__xludf.DUMMYFUNCTION("""COMPUTED_VALUE"""),39094.666666666664)</f>
        <v>39094.66667</v>
      </c>
      <c r="B1768" s="1">
        <f>IFERROR(__xludf.DUMMYFUNCTION("""COMPUTED_VALUE"""),64.4)</f>
        <v>64.4</v>
      </c>
      <c r="C1768" s="1">
        <f>IFERROR(__xludf.DUMMYFUNCTION("""COMPUTED_VALUE"""),65.0)</f>
        <v>65</v>
      </c>
      <c r="D1768" s="1">
        <f>IFERROR(__xludf.DUMMYFUNCTION("""COMPUTED_VALUE"""),64.4)</f>
        <v>64.4</v>
      </c>
      <c r="E1768" s="1">
        <f>IFERROR(__xludf.DUMMYFUNCTION("""COMPUTED_VALUE"""),65.0)</f>
        <v>65</v>
      </c>
      <c r="F1768" s="1">
        <f>IFERROR(__xludf.DUMMYFUNCTION("""COMPUTED_VALUE"""),7904200.0)</f>
        <v>7904200</v>
      </c>
    </row>
    <row r="1769">
      <c r="A1769" s="2">
        <f>IFERROR(__xludf.DUMMYFUNCTION("""COMPUTED_VALUE"""),39098.666666666664)</f>
        <v>39098.66667</v>
      </c>
      <c r="B1769" s="1">
        <f>IFERROR(__xludf.DUMMYFUNCTION("""COMPUTED_VALUE"""),64.91)</f>
        <v>64.91</v>
      </c>
      <c r="C1769" s="1">
        <f>IFERROR(__xludf.DUMMYFUNCTION("""COMPUTED_VALUE"""),65.0)</f>
        <v>65</v>
      </c>
      <c r="D1769" s="1">
        <f>IFERROR(__xludf.DUMMYFUNCTION("""COMPUTED_VALUE"""),64.72)</f>
        <v>64.72</v>
      </c>
      <c r="E1769" s="1">
        <f>IFERROR(__xludf.DUMMYFUNCTION("""COMPUTED_VALUE"""),65.0)</f>
        <v>65</v>
      </c>
      <c r="F1769" s="1">
        <f>IFERROR(__xludf.DUMMYFUNCTION("""COMPUTED_VALUE"""),1.03971E7)</f>
        <v>10397100</v>
      </c>
    </row>
    <row r="1770">
      <c r="A1770" s="2">
        <f>IFERROR(__xludf.DUMMYFUNCTION("""COMPUTED_VALUE"""),39099.666666666664)</f>
        <v>39099.66667</v>
      </c>
      <c r="B1770" s="1">
        <f>IFERROR(__xludf.DUMMYFUNCTION("""COMPUTED_VALUE"""),65.21)</f>
        <v>65.21</v>
      </c>
      <c r="C1770" s="1">
        <f>IFERROR(__xludf.DUMMYFUNCTION("""COMPUTED_VALUE"""),65.73)</f>
        <v>65.73</v>
      </c>
      <c r="D1770" s="1">
        <f>IFERROR(__xludf.DUMMYFUNCTION("""COMPUTED_VALUE"""),64.85)</f>
        <v>64.85</v>
      </c>
      <c r="E1770" s="1">
        <f>IFERROR(__xludf.DUMMYFUNCTION("""COMPUTED_VALUE"""),65.36)</f>
        <v>65.36</v>
      </c>
      <c r="F1770" s="1">
        <f>IFERROR(__xludf.DUMMYFUNCTION("""COMPUTED_VALUE"""),1.14041E7)</f>
        <v>11404100</v>
      </c>
    </row>
    <row r="1771">
      <c r="A1771" s="2">
        <f>IFERROR(__xludf.DUMMYFUNCTION("""COMPUTED_VALUE"""),39100.666666666664)</f>
        <v>39100.66667</v>
      </c>
      <c r="B1771" s="1">
        <f>IFERROR(__xludf.DUMMYFUNCTION("""COMPUTED_VALUE"""),65.36)</f>
        <v>65.36</v>
      </c>
      <c r="C1771" s="1">
        <f>IFERROR(__xludf.DUMMYFUNCTION("""COMPUTED_VALUE"""),65.65)</f>
        <v>65.65</v>
      </c>
      <c r="D1771" s="1">
        <f>IFERROR(__xludf.DUMMYFUNCTION("""COMPUTED_VALUE"""),63.68)</f>
        <v>63.68</v>
      </c>
      <c r="E1771" s="1">
        <f>IFERROR(__xludf.DUMMYFUNCTION("""COMPUTED_VALUE"""),65.54)</f>
        <v>65.54</v>
      </c>
      <c r="F1771" s="1">
        <f>IFERROR(__xludf.DUMMYFUNCTION("""COMPUTED_VALUE"""),8680100.0)</f>
        <v>8680100</v>
      </c>
    </row>
    <row r="1772">
      <c r="A1772" s="2">
        <f>IFERROR(__xludf.DUMMYFUNCTION("""COMPUTED_VALUE"""),39101.666666666664)</f>
        <v>39101.66667</v>
      </c>
      <c r="B1772" s="1">
        <f>IFERROR(__xludf.DUMMYFUNCTION("""COMPUTED_VALUE"""),65.69)</f>
        <v>65.69</v>
      </c>
      <c r="C1772" s="1">
        <f>IFERROR(__xludf.DUMMYFUNCTION("""COMPUTED_VALUE"""),66.3)</f>
        <v>66.3</v>
      </c>
      <c r="D1772" s="1">
        <f>IFERROR(__xludf.DUMMYFUNCTION("""COMPUTED_VALUE"""),65.54)</f>
        <v>65.54</v>
      </c>
      <c r="E1772" s="1">
        <f>IFERROR(__xludf.DUMMYFUNCTION("""COMPUTED_VALUE"""),66.09)</f>
        <v>66.09</v>
      </c>
      <c r="F1772" s="1">
        <f>IFERROR(__xludf.DUMMYFUNCTION("""COMPUTED_VALUE"""),9241500.0)</f>
        <v>9241500</v>
      </c>
    </row>
    <row r="1773">
      <c r="A1773" s="2">
        <f>IFERROR(__xludf.DUMMYFUNCTION("""COMPUTED_VALUE"""),39104.666666666664)</f>
        <v>39104.66667</v>
      </c>
      <c r="B1773" s="1">
        <f>IFERROR(__xludf.DUMMYFUNCTION("""COMPUTED_VALUE"""),65.95)</f>
        <v>65.95</v>
      </c>
      <c r="C1773" s="1">
        <f>IFERROR(__xludf.DUMMYFUNCTION("""COMPUTED_VALUE"""),66.03)</f>
        <v>66.03</v>
      </c>
      <c r="D1773" s="1">
        <f>IFERROR(__xludf.DUMMYFUNCTION("""COMPUTED_VALUE"""),65.16)</f>
        <v>65.16</v>
      </c>
      <c r="E1773" s="1">
        <f>IFERROR(__xludf.DUMMYFUNCTION("""COMPUTED_VALUE"""),65.72)</f>
        <v>65.72</v>
      </c>
      <c r="F1773" s="1">
        <f>IFERROR(__xludf.DUMMYFUNCTION("""COMPUTED_VALUE"""),9324800.0)</f>
        <v>9324800</v>
      </c>
    </row>
    <row r="1774">
      <c r="A1774" s="2">
        <f>IFERROR(__xludf.DUMMYFUNCTION("""COMPUTED_VALUE"""),39105.666666666664)</f>
        <v>39105.66667</v>
      </c>
      <c r="B1774" s="1">
        <f>IFERROR(__xludf.DUMMYFUNCTION("""COMPUTED_VALUE"""),66.0)</f>
        <v>66</v>
      </c>
      <c r="C1774" s="1">
        <f>IFERROR(__xludf.DUMMYFUNCTION("""COMPUTED_VALUE"""),66.0)</f>
        <v>66</v>
      </c>
      <c r="D1774" s="1">
        <f>IFERROR(__xludf.DUMMYFUNCTION("""COMPUTED_VALUE"""),65.29)</f>
        <v>65.29</v>
      </c>
      <c r="E1774" s="1">
        <f>IFERROR(__xludf.DUMMYFUNCTION("""COMPUTED_VALUE"""),65.64)</f>
        <v>65.64</v>
      </c>
      <c r="F1774" s="1">
        <f>IFERROR(__xludf.DUMMYFUNCTION("""COMPUTED_VALUE"""),5763800.0)</f>
        <v>5763800</v>
      </c>
    </row>
    <row r="1775">
      <c r="A1775" s="2">
        <f>IFERROR(__xludf.DUMMYFUNCTION("""COMPUTED_VALUE"""),39106.666666666664)</f>
        <v>39106.66667</v>
      </c>
      <c r="B1775" s="1">
        <f>IFERROR(__xludf.DUMMYFUNCTION("""COMPUTED_VALUE"""),65.55)</f>
        <v>65.55</v>
      </c>
      <c r="C1775" s="1">
        <f>IFERROR(__xludf.DUMMYFUNCTION("""COMPUTED_VALUE"""),65.74)</f>
        <v>65.74</v>
      </c>
      <c r="D1775" s="1">
        <f>IFERROR(__xludf.DUMMYFUNCTION("""COMPUTED_VALUE"""),65.1)</f>
        <v>65.1</v>
      </c>
      <c r="E1775" s="1">
        <f>IFERROR(__xludf.DUMMYFUNCTION("""COMPUTED_VALUE"""),65.51)</f>
        <v>65.51</v>
      </c>
      <c r="F1775" s="1">
        <f>IFERROR(__xludf.DUMMYFUNCTION("""COMPUTED_VALUE"""),6400300.0)</f>
        <v>6400300</v>
      </c>
    </row>
    <row r="1776">
      <c r="A1776" s="2">
        <f>IFERROR(__xludf.DUMMYFUNCTION("""COMPUTED_VALUE"""),39107.666666666664)</f>
        <v>39107.66667</v>
      </c>
      <c r="B1776" s="1">
        <f>IFERROR(__xludf.DUMMYFUNCTION("""COMPUTED_VALUE"""),65.36)</f>
        <v>65.36</v>
      </c>
      <c r="C1776" s="1">
        <f>IFERROR(__xludf.DUMMYFUNCTION("""COMPUTED_VALUE"""),65.49)</f>
        <v>65.49</v>
      </c>
      <c r="D1776" s="1">
        <f>IFERROR(__xludf.DUMMYFUNCTION("""COMPUTED_VALUE"""),64.68)</f>
        <v>64.68</v>
      </c>
      <c r="E1776" s="1">
        <f>IFERROR(__xludf.DUMMYFUNCTION("""COMPUTED_VALUE"""),64.92)</f>
        <v>64.92</v>
      </c>
      <c r="F1776" s="1">
        <f>IFERROR(__xludf.DUMMYFUNCTION("""COMPUTED_VALUE"""),6801500.0)</f>
        <v>6801500</v>
      </c>
    </row>
    <row r="1777">
      <c r="A1777" s="2">
        <f>IFERROR(__xludf.DUMMYFUNCTION("""COMPUTED_VALUE"""),39108.666666666664)</f>
        <v>39108.66667</v>
      </c>
      <c r="B1777" s="1">
        <f>IFERROR(__xludf.DUMMYFUNCTION("""COMPUTED_VALUE"""),65.0)</f>
        <v>65</v>
      </c>
      <c r="C1777" s="1">
        <f>IFERROR(__xludf.DUMMYFUNCTION("""COMPUTED_VALUE"""),65.14)</f>
        <v>65.14</v>
      </c>
      <c r="D1777" s="1">
        <f>IFERROR(__xludf.DUMMYFUNCTION("""COMPUTED_VALUE"""),64.5)</f>
        <v>64.5</v>
      </c>
      <c r="E1777" s="1">
        <f>IFERROR(__xludf.DUMMYFUNCTION("""COMPUTED_VALUE"""),64.86)</f>
        <v>64.86</v>
      </c>
      <c r="F1777" s="1">
        <f>IFERROR(__xludf.DUMMYFUNCTION("""COMPUTED_VALUE"""),6829500.0)</f>
        <v>6829500</v>
      </c>
    </row>
    <row r="1778">
      <c r="A1778" s="2">
        <f>IFERROR(__xludf.DUMMYFUNCTION("""COMPUTED_VALUE"""),39111.666666666664)</f>
        <v>39111.66667</v>
      </c>
      <c r="B1778" s="1">
        <f>IFERROR(__xludf.DUMMYFUNCTION("""COMPUTED_VALUE"""),65.23)</f>
        <v>65.23</v>
      </c>
      <c r="C1778" s="1">
        <f>IFERROR(__xludf.DUMMYFUNCTION("""COMPUTED_VALUE"""),65.55)</f>
        <v>65.55</v>
      </c>
      <c r="D1778" s="1">
        <f>IFERROR(__xludf.DUMMYFUNCTION("""COMPUTED_VALUE"""),64.83)</f>
        <v>64.83</v>
      </c>
      <c r="E1778" s="1">
        <f>IFERROR(__xludf.DUMMYFUNCTION("""COMPUTED_VALUE"""),64.88)</f>
        <v>64.88</v>
      </c>
      <c r="F1778" s="1">
        <f>IFERROR(__xludf.DUMMYFUNCTION("""COMPUTED_VALUE"""),9458300.0)</f>
        <v>9458300</v>
      </c>
    </row>
    <row r="1779">
      <c r="A1779" s="2">
        <f>IFERROR(__xludf.DUMMYFUNCTION("""COMPUTED_VALUE"""),39112.666666666664)</f>
        <v>39112.66667</v>
      </c>
      <c r="B1779" s="1">
        <f>IFERROR(__xludf.DUMMYFUNCTION("""COMPUTED_VALUE"""),64.4)</f>
        <v>64.4</v>
      </c>
      <c r="C1779" s="1">
        <f>IFERROR(__xludf.DUMMYFUNCTION("""COMPUTED_VALUE"""),64.79)</f>
        <v>64.79</v>
      </c>
      <c r="D1779" s="1">
        <f>IFERROR(__xludf.DUMMYFUNCTION("""COMPUTED_VALUE"""),63.68)</f>
        <v>63.68</v>
      </c>
      <c r="E1779" s="1">
        <f>IFERROR(__xludf.DUMMYFUNCTION("""COMPUTED_VALUE"""),64.59)</f>
        <v>64.59</v>
      </c>
      <c r="F1779" s="1">
        <f>IFERROR(__xludf.DUMMYFUNCTION("""COMPUTED_VALUE"""),1.20036E7)</f>
        <v>12003600</v>
      </c>
    </row>
    <row r="1780">
      <c r="A1780" s="2">
        <f>IFERROR(__xludf.DUMMYFUNCTION("""COMPUTED_VALUE"""),39113.666666666664)</f>
        <v>39113.66667</v>
      </c>
      <c r="B1780" s="1">
        <f>IFERROR(__xludf.DUMMYFUNCTION("""COMPUTED_VALUE"""),64.5)</f>
        <v>64.5</v>
      </c>
      <c r="C1780" s="1">
        <f>IFERROR(__xludf.DUMMYFUNCTION("""COMPUTED_VALUE"""),65.16)</f>
        <v>65.16</v>
      </c>
      <c r="D1780" s="1">
        <f>IFERROR(__xludf.DUMMYFUNCTION("""COMPUTED_VALUE"""),64.1)</f>
        <v>64.1</v>
      </c>
      <c r="E1780" s="1">
        <f>IFERROR(__xludf.DUMMYFUNCTION("""COMPUTED_VALUE"""),64.87)</f>
        <v>64.87</v>
      </c>
      <c r="F1780" s="1">
        <f>IFERROR(__xludf.DUMMYFUNCTION("""COMPUTED_VALUE"""),8954500.0)</f>
        <v>8954500</v>
      </c>
    </row>
    <row r="1781">
      <c r="A1781" s="2">
        <f>IFERROR(__xludf.DUMMYFUNCTION("""COMPUTED_VALUE"""),39114.666666666664)</f>
        <v>39114.66667</v>
      </c>
      <c r="B1781" s="1">
        <f>IFERROR(__xludf.DUMMYFUNCTION("""COMPUTED_VALUE"""),64.9)</f>
        <v>64.9</v>
      </c>
      <c r="C1781" s="1">
        <f>IFERROR(__xludf.DUMMYFUNCTION("""COMPUTED_VALUE"""),65.49)</f>
        <v>65.49</v>
      </c>
      <c r="D1781" s="1">
        <f>IFERROR(__xludf.DUMMYFUNCTION("""COMPUTED_VALUE"""),64.68)</f>
        <v>64.68</v>
      </c>
      <c r="E1781" s="1">
        <f>IFERROR(__xludf.DUMMYFUNCTION("""COMPUTED_VALUE"""),65.34)</f>
        <v>65.34</v>
      </c>
      <c r="F1781" s="1">
        <f>IFERROR(__xludf.DUMMYFUNCTION("""COMPUTED_VALUE"""),8122900.0)</f>
        <v>8122900</v>
      </c>
    </row>
    <row r="1782">
      <c r="A1782" s="2">
        <f>IFERROR(__xludf.DUMMYFUNCTION("""COMPUTED_VALUE"""),39115.666666666664)</f>
        <v>39115.66667</v>
      </c>
      <c r="B1782" s="1">
        <f>IFERROR(__xludf.DUMMYFUNCTION("""COMPUTED_VALUE"""),65.58)</f>
        <v>65.58</v>
      </c>
      <c r="C1782" s="1">
        <f>IFERROR(__xludf.DUMMYFUNCTION("""COMPUTED_VALUE"""),65.64)</f>
        <v>65.64</v>
      </c>
      <c r="D1782" s="1">
        <f>IFERROR(__xludf.DUMMYFUNCTION("""COMPUTED_VALUE"""),65.09)</f>
        <v>65.09</v>
      </c>
      <c r="E1782" s="1">
        <f>IFERROR(__xludf.DUMMYFUNCTION("""COMPUTED_VALUE"""),65.34)</f>
        <v>65.34</v>
      </c>
      <c r="F1782" s="1">
        <f>IFERROR(__xludf.DUMMYFUNCTION("""COMPUTED_VALUE"""),6379400.0)</f>
        <v>6379400</v>
      </c>
    </row>
    <row r="1783">
      <c r="A1783" s="2">
        <f>IFERROR(__xludf.DUMMYFUNCTION("""COMPUTED_VALUE"""),39118.666666666664)</f>
        <v>39118.66667</v>
      </c>
      <c r="B1783" s="1">
        <f>IFERROR(__xludf.DUMMYFUNCTION("""COMPUTED_VALUE"""),65.12)</f>
        <v>65.12</v>
      </c>
      <c r="C1783" s="1">
        <f>IFERROR(__xludf.DUMMYFUNCTION("""COMPUTED_VALUE"""),65.42)</f>
        <v>65.42</v>
      </c>
      <c r="D1783" s="1">
        <f>IFERROR(__xludf.DUMMYFUNCTION("""COMPUTED_VALUE"""),64.93)</f>
        <v>64.93</v>
      </c>
      <c r="E1783" s="1">
        <f>IFERROR(__xludf.DUMMYFUNCTION("""COMPUTED_VALUE"""),65.15)</f>
        <v>65.15</v>
      </c>
      <c r="F1783" s="1">
        <f>IFERROR(__xludf.DUMMYFUNCTION("""COMPUTED_VALUE"""),6395900.0)</f>
        <v>6395900</v>
      </c>
    </row>
    <row r="1784">
      <c r="A1784" s="2">
        <f>IFERROR(__xludf.DUMMYFUNCTION("""COMPUTED_VALUE"""),39119.666666666664)</f>
        <v>39119.66667</v>
      </c>
      <c r="B1784" s="1">
        <f>IFERROR(__xludf.DUMMYFUNCTION("""COMPUTED_VALUE"""),65.15)</f>
        <v>65.15</v>
      </c>
      <c r="C1784" s="1">
        <f>IFERROR(__xludf.DUMMYFUNCTION("""COMPUTED_VALUE"""),65.26)</f>
        <v>65.26</v>
      </c>
      <c r="D1784" s="1">
        <f>IFERROR(__xludf.DUMMYFUNCTION("""COMPUTED_VALUE"""),64.48)</f>
        <v>64.48</v>
      </c>
      <c r="E1784" s="1">
        <f>IFERROR(__xludf.DUMMYFUNCTION("""COMPUTED_VALUE"""),64.59)</f>
        <v>64.59</v>
      </c>
      <c r="F1784" s="1">
        <f>IFERROR(__xludf.DUMMYFUNCTION("""COMPUTED_VALUE"""),8342700.0)</f>
        <v>8342700</v>
      </c>
    </row>
    <row r="1785">
      <c r="A1785" s="2">
        <f>IFERROR(__xludf.DUMMYFUNCTION("""COMPUTED_VALUE"""),39120.666666666664)</f>
        <v>39120.66667</v>
      </c>
      <c r="B1785" s="1">
        <f>IFERROR(__xludf.DUMMYFUNCTION("""COMPUTED_VALUE"""),64.82)</f>
        <v>64.82</v>
      </c>
      <c r="C1785" s="1">
        <f>IFERROR(__xludf.DUMMYFUNCTION("""COMPUTED_VALUE"""),64.95)</f>
        <v>64.95</v>
      </c>
      <c r="D1785" s="1">
        <f>IFERROR(__xludf.DUMMYFUNCTION("""COMPUTED_VALUE"""),64.35)</f>
        <v>64.35</v>
      </c>
      <c r="E1785" s="1">
        <f>IFERROR(__xludf.DUMMYFUNCTION("""COMPUTED_VALUE"""),64.48)</f>
        <v>64.48</v>
      </c>
      <c r="F1785" s="1">
        <f>IFERROR(__xludf.DUMMYFUNCTION("""COMPUTED_VALUE"""),6747400.0)</f>
        <v>6747400</v>
      </c>
    </row>
    <row r="1786">
      <c r="A1786" s="2">
        <f>IFERROR(__xludf.DUMMYFUNCTION("""COMPUTED_VALUE"""),39121.666666666664)</f>
        <v>39121.66667</v>
      </c>
      <c r="B1786" s="1">
        <f>IFERROR(__xludf.DUMMYFUNCTION("""COMPUTED_VALUE"""),64.11)</f>
        <v>64.11</v>
      </c>
      <c r="C1786" s="1">
        <f>IFERROR(__xludf.DUMMYFUNCTION("""COMPUTED_VALUE"""),64.75)</f>
        <v>64.75</v>
      </c>
      <c r="D1786" s="1">
        <f>IFERROR(__xludf.DUMMYFUNCTION("""COMPUTED_VALUE"""),64.1)</f>
        <v>64.1</v>
      </c>
      <c r="E1786" s="1">
        <f>IFERROR(__xludf.DUMMYFUNCTION("""COMPUTED_VALUE"""),64.59)</f>
        <v>64.59</v>
      </c>
      <c r="F1786" s="1">
        <f>IFERROR(__xludf.DUMMYFUNCTION("""COMPUTED_VALUE"""),5783700.0)</f>
        <v>5783700</v>
      </c>
    </row>
    <row r="1787">
      <c r="A1787" s="2">
        <f>IFERROR(__xludf.DUMMYFUNCTION("""COMPUTED_VALUE"""),39122.666666666664)</f>
        <v>39122.66667</v>
      </c>
      <c r="B1787" s="1">
        <f>IFERROR(__xludf.DUMMYFUNCTION("""COMPUTED_VALUE"""),64.59)</f>
        <v>64.59</v>
      </c>
      <c r="C1787" s="1">
        <f>IFERROR(__xludf.DUMMYFUNCTION("""COMPUTED_VALUE"""),64.82)</f>
        <v>64.82</v>
      </c>
      <c r="D1787" s="1">
        <f>IFERROR(__xludf.DUMMYFUNCTION("""COMPUTED_VALUE"""),64.22)</f>
        <v>64.22</v>
      </c>
      <c r="E1787" s="1">
        <f>IFERROR(__xludf.DUMMYFUNCTION("""COMPUTED_VALUE"""),64.43)</f>
        <v>64.43</v>
      </c>
      <c r="F1787" s="1">
        <f>IFERROR(__xludf.DUMMYFUNCTION("""COMPUTED_VALUE"""),5253600.0)</f>
        <v>5253600</v>
      </c>
    </row>
    <row r="1788">
      <c r="A1788" s="2">
        <f>IFERROR(__xludf.DUMMYFUNCTION("""COMPUTED_VALUE"""),39125.666666666664)</f>
        <v>39125.66667</v>
      </c>
      <c r="B1788" s="1">
        <f>IFERROR(__xludf.DUMMYFUNCTION("""COMPUTED_VALUE"""),64.36)</f>
        <v>64.36</v>
      </c>
      <c r="C1788" s="1">
        <f>IFERROR(__xludf.DUMMYFUNCTION("""COMPUTED_VALUE"""),64.59)</f>
        <v>64.59</v>
      </c>
      <c r="D1788" s="1">
        <f>IFERROR(__xludf.DUMMYFUNCTION("""COMPUTED_VALUE"""),64.06)</f>
        <v>64.06</v>
      </c>
      <c r="E1788" s="1">
        <f>IFERROR(__xludf.DUMMYFUNCTION("""COMPUTED_VALUE"""),64.16)</f>
        <v>64.16</v>
      </c>
      <c r="F1788" s="1">
        <f>IFERROR(__xludf.DUMMYFUNCTION("""COMPUTED_VALUE"""),8014267.0)</f>
        <v>8014267</v>
      </c>
    </row>
    <row r="1789">
      <c r="A1789" s="2">
        <f>IFERROR(__xludf.DUMMYFUNCTION("""COMPUTED_VALUE"""),39126.666666666664)</f>
        <v>39126.66667</v>
      </c>
      <c r="B1789" s="1">
        <f>IFERROR(__xludf.DUMMYFUNCTION("""COMPUTED_VALUE"""),64.16)</f>
        <v>64.16</v>
      </c>
      <c r="C1789" s="1">
        <f>IFERROR(__xludf.DUMMYFUNCTION("""COMPUTED_VALUE"""),64.74)</f>
        <v>64.74</v>
      </c>
      <c r="D1789" s="1">
        <f>IFERROR(__xludf.DUMMYFUNCTION("""COMPUTED_VALUE"""),64.06)</f>
        <v>64.06</v>
      </c>
      <c r="E1789" s="1">
        <f>IFERROR(__xludf.DUMMYFUNCTION("""COMPUTED_VALUE"""),64.71)</f>
        <v>64.71</v>
      </c>
      <c r="F1789" s="1">
        <f>IFERROR(__xludf.DUMMYFUNCTION("""COMPUTED_VALUE"""),8845139.0)</f>
        <v>8845139</v>
      </c>
    </row>
    <row r="1790">
      <c r="A1790" s="2">
        <f>IFERROR(__xludf.DUMMYFUNCTION("""COMPUTED_VALUE"""),39127.666666666664)</f>
        <v>39127.66667</v>
      </c>
      <c r="B1790" s="1">
        <f>IFERROR(__xludf.DUMMYFUNCTION("""COMPUTED_VALUE"""),64.85)</f>
        <v>64.85</v>
      </c>
      <c r="C1790" s="1">
        <f>IFERROR(__xludf.DUMMYFUNCTION("""COMPUTED_VALUE"""),65.07)</f>
        <v>65.07</v>
      </c>
      <c r="D1790" s="1">
        <f>IFERROR(__xludf.DUMMYFUNCTION("""COMPUTED_VALUE"""),64.62)</f>
        <v>64.62</v>
      </c>
      <c r="E1790" s="1">
        <f>IFERROR(__xludf.DUMMYFUNCTION("""COMPUTED_VALUE"""),64.88)</f>
        <v>64.88</v>
      </c>
      <c r="F1790" s="1">
        <f>IFERROR(__xludf.DUMMYFUNCTION("""COMPUTED_VALUE"""),5969234.0)</f>
        <v>5969234</v>
      </c>
    </row>
    <row r="1791">
      <c r="A1791" s="2">
        <f>IFERROR(__xludf.DUMMYFUNCTION("""COMPUTED_VALUE"""),39128.666666666664)</f>
        <v>39128.66667</v>
      </c>
      <c r="B1791" s="1">
        <f>IFERROR(__xludf.DUMMYFUNCTION("""COMPUTED_VALUE"""),64.8)</f>
        <v>64.8</v>
      </c>
      <c r="C1791" s="1">
        <f>IFERROR(__xludf.DUMMYFUNCTION("""COMPUTED_VALUE"""),65.4)</f>
        <v>65.4</v>
      </c>
      <c r="D1791" s="1">
        <f>IFERROR(__xludf.DUMMYFUNCTION("""COMPUTED_VALUE"""),64.8)</f>
        <v>64.8</v>
      </c>
      <c r="E1791" s="1">
        <f>IFERROR(__xludf.DUMMYFUNCTION("""COMPUTED_VALUE"""),64.99)</f>
        <v>64.99</v>
      </c>
      <c r="F1791" s="1">
        <f>IFERROR(__xludf.DUMMYFUNCTION("""COMPUTED_VALUE"""),5174100.0)</f>
        <v>5174100</v>
      </c>
    </row>
    <row r="1792">
      <c r="A1792" s="2">
        <f>IFERROR(__xludf.DUMMYFUNCTION("""COMPUTED_VALUE"""),39129.666666666664)</f>
        <v>39129.66667</v>
      </c>
      <c r="B1792" s="1">
        <f>IFERROR(__xludf.DUMMYFUNCTION("""COMPUTED_VALUE"""),64.89)</f>
        <v>64.89</v>
      </c>
      <c r="C1792" s="1">
        <f>IFERROR(__xludf.DUMMYFUNCTION("""COMPUTED_VALUE"""),65.5)</f>
        <v>65.5</v>
      </c>
      <c r="D1792" s="1">
        <f>IFERROR(__xludf.DUMMYFUNCTION("""COMPUTED_VALUE"""),64.8)</f>
        <v>64.8</v>
      </c>
      <c r="E1792" s="1">
        <f>IFERROR(__xludf.DUMMYFUNCTION("""COMPUTED_VALUE"""),65.07)</f>
        <v>65.07</v>
      </c>
      <c r="F1792" s="1">
        <f>IFERROR(__xludf.DUMMYFUNCTION("""COMPUTED_VALUE"""),8158900.0)</f>
        <v>8158900</v>
      </c>
    </row>
    <row r="1793">
      <c r="A1793" s="2">
        <f>IFERROR(__xludf.DUMMYFUNCTION("""COMPUTED_VALUE"""),39133.666666666664)</f>
        <v>39133.66667</v>
      </c>
      <c r="B1793" s="1">
        <f>IFERROR(__xludf.DUMMYFUNCTION("""COMPUTED_VALUE"""),64.75)</f>
        <v>64.75</v>
      </c>
      <c r="C1793" s="1">
        <f>IFERROR(__xludf.DUMMYFUNCTION("""COMPUTED_VALUE"""),65.07)</f>
        <v>65.07</v>
      </c>
      <c r="D1793" s="1">
        <f>IFERROR(__xludf.DUMMYFUNCTION("""COMPUTED_VALUE"""),64.36)</f>
        <v>64.36</v>
      </c>
      <c r="E1793" s="1">
        <f>IFERROR(__xludf.DUMMYFUNCTION("""COMPUTED_VALUE"""),64.88)</f>
        <v>64.88</v>
      </c>
      <c r="F1793" s="1">
        <f>IFERROR(__xludf.DUMMYFUNCTION("""COMPUTED_VALUE"""),9201400.0)</f>
        <v>9201400</v>
      </c>
    </row>
    <row r="1794">
      <c r="A1794" s="2">
        <f>IFERROR(__xludf.DUMMYFUNCTION("""COMPUTED_VALUE"""),39134.666666666664)</f>
        <v>39134.66667</v>
      </c>
      <c r="B1794" s="1">
        <f>IFERROR(__xludf.DUMMYFUNCTION("""COMPUTED_VALUE"""),64.75)</f>
        <v>64.75</v>
      </c>
      <c r="C1794" s="1">
        <f>IFERROR(__xludf.DUMMYFUNCTION("""COMPUTED_VALUE"""),64.99)</f>
        <v>64.99</v>
      </c>
      <c r="D1794" s="1">
        <f>IFERROR(__xludf.DUMMYFUNCTION("""COMPUTED_VALUE"""),64.32)</f>
        <v>64.32</v>
      </c>
      <c r="E1794" s="1">
        <f>IFERROR(__xludf.DUMMYFUNCTION("""COMPUTED_VALUE"""),64.69)</f>
        <v>64.69</v>
      </c>
      <c r="F1794" s="1">
        <f>IFERROR(__xludf.DUMMYFUNCTION("""COMPUTED_VALUE"""),5655600.0)</f>
        <v>5655600</v>
      </c>
    </row>
    <row r="1795">
      <c r="A1795" s="2">
        <f>IFERROR(__xludf.DUMMYFUNCTION("""COMPUTED_VALUE"""),39135.666666666664)</f>
        <v>39135.66667</v>
      </c>
      <c r="B1795" s="1">
        <f>IFERROR(__xludf.DUMMYFUNCTION("""COMPUTED_VALUE"""),64.48)</f>
        <v>64.48</v>
      </c>
      <c r="C1795" s="1">
        <f>IFERROR(__xludf.DUMMYFUNCTION("""COMPUTED_VALUE"""),64.73)</f>
        <v>64.73</v>
      </c>
      <c r="D1795" s="1">
        <f>IFERROR(__xludf.DUMMYFUNCTION("""COMPUTED_VALUE"""),64.31)</f>
        <v>64.31</v>
      </c>
      <c r="E1795" s="1">
        <f>IFERROR(__xludf.DUMMYFUNCTION("""COMPUTED_VALUE"""),64.71)</f>
        <v>64.71</v>
      </c>
      <c r="F1795" s="1">
        <f>IFERROR(__xludf.DUMMYFUNCTION("""COMPUTED_VALUE"""),6321700.0)</f>
        <v>6321700</v>
      </c>
    </row>
    <row r="1796">
      <c r="A1796" s="2">
        <f>IFERROR(__xludf.DUMMYFUNCTION("""COMPUTED_VALUE"""),39136.666666666664)</f>
        <v>39136.66667</v>
      </c>
      <c r="B1796" s="1">
        <f>IFERROR(__xludf.DUMMYFUNCTION("""COMPUTED_VALUE"""),64.78)</f>
        <v>64.78</v>
      </c>
      <c r="C1796" s="1">
        <f>IFERROR(__xludf.DUMMYFUNCTION("""COMPUTED_VALUE"""),64.93)</f>
        <v>64.93</v>
      </c>
      <c r="D1796" s="1">
        <f>IFERROR(__xludf.DUMMYFUNCTION("""COMPUTED_VALUE"""),64.46)</f>
        <v>64.46</v>
      </c>
      <c r="E1796" s="1">
        <f>IFERROR(__xludf.DUMMYFUNCTION("""COMPUTED_VALUE"""),64.82)</f>
        <v>64.82</v>
      </c>
      <c r="F1796" s="1">
        <f>IFERROR(__xludf.DUMMYFUNCTION("""COMPUTED_VALUE"""),5538800.0)</f>
        <v>5538800</v>
      </c>
    </row>
    <row r="1797">
      <c r="A1797" s="2">
        <f>IFERROR(__xludf.DUMMYFUNCTION("""COMPUTED_VALUE"""),39139.666666666664)</f>
        <v>39139.66667</v>
      </c>
      <c r="B1797" s="1">
        <f>IFERROR(__xludf.DUMMYFUNCTION("""COMPUTED_VALUE"""),64.66)</f>
        <v>64.66</v>
      </c>
      <c r="C1797" s="1">
        <f>IFERROR(__xludf.DUMMYFUNCTION("""COMPUTED_VALUE"""),64.99)</f>
        <v>64.99</v>
      </c>
      <c r="D1797" s="1">
        <f>IFERROR(__xludf.DUMMYFUNCTION("""COMPUTED_VALUE"""),64.32)</f>
        <v>64.32</v>
      </c>
      <c r="E1797" s="1">
        <f>IFERROR(__xludf.DUMMYFUNCTION("""COMPUTED_VALUE"""),64.44)</f>
        <v>64.44</v>
      </c>
      <c r="F1797" s="1">
        <f>IFERROR(__xludf.DUMMYFUNCTION("""COMPUTED_VALUE"""),6545335.0)</f>
        <v>6545335</v>
      </c>
    </row>
    <row r="1798">
      <c r="A1798" s="2">
        <f>IFERROR(__xludf.DUMMYFUNCTION("""COMPUTED_VALUE"""),39140.666666666664)</f>
        <v>39140.66667</v>
      </c>
      <c r="B1798" s="1">
        <f>IFERROR(__xludf.DUMMYFUNCTION("""COMPUTED_VALUE"""),64.44)</f>
        <v>64.44</v>
      </c>
      <c r="C1798" s="1">
        <f>IFERROR(__xludf.DUMMYFUNCTION("""COMPUTED_VALUE"""),64.73)</f>
        <v>64.73</v>
      </c>
      <c r="D1798" s="1">
        <f>IFERROR(__xludf.DUMMYFUNCTION("""COMPUTED_VALUE"""),61.25)</f>
        <v>61.25</v>
      </c>
      <c r="E1798" s="1">
        <f>IFERROR(__xludf.DUMMYFUNCTION("""COMPUTED_VALUE"""),61.25)</f>
        <v>61.25</v>
      </c>
      <c r="F1798" s="1">
        <f>IFERROR(__xludf.DUMMYFUNCTION("""COMPUTED_VALUE"""),1.68949E7)</f>
        <v>16894900</v>
      </c>
    </row>
    <row r="1799">
      <c r="A1799" s="2">
        <f>IFERROR(__xludf.DUMMYFUNCTION("""COMPUTED_VALUE"""),39141.666666666664)</f>
        <v>39141.66667</v>
      </c>
      <c r="B1799" s="1">
        <f>IFERROR(__xludf.DUMMYFUNCTION("""COMPUTED_VALUE"""),62.5)</f>
        <v>62.5</v>
      </c>
      <c r="C1799" s="1">
        <f>IFERROR(__xludf.DUMMYFUNCTION("""COMPUTED_VALUE"""),63.77)</f>
        <v>63.77</v>
      </c>
      <c r="D1799" s="1">
        <f>IFERROR(__xludf.DUMMYFUNCTION("""COMPUTED_VALUE"""),62.25)</f>
        <v>62.25</v>
      </c>
      <c r="E1799" s="1">
        <f>IFERROR(__xludf.DUMMYFUNCTION("""COMPUTED_VALUE"""),63.49)</f>
        <v>63.49</v>
      </c>
      <c r="F1799" s="1">
        <f>IFERROR(__xludf.DUMMYFUNCTION("""COMPUTED_VALUE"""),1.72785E7)</f>
        <v>17278500</v>
      </c>
    </row>
    <row r="1800">
      <c r="A1800" s="2">
        <f>IFERROR(__xludf.DUMMYFUNCTION("""COMPUTED_VALUE"""),39142.666666666664)</f>
        <v>39142.66667</v>
      </c>
      <c r="B1800" s="1">
        <f>IFERROR(__xludf.DUMMYFUNCTION("""COMPUTED_VALUE"""),63.49)</f>
        <v>63.49</v>
      </c>
      <c r="C1800" s="1">
        <f>IFERROR(__xludf.DUMMYFUNCTION("""COMPUTED_VALUE"""),64.12)</f>
        <v>64.12</v>
      </c>
      <c r="D1800" s="1">
        <f>IFERROR(__xludf.DUMMYFUNCTION("""COMPUTED_VALUE"""),62.75)</f>
        <v>62.75</v>
      </c>
      <c r="E1800" s="1">
        <f>IFERROR(__xludf.DUMMYFUNCTION("""COMPUTED_VALUE"""),63.68)</f>
        <v>63.68</v>
      </c>
      <c r="F1800" s="1">
        <f>IFERROR(__xludf.DUMMYFUNCTION("""COMPUTED_VALUE"""),1.1245377E7)</f>
        <v>11245377</v>
      </c>
    </row>
    <row r="1801">
      <c r="A1801" s="2">
        <f>IFERROR(__xludf.DUMMYFUNCTION("""COMPUTED_VALUE"""),39143.666666666664)</f>
        <v>39143.66667</v>
      </c>
      <c r="B1801" s="1">
        <f>IFERROR(__xludf.DUMMYFUNCTION("""COMPUTED_VALUE"""),63.68)</f>
        <v>63.68</v>
      </c>
      <c r="C1801" s="1">
        <f>IFERROR(__xludf.DUMMYFUNCTION("""COMPUTED_VALUE"""),63.71)</f>
        <v>63.71</v>
      </c>
      <c r="D1801" s="1">
        <f>IFERROR(__xludf.DUMMYFUNCTION("""COMPUTED_VALUE"""),62.7)</f>
        <v>62.7</v>
      </c>
      <c r="E1801" s="1">
        <f>IFERROR(__xludf.DUMMYFUNCTION("""COMPUTED_VALUE"""),63.16)</f>
        <v>63.16</v>
      </c>
      <c r="F1801" s="1">
        <f>IFERROR(__xludf.DUMMYFUNCTION("""COMPUTED_VALUE"""),9275100.0)</f>
        <v>9275100</v>
      </c>
    </row>
    <row r="1802">
      <c r="A1802" s="2">
        <f>IFERROR(__xludf.DUMMYFUNCTION("""COMPUTED_VALUE"""),39146.666666666664)</f>
        <v>39146.66667</v>
      </c>
      <c r="B1802" s="1">
        <f>IFERROR(__xludf.DUMMYFUNCTION("""COMPUTED_VALUE"""),62.84)</f>
        <v>62.84</v>
      </c>
      <c r="C1802" s="1">
        <f>IFERROR(__xludf.DUMMYFUNCTION("""COMPUTED_VALUE"""),63.6)</f>
        <v>63.6</v>
      </c>
      <c r="D1802" s="1">
        <f>IFERROR(__xludf.DUMMYFUNCTION("""COMPUTED_VALUE"""),62.66)</f>
        <v>62.66</v>
      </c>
      <c r="E1802" s="1">
        <f>IFERROR(__xludf.DUMMYFUNCTION("""COMPUTED_VALUE"""),62.79)</f>
        <v>62.79</v>
      </c>
      <c r="F1802" s="1">
        <f>IFERROR(__xludf.DUMMYFUNCTION("""COMPUTED_VALUE"""),9922300.0)</f>
        <v>9922300</v>
      </c>
    </row>
    <row r="1803">
      <c r="A1803" s="2">
        <f>IFERROR(__xludf.DUMMYFUNCTION("""COMPUTED_VALUE"""),39147.666666666664)</f>
        <v>39147.66667</v>
      </c>
      <c r="B1803" s="1">
        <f>IFERROR(__xludf.DUMMYFUNCTION("""COMPUTED_VALUE"""),63.0)</f>
        <v>63</v>
      </c>
      <c r="C1803" s="1">
        <f>IFERROR(__xludf.DUMMYFUNCTION("""COMPUTED_VALUE"""),63.07)</f>
        <v>63.07</v>
      </c>
      <c r="D1803" s="1">
        <f>IFERROR(__xludf.DUMMYFUNCTION("""COMPUTED_VALUE"""),62.45)</f>
        <v>62.45</v>
      </c>
      <c r="E1803" s="1">
        <f>IFERROR(__xludf.DUMMYFUNCTION("""COMPUTED_VALUE"""),62.94)</f>
        <v>62.94</v>
      </c>
      <c r="F1803" s="1">
        <f>IFERROR(__xludf.DUMMYFUNCTION("""COMPUTED_VALUE"""),1.2011982E7)</f>
        <v>12011982</v>
      </c>
    </row>
    <row r="1804">
      <c r="A1804" s="2">
        <f>IFERROR(__xludf.DUMMYFUNCTION("""COMPUTED_VALUE"""),39148.666666666664)</f>
        <v>39148.66667</v>
      </c>
      <c r="B1804" s="1">
        <f>IFERROR(__xludf.DUMMYFUNCTION("""COMPUTED_VALUE"""),62.8)</f>
        <v>62.8</v>
      </c>
      <c r="C1804" s="1">
        <f>IFERROR(__xludf.DUMMYFUNCTION("""COMPUTED_VALUE"""),63.05)</f>
        <v>63.05</v>
      </c>
      <c r="D1804" s="1">
        <f>IFERROR(__xludf.DUMMYFUNCTION("""COMPUTED_VALUE"""),62.02)</f>
        <v>62.02</v>
      </c>
      <c r="E1804" s="1">
        <f>IFERROR(__xludf.DUMMYFUNCTION("""COMPUTED_VALUE"""),62.08)</f>
        <v>62.08</v>
      </c>
      <c r="F1804" s="1">
        <f>IFERROR(__xludf.DUMMYFUNCTION("""COMPUTED_VALUE"""),1.06224E7)</f>
        <v>10622400</v>
      </c>
    </row>
    <row r="1805">
      <c r="A1805" s="2">
        <f>IFERROR(__xludf.DUMMYFUNCTION("""COMPUTED_VALUE"""),39149.666666666664)</f>
        <v>39149.66667</v>
      </c>
      <c r="B1805" s="1">
        <f>IFERROR(__xludf.DUMMYFUNCTION("""COMPUTED_VALUE"""),62.29)</f>
        <v>62.29</v>
      </c>
      <c r="C1805" s="1">
        <f>IFERROR(__xludf.DUMMYFUNCTION("""COMPUTED_VALUE"""),62.48)</f>
        <v>62.48</v>
      </c>
      <c r="D1805" s="1">
        <f>IFERROR(__xludf.DUMMYFUNCTION("""COMPUTED_VALUE"""),61.87)</f>
        <v>61.87</v>
      </c>
      <c r="E1805" s="1">
        <f>IFERROR(__xludf.DUMMYFUNCTION("""COMPUTED_VALUE"""),62.31)</f>
        <v>62.31</v>
      </c>
      <c r="F1805" s="1">
        <f>IFERROR(__xludf.DUMMYFUNCTION("""COMPUTED_VALUE"""),8996800.0)</f>
        <v>8996800</v>
      </c>
    </row>
    <row r="1806">
      <c r="A1806" s="2">
        <f>IFERROR(__xludf.DUMMYFUNCTION("""COMPUTED_VALUE"""),39150.666666666664)</f>
        <v>39150.66667</v>
      </c>
      <c r="B1806" s="1">
        <f>IFERROR(__xludf.DUMMYFUNCTION("""COMPUTED_VALUE"""),62.4)</f>
        <v>62.4</v>
      </c>
      <c r="C1806" s="1">
        <f>IFERROR(__xludf.DUMMYFUNCTION("""COMPUTED_VALUE"""),62.7)</f>
        <v>62.7</v>
      </c>
      <c r="D1806" s="1">
        <f>IFERROR(__xludf.DUMMYFUNCTION("""COMPUTED_VALUE"""),62.0)</f>
        <v>62</v>
      </c>
      <c r="E1806" s="1">
        <f>IFERROR(__xludf.DUMMYFUNCTION("""COMPUTED_VALUE"""),62.16)</f>
        <v>62.16</v>
      </c>
      <c r="F1806" s="1">
        <f>IFERROR(__xludf.DUMMYFUNCTION("""COMPUTED_VALUE"""),9194390.0)</f>
        <v>9194390</v>
      </c>
    </row>
    <row r="1807">
      <c r="A1807" s="2">
        <f>IFERROR(__xludf.DUMMYFUNCTION("""COMPUTED_VALUE"""),39153.666666666664)</f>
        <v>39153.66667</v>
      </c>
      <c r="B1807" s="1">
        <f>IFERROR(__xludf.DUMMYFUNCTION("""COMPUTED_VALUE"""),62.09)</f>
        <v>62.09</v>
      </c>
      <c r="C1807" s="1">
        <f>IFERROR(__xludf.DUMMYFUNCTION("""COMPUTED_VALUE"""),62.4)</f>
        <v>62.4</v>
      </c>
      <c r="D1807" s="1">
        <f>IFERROR(__xludf.DUMMYFUNCTION("""COMPUTED_VALUE"""),61.98)</f>
        <v>61.98</v>
      </c>
      <c r="E1807" s="1">
        <f>IFERROR(__xludf.DUMMYFUNCTION("""COMPUTED_VALUE"""),62.09)</f>
        <v>62.09</v>
      </c>
      <c r="F1807" s="1">
        <f>IFERROR(__xludf.DUMMYFUNCTION("""COMPUTED_VALUE"""),5979700.0)</f>
        <v>5979700</v>
      </c>
    </row>
    <row r="1808">
      <c r="A1808" s="2">
        <f>IFERROR(__xludf.DUMMYFUNCTION("""COMPUTED_VALUE"""),39154.666666666664)</f>
        <v>39154.66667</v>
      </c>
      <c r="B1808" s="1">
        <f>IFERROR(__xludf.DUMMYFUNCTION("""COMPUTED_VALUE"""),61.75)</f>
        <v>61.75</v>
      </c>
      <c r="C1808" s="1">
        <f>IFERROR(__xludf.DUMMYFUNCTION("""COMPUTED_VALUE"""),62.12)</f>
        <v>62.12</v>
      </c>
      <c r="D1808" s="1">
        <f>IFERROR(__xludf.DUMMYFUNCTION("""COMPUTED_VALUE"""),61.14)</f>
        <v>61.14</v>
      </c>
      <c r="E1808" s="1">
        <f>IFERROR(__xludf.DUMMYFUNCTION("""COMPUTED_VALUE"""),61.17)</f>
        <v>61.17</v>
      </c>
      <c r="F1808" s="1">
        <f>IFERROR(__xludf.DUMMYFUNCTION("""COMPUTED_VALUE"""),1.12812E7)</f>
        <v>11281200</v>
      </c>
    </row>
    <row r="1809">
      <c r="A1809" s="2">
        <f>IFERROR(__xludf.DUMMYFUNCTION("""COMPUTED_VALUE"""),39155.666666666664)</f>
        <v>39155.66667</v>
      </c>
      <c r="B1809" s="1">
        <f>IFERROR(__xludf.DUMMYFUNCTION("""COMPUTED_VALUE"""),62.09)</f>
        <v>62.09</v>
      </c>
      <c r="C1809" s="1">
        <f>IFERROR(__xludf.DUMMYFUNCTION("""COMPUTED_VALUE"""),62.09)</f>
        <v>62.09</v>
      </c>
      <c r="D1809" s="1">
        <f>IFERROR(__xludf.DUMMYFUNCTION("""COMPUTED_VALUE"""),60.42)</f>
        <v>60.42</v>
      </c>
      <c r="E1809" s="1">
        <f>IFERROR(__xludf.DUMMYFUNCTION("""COMPUTED_VALUE"""),61.36)</f>
        <v>61.36</v>
      </c>
      <c r="F1809" s="1">
        <f>IFERROR(__xludf.DUMMYFUNCTION("""COMPUTED_VALUE"""),1.05241E7)</f>
        <v>10524100</v>
      </c>
    </row>
    <row r="1810">
      <c r="A1810" s="2">
        <f>IFERROR(__xludf.DUMMYFUNCTION("""COMPUTED_VALUE"""),39156.666666666664)</f>
        <v>39156.66667</v>
      </c>
      <c r="B1810" s="1">
        <f>IFERROR(__xludf.DUMMYFUNCTION("""COMPUTED_VALUE"""),61.36)</f>
        <v>61.36</v>
      </c>
      <c r="C1810" s="1">
        <f>IFERROR(__xludf.DUMMYFUNCTION("""COMPUTED_VALUE"""),62.05)</f>
        <v>62.05</v>
      </c>
      <c r="D1810" s="1">
        <f>IFERROR(__xludf.DUMMYFUNCTION("""COMPUTED_VALUE"""),61.25)</f>
        <v>61.25</v>
      </c>
      <c r="E1810" s="1">
        <f>IFERROR(__xludf.DUMMYFUNCTION("""COMPUTED_VALUE"""),61.91)</f>
        <v>61.91</v>
      </c>
      <c r="F1810" s="1">
        <f>IFERROR(__xludf.DUMMYFUNCTION("""COMPUTED_VALUE"""),1.2712906E7)</f>
        <v>12712906</v>
      </c>
    </row>
    <row r="1811">
      <c r="A1811" s="2">
        <f>IFERROR(__xludf.DUMMYFUNCTION("""COMPUTED_VALUE"""),39157.666666666664)</f>
        <v>39157.66667</v>
      </c>
      <c r="B1811" s="1">
        <f>IFERROR(__xludf.DUMMYFUNCTION("""COMPUTED_VALUE"""),62.14)</f>
        <v>62.14</v>
      </c>
      <c r="C1811" s="1">
        <f>IFERROR(__xludf.DUMMYFUNCTION("""COMPUTED_VALUE"""),62.16)</f>
        <v>62.16</v>
      </c>
      <c r="D1811" s="1">
        <f>IFERROR(__xludf.DUMMYFUNCTION("""COMPUTED_VALUE"""),61.48)</f>
        <v>61.48</v>
      </c>
      <c r="E1811" s="1">
        <f>IFERROR(__xludf.DUMMYFUNCTION("""COMPUTED_VALUE"""),61.61)</f>
        <v>61.61</v>
      </c>
      <c r="F1811" s="1">
        <f>IFERROR(__xludf.DUMMYFUNCTION("""COMPUTED_VALUE"""),1.236715E7)</f>
        <v>12367150</v>
      </c>
    </row>
    <row r="1812">
      <c r="A1812" s="2">
        <f>IFERROR(__xludf.DUMMYFUNCTION("""COMPUTED_VALUE"""),39160.666666666664)</f>
        <v>39160.66667</v>
      </c>
      <c r="B1812" s="1">
        <f>IFERROR(__xludf.DUMMYFUNCTION("""COMPUTED_VALUE"""),61.72)</f>
        <v>61.72</v>
      </c>
      <c r="C1812" s="1">
        <f>IFERROR(__xludf.DUMMYFUNCTION("""COMPUTED_VALUE"""),62.15)</f>
        <v>62.15</v>
      </c>
      <c r="D1812" s="1">
        <f>IFERROR(__xludf.DUMMYFUNCTION("""COMPUTED_VALUE"""),61.71)</f>
        <v>61.71</v>
      </c>
      <c r="E1812" s="1">
        <f>IFERROR(__xludf.DUMMYFUNCTION("""COMPUTED_VALUE"""),61.98)</f>
        <v>61.98</v>
      </c>
      <c r="F1812" s="1">
        <f>IFERROR(__xludf.DUMMYFUNCTION("""COMPUTED_VALUE"""),5646600.0)</f>
        <v>5646600</v>
      </c>
    </row>
    <row r="1813">
      <c r="A1813" s="2">
        <f>IFERROR(__xludf.DUMMYFUNCTION("""COMPUTED_VALUE"""),39161.666666666664)</f>
        <v>39161.66667</v>
      </c>
      <c r="B1813" s="1">
        <f>IFERROR(__xludf.DUMMYFUNCTION("""COMPUTED_VALUE"""),61.98)</f>
        <v>61.98</v>
      </c>
      <c r="C1813" s="1">
        <f>IFERROR(__xludf.DUMMYFUNCTION("""COMPUTED_VALUE"""),62.34)</f>
        <v>62.34</v>
      </c>
      <c r="D1813" s="1">
        <f>IFERROR(__xludf.DUMMYFUNCTION("""COMPUTED_VALUE"""),61.8)</f>
        <v>61.8</v>
      </c>
      <c r="E1813" s="1">
        <f>IFERROR(__xludf.DUMMYFUNCTION("""COMPUTED_VALUE"""),62.28)</f>
        <v>62.28</v>
      </c>
      <c r="F1813" s="1">
        <f>IFERROR(__xludf.DUMMYFUNCTION("""COMPUTED_VALUE"""),6517250.0)</f>
        <v>6517250</v>
      </c>
    </row>
    <row r="1814">
      <c r="A1814" s="2">
        <f>IFERROR(__xludf.DUMMYFUNCTION("""COMPUTED_VALUE"""),39162.666666666664)</f>
        <v>39162.66667</v>
      </c>
      <c r="B1814" s="1">
        <f>IFERROR(__xludf.DUMMYFUNCTION("""COMPUTED_VALUE"""),62.28)</f>
        <v>62.28</v>
      </c>
      <c r="C1814" s="1">
        <f>IFERROR(__xludf.DUMMYFUNCTION("""COMPUTED_VALUE"""),63.0)</f>
        <v>63</v>
      </c>
      <c r="D1814" s="1">
        <f>IFERROR(__xludf.DUMMYFUNCTION("""COMPUTED_VALUE"""),62.15)</f>
        <v>62.15</v>
      </c>
      <c r="E1814" s="1">
        <f>IFERROR(__xludf.DUMMYFUNCTION("""COMPUTED_VALUE"""),62.96)</f>
        <v>62.96</v>
      </c>
      <c r="F1814" s="1">
        <f>IFERROR(__xludf.DUMMYFUNCTION("""COMPUTED_VALUE"""),8562901.0)</f>
        <v>8562901</v>
      </c>
    </row>
    <row r="1815">
      <c r="A1815" s="2">
        <f>IFERROR(__xludf.DUMMYFUNCTION("""COMPUTED_VALUE"""),39163.666666666664)</f>
        <v>39163.66667</v>
      </c>
      <c r="B1815" s="1">
        <f>IFERROR(__xludf.DUMMYFUNCTION("""COMPUTED_VALUE"""),63.5)</f>
        <v>63.5</v>
      </c>
      <c r="C1815" s="1">
        <f>IFERROR(__xludf.DUMMYFUNCTION("""COMPUTED_VALUE"""),63.9)</f>
        <v>63.9</v>
      </c>
      <c r="D1815" s="1">
        <f>IFERROR(__xludf.DUMMYFUNCTION("""COMPUTED_VALUE"""),63.2)</f>
        <v>63.2</v>
      </c>
      <c r="E1815" s="1">
        <f>IFERROR(__xludf.DUMMYFUNCTION("""COMPUTED_VALUE"""),63.85)</f>
        <v>63.85</v>
      </c>
      <c r="F1815" s="1">
        <f>IFERROR(__xludf.DUMMYFUNCTION("""COMPUTED_VALUE"""),1.532942E7)</f>
        <v>15329420</v>
      </c>
    </row>
    <row r="1816">
      <c r="A1816" s="2">
        <f>IFERROR(__xludf.DUMMYFUNCTION("""COMPUTED_VALUE"""),39164.666666666664)</f>
        <v>39164.66667</v>
      </c>
      <c r="B1816" s="1">
        <f>IFERROR(__xludf.DUMMYFUNCTION("""COMPUTED_VALUE"""),63.85)</f>
        <v>63.85</v>
      </c>
      <c r="C1816" s="1">
        <f>IFERROR(__xludf.DUMMYFUNCTION("""COMPUTED_VALUE"""),63.98)</f>
        <v>63.98</v>
      </c>
      <c r="D1816" s="1">
        <f>IFERROR(__xludf.DUMMYFUNCTION("""COMPUTED_VALUE"""),63.45)</f>
        <v>63.45</v>
      </c>
      <c r="E1816" s="1">
        <f>IFERROR(__xludf.DUMMYFUNCTION("""COMPUTED_VALUE"""),63.8)</f>
        <v>63.8</v>
      </c>
      <c r="F1816" s="1">
        <f>IFERROR(__xludf.DUMMYFUNCTION("""COMPUTED_VALUE"""),7081800.0)</f>
        <v>7081800</v>
      </c>
    </row>
    <row r="1817">
      <c r="A1817" s="2">
        <f>IFERROR(__xludf.DUMMYFUNCTION("""COMPUTED_VALUE"""),39167.666666666664)</f>
        <v>39167.66667</v>
      </c>
      <c r="B1817" s="1">
        <f>IFERROR(__xludf.DUMMYFUNCTION("""COMPUTED_VALUE"""),63.6)</f>
        <v>63.6</v>
      </c>
      <c r="C1817" s="1">
        <f>IFERROR(__xludf.DUMMYFUNCTION("""COMPUTED_VALUE"""),63.92)</f>
        <v>63.92</v>
      </c>
      <c r="D1817" s="1">
        <f>IFERROR(__xludf.DUMMYFUNCTION("""COMPUTED_VALUE"""),63.27)</f>
        <v>63.27</v>
      </c>
      <c r="E1817" s="1">
        <f>IFERROR(__xludf.DUMMYFUNCTION("""COMPUTED_VALUE"""),63.9)</f>
        <v>63.9</v>
      </c>
      <c r="F1817" s="1">
        <f>IFERROR(__xludf.DUMMYFUNCTION("""COMPUTED_VALUE"""),7491719.0)</f>
        <v>7491719</v>
      </c>
    </row>
    <row r="1818">
      <c r="A1818" s="2">
        <f>IFERROR(__xludf.DUMMYFUNCTION("""COMPUTED_VALUE"""),39168.666666666664)</f>
        <v>39168.66667</v>
      </c>
      <c r="B1818" s="1">
        <f>IFERROR(__xludf.DUMMYFUNCTION("""COMPUTED_VALUE"""),63.55)</f>
        <v>63.55</v>
      </c>
      <c r="C1818" s="1">
        <f>IFERROR(__xludf.DUMMYFUNCTION("""COMPUTED_VALUE"""),63.76)</f>
        <v>63.76</v>
      </c>
      <c r="D1818" s="1">
        <f>IFERROR(__xludf.DUMMYFUNCTION("""COMPUTED_VALUE"""),63.16)</f>
        <v>63.16</v>
      </c>
      <c r="E1818" s="1">
        <f>IFERROR(__xludf.DUMMYFUNCTION("""COMPUTED_VALUE"""),63.27)</f>
        <v>63.27</v>
      </c>
      <c r="F1818" s="1">
        <f>IFERROR(__xludf.DUMMYFUNCTION("""COMPUTED_VALUE"""),8039300.0)</f>
        <v>8039300</v>
      </c>
    </row>
    <row r="1819">
      <c r="A1819" s="2">
        <f>IFERROR(__xludf.DUMMYFUNCTION("""COMPUTED_VALUE"""),39169.666666666664)</f>
        <v>39169.66667</v>
      </c>
      <c r="B1819" s="1">
        <f>IFERROR(__xludf.DUMMYFUNCTION("""COMPUTED_VALUE"""),63.48)</f>
        <v>63.48</v>
      </c>
      <c r="C1819" s="1">
        <f>IFERROR(__xludf.DUMMYFUNCTION("""COMPUTED_VALUE"""),63.48)</f>
        <v>63.48</v>
      </c>
      <c r="D1819" s="1">
        <f>IFERROR(__xludf.DUMMYFUNCTION("""COMPUTED_VALUE"""),62.66)</f>
        <v>62.66</v>
      </c>
      <c r="E1819" s="1">
        <f>IFERROR(__xludf.DUMMYFUNCTION("""COMPUTED_VALUE"""),63.01)</f>
        <v>63.01</v>
      </c>
      <c r="F1819" s="1">
        <f>IFERROR(__xludf.DUMMYFUNCTION("""COMPUTED_VALUE"""),7296800.0)</f>
        <v>7296800</v>
      </c>
    </row>
    <row r="1820">
      <c r="A1820" s="2">
        <f>IFERROR(__xludf.DUMMYFUNCTION("""COMPUTED_VALUE"""),39170.666666666664)</f>
        <v>39170.66667</v>
      </c>
      <c r="B1820" s="1">
        <f>IFERROR(__xludf.DUMMYFUNCTION("""COMPUTED_VALUE"""),63.49)</f>
        <v>63.49</v>
      </c>
      <c r="C1820" s="1">
        <f>IFERROR(__xludf.DUMMYFUNCTION("""COMPUTED_VALUE"""),63.5)</f>
        <v>63.5</v>
      </c>
      <c r="D1820" s="1">
        <f>IFERROR(__xludf.DUMMYFUNCTION("""COMPUTED_VALUE"""),62.9)</f>
        <v>62.9</v>
      </c>
      <c r="E1820" s="1">
        <f>IFERROR(__xludf.DUMMYFUNCTION("""COMPUTED_VALUE"""),63.26)</f>
        <v>63.26</v>
      </c>
      <c r="F1820" s="1">
        <f>IFERROR(__xludf.DUMMYFUNCTION("""COMPUTED_VALUE"""),5366225.0)</f>
        <v>5366225</v>
      </c>
    </row>
    <row r="1821">
      <c r="A1821" s="2">
        <f>IFERROR(__xludf.DUMMYFUNCTION("""COMPUTED_VALUE"""),39171.666666666664)</f>
        <v>39171.66667</v>
      </c>
      <c r="B1821" s="1">
        <f>IFERROR(__xludf.DUMMYFUNCTION("""COMPUTED_VALUE"""),63.26)</f>
        <v>63.26</v>
      </c>
      <c r="C1821" s="1">
        <f>IFERROR(__xludf.DUMMYFUNCTION("""COMPUTED_VALUE"""),63.4)</f>
        <v>63.4</v>
      </c>
      <c r="D1821" s="1">
        <f>IFERROR(__xludf.DUMMYFUNCTION("""COMPUTED_VALUE"""),62.0)</f>
        <v>62</v>
      </c>
      <c r="E1821" s="1">
        <f>IFERROR(__xludf.DUMMYFUNCTION("""COMPUTED_VALUE"""),63.16)</f>
        <v>63.16</v>
      </c>
      <c r="F1821" s="1">
        <f>IFERROR(__xludf.DUMMYFUNCTION("""COMPUTED_VALUE"""),8527800.0)</f>
        <v>8527800</v>
      </c>
    </row>
    <row r="1822">
      <c r="A1822" s="2">
        <f>IFERROR(__xludf.DUMMYFUNCTION("""COMPUTED_VALUE"""),39174.666666666664)</f>
        <v>39174.66667</v>
      </c>
      <c r="B1822" s="1">
        <f>IFERROR(__xludf.DUMMYFUNCTION("""COMPUTED_VALUE"""),63.16)</f>
        <v>63.16</v>
      </c>
      <c r="C1822" s="1">
        <f>IFERROR(__xludf.DUMMYFUNCTION("""COMPUTED_VALUE"""),63.35)</f>
        <v>63.35</v>
      </c>
      <c r="D1822" s="1">
        <f>IFERROR(__xludf.DUMMYFUNCTION("""COMPUTED_VALUE"""),62.65)</f>
        <v>62.65</v>
      </c>
      <c r="E1822" s="1">
        <f>IFERROR(__xludf.DUMMYFUNCTION("""COMPUTED_VALUE"""),63.16)</f>
        <v>63.16</v>
      </c>
      <c r="F1822" s="1">
        <f>IFERROR(__xludf.DUMMYFUNCTION("""COMPUTED_VALUE"""),6484000.0)</f>
        <v>6484000</v>
      </c>
    </row>
    <row r="1823">
      <c r="A1823" s="2">
        <f>IFERROR(__xludf.DUMMYFUNCTION("""COMPUTED_VALUE"""),39175.666666666664)</f>
        <v>39175.66667</v>
      </c>
      <c r="B1823" s="1">
        <f>IFERROR(__xludf.DUMMYFUNCTION("""COMPUTED_VALUE"""),63.22)</f>
        <v>63.22</v>
      </c>
      <c r="C1823" s="1">
        <f>IFERROR(__xludf.DUMMYFUNCTION("""COMPUTED_VALUE"""),63.44)</f>
        <v>63.44</v>
      </c>
      <c r="D1823" s="1">
        <f>IFERROR(__xludf.DUMMYFUNCTION("""COMPUTED_VALUE"""),62.74)</f>
        <v>62.74</v>
      </c>
      <c r="E1823" s="1">
        <f>IFERROR(__xludf.DUMMYFUNCTION("""COMPUTED_VALUE"""),62.9)</f>
        <v>62.9</v>
      </c>
      <c r="F1823" s="1">
        <f>IFERROR(__xludf.DUMMYFUNCTION("""COMPUTED_VALUE"""),1.14103E7)</f>
        <v>11410300</v>
      </c>
    </row>
    <row r="1824">
      <c r="A1824" s="2">
        <f>IFERROR(__xludf.DUMMYFUNCTION("""COMPUTED_VALUE"""),39176.666666666664)</f>
        <v>39176.66667</v>
      </c>
      <c r="B1824" s="1">
        <f>IFERROR(__xludf.DUMMYFUNCTION("""COMPUTED_VALUE"""),63.05)</f>
        <v>63.05</v>
      </c>
      <c r="C1824" s="1">
        <f>IFERROR(__xludf.DUMMYFUNCTION("""COMPUTED_VALUE"""),63.25)</f>
        <v>63.25</v>
      </c>
      <c r="D1824" s="1">
        <f>IFERROR(__xludf.DUMMYFUNCTION("""COMPUTED_VALUE"""),62.85)</f>
        <v>62.85</v>
      </c>
      <c r="E1824" s="1">
        <f>IFERROR(__xludf.DUMMYFUNCTION("""COMPUTED_VALUE"""),63.05)</f>
        <v>63.05</v>
      </c>
      <c r="F1824" s="1">
        <f>IFERROR(__xludf.DUMMYFUNCTION("""COMPUTED_VALUE"""),9729969.0)</f>
        <v>9729969</v>
      </c>
    </row>
    <row r="1825">
      <c r="A1825" s="2">
        <f>IFERROR(__xludf.DUMMYFUNCTION("""COMPUTED_VALUE"""),39177.666666666664)</f>
        <v>39177.66667</v>
      </c>
      <c r="B1825" s="1">
        <f>IFERROR(__xludf.DUMMYFUNCTION("""COMPUTED_VALUE"""),62.81)</f>
        <v>62.81</v>
      </c>
      <c r="C1825" s="1">
        <f>IFERROR(__xludf.DUMMYFUNCTION("""COMPUTED_VALUE"""),63.18)</f>
        <v>63.18</v>
      </c>
      <c r="D1825" s="1">
        <f>IFERROR(__xludf.DUMMYFUNCTION("""COMPUTED_VALUE"""),62.81)</f>
        <v>62.81</v>
      </c>
      <c r="E1825" s="1">
        <f>IFERROR(__xludf.DUMMYFUNCTION("""COMPUTED_VALUE"""),63.0)</f>
        <v>63</v>
      </c>
      <c r="F1825" s="1">
        <f>IFERROR(__xludf.DUMMYFUNCTION("""COMPUTED_VALUE"""),6453000.0)</f>
        <v>6453000</v>
      </c>
    </row>
    <row r="1826">
      <c r="A1826" s="2">
        <f>IFERROR(__xludf.DUMMYFUNCTION("""COMPUTED_VALUE"""),39181.666666666664)</f>
        <v>39181.66667</v>
      </c>
      <c r="B1826" s="1">
        <f>IFERROR(__xludf.DUMMYFUNCTION("""COMPUTED_VALUE"""),63.03)</f>
        <v>63.03</v>
      </c>
      <c r="C1826" s="1">
        <f>IFERROR(__xludf.DUMMYFUNCTION("""COMPUTED_VALUE"""),63.4)</f>
        <v>63.4</v>
      </c>
      <c r="D1826" s="1">
        <f>IFERROR(__xludf.DUMMYFUNCTION("""COMPUTED_VALUE"""),62.82)</f>
        <v>62.82</v>
      </c>
      <c r="E1826" s="1">
        <f>IFERROR(__xludf.DUMMYFUNCTION("""COMPUTED_VALUE"""),63.26)</f>
        <v>63.26</v>
      </c>
      <c r="F1826" s="1">
        <f>IFERROR(__xludf.DUMMYFUNCTION("""COMPUTED_VALUE"""),7694370.0)</f>
        <v>7694370</v>
      </c>
    </row>
    <row r="1827">
      <c r="A1827" s="2">
        <f>IFERROR(__xludf.DUMMYFUNCTION("""COMPUTED_VALUE"""),39182.666666666664)</f>
        <v>39182.66667</v>
      </c>
      <c r="B1827" s="1">
        <f>IFERROR(__xludf.DUMMYFUNCTION("""COMPUTED_VALUE"""),63.24)</f>
        <v>63.24</v>
      </c>
      <c r="C1827" s="1">
        <f>IFERROR(__xludf.DUMMYFUNCTION("""COMPUTED_VALUE"""),63.54)</f>
        <v>63.54</v>
      </c>
      <c r="D1827" s="1">
        <f>IFERROR(__xludf.DUMMYFUNCTION("""COMPUTED_VALUE"""),63.11)</f>
        <v>63.11</v>
      </c>
      <c r="E1827" s="1">
        <f>IFERROR(__xludf.DUMMYFUNCTION("""COMPUTED_VALUE"""),63.21)</f>
        <v>63.21</v>
      </c>
      <c r="F1827" s="1">
        <f>IFERROR(__xludf.DUMMYFUNCTION("""COMPUTED_VALUE"""),6554303.0)</f>
        <v>6554303</v>
      </c>
    </row>
    <row r="1828">
      <c r="A1828" s="2">
        <f>IFERROR(__xludf.DUMMYFUNCTION("""COMPUTED_VALUE"""),39183.666666666664)</f>
        <v>39183.66667</v>
      </c>
      <c r="B1828" s="1">
        <f>IFERROR(__xludf.DUMMYFUNCTION("""COMPUTED_VALUE"""),63.21)</f>
        <v>63.21</v>
      </c>
      <c r="C1828" s="1">
        <f>IFERROR(__xludf.DUMMYFUNCTION("""COMPUTED_VALUE"""),63.22)</f>
        <v>63.22</v>
      </c>
      <c r="D1828" s="1">
        <f>IFERROR(__xludf.DUMMYFUNCTION("""COMPUTED_VALUE"""),62.75)</f>
        <v>62.75</v>
      </c>
      <c r="E1828" s="1">
        <f>IFERROR(__xludf.DUMMYFUNCTION("""COMPUTED_VALUE"""),63.04)</f>
        <v>63.04</v>
      </c>
      <c r="F1828" s="1">
        <f>IFERROR(__xludf.DUMMYFUNCTION("""COMPUTED_VALUE"""),9122439.0)</f>
        <v>9122439</v>
      </c>
    </row>
    <row r="1829">
      <c r="A1829" s="2">
        <f>IFERROR(__xludf.DUMMYFUNCTION("""COMPUTED_VALUE"""),39184.666666666664)</f>
        <v>39184.66667</v>
      </c>
      <c r="B1829" s="1">
        <f>IFERROR(__xludf.DUMMYFUNCTION("""COMPUTED_VALUE"""),63.03)</f>
        <v>63.03</v>
      </c>
      <c r="C1829" s="1">
        <f>IFERROR(__xludf.DUMMYFUNCTION("""COMPUTED_VALUE"""),63.59)</f>
        <v>63.59</v>
      </c>
      <c r="D1829" s="1">
        <f>IFERROR(__xludf.DUMMYFUNCTION("""COMPUTED_VALUE"""),62.9)</f>
        <v>62.9</v>
      </c>
      <c r="E1829" s="1">
        <f>IFERROR(__xludf.DUMMYFUNCTION("""COMPUTED_VALUE"""),63.52)</f>
        <v>63.52</v>
      </c>
      <c r="F1829" s="1">
        <f>IFERROR(__xludf.DUMMYFUNCTION("""COMPUTED_VALUE"""),7570037.0)</f>
        <v>7570037</v>
      </c>
    </row>
    <row r="1830">
      <c r="A1830" s="2">
        <f>IFERROR(__xludf.DUMMYFUNCTION("""COMPUTED_VALUE"""),39185.666666666664)</f>
        <v>39185.66667</v>
      </c>
      <c r="B1830" s="1">
        <f>IFERROR(__xludf.DUMMYFUNCTION("""COMPUTED_VALUE"""),63.52)</f>
        <v>63.52</v>
      </c>
      <c r="C1830" s="1">
        <f>IFERROR(__xludf.DUMMYFUNCTION("""COMPUTED_VALUE"""),63.52)</f>
        <v>63.52</v>
      </c>
      <c r="D1830" s="1">
        <f>IFERROR(__xludf.DUMMYFUNCTION("""COMPUTED_VALUE"""),63.14)</f>
        <v>63.14</v>
      </c>
      <c r="E1830" s="1">
        <f>IFERROR(__xludf.DUMMYFUNCTION("""COMPUTED_VALUE"""),63.38)</f>
        <v>63.38</v>
      </c>
      <c r="F1830" s="1">
        <f>IFERROR(__xludf.DUMMYFUNCTION("""COMPUTED_VALUE"""),6547916.0)</f>
        <v>6547916</v>
      </c>
    </row>
    <row r="1831">
      <c r="A1831" s="2">
        <f>IFERROR(__xludf.DUMMYFUNCTION("""COMPUTED_VALUE"""),39188.666666666664)</f>
        <v>39188.66667</v>
      </c>
      <c r="B1831" s="1">
        <f>IFERROR(__xludf.DUMMYFUNCTION("""COMPUTED_VALUE"""),63.5)</f>
        <v>63.5</v>
      </c>
      <c r="C1831" s="1">
        <f>IFERROR(__xludf.DUMMYFUNCTION("""COMPUTED_VALUE"""),63.8)</f>
        <v>63.8</v>
      </c>
      <c r="D1831" s="1">
        <f>IFERROR(__xludf.DUMMYFUNCTION("""COMPUTED_VALUE"""),63.29)</f>
        <v>63.29</v>
      </c>
      <c r="E1831" s="1">
        <f>IFERROR(__xludf.DUMMYFUNCTION("""COMPUTED_VALUE"""),63.73)</f>
        <v>63.73</v>
      </c>
      <c r="F1831" s="1">
        <f>IFERROR(__xludf.DUMMYFUNCTION("""COMPUTED_VALUE"""),8575381.0)</f>
        <v>8575381</v>
      </c>
    </row>
    <row r="1832">
      <c r="A1832" s="2">
        <f>IFERROR(__xludf.DUMMYFUNCTION("""COMPUTED_VALUE"""),39189.666666666664)</f>
        <v>39189.66667</v>
      </c>
      <c r="B1832" s="1">
        <f>IFERROR(__xludf.DUMMYFUNCTION("""COMPUTED_VALUE"""),63.58)</f>
        <v>63.58</v>
      </c>
      <c r="C1832" s="1">
        <f>IFERROR(__xludf.DUMMYFUNCTION("""COMPUTED_VALUE"""),64.08)</f>
        <v>64.08</v>
      </c>
      <c r="D1832" s="1">
        <f>IFERROR(__xludf.DUMMYFUNCTION("""COMPUTED_VALUE"""),63.53)</f>
        <v>63.53</v>
      </c>
      <c r="E1832" s="1">
        <f>IFERROR(__xludf.DUMMYFUNCTION("""COMPUTED_VALUE"""),63.9)</f>
        <v>63.9</v>
      </c>
      <c r="F1832" s="1">
        <f>IFERROR(__xludf.DUMMYFUNCTION("""COMPUTED_VALUE"""),1.2344608E7)</f>
        <v>12344608</v>
      </c>
    </row>
    <row r="1833">
      <c r="A1833" s="2">
        <f>IFERROR(__xludf.DUMMYFUNCTION("""COMPUTED_VALUE"""),39190.666666666664)</f>
        <v>39190.66667</v>
      </c>
      <c r="B1833" s="1">
        <f>IFERROR(__xludf.DUMMYFUNCTION("""COMPUTED_VALUE"""),63.65)</f>
        <v>63.65</v>
      </c>
      <c r="C1833" s="1">
        <f>IFERROR(__xludf.DUMMYFUNCTION("""COMPUTED_VALUE"""),63.9)</f>
        <v>63.9</v>
      </c>
      <c r="D1833" s="1">
        <f>IFERROR(__xludf.DUMMYFUNCTION("""COMPUTED_VALUE"""),63.39)</f>
        <v>63.39</v>
      </c>
      <c r="E1833" s="1">
        <f>IFERROR(__xludf.DUMMYFUNCTION("""COMPUTED_VALUE"""),63.76)</f>
        <v>63.76</v>
      </c>
      <c r="F1833" s="1">
        <f>IFERROR(__xludf.DUMMYFUNCTION("""COMPUTED_VALUE"""),8304052.0)</f>
        <v>8304052</v>
      </c>
    </row>
    <row r="1834">
      <c r="A1834" s="2">
        <f>IFERROR(__xludf.DUMMYFUNCTION("""COMPUTED_VALUE"""),39191.666666666664)</f>
        <v>39191.66667</v>
      </c>
      <c r="B1834" s="1">
        <f>IFERROR(__xludf.DUMMYFUNCTION("""COMPUTED_VALUE"""),63.77)</f>
        <v>63.77</v>
      </c>
      <c r="C1834" s="1">
        <f>IFERROR(__xludf.DUMMYFUNCTION("""COMPUTED_VALUE"""),64.19)</f>
        <v>64.19</v>
      </c>
      <c r="D1834" s="1">
        <f>IFERROR(__xludf.DUMMYFUNCTION("""COMPUTED_VALUE"""),63.5)</f>
        <v>63.5</v>
      </c>
      <c r="E1834" s="1">
        <f>IFERROR(__xludf.DUMMYFUNCTION("""COMPUTED_VALUE"""),63.62)</f>
        <v>63.62</v>
      </c>
      <c r="F1834" s="1">
        <f>IFERROR(__xludf.DUMMYFUNCTION("""COMPUTED_VALUE"""),8974839.0)</f>
        <v>8974839</v>
      </c>
    </row>
    <row r="1835">
      <c r="A1835" s="2">
        <f>IFERROR(__xludf.DUMMYFUNCTION("""COMPUTED_VALUE"""),39192.666666666664)</f>
        <v>39192.66667</v>
      </c>
      <c r="B1835" s="1">
        <f>IFERROR(__xludf.DUMMYFUNCTION("""COMPUTED_VALUE"""),63.99)</f>
        <v>63.99</v>
      </c>
      <c r="C1835" s="1">
        <f>IFERROR(__xludf.DUMMYFUNCTION("""COMPUTED_VALUE"""),64.0)</f>
        <v>64</v>
      </c>
      <c r="D1835" s="1">
        <f>IFERROR(__xludf.DUMMYFUNCTION("""COMPUTED_VALUE"""),63.49)</f>
        <v>63.49</v>
      </c>
      <c r="E1835" s="1">
        <f>IFERROR(__xludf.DUMMYFUNCTION("""COMPUTED_VALUE"""),63.8)</f>
        <v>63.8</v>
      </c>
      <c r="F1835" s="1">
        <f>IFERROR(__xludf.DUMMYFUNCTION("""COMPUTED_VALUE"""),1.875326E7)</f>
        <v>18753260</v>
      </c>
    </row>
    <row r="1836">
      <c r="A1836" s="2">
        <f>IFERROR(__xludf.DUMMYFUNCTION("""COMPUTED_VALUE"""),39195.666666666664)</f>
        <v>39195.66667</v>
      </c>
      <c r="B1836" s="1">
        <f>IFERROR(__xludf.DUMMYFUNCTION("""COMPUTED_VALUE"""),63.8)</f>
        <v>63.8</v>
      </c>
      <c r="C1836" s="1">
        <f>IFERROR(__xludf.DUMMYFUNCTION("""COMPUTED_VALUE"""),64.0)</f>
        <v>64</v>
      </c>
      <c r="D1836" s="1">
        <f>IFERROR(__xludf.DUMMYFUNCTION("""COMPUTED_VALUE"""),63.55)</f>
        <v>63.55</v>
      </c>
      <c r="E1836" s="1">
        <f>IFERROR(__xludf.DUMMYFUNCTION("""COMPUTED_VALUE"""),63.63)</f>
        <v>63.63</v>
      </c>
      <c r="F1836" s="1">
        <f>IFERROR(__xludf.DUMMYFUNCTION("""COMPUTED_VALUE"""),6754580.0)</f>
        <v>6754580</v>
      </c>
    </row>
    <row r="1837">
      <c r="A1837" s="2">
        <f>IFERROR(__xludf.DUMMYFUNCTION("""COMPUTED_VALUE"""),39196.666666666664)</f>
        <v>39196.66667</v>
      </c>
      <c r="B1837" s="1">
        <f>IFERROR(__xludf.DUMMYFUNCTION("""COMPUTED_VALUE"""),63.48)</f>
        <v>63.48</v>
      </c>
      <c r="C1837" s="1">
        <f>IFERROR(__xludf.DUMMYFUNCTION("""COMPUTED_VALUE"""),63.74)</f>
        <v>63.74</v>
      </c>
      <c r="D1837" s="1">
        <f>IFERROR(__xludf.DUMMYFUNCTION("""COMPUTED_VALUE"""),62.77)</f>
        <v>62.77</v>
      </c>
      <c r="E1837" s="1">
        <f>IFERROR(__xludf.DUMMYFUNCTION("""COMPUTED_VALUE"""),63.73)</f>
        <v>63.73</v>
      </c>
      <c r="F1837" s="1">
        <f>IFERROR(__xludf.DUMMYFUNCTION("""COMPUTED_VALUE"""),1.0111677E7)</f>
        <v>10111677</v>
      </c>
    </row>
    <row r="1838">
      <c r="A1838" s="2">
        <f>IFERROR(__xludf.DUMMYFUNCTION("""COMPUTED_VALUE"""),39197.666666666664)</f>
        <v>39197.66667</v>
      </c>
      <c r="B1838" s="1">
        <f>IFERROR(__xludf.DUMMYFUNCTION("""COMPUTED_VALUE"""),63.5)</f>
        <v>63.5</v>
      </c>
      <c r="C1838" s="1">
        <f>IFERROR(__xludf.DUMMYFUNCTION("""COMPUTED_VALUE"""),63.75)</f>
        <v>63.75</v>
      </c>
      <c r="D1838" s="1">
        <f>IFERROR(__xludf.DUMMYFUNCTION("""COMPUTED_VALUE"""),63.33)</f>
        <v>63.33</v>
      </c>
      <c r="E1838" s="1">
        <f>IFERROR(__xludf.DUMMYFUNCTION("""COMPUTED_VALUE"""),63.53)</f>
        <v>63.53</v>
      </c>
      <c r="F1838" s="1">
        <f>IFERROR(__xludf.DUMMYFUNCTION("""COMPUTED_VALUE"""),7323345.0)</f>
        <v>7323345</v>
      </c>
    </row>
    <row r="1839">
      <c r="A1839" s="2">
        <f>IFERROR(__xludf.DUMMYFUNCTION("""COMPUTED_VALUE"""),39198.666666666664)</f>
        <v>39198.66667</v>
      </c>
      <c r="B1839" s="1">
        <f>IFERROR(__xludf.DUMMYFUNCTION("""COMPUTED_VALUE"""),63.26)</f>
        <v>63.26</v>
      </c>
      <c r="C1839" s="1">
        <f>IFERROR(__xludf.DUMMYFUNCTION("""COMPUTED_VALUE"""),63.48)</f>
        <v>63.48</v>
      </c>
      <c r="D1839" s="1">
        <f>IFERROR(__xludf.DUMMYFUNCTION("""COMPUTED_VALUE"""),62.92)</f>
        <v>62.92</v>
      </c>
      <c r="E1839" s="1">
        <f>IFERROR(__xludf.DUMMYFUNCTION("""COMPUTED_VALUE"""),62.99)</f>
        <v>62.99</v>
      </c>
      <c r="F1839" s="1">
        <f>IFERROR(__xludf.DUMMYFUNCTION("""COMPUTED_VALUE"""),9165164.0)</f>
        <v>9165164</v>
      </c>
    </row>
    <row r="1840">
      <c r="A1840" s="2">
        <f>IFERROR(__xludf.DUMMYFUNCTION("""COMPUTED_VALUE"""),39199.666666666664)</f>
        <v>39199.66667</v>
      </c>
      <c r="B1840" s="1">
        <f>IFERROR(__xludf.DUMMYFUNCTION("""COMPUTED_VALUE"""),63.07)</f>
        <v>63.07</v>
      </c>
      <c r="C1840" s="1">
        <f>IFERROR(__xludf.DUMMYFUNCTION("""COMPUTED_VALUE"""),63.21)</f>
        <v>63.21</v>
      </c>
      <c r="D1840" s="1">
        <f>IFERROR(__xludf.DUMMYFUNCTION("""COMPUTED_VALUE"""),62.61)</f>
        <v>62.61</v>
      </c>
      <c r="E1840" s="1">
        <f>IFERROR(__xludf.DUMMYFUNCTION("""COMPUTED_VALUE"""),62.98)</f>
        <v>62.98</v>
      </c>
      <c r="F1840" s="1">
        <f>IFERROR(__xludf.DUMMYFUNCTION("""COMPUTED_VALUE"""),9746956.0)</f>
        <v>9746956</v>
      </c>
    </row>
    <row r="1841">
      <c r="A1841" s="2">
        <f>IFERROR(__xludf.DUMMYFUNCTION("""COMPUTED_VALUE"""),39202.666666666664)</f>
        <v>39202.66667</v>
      </c>
      <c r="B1841" s="1">
        <f>IFERROR(__xludf.DUMMYFUNCTION("""COMPUTED_VALUE"""),63.3)</f>
        <v>63.3</v>
      </c>
      <c r="C1841" s="1">
        <f>IFERROR(__xludf.DUMMYFUNCTION("""COMPUTED_VALUE"""),64.75)</f>
        <v>64.75</v>
      </c>
      <c r="D1841" s="1">
        <f>IFERROR(__xludf.DUMMYFUNCTION("""COMPUTED_VALUE"""),63.3)</f>
        <v>63.3</v>
      </c>
      <c r="E1841" s="1">
        <f>IFERROR(__xludf.DUMMYFUNCTION("""COMPUTED_VALUE"""),64.4)</f>
        <v>64.4</v>
      </c>
      <c r="F1841" s="1">
        <f>IFERROR(__xludf.DUMMYFUNCTION("""COMPUTED_VALUE"""),1.9249954E7)</f>
        <v>19249954</v>
      </c>
    </row>
    <row r="1842">
      <c r="A1842" s="2">
        <f>IFERROR(__xludf.DUMMYFUNCTION("""COMPUTED_VALUE"""),39203.666666666664)</f>
        <v>39203.66667</v>
      </c>
      <c r="B1842" s="1">
        <f>IFERROR(__xludf.DUMMYFUNCTION("""COMPUTED_VALUE"""),63.98)</f>
        <v>63.98</v>
      </c>
      <c r="C1842" s="1">
        <f>IFERROR(__xludf.DUMMYFUNCTION("""COMPUTED_VALUE"""),63.98)</f>
        <v>63.98</v>
      </c>
      <c r="D1842" s="1">
        <f>IFERROR(__xludf.DUMMYFUNCTION("""COMPUTED_VALUE"""),62.63)</f>
        <v>62.63</v>
      </c>
      <c r="E1842" s="1">
        <f>IFERROR(__xludf.DUMMYFUNCTION("""COMPUTED_VALUE"""),62.96)</f>
        <v>62.96</v>
      </c>
      <c r="F1842" s="1">
        <f>IFERROR(__xludf.DUMMYFUNCTION("""COMPUTED_VALUE"""),1.884396E7)</f>
        <v>18843960</v>
      </c>
    </row>
    <row r="1843">
      <c r="A1843" s="2">
        <f>IFERROR(__xludf.DUMMYFUNCTION("""COMPUTED_VALUE"""),39204.666666666664)</f>
        <v>39204.66667</v>
      </c>
      <c r="B1843" s="1">
        <f>IFERROR(__xludf.DUMMYFUNCTION("""COMPUTED_VALUE"""),62.96)</f>
        <v>62.96</v>
      </c>
      <c r="C1843" s="1">
        <f>IFERROR(__xludf.DUMMYFUNCTION("""COMPUTED_VALUE"""),63.21)</f>
        <v>63.21</v>
      </c>
      <c r="D1843" s="1">
        <f>IFERROR(__xludf.DUMMYFUNCTION("""COMPUTED_VALUE"""),62.31)</f>
        <v>62.31</v>
      </c>
      <c r="E1843" s="1">
        <f>IFERROR(__xludf.DUMMYFUNCTION("""COMPUTED_VALUE"""),62.37)</f>
        <v>62.37</v>
      </c>
      <c r="F1843" s="1">
        <f>IFERROR(__xludf.DUMMYFUNCTION("""COMPUTED_VALUE"""),1.9704714E7)</f>
        <v>19704714</v>
      </c>
    </row>
    <row r="1844">
      <c r="A1844" s="2">
        <f>IFERROR(__xludf.DUMMYFUNCTION("""COMPUTED_VALUE"""),39205.666666666664)</f>
        <v>39205.66667</v>
      </c>
      <c r="B1844" s="1">
        <f>IFERROR(__xludf.DUMMYFUNCTION("""COMPUTED_VALUE"""),62.75)</f>
        <v>62.75</v>
      </c>
      <c r="C1844" s="1">
        <f>IFERROR(__xludf.DUMMYFUNCTION("""COMPUTED_VALUE"""),62.75)</f>
        <v>62.75</v>
      </c>
      <c r="D1844" s="1">
        <f>IFERROR(__xludf.DUMMYFUNCTION("""COMPUTED_VALUE"""),61.84)</f>
        <v>61.84</v>
      </c>
      <c r="E1844" s="1">
        <f>IFERROR(__xludf.DUMMYFUNCTION("""COMPUTED_VALUE"""),62.0)</f>
        <v>62</v>
      </c>
      <c r="F1844" s="1">
        <f>IFERROR(__xludf.DUMMYFUNCTION("""COMPUTED_VALUE"""),1.7850484E7)</f>
        <v>17850484</v>
      </c>
    </row>
    <row r="1845">
      <c r="A1845" s="2">
        <f>IFERROR(__xludf.DUMMYFUNCTION("""COMPUTED_VALUE"""),39206.666666666664)</f>
        <v>39206.66667</v>
      </c>
      <c r="B1845" s="1">
        <f>IFERROR(__xludf.DUMMYFUNCTION("""COMPUTED_VALUE"""),62.25)</f>
        <v>62.25</v>
      </c>
      <c r="C1845" s="1">
        <f>IFERROR(__xludf.DUMMYFUNCTION("""COMPUTED_VALUE"""),62.47)</f>
        <v>62.47</v>
      </c>
      <c r="D1845" s="1">
        <f>IFERROR(__xludf.DUMMYFUNCTION("""COMPUTED_VALUE"""),61.75)</f>
        <v>61.75</v>
      </c>
      <c r="E1845" s="1">
        <f>IFERROR(__xludf.DUMMYFUNCTION("""COMPUTED_VALUE"""),62.41)</f>
        <v>62.41</v>
      </c>
      <c r="F1845" s="1">
        <f>IFERROR(__xludf.DUMMYFUNCTION("""COMPUTED_VALUE"""),1.243309E7)</f>
        <v>12433090</v>
      </c>
    </row>
    <row r="1846">
      <c r="A1846" s="2">
        <f>IFERROR(__xludf.DUMMYFUNCTION("""COMPUTED_VALUE"""),39209.666666666664)</f>
        <v>39209.66667</v>
      </c>
      <c r="B1846" s="1">
        <f>IFERROR(__xludf.DUMMYFUNCTION("""COMPUTED_VALUE"""),62.41)</f>
        <v>62.41</v>
      </c>
      <c r="C1846" s="1">
        <f>IFERROR(__xludf.DUMMYFUNCTION("""COMPUTED_VALUE"""),62.79)</f>
        <v>62.79</v>
      </c>
      <c r="D1846" s="1">
        <f>IFERROR(__xludf.DUMMYFUNCTION("""COMPUTED_VALUE"""),62.0)</f>
        <v>62</v>
      </c>
      <c r="E1846" s="1">
        <f>IFERROR(__xludf.DUMMYFUNCTION("""COMPUTED_VALUE"""),62.18)</f>
        <v>62.18</v>
      </c>
      <c r="F1846" s="1">
        <f>IFERROR(__xludf.DUMMYFUNCTION("""COMPUTED_VALUE"""),1.2138179E7)</f>
        <v>12138179</v>
      </c>
    </row>
    <row r="1847">
      <c r="A1847" s="2">
        <f>IFERROR(__xludf.DUMMYFUNCTION("""COMPUTED_VALUE"""),39210.666666666664)</f>
        <v>39210.66667</v>
      </c>
      <c r="B1847" s="1">
        <f>IFERROR(__xludf.DUMMYFUNCTION("""COMPUTED_VALUE"""),62.18)</f>
        <v>62.18</v>
      </c>
      <c r="C1847" s="1">
        <f>IFERROR(__xludf.DUMMYFUNCTION("""COMPUTED_VALUE"""),62.18)</f>
        <v>62.18</v>
      </c>
      <c r="D1847" s="1">
        <f>IFERROR(__xludf.DUMMYFUNCTION("""COMPUTED_VALUE"""),61.5)</f>
        <v>61.5</v>
      </c>
      <c r="E1847" s="1">
        <f>IFERROR(__xludf.DUMMYFUNCTION("""COMPUTED_VALUE"""),61.75)</f>
        <v>61.75</v>
      </c>
      <c r="F1847" s="1">
        <f>IFERROR(__xludf.DUMMYFUNCTION("""COMPUTED_VALUE"""),1.6579031E7)</f>
        <v>16579031</v>
      </c>
    </row>
    <row r="1848">
      <c r="A1848" s="2">
        <f>IFERROR(__xludf.DUMMYFUNCTION("""COMPUTED_VALUE"""),39211.666666666664)</f>
        <v>39211.66667</v>
      </c>
      <c r="B1848" s="1">
        <f>IFERROR(__xludf.DUMMYFUNCTION("""COMPUTED_VALUE"""),61.75)</f>
        <v>61.75</v>
      </c>
      <c r="C1848" s="1">
        <f>IFERROR(__xludf.DUMMYFUNCTION("""COMPUTED_VALUE"""),62.27)</f>
        <v>62.27</v>
      </c>
      <c r="D1848" s="1">
        <f>IFERROR(__xludf.DUMMYFUNCTION("""COMPUTED_VALUE"""),61.42)</f>
        <v>61.42</v>
      </c>
      <c r="E1848" s="1">
        <f>IFERROR(__xludf.DUMMYFUNCTION("""COMPUTED_VALUE"""),62.01)</f>
        <v>62.01</v>
      </c>
      <c r="F1848" s="1">
        <f>IFERROR(__xludf.DUMMYFUNCTION("""COMPUTED_VALUE"""),1.0519995E7)</f>
        <v>10519995</v>
      </c>
    </row>
    <row r="1849">
      <c r="A1849" s="2">
        <f>IFERROR(__xludf.DUMMYFUNCTION("""COMPUTED_VALUE"""),39212.666666666664)</f>
        <v>39212.66667</v>
      </c>
      <c r="B1849" s="1">
        <f>IFERROR(__xludf.DUMMYFUNCTION("""COMPUTED_VALUE"""),62.01)</f>
        <v>62.01</v>
      </c>
      <c r="C1849" s="1">
        <f>IFERROR(__xludf.DUMMYFUNCTION("""COMPUTED_VALUE"""),62.05)</f>
        <v>62.05</v>
      </c>
      <c r="D1849" s="1">
        <f>IFERROR(__xludf.DUMMYFUNCTION("""COMPUTED_VALUE"""),61.04)</f>
        <v>61.04</v>
      </c>
      <c r="E1849" s="1">
        <f>IFERROR(__xludf.DUMMYFUNCTION("""COMPUTED_VALUE"""),61.49)</f>
        <v>61.49</v>
      </c>
      <c r="F1849" s="1">
        <f>IFERROR(__xludf.DUMMYFUNCTION("""COMPUTED_VALUE"""),1.4807566E7)</f>
        <v>14807566</v>
      </c>
    </row>
    <row r="1850">
      <c r="A1850" s="2">
        <f>IFERROR(__xludf.DUMMYFUNCTION("""COMPUTED_VALUE"""),39213.666666666664)</f>
        <v>39213.66667</v>
      </c>
      <c r="B1850" s="1">
        <f>IFERROR(__xludf.DUMMYFUNCTION("""COMPUTED_VALUE"""),61.49)</f>
        <v>61.49</v>
      </c>
      <c r="C1850" s="1">
        <f>IFERROR(__xludf.DUMMYFUNCTION("""COMPUTED_VALUE"""),61.85)</f>
        <v>61.85</v>
      </c>
      <c r="D1850" s="1">
        <f>IFERROR(__xludf.DUMMYFUNCTION("""COMPUTED_VALUE"""),61.42)</f>
        <v>61.42</v>
      </c>
      <c r="E1850" s="1">
        <f>IFERROR(__xludf.DUMMYFUNCTION("""COMPUTED_VALUE"""),61.65)</f>
        <v>61.65</v>
      </c>
      <c r="F1850" s="1">
        <f>IFERROR(__xludf.DUMMYFUNCTION("""COMPUTED_VALUE"""),8478965.0)</f>
        <v>8478965</v>
      </c>
    </row>
    <row r="1851">
      <c r="A1851" s="2">
        <f>IFERROR(__xludf.DUMMYFUNCTION("""COMPUTED_VALUE"""),39216.666666666664)</f>
        <v>39216.66667</v>
      </c>
      <c r="B1851" s="1">
        <f>IFERROR(__xludf.DUMMYFUNCTION("""COMPUTED_VALUE"""),61.65)</f>
        <v>61.65</v>
      </c>
      <c r="C1851" s="1">
        <f>IFERROR(__xludf.DUMMYFUNCTION("""COMPUTED_VALUE"""),61.9)</f>
        <v>61.9</v>
      </c>
      <c r="D1851" s="1">
        <f>IFERROR(__xludf.DUMMYFUNCTION("""COMPUTED_VALUE"""),61.56)</f>
        <v>61.56</v>
      </c>
      <c r="E1851" s="1">
        <f>IFERROR(__xludf.DUMMYFUNCTION("""COMPUTED_VALUE"""),61.72)</f>
        <v>61.72</v>
      </c>
      <c r="F1851" s="1">
        <f>IFERROR(__xludf.DUMMYFUNCTION("""COMPUTED_VALUE"""),8754770.0)</f>
        <v>8754770</v>
      </c>
    </row>
    <row r="1852">
      <c r="A1852" s="2">
        <f>IFERROR(__xludf.DUMMYFUNCTION("""COMPUTED_VALUE"""),39217.666666666664)</f>
        <v>39217.66667</v>
      </c>
      <c r="B1852" s="1">
        <f>IFERROR(__xludf.DUMMYFUNCTION("""COMPUTED_VALUE"""),61.72)</f>
        <v>61.72</v>
      </c>
      <c r="C1852" s="1">
        <f>IFERROR(__xludf.DUMMYFUNCTION("""COMPUTED_VALUE"""),62.89)</f>
        <v>62.89</v>
      </c>
      <c r="D1852" s="1">
        <f>IFERROR(__xludf.DUMMYFUNCTION("""COMPUTED_VALUE"""),61.72)</f>
        <v>61.72</v>
      </c>
      <c r="E1852" s="1">
        <f>IFERROR(__xludf.DUMMYFUNCTION("""COMPUTED_VALUE"""),62.07)</f>
        <v>62.07</v>
      </c>
      <c r="F1852" s="1">
        <f>IFERROR(__xludf.DUMMYFUNCTION("""COMPUTED_VALUE"""),1.48559E7)</f>
        <v>14855900</v>
      </c>
    </row>
    <row r="1853">
      <c r="A1853" s="2">
        <f>IFERROR(__xludf.DUMMYFUNCTION("""COMPUTED_VALUE"""),39218.666666666664)</f>
        <v>39218.66667</v>
      </c>
      <c r="B1853" s="1">
        <f>IFERROR(__xludf.DUMMYFUNCTION("""COMPUTED_VALUE"""),62.3)</f>
        <v>62.3</v>
      </c>
      <c r="C1853" s="1">
        <f>IFERROR(__xludf.DUMMYFUNCTION("""COMPUTED_VALUE"""),63.61)</f>
        <v>63.61</v>
      </c>
      <c r="D1853" s="1">
        <f>IFERROR(__xludf.DUMMYFUNCTION("""COMPUTED_VALUE"""),62.11)</f>
        <v>62.11</v>
      </c>
      <c r="E1853" s="1">
        <f>IFERROR(__xludf.DUMMYFUNCTION("""COMPUTED_VALUE"""),63.32)</f>
        <v>63.32</v>
      </c>
      <c r="F1853" s="1">
        <f>IFERROR(__xludf.DUMMYFUNCTION("""COMPUTED_VALUE"""),1.581015E7)</f>
        <v>15810150</v>
      </c>
    </row>
    <row r="1854">
      <c r="A1854" s="2">
        <f>IFERROR(__xludf.DUMMYFUNCTION("""COMPUTED_VALUE"""),39219.666666666664)</f>
        <v>39219.66667</v>
      </c>
      <c r="B1854" s="1">
        <f>IFERROR(__xludf.DUMMYFUNCTION("""COMPUTED_VALUE"""),63.05)</f>
        <v>63.05</v>
      </c>
      <c r="C1854" s="1">
        <f>IFERROR(__xludf.DUMMYFUNCTION("""COMPUTED_VALUE"""),63.59)</f>
        <v>63.59</v>
      </c>
      <c r="D1854" s="1">
        <f>IFERROR(__xludf.DUMMYFUNCTION("""COMPUTED_VALUE"""),62.76)</f>
        <v>62.76</v>
      </c>
      <c r="E1854" s="1">
        <f>IFERROR(__xludf.DUMMYFUNCTION("""COMPUTED_VALUE"""),63.37)</f>
        <v>63.37</v>
      </c>
      <c r="F1854" s="1">
        <f>IFERROR(__xludf.DUMMYFUNCTION("""COMPUTED_VALUE"""),1.008873E7)</f>
        <v>10088730</v>
      </c>
    </row>
    <row r="1855">
      <c r="A1855" s="2">
        <f>IFERROR(__xludf.DUMMYFUNCTION("""COMPUTED_VALUE"""),39220.666666666664)</f>
        <v>39220.66667</v>
      </c>
      <c r="B1855" s="1">
        <f>IFERROR(__xludf.DUMMYFUNCTION("""COMPUTED_VALUE"""),63.1)</f>
        <v>63.1</v>
      </c>
      <c r="C1855" s="1">
        <f>IFERROR(__xludf.DUMMYFUNCTION("""COMPUTED_VALUE"""),64.43)</f>
        <v>64.43</v>
      </c>
      <c r="D1855" s="1">
        <f>IFERROR(__xludf.DUMMYFUNCTION("""COMPUTED_VALUE"""),63.1)</f>
        <v>63.1</v>
      </c>
      <c r="E1855" s="1">
        <f>IFERROR(__xludf.DUMMYFUNCTION("""COMPUTED_VALUE"""),63.48)</f>
        <v>63.48</v>
      </c>
      <c r="F1855" s="1">
        <f>IFERROR(__xludf.DUMMYFUNCTION("""COMPUTED_VALUE"""),1.6434E7)</f>
        <v>16434000</v>
      </c>
    </row>
    <row r="1856">
      <c r="A1856" s="2">
        <f>IFERROR(__xludf.DUMMYFUNCTION("""COMPUTED_VALUE"""),39223.666666666664)</f>
        <v>39223.66667</v>
      </c>
      <c r="B1856" s="1">
        <f>IFERROR(__xludf.DUMMYFUNCTION("""COMPUTED_VALUE"""),63.3)</f>
        <v>63.3</v>
      </c>
      <c r="C1856" s="1">
        <f>IFERROR(__xludf.DUMMYFUNCTION("""COMPUTED_VALUE"""),63.46)</f>
        <v>63.46</v>
      </c>
      <c r="D1856" s="1">
        <f>IFERROR(__xludf.DUMMYFUNCTION("""COMPUTED_VALUE"""),63.01)</f>
        <v>63.01</v>
      </c>
      <c r="E1856" s="1">
        <f>IFERROR(__xludf.DUMMYFUNCTION("""COMPUTED_VALUE"""),63.27)</f>
        <v>63.27</v>
      </c>
      <c r="F1856" s="1">
        <f>IFERROR(__xludf.DUMMYFUNCTION("""COMPUTED_VALUE"""),9699499.0)</f>
        <v>9699499</v>
      </c>
    </row>
    <row r="1857">
      <c r="A1857" s="2">
        <f>IFERROR(__xludf.DUMMYFUNCTION("""COMPUTED_VALUE"""),39224.666666666664)</f>
        <v>39224.66667</v>
      </c>
      <c r="B1857" s="1">
        <f>IFERROR(__xludf.DUMMYFUNCTION("""COMPUTED_VALUE"""),63.01)</f>
        <v>63.01</v>
      </c>
      <c r="C1857" s="1">
        <f>IFERROR(__xludf.DUMMYFUNCTION("""COMPUTED_VALUE"""),63.32)</f>
        <v>63.32</v>
      </c>
      <c r="D1857" s="1">
        <f>IFERROR(__xludf.DUMMYFUNCTION("""COMPUTED_VALUE"""),62.8)</f>
        <v>62.8</v>
      </c>
      <c r="E1857" s="1">
        <f>IFERROR(__xludf.DUMMYFUNCTION("""COMPUTED_VALUE"""),63.0)</f>
        <v>63</v>
      </c>
      <c r="F1857" s="1">
        <f>IFERROR(__xludf.DUMMYFUNCTION("""COMPUTED_VALUE"""),9681300.0)</f>
        <v>9681300</v>
      </c>
    </row>
    <row r="1858">
      <c r="A1858" s="2">
        <f>IFERROR(__xludf.DUMMYFUNCTION("""COMPUTED_VALUE"""),39225.666666666664)</f>
        <v>39225.66667</v>
      </c>
      <c r="B1858" s="1">
        <f>IFERROR(__xludf.DUMMYFUNCTION("""COMPUTED_VALUE"""),63.03)</f>
        <v>63.03</v>
      </c>
      <c r="C1858" s="1">
        <f>IFERROR(__xludf.DUMMYFUNCTION("""COMPUTED_VALUE"""),63.43)</f>
        <v>63.43</v>
      </c>
      <c r="D1858" s="1">
        <f>IFERROR(__xludf.DUMMYFUNCTION("""COMPUTED_VALUE"""),63.02)</f>
        <v>63.02</v>
      </c>
      <c r="E1858" s="1">
        <f>IFERROR(__xludf.DUMMYFUNCTION("""COMPUTED_VALUE"""),63.1)</f>
        <v>63.1</v>
      </c>
      <c r="F1858" s="1">
        <f>IFERROR(__xludf.DUMMYFUNCTION("""COMPUTED_VALUE"""),7686320.0)</f>
        <v>7686320</v>
      </c>
    </row>
    <row r="1859">
      <c r="A1859" s="2">
        <f>IFERROR(__xludf.DUMMYFUNCTION("""COMPUTED_VALUE"""),39226.666666666664)</f>
        <v>39226.66667</v>
      </c>
      <c r="B1859" s="1">
        <f>IFERROR(__xludf.DUMMYFUNCTION("""COMPUTED_VALUE"""),63.0)</f>
        <v>63</v>
      </c>
      <c r="C1859" s="1">
        <f>IFERROR(__xludf.DUMMYFUNCTION("""COMPUTED_VALUE"""),63.4)</f>
        <v>63.4</v>
      </c>
      <c r="D1859" s="1">
        <f>IFERROR(__xludf.DUMMYFUNCTION("""COMPUTED_VALUE"""),62.83)</f>
        <v>62.83</v>
      </c>
      <c r="E1859" s="1">
        <f>IFERROR(__xludf.DUMMYFUNCTION("""COMPUTED_VALUE"""),62.87)</f>
        <v>62.87</v>
      </c>
      <c r="F1859" s="1">
        <f>IFERROR(__xludf.DUMMYFUNCTION("""COMPUTED_VALUE"""),8971554.0)</f>
        <v>8971554</v>
      </c>
    </row>
    <row r="1860">
      <c r="A1860" s="2">
        <f>IFERROR(__xludf.DUMMYFUNCTION("""COMPUTED_VALUE"""),39227.666666666664)</f>
        <v>39227.66667</v>
      </c>
      <c r="B1860" s="1">
        <f>IFERROR(__xludf.DUMMYFUNCTION("""COMPUTED_VALUE"""),63.3)</f>
        <v>63.3</v>
      </c>
      <c r="C1860" s="1">
        <f>IFERROR(__xludf.DUMMYFUNCTION("""COMPUTED_VALUE"""),63.39)</f>
        <v>63.39</v>
      </c>
      <c r="D1860" s="1">
        <f>IFERROR(__xludf.DUMMYFUNCTION("""COMPUTED_VALUE"""),62.85)</f>
        <v>62.85</v>
      </c>
      <c r="E1860" s="1">
        <f>IFERROR(__xludf.DUMMYFUNCTION("""COMPUTED_VALUE"""),62.96)</f>
        <v>62.96</v>
      </c>
      <c r="F1860" s="1">
        <f>IFERROR(__xludf.DUMMYFUNCTION("""COMPUTED_VALUE"""),9440775.0)</f>
        <v>9440775</v>
      </c>
    </row>
    <row r="1861">
      <c r="A1861" s="2">
        <f>IFERROR(__xludf.DUMMYFUNCTION("""COMPUTED_VALUE"""),39231.666666666664)</f>
        <v>39231.66667</v>
      </c>
      <c r="B1861" s="1">
        <f>IFERROR(__xludf.DUMMYFUNCTION("""COMPUTED_VALUE"""),62.91)</f>
        <v>62.91</v>
      </c>
      <c r="C1861" s="1">
        <f>IFERROR(__xludf.DUMMYFUNCTION("""COMPUTED_VALUE"""),63.81)</f>
        <v>63.81</v>
      </c>
      <c r="D1861" s="1">
        <f>IFERROR(__xludf.DUMMYFUNCTION("""COMPUTED_VALUE"""),62.9)</f>
        <v>62.9</v>
      </c>
      <c r="E1861" s="1">
        <f>IFERROR(__xludf.DUMMYFUNCTION("""COMPUTED_VALUE"""),63.65)</f>
        <v>63.65</v>
      </c>
      <c r="F1861" s="1">
        <f>IFERROR(__xludf.DUMMYFUNCTION("""COMPUTED_VALUE"""),9891850.0)</f>
        <v>9891850</v>
      </c>
    </row>
    <row r="1862">
      <c r="A1862" s="2">
        <f>IFERROR(__xludf.DUMMYFUNCTION("""COMPUTED_VALUE"""),39232.666666666664)</f>
        <v>39232.66667</v>
      </c>
      <c r="B1862" s="1">
        <f>IFERROR(__xludf.DUMMYFUNCTION("""COMPUTED_VALUE"""),63.65)</f>
        <v>63.65</v>
      </c>
      <c r="C1862" s="1">
        <f>IFERROR(__xludf.DUMMYFUNCTION("""COMPUTED_VALUE"""),63.85)</f>
        <v>63.85</v>
      </c>
      <c r="D1862" s="1">
        <f>IFERROR(__xludf.DUMMYFUNCTION("""COMPUTED_VALUE"""),63.23)</f>
        <v>63.23</v>
      </c>
      <c r="E1862" s="1">
        <f>IFERROR(__xludf.DUMMYFUNCTION("""COMPUTED_VALUE"""),63.85)</f>
        <v>63.85</v>
      </c>
      <c r="F1862" s="1">
        <f>IFERROR(__xludf.DUMMYFUNCTION("""COMPUTED_VALUE"""),1.031617E7)</f>
        <v>10316170</v>
      </c>
    </row>
    <row r="1863">
      <c r="A1863" s="2">
        <f>IFERROR(__xludf.DUMMYFUNCTION("""COMPUTED_VALUE"""),39233.666666666664)</f>
        <v>39233.66667</v>
      </c>
      <c r="B1863" s="1">
        <f>IFERROR(__xludf.DUMMYFUNCTION("""COMPUTED_VALUE"""),63.75)</f>
        <v>63.75</v>
      </c>
      <c r="C1863" s="1">
        <f>IFERROR(__xludf.DUMMYFUNCTION("""COMPUTED_VALUE"""),63.92)</f>
        <v>63.92</v>
      </c>
      <c r="D1863" s="1">
        <f>IFERROR(__xludf.DUMMYFUNCTION("""COMPUTED_VALUE"""),63.32)</f>
        <v>63.32</v>
      </c>
      <c r="E1863" s="1">
        <f>IFERROR(__xludf.DUMMYFUNCTION("""COMPUTED_VALUE"""),63.55)</f>
        <v>63.55</v>
      </c>
      <c r="F1863" s="1">
        <f>IFERROR(__xludf.DUMMYFUNCTION("""COMPUTED_VALUE"""),8628234.0)</f>
        <v>8628234</v>
      </c>
    </row>
    <row r="1864">
      <c r="A1864" s="2">
        <f>IFERROR(__xludf.DUMMYFUNCTION("""COMPUTED_VALUE"""),39234.666666666664)</f>
        <v>39234.66667</v>
      </c>
      <c r="B1864" s="1">
        <f>IFERROR(__xludf.DUMMYFUNCTION("""COMPUTED_VALUE"""),63.55)</f>
        <v>63.55</v>
      </c>
      <c r="C1864" s="1">
        <f>IFERROR(__xludf.DUMMYFUNCTION("""COMPUTED_VALUE"""),63.78)</f>
        <v>63.78</v>
      </c>
      <c r="D1864" s="1">
        <f>IFERROR(__xludf.DUMMYFUNCTION("""COMPUTED_VALUE"""),62.96)</f>
        <v>62.96</v>
      </c>
      <c r="E1864" s="1">
        <f>IFERROR(__xludf.DUMMYFUNCTION("""COMPUTED_VALUE"""),63.48)</f>
        <v>63.48</v>
      </c>
      <c r="F1864" s="1">
        <f>IFERROR(__xludf.DUMMYFUNCTION("""COMPUTED_VALUE"""),9026307.0)</f>
        <v>9026307</v>
      </c>
    </row>
    <row r="1865">
      <c r="A1865" s="2">
        <f>IFERROR(__xludf.DUMMYFUNCTION("""COMPUTED_VALUE"""),39237.666666666664)</f>
        <v>39237.66667</v>
      </c>
      <c r="B1865" s="1">
        <f>IFERROR(__xludf.DUMMYFUNCTION("""COMPUTED_VALUE"""),63.5)</f>
        <v>63.5</v>
      </c>
      <c r="C1865" s="1">
        <f>IFERROR(__xludf.DUMMYFUNCTION("""COMPUTED_VALUE"""),63.5)</f>
        <v>63.5</v>
      </c>
      <c r="D1865" s="1">
        <f>IFERROR(__xludf.DUMMYFUNCTION("""COMPUTED_VALUE"""),62.85)</f>
        <v>62.85</v>
      </c>
      <c r="E1865" s="1">
        <f>IFERROR(__xludf.DUMMYFUNCTION("""COMPUTED_VALUE"""),63.19)</f>
        <v>63.19</v>
      </c>
      <c r="F1865" s="1">
        <f>IFERROR(__xludf.DUMMYFUNCTION("""COMPUTED_VALUE"""),1.1481525E7)</f>
        <v>11481525</v>
      </c>
    </row>
    <row r="1866">
      <c r="A1866" s="2">
        <f>IFERROR(__xludf.DUMMYFUNCTION("""COMPUTED_VALUE"""),39238.666666666664)</f>
        <v>39238.66667</v>
      </c>
      <c r="B1866" s="1">
        <f>IFERROR(__xludf.DUMMYFUNCTION("""COMPUTED_VALUE"""),63.01)</f>
        <v>63.01</v>
      </c>
      <c r="C1866" s="1">
        <f>IFERROR(__xludf.DUMMYFUNCTION("""COMPUTED_VALUE"""),63.73)</f>
        <v>63.73</v>
      </c>
      <c r="D1866" s="1">
        <f>IFERROR(__xludf.DUMMYFUNCTION("""COMPUTED_VALUE"""),63.01)</f>
        <v>63.01</v>
      </c>
      <c r="E1866" s="1">
        <f>IFERROR(__xludf.DUMMYFUNCTION("""COMPUTED_VALUE"""),63.46)</f>
        <v>63.46</v>
      </c>
      <c r="F1866" s="1">
        <f>IFERROR(__xludf.DUMMYFUNCTION("""COMPUTED_VALUE"""),1.3481826E7)</f>
        <v>13481826</v>
      </c>
    </row>
    <row r="1867">
      <c r="A1867" s="2">
        <f>IFERROR(__xludf.DUMMYFUNCTION("""COMPUTED_VALUE"""),39239.666666666664)</f>
        <v>39239.66667</v>
      </c>
      <c r="B1867" s="1">
        <f>IFERROR(__xludf.DUMMYFUNCTION("""COMPUTED_VALUE"""),63.46)</f>
        <v>63.46</v>
      </c>
      <c r="C1867" s="1">
        <f>IFERROR(__xludf.DUMMYFUNCTION("""COMPUTED_VALUE"""),63.6)</f>
        <v>63.6</v>
      </c>
      <c r="D1867" s="1">
        <f>IFERROR(__xludf.DUMMYFUNCTION("""COMPUTED_VALUE"""),63.17)</f>
        <v>63.17</v>
      </c>
      <c r="E1867" s="1">
        <f>IFERROR(__xludf.DUMMYFUNCTION("""COMPUTED_VALUE"""),63.19)</f>
        <v>63.19</v>
      </c>
      <c r="F1867" s="1">
        <f>IFERROR(__xludf.DUMMYFUNCTION("""COMPUTED_VALUE"""),9910595.0)</f>
        <v>9910595</v>
      </c>
    </row>
    <row r="1868">
      <c r="A1868" s="2">
        <f>IFERROR(__xludf.DUMMYFUNCTION("""COMPUTED_VALUE"""),39240.666666666664)</f>
        <v>39240.66667</v>
      </c>
      <c r="B1868" s="1">
        <f>IFERROR(__xludf.DUMMYFUNCTION("""COMPUTED_VALUE"""),62.92)</f>
        <v>62.92</v>
      </c>
      <c r="C1868" s="1">
        <f>IFERROR(__xludf.DUMMYFUNCTION("""COMPUTED_VALUE"""),62.92)</f>
        <v>62.92</v>
      </c>
      <c r="D1868" s="1">
        <f>IFERROR(__xludf.DUMMYFUNCTION("""COMPUTED_VALUE"""),62.12)</f>
        <v>62.12</v>
      </c>
      <c r="E1868" s="1">
        <f>IFERROR(__xludf.DUMMYFUNCTION("""COMPUTED_VALUE"""),62.32)</f>
        <v>62.32</v>
      </c>
      <c r="F1868" s="1">
        <f>IFERROR(__xludf.DUMMYFUNCTION("""COMPUTED_VALUE"""),2.1182412E7)</f>
        <v>21182412</v>
      </c>
    </row>
    <row r="1869">
      <c r="A1869" s="2">
        <f>IFERROR(__xludf.DUMMYFUNCTION("""COMPUTED_VALUE"""),39241.666666666664)</f>
        <v>39241.66667</v>
      </c>
      <c r="B1869" s="1">
        <f>IFERROR(__xludf.DUMMYFUNCTION("""COMPUTED_VALUE"""),62.32)</f>
        <v>62.32</v>
      </c>
      <c r="C1869" s="1">
        <f>IFERROR(__xludf.DUMMYFUNCTION("""COMPUTED_VALUE"""),63.2)</f>
        <v>63.2</v>
      </c>
      <c r="D1869" s="1">
        <f>IFERROR(__xludf.DUMMYFUNCTION("""COMPUTED_VALUE"""),62.18)</f>
        <v>62.18</v>
      </c>
      <c r="E1869" s="1">
        <f>IFERROR(__xludf.DUMMYFUNCTION("""COMPUTED_VALUE"""),63.07)</f>
        <v>63.07</v>
      </c>
      <c r="F1869" s="1">
        <f>IFERROR(__xludf.DUMMYFUNCTION("""COMPUTED_VALUE"""),1.5468495E7)</f>
        <v>15468495</v>
      </c>
    </row>
    <row r="1870">
      <c r="A1870" s="2">
        <f>IFERROR(__xludf.DUMMYFUNCTION("""COMPUTED_VALUE"""),39244.666666666664)</f>
        <v>39244.66667</v>
      </c>
      <c r="B1870" s="1">
        <f>IFERROR(__xludf.DUMMYFUNCTION("""COMPUTED_VALUE"""),63.07)</f>
        <v>63.07</v>
      </c>
      <c r="C1870" s="1">
        <f>IFERROR(__xludf.DUMMYFUNCTION("""COMPUTED_VALUE"""),63.21)</f>
        <v>63.21</v>
      </c>
      <c r="D1870" s="1">
        <f>IFERROR(__xludf.DUMMYFUNCTION("""COMPUTED_VALUE"""),62.75)</f>
        <v>62.75</v>
      </c>
      <c r="E1870" s="1">
        <f>IFERROR(__xludf.DUMMYFUNCTION("""COMPUTED_VALUE"""),63.05)</f>
        <v>63.05</v>
      </c>
      <c r="F1870" s="1">
        <f>IFERROR(__xludf.DUMMYFUNCTION("""COMPUTED_VALUE"""),8119546.0)</f>
        <v>8119546</v>
      </c>
    </row>
    <row r="1871">
      <c r="A1871" s="2">
        <f>IFERROR(__xludf.DUMMYFUNCTION("""COMPUTED_VALUE"""),39245.666666666664)</f>
        <v>39245.66667</v>
      </c>
      <c r="B1871" s="1">
        <f>IFERROR(__xludf.DUMMYFUNCTION("""COMPUTED_VALUE"""),62.7)</f>
        <v>62.7</v>
      </c>
      <c r="C1871" s="1">
        <f>IFERROR(__xludf.DUMMYFUNCTION("""COMPUTED_VALUE"""),63.0)</f>
        <v>63</v>
      </c>
      <c r="D1871" s="1">
        <f>IFERROR(__xludf.DUMMYFUNCTION("""COMPUTED_VALUE"""),62.16)</f>
        <v>62.16</v>
      </c>
      <c r="E1871" s="1">
        <f>IFERROR(__xludf.DUMMYFUNCTION("""COMPUTED_VALUE"""),62.16)</f>
        <v>62.16</v>
      </c>
      <c r="F1871" s="1">
        <f>IFERROR(__xludf.DUMMYFUNCTION("""COMPUTED_VALUE"""),1.040337E7)</f>
        <v>10403370</v>
      </c>
    </row>
    <row r="1872">
      <c r="A1872" s="2">
        <f>IFERROR(__xludf.DUMMYFUNCTION("""COMPUTED_VALUE"""),39246.666666666664)</f>
        <v>39246.66667</v>
      </c>
      <c r="B1872" s="1">
        <f>IFERROR(__xludf.DUMMYFUNCTION("""COMPUTED_VALUE"""),62.0)</f>
        <v>62</v>
      </c>
      <c r="C1872" s="1">
        <f>IFERROR(__xludf.DUMMYFUNCTION("""COMPUTED_VALUE"""),62.82)</f>
        <v>62.82</v>
      </c>
      <c r="D1872" s="1">
        <f>IFERROR(__xludf.DUMMYFUNCTION("""COMPUTED_VALUE"""),62.0)</f>
        <v>62</v>
      </c>
      <c r="E1872" s="1">
        <f>IFERROR(__xludf.DUMMYFUNCTION("""COMPUTED_VALUE"""),62.37)</f>
        <v>62.37</v>
      </c>
      <c r="F1872" s="1">
        <f>IFERROR(__xludf.DUMMYFUNCTION("""COMPUTED_VALUE"""),1.55156E7)</f>
        <v>15515600</v>
      </c>
    </row>
    <row r="1873">
      <c r="A1873" s="2">
        <f>IFERROR(__xludf.DUMMYFUNCTION("""COMPUTED_VALUE"""),39247.666666666664)</f>
        <v>39247.66667</v>
      </c>
      <c r="B1873" s="1">
        <f>IFERROR(__xludf.DUMMYFUNCTION("""COMPUTED_VALUE"""),62.6)</f>
        <v>62.6</v>
      </c>
      <c r="C1873" s="1">
        <f>IFERROR(__xludf.DUMMYFUNCTION("""COMPUTED_VALUE"""),62.6)</f>
        <v>62.6</v>
      </c>
      <c r="D1873" s="1">
        <f>IFERROR(__xludf.DUMMYFUNCTION("""COMPUTED_VALUE"""),62.1)</f>
        <v>62.1</v>
      </c>
      <c r="E1873" s="1">
        <f>IFERROR(__xludf.DUMMYFUNCTION("""COMPUTED_VALUE"""),62.42)</f>
        <v>62.42</v>
      </c>
      <c r="F1873" s="1">
        <f>IFERROR(__xludf.DUMMYFUNCTION("""COMPUTED_VALUE"""),1.1104787E7)</f>
        <v>11104787</v>
      </c>
    </row>
    <row r="1874">
      <c r="A1874" s="2">
        <f>IFERROR(__xludf.DUMMYFUNCTION("""COMPUTED_VALUE"""),39248.666666666664)</f>
        <v>39248.66667</v>
      </c>
      <c r="B1874" s="1">
        <f>IFERROR(__xludf.DUMMYFUNCTION("""COMPUTED_VALUE"""),62.66)</f>
        <v>62.66</v>
      </c>
      <c r="C1874" s="1">
        <f>IFERROR(__xludf.DUMMYFUNCTION("""COMPUTED_VALUE"""),62.8)</f>
        <v>62.8</v>
      </c>
      <c r="D1874" s="1">
        <f>IFERROR(__xludf.DUMMYFUNCTION("""COMPUTED_VALUE"""),62.25)</f>
        <v>62.25</v>
      </c>
      <c r="E1874" s="1">
        <f>IFERROR(__xludf.DUMMYFUNCTION("""COMPUTED_VALUE"""),62.57)</f>
        <v>62.57</v>
      </c>
      <c r="F1874" s="1">
        <f>IFERROR(__xludf.DUMMYFUNCTION("""COMPUTED_VALUE"""),1.7155444E7)</f>
        <v>17155444</v>
      </c>
    </row>
    <row r="1875">
      <c r="A1875" s="2">
        <f>IFERROR(__xludf.DUMMYFUNCTION("""COMPUTED_VALUE"""),39251.666666666664)</f>
        <v>39251.66667</v>
      </c>
      <c r="B1875" s="1">
        <f>IFERROR(__xludf.DUMMYFUNCTION("""COMPUTED_VALUE"""),62.59)</f>
        <v>62.59</v>
      </c>
      <c r="C1875" s="1">
        <f>IFERROR(__xludf.DUMMYFUNCTION("""COMPUTED_VALUE"""),62.59)</f>
        <v>62.59</v>
      </c>
      <c r="D1875" s="1">
        <f>IFERROR(__xludf.DUMMYFUNCTION("""COMPUTED_VALUE"""),61.72)</f>
        <v>61.72</v>
      </c>
      <c r="E1875" s="1">
        <f>IFERROR(__xludf.DUMMYFUNCTION("""COMPUTED_VALUE"""),61.77)</f>
        <v>61.77</v>
      </c>
      <c r="F1875" s="1">
        <f>IFERROR(__xludf.DUMMYFUNCTION("""COMPUTED_VALUE"""),1.5262307E7)</f>
        <v>15262307</v>
      </c>
    </row>
    <row r="1876">
      <c r="A1876" s="2">
        <f>IFERROR(__xludf.DUMMYFUNCTION("""COMPUTED_VALUE"""),39252.666666666664)</f>
        <v>39252.66667</v>
      </c>
      <c r="B1876" s="1">
        <f>IFERROR(__xludf.DUMMYFUNCTION("""COMPUTED_VALUE"""),61.81)</f>
        <v>61.81</v>
      </c>
      <c r="C1876" s="1">
        <f>IFERROR(__xludf.DUMMYFUNCTION("""COMPUTED_VALUE"""),61.91)</f>
        <v>61.91</v>
      </c>
      <c r="D1876" s="1">
        <f>IFERROR(__xludf.DUMMYFUNCTION("""COMPUTED_VALUE"""),61.1)</f>
        <v>61.1</v>
      </c>
      <c r="E1876" s="1">
        <f>IFERROR(__xludf.DUMMYFUNCTION("""COMPUTED_VALUE"""),61.82)</f>
        <v>61.82</v>
      </c>
      <c r="F1876" s="1">
        <f>IFERROR(__xludf.DUMMYFUNCTION("""COMPUTED_VALUE"""),1.929498E7)</f>
        <v>19294980</v>
      </c>
    </row>
    <row r="1877">
      <c r="A1877" s="2">
        <f>IFERROR(__xludf.DUMMYFUNCTION("""COMPUTED_VALUE"""),39253.666666666664)</f>
        <v>39253.66667</v>
      </c>
      <c r="B1877" s="1">
        <f>IFERROR(__xludf.DUMMYFUNCTION("""COMPUTED_VALUE"""),61.82)</f>
        <v>61.82</v>
      </c>
      <c r="C1877" s="1">
        <f>IFERROR(__xludf.DUMMYFUNCTION("""COMPUTED_VALUE"""),62.49)</f>
        <v>62.49</v>
      </c>
      <c r="D1877" s="1">
        <f>IFERROR(__xludf.DUMMYFUNCTION("""COMPUTED_VALUE"""),61.82)</f>
        <v>61.82</v>
      </c>
      <c r="E1877" s="1">
        <f>IFERROR(__xludf.DUMMYFUNCTION("""COMPUTED_VALUE"""),61.94)</f>
        <v>61.94</v>
      </c>
      <c r="F1877" s="1">
        <f>IFERROR(__xludf.DUMMYFUNCTION("""COMPUTED_VALUE"""),1.8522076E7)</f>
        <v>18522076</v>
      </c>
    </row>
    <row r="1878">
      <c r="A1878" s="2">
        <f>IFERROR(__xludf.DUMMYFUNCTION("""COMPUTED_VALUE"""),39254.666666666664)</f>
        <v>39254.66667</v>
      </c>
      <c r="B1878" s="1">
        <f>IFERROR(__xludf.DUMMYFUNCTION("""COMPUTED_VALUE"""),62.12)</f>
        <v>62.12</v>
      </c>
      <c r="C1878" s="1">
        <f>IFERROR(__xludf.DUMMYFUNCTION("""COMPUTED_VALUE"""),62.4)</f>
        <v>62.4</v>
      </c>
      <c r="D1878" s="1">
        <f>IFERROR(__xludf.DUMMYFUNCTION("""COMPUTED_VALUE"""),61.6)</f>
        <v>61.6</v>
      </c>
      <c r="E1878" s="1">
        <f>IFERROR(__xludf.DUMMYFUNCTION("""COMPUTED_VALUE"""),61.88)</f>
        <v>61.88</v>
      </c>
      <c r="F1878" s="1">
        <f>IFERROR(__xludf.DUMMYFUNCTION("""COMPUTED_VALUE"""),1.3653774E7)</f>
        <v>13653774</v>
      </c>
    </row>
    <row r="1879">
      <c r="A1879" s="2">
        <f>IFERROR(__xludf.DUMMYFUNCTION("""COMPUTED_VALUE"""),39255.666666666664)</f>
        <v>39255.66667</v>
      </c>
      <c r="B1879" s="1">
        <f>IFERROR(__xludf.DUMMYFUNCTION("""COMPUTED_VALUE"""),61.88)</f>
        <v>61.88</v>
      </c>
      <c r="C1879" s="1">
        <f>IFERROR(__xludf.DUMMYFUNCTION("""COMPUTED_VALUE"""),61.97)</f>
        <v>61.97</v>
      </c>
      <c r="D1879" s="1">
        <f>IFERROR(__xludf.DUMMYFUNCTION("""COMPUTED_VALUE"""),60.99)</f>
        <v>60.99</v>
      </c>
      <c r="E1879" s="1">
        <f>IFERROR(__xludf.DUMMYFUNCTION("""COMPUTED_VALUE"""),61.03)</f>
        <v>61.03</v>
      </c>
      <c r="F1879" s="1">
        <f>IFERROR(__xludf.DUMMYFUNCTION("""COMPUTED_VALUE"""),1.9720138E7)</f>
        <v>19720138</v>
      </c>
    </row>
    <row r="1880">
      <c r="A1880" s="2">
        <f>IFERROR(__xludf.DUMMYFUNCTION("""COMPUTED_VALUE"""),39258.666666666664)</f>
        <v>39258.66667</v>
      </c>
      <c r="B1880" s="1">
        <f>IFERROR(__xludf.DUMMYFUNCTION("""COMPUTED_VALUE"""),61.1)</f>
        <v>61.1</v>
      </c>
      <c r="C1880" s="1">
        <f>IFERROR(__xludf.DUMMYFUNCTION("""COMPUTED_VALUE"""),61.53)</f>
        <v>61.53</v>
      </c>
      <c r="D1880" s="1">
        <f>IFERROR(__xludf.DUMMYFUNCTION("""COMPUTED_VALUE"""),60.85)</f>
        <v>60.85</v>
      </c>
      <c r="E1880" s="1">
        <f>IFERROR(__xludf.DUMMYFUNCTION("""COMPUTED_VALUE"""),61.08)</f>
        <v>61.08</v>
      </c>
      <c r="F1880" s="1">
        <f>IFERROR(__xludf.DUMMYFUNCTION("""COMPUTED_VALUE"""),1.1691837E7)</f>
        <v>11691837</v>
      </c>
    </row>
    <row r="1881">
      <c r="A1881" s="2">
        <f>IFERROR(__xludf.DUMMYFUNCTION("""COMPUTED_VALUE"""),39259.666666666664)</f>
        <v>39259.66667</v>
      </c>
      <c r="B1881" s="1">
        <f>IFERROR(__xludf.DUMMYFUNCTION("""COMPUTED_VALUE"""),61.2)</f>
        <v>61.2</v>
      </c>
      <c r="C1881" s="1">
        <f>IFERROR(__xludf.DUMMYFUNCTION("""COMPUTED_VALUE"""),61.59)</f>
        <v>61.59</v>
      </c>
      <c r="D1881" s="1">
        <f>IFERROR(__xludf.DUMMYFUNCTION("""COMPUTED_VALUE"""),60.99)</f>
        <v>60.99</v>
      </c>
      <c r="E1881" s="1">
        <f>IFERROR(__xludf.DUMMYFUNCTION("""COMPUTED_VALUE"""),61.19)</f>
        <v>61.19</v>
      </c>
      <c r="F1881" s="1">
        <f>IFERROR(__xludf.DUMMYFUNCTION("""COMPUTED_VALUE"""),1.4784384E7)</f>
        <v>14784384</v>
      </c>
    </row>
    <row r="1882">
      <c r="A1882" s="2">
        <f>IFERROR(__xludf.DUMMYFUNCTION("""COMPUTED_VALUE"""),39260.666666666664)</f>
        <v>39260.66667</v>
      </c>
      <c r="B1882" s="1">
        <f>IFERROR(__xludf.DUMMYFUNCTION("""COMPUTED_VALUE"""),61.15)</f>
        <v>61.15</v>
      </c>
      <c r="C1882" s="1">
        <f>IFERROR(__xludf.DUMMYFUNCTION("""COMPUTED_VALUE"""),61.44)</f>
        <v>61.44</v>
      </c>
      <c r="D1882" s="1">
        <f>IFERROR(__xludf.DUMMYFUNCTION("""COMPUTED_VALUE"""),60.91)</f>
        <v>60.91</v>
      </c>
      <c r="E1882" s="1">
        <f>IFERROR(__xludf.DUMMYFUNCTION("""COMPUTED_VALUE"""),61.43)</f>
        <v>61.43</v>
      </c>
      <c r="F1882" s="1">
        <f>IFERROR(__xludf.DUMMYFUNCTION("""COMPUTED_VALUE"""),1.0475748E7)</f>
        <v>10475748</v>
      </c>
    </row>
    <row r="1883">
      <c r="A1883" s="2">
        <f>IFERROR(__xludf.DUMMYFUNCTION("""COMPUTED_VALUE"""),39261.666666666664)</f>
        <v>39261.66667</v>
      </c>
      <c r="B1883" s="1">
        <f>IFERROR(__xludf.DUMMYFUNCTION("""COMPUTED_VALUE"""),61.6)</f>
        <v>61.6</v>
      </c>
      <c r="C1883" s="1">
        <f>IFERROR(__xludf.DUMMYFUNCTION("""COMPUTED_VALUE"""),61.8)</f>
        <v>61.8</v>
      </c>
      <c r="D1883" s="1">
        <f>IFERROR(__xludf.DUMMYFUNCTION("""COMPUTED_VALUE"""),61.05)</f>
        <v>61.05</v>
      </c>
      <c r="E1883" s="1">
        <f>IFERROR(__xludf.DUMMYFUNCTION("""COMPUTED_VALUE"""),61.36)</f>
        <v>61.36</v>
      </c>
      <c r="F1883" s="1">
        <f>IFERROR(__xludf.DUMMYFUNCTION("""COMPUTED_VALUE"""),9235892.0)</f>
        <v>9235892</v>
      </c>
    </row>
    <row r="1884">
      <c r="A1884" s="2">
        <f>IFERROR(__xludf.DUMMYFUNCTION("""COMPUTED_VALUE"""),39262.666666666664)</f>
        <v>39262.66667</v>
      </c>
      <c r="B1884" s="1">
        <f>IFERROR(__xludf.DUMMYFUNCTION("""COMPUTED_VALUE"""),61.45)</f>
        <v>61.45</v>
      </c>
      <c r="C1884" s="1">
        <f>IFERROR(__xludf.DUMMYFUNCTION("""COMPUTED_VALUE"""),61.7)</f>
        <v>61.7</v>
      </c>
      <c r="D1884" s="1">
        <f>IFERROR(__xludf.DUMMYFUNCTION("""COMPUTED_VALUE"""),60.76)</f>
        <v>60.76</v>
      </c>
      <c r="E1884" s="1">
        <f>IFERROR(__xludf.DUMMYFUNCTION("""COMPUTED_VALUE"""),61.19)</f>
        <v>61.19</v>
      </c>
      <c r="F1884" s="1">
        <f>IFERROR(__xludf.DUMMYFUNCTION("""COMPUTED_VALUE"""),1.198524E7)</f>
        <v>11985240</v>
      </c>
    </row>
    <row r="1885">
      <c r="A1885" s="2">
        <f>IFERROR(__xludf.DUMMYFUNCTION("""COMPUTED_VALUE"""),39265.666666666664)</f>
        <v>39265.66667</v>
      </c>
      <c r="B1885" s="1">
        <f>IFERROR(__xludf.DUMMYFUNCTION("""COMPUTED_VALUE"""),61.19)</f>
        <v>61.19</v>
      </c>
      <c r="C1885" s="1">
        <f>IFERROR(__xludf.DUMMYFUNCTION("""COMPUTED_VALUE"""),61.8)</f>
        <v>61.8</v>
      </c>
      <c r="D1885" s="1">
        <f>IFERROR(__xludf.DUMMYFUNCTION("""COMPUTED_VALUE"""),61.19)</f>
        <v>61.19</v>
      </c>
      <c r="E1885" s="1">
        <f>IFERROR(__xludf.DUMMYFUNCTION("""COMPUTED_VALUE"""),61.74)</f>
        <v>61.74</v>
      </c>
      <c r="F1885" s="1">
        <f>IFERROR(__xludf.DUMMYFUNCTION("""COMPUTED_VALUE"""),9869532.0)</f>
        <v>9869532</v>
      </c>
    </row>
    <row r="1886">
      <c r="A1886" s="2">
        <f>IFERROR(__xludf.DUMMYFUNCTION("""COMPUTED_VALUE"""),39266.666666666664)</f>
        <v>39266.66667</v>
      </c>
      <c r="B1886" s="1">
        <f>IFERROR(__xludf.DUMMYFUNCTION("""COMPUTED_VALUE"""),61.66)</f>
        <v>61.66</v>
      </c>
      <c r="C1886" s="1">
        <f>IFERROR(__xludf.DUMMYFUNCTION("""COMPUTED_VALUE"""),61.9)</f>
        <v>61.9</v>
      </c>
      <c r="D1886" s="1">
        <f>IFERROR(__xludf.DUMMYFUNCTION("""COMPUTED_VALUE"""),61.45)</f>
        <v>61.45</v>
      </c>
      <c r="E1886" s="1">
        <f>IFERROR(__xludf.DUMMYFUNCTION("""COMPUTED_VALUE"""),61.79)</f>
        <v>61.79</v>
      </c>
      <c r="F1886" s="1">
        <f>IFERROR(__xludf.DUMMYFUNCTION("""COMPUTED_VALUE"""),5117549.0)</f>
        <v>5117549</v>
      </c>
    </row>
    <row r="1887">
      <c r="A1887" s="2">
        <f>IFERROR(__xludf.DUMMYFUNCTION("""COMPUTED_VALUE"""),39268.666666666664)</f>
        <v>39268.66667</v>
      </c>
      <c r="B1887" s="1">
        <f>IFERROR(__xludf.DUMMYFUNCTION("""COMPUTED_VALUE"""),61.71)</f>
        <v>61.71</v>
      </c>
      <c r="C1887" s="1">
        <f>IFERROR(__xludf.DUMMYFUNCTION("""COMPUTED_VALUE"""),61.93)</f>
        <v>61.93</v>
      </c>
      <c r="D1887" s="1">
        <f>IFERROR(__xludf.DUMMYFUNCTION("""COMPUTED_VALUE"""),61.4)</f>
        <v>61.4</v>
      </c>
      <c r="E1887" s="1">
        <f>IFERROR(__xludf.DUMMYFUNCTION("""COMPUTED_VALUE"""),61.67)</f>
        <v>61.67</v>
      </c>
      <c r="F1887" s="1">
        <f>IFERROR(__xludf.DUMMYFUNCTION("""COMPUTED_VALUE"""),1.1880597E7)</f>
        <v>11880597</v>
      </c>
    </row>
    <row r="1888">
      <c r="A1888" s="2">
        <f>IFERROR(__xludf.DUMMYFUNCTION("""COMPUTED_VALUE"""),39269.666666666664)</f>
        <v>39269.66667</v>
      </c>
      <c r="B1888" s="1">
        <f>IFERROR(__xludf.DUMMYFUNCTION("""COMPUTED_VALUE"""),61.67)</f>
        <v>61.67</v>
      </c>
      <c r="C1888" s="1">
        <f>IFERROR(__xludf.DUMMYFUNCTION("""COMPUTED_VALUE"""),61.67)</f>
        <v>61.67</v>
      </c>
      <c r="D1888" s="1">
        <f>IFERROR(__xludf.DUMMYFUNCTION("""COMPUTED_VALUE"""),61.35)</f>
        <v>61.35</v>
      </c>
      <c r="E1888" s="1">
        <f>IFERROR(__xludf.DUMMYFUNCTION("""COMPUTED_VALUE"""),61.48)</f>
        <v>61.48</v>
      </c>
      <c r="F1888" s="1">
        <f>IFERROR(__xludf.DUMMYFUNCTION("""COMPUTED_VALUE"""),8197960.0)</f>
        <v>8197960</v>
      </c>
    </row>
    <row r="1889">
      <c r="A1889" s="2">
        <f>IFERROR(__xludf.DUMMYFUNCTION("""COMPUTED_VALUE"""),39272.666666666664)</f>
        <v>39272.66667</v>
      </c>
      <c r="B1889" s="1">
        <f>IFERROR(__xludf.DUMMYFUNCTION("""COMPUTED_VALUE"""),61.48)</f>
        <v>61.48</v>
      </c>
      <c r="C1889" s="1">
        <f>IFERROR(__xludf.DUMMYFUNCTION("""COMPUTED_VALUE"""),61.67)</f>
        <v>61.67</v>
      </c>
      <c r="D1889" s="1">
        <f>IFERROR(__xludf.DUMMYFUNCTION("""COMPUTED_VALUE"""),61.41)</f>
        <v>61.41</v>
      </c>
      <c r="E1889" s="1">
        <f>IFERROR(__xludf.DUMMYFUNCTION("""COMPUTED_VALUE"""),61.52)</f>
        <v>61.52</v>
      </c>
      <c r="F1889" s="1">
        <f>IFERROR(__xludf.DUMMYFUNCTION("""COMPUTED_VALUE"""),1.2073437E7)</f>
        <v>12073437</v>
      </c>
    </row>
    <row r="1890">
      <c r="A1890" s="2">
        <f>IFERROR(__xludf.DUMMYFUNCTION("""COMPUTED_VALUE"""),39273.666666666664)</f>
        <v>39273.66667</v>
      </c>
      <c r="B1890" s="1">
        <f>IFERROR(__xludf.DUMMYFUNCTION("""COMPUTED_VALUE"""),61.54)</f>
        <v>61.54</v>
      </c>
      <c r="C1890" s="1">
        <f>IFERROR(__xludf.DUMMYFUNCTION("""COMPUTED_VALUE"""),61.7)</f>
        <v>61.7</v>
      </c>
      <c r="D1890" s="1">
        <f>IFERROR(__xludf.DUMMYFUNCTION("""COMPUTED_VALUE"""),61.01)</f>
        <v>61.01</v>
      </c>
      <c r="E1890" s="1">
        <f>IFERROR(__xludf.DUMMYFUNCTION("""COMPUTED_VALUE"""),61.03)</f>
        <v>61.03</v>
      </c>
      <c r="F1890" s="1">
        <f>IFERROR(__xludf.DUMMYFUNCTION("""COMPUTED_VALUE"""),1.2677672E7)</f>
        <v>12677672</v>
      </c>
    </row>
    <row r="1891">
      <c r="A1891" s="2">
        <f>IFERROR(__xludf.DUMMYFUNCTION("""COMPUTED_VALUE"""),39274.666666666664)</f>
        <v>39274.66667</v>
      </c>
      <c r="B1891" s="1">
        <f>IFERROR(__xludf.DUMMYFUNCTION("""COMPUTED_VALUE"""),61.03)</f>
        <v>61.03</v>
      </c>
      <c r="C1891" s="1">
        <f>IFERROR(__xludf.DUMMYFUNCTION("""COMPUTED_VALUE"""),61.67)</f>
        <v>61.67</v>
      </c>
      <c r="D1891" s="1">
        <f>IFERROR(__xludf.DUMMYFUNCTION("""COMPUTED_VALUE"""),60.89)</f>
        <v>60.89</v>
      </c>
      <c r="E1891" s="1">
        <f>IFERROR(__xludf.DUMMYFUNCTION("""COMPUTED_VALUE"""),61.56)</f>
        <v>61.56</v>
      </c>
      <c r="F1891" s="1">
        <f>IFERROR(__xludf.DUMMYFUNCTION("""COMPUTED_VALUE"""),1.20566E7)</f>
        <v>12056600</v>
      </c>
    </row>
    <row r="1892">
      <c r="A1892" s="2">
        <f>IFERROR(__xludf.DUMMYFUNCTION("""COMPUTED_VALUE"""),39275.666666666664)</f>
        <v>39275.66667</v>
      </c>
      <c r="B1892" s="1">
        <f>IFERROR(__xludf.DUMMYFUNCTION("""COMPUTED_VALUE"""),61.56)</f>
        <v>61.56</v>
      </c>
      <c r="C1892" s="1">
        <f>IFERROR(__xludf.DUMMYFUNCTION("""COMPUTED_VALUE"""),62.99)</f>
        <v>62.99</v>
      </c>
      <c r="D1892" s="1">
        <f>IFERROR(__xludf.DUMMYFUNCTION("""COMPUTED_VALUE"""),61.56)</f>
        <v>61.56</v>
      </c>
      <c r="E1892" s="1">
        <f>IFERROR(__xludf.DUMMYFUNCTION("""COMPUTED_VALUE"""),62.93)</f>
        <v>62.93</v>
      </c>
      <c r="F1892" s="1">
        <f>IFERROR(__xludf.DUMMYFUNCTION("""COMPUTED_VALUE"""),1.7560052E7)</f>
        <v>17560052</v>
      </c>
    </row>
    <row r="1893">
      <c r="A1893" s="2">
        <f>IFERROR(__xludf.DUMMYFUNCTION("""COMPUTED_VALUE"""),39276.666666666664)</f>
        <v>39276.66667</v>
      </c>
      <c r="B1893" s="1">
        <f>IFERROR(__xludf.DUMMYFUNCTION("""COMPUTED_VALUE"""),62.59)</f>
        <v>62.59</v>
      </c>
      <c r="C1893" s="1">
        <f>IFERROR(__xludf.DUMMYFUNCTION("""COMPUTED_VALUE"""),63.0)</f>
        <v>63</v>
      </c>
      <c r="D1893" s="1">
        <f>IFERROR(__xludf.DUMMYFUNCTION("""COMPUTED_VALUE"""),62.25)</f>
        <v>62.25</v>
      </c>
      <c r="E1893" s="1">
        <f>IFERROR(__xludf.DUMMYFUNCTION("""COMPUTED_VALUE"""),62.66)</f>
        <v>62.66</v>
      </c>
      <c r="F1893" s="1">
        <f>IFERROR(__xludf.DUMMYFUNCTION("""COMPUTED_VALUE"""),1.2006328E7)</f>
        <v>12006328</v>
      </c>
    </row>
    <row r="1894">
      <c r="A1894" s="2">
        <f>IFERROR(__xludf.DUMMYFUNCTION("""COMPUTED_VALUE"""),39279.666666666664)</f>
        <v>39279.66667</v>
      </c>
      <c r="B1894" s="1">
        <f>IFERROR(__xludf.DUMMYFUNCTION("""COMPUTED_VALUE"""),62.66)</f>
        <v>62.66</v>
      </c>
      <c r="C1894" s="1">
        <f>IFERROR(__xludf.DUMMYFUNCTION("""COMPUTED_VALUE"""),63.5)</f>
        <v>63.5</v>
      </c>
      <c r="D1894" s="1">
        <f>IFERROR(__xludf.DUMMYFUNCTION("""COMPUTED_VALUE"""),62.2)</f>
        <v>62.2</v>
      </c>
      <c r="E1894" s="1">
        <f>IFERROR(__xludf.DUMMYFUNCTION("""COMPUTED_VALUE"""),63.15)</f>
        <v>63.15</v>
      </c>
      <c r="F1894" s="1">
        <f>IFERROR(__xludf.DUMMYFUNCTION("""COMPUTED_VALUE"""),1.2873262E7)</f>
        <v>12873262</v>
      </c>
    </row>
    <row r="1895">
      <c r="A1895" s="2">
        <f>IFERROR(__xludf.DUMMYFUNCTION("""COMPUTED_VALUE"""),39280.666666666664)</f>
        <v>39280.66667</v>
      </c>
      <c r="B1895" s="1">
        <f>IFERROR(__xludf.DUMMYFUNCTION("""COMPUTED_VALUE"""),63.15)</f>
        <v>63.15</v>
      </c>
      <c r="C1895" s="1">
        <f>IFERROR(__xludf.DUMMYFUNCTION("""COMPUTED_VALUE"""),63.46)</f>
        <v>63.46</v>
      </c>
      <c r="D1895" s="1">
        <f>IFERROR(__xludf.DUMMYFUNCTION("""COMPUTED_VALUE"""),62.68)</f>
        <v>62.68</v>
      </c>
      <c r="E1895" s="1">
        <f>IFERROR(__xludf.DUMMYFUNCTION("""COMPUTED_VALUE"""),62.68)</f>
        <v>62.68</v>
      </c>
      <c r="F1895" s="1">
        <f>IFERROR(__xludf.DUMMYFUNCTION("""COMPUTED_VALUE"""),1.3777306E7)</f>
        <v>13777306</v>
      </c>
    </row>
    <row r="1896">
      <c r="A1896" s="2">
        <f>IFERROR(__xludf.DUMMYFUNCTION("""COMPUTED_VALUE"""),39281.666666666664)</f>
        <v>39281.66667</v>
      </c>
      <c r="B1896" s="1">
        <f>IFERROR(__xludf.DUMMYFUNCTION("""COMPUTED_VALUE"""),62.3)</f>
        <v>62.3</v>
      </c>
      <c r="C1896" s="1">
        <f>IFERROR(__xludf.DUMMYFUNCTION("""COMPUTED_VALUE"""),62.98)</f>
        <v>62.98</v>
      </c>
      <c r="D1896" s="1">
        <f>IFERROR(__xludf.DUMMYFUNCTION("""COMPUTED_VALUE"""),62.02)</f>
        <v>62.02</v>
      </c>
      <c r="E1896" s="1">
        <f>IFERROR(__xludf.DUMMYFUNCTION("""COMPUTED_VALUE"""),62.59)</f>
        <v>62.59</v>
      </c>
      <c r="F1896" s="1">
        <f>IFERROR(__xludf.DUMMYFUNCTION("""COMPUTED_VALUE"""),1.1065935E7)</f>
        <v>11065935</v>
      </c>
    </row>
    <row r="1897">
      <c r="A1897" s="2">
        <f>IFERROR(__xludf.DUMMYFUNCTION("""COMPUTED_VALUE"""),39282.666666666664)</f>
        <v>39282.66667</v>
      </c>
      <c r="B1897" s="1">
        <f>IFERROR(__xludf.DUMMYFUNCTION("""COMPUTED_VALUE"""),62.48)</f>
        <v>62.48</v>
      </c>
      <c r="C1897" s="1">
        <f>IFERROR(__xludf.DUMMYFUNCTION("""COMPUTED_VALUE"""),63.13)</f>
        <v>63.13</v>
      </c>
      <c r="D1897" s="1">
        <f>IFERROR(__xludf.DUMMYFUNCTION("""COMPUTED_VALUE"""),62.48)</f>
        <v>62.48</v>
      </c>
      <c r="E1897" s="1">
        <f>IFERROR(__xludf.DUMMYFUNCTION("""COMPUTED_VALUE"""),62.79)</f>
        <v>62.79</v>
      </c>
      <c r="F1897" s="1">
        <f>IFERROR(__xludf.DUMMYFUNCTION("""COMPUTED_VALUE"""),8714213.0)</f>
        <v>8714213</v>
      </c>
    </row>
    <row r="1898">
      <c r="A1898" s="2">
        <f>IFERROR(__xludf.DUMMYFUNCTION("""COMPUTED_VALUE"""),39283.666666666664)</f>
        <v>39283.66667</v>
      </c>
      <c r="B1898" s="1">
        <f>IFERROR(__xludf.DUMMYFUNCTION("""COMPUTED_VALUE"""),62.8)</f>
        <v>62.8</v>
      </c>
      <c r="C1898" s="1">
        <f>IFERROR(__xludf.DUMMYFUNCTION("""COMPUTED_VALUE"""),62.89)</f>
        <v>62.89</v>
      </c>
      <c r="D1898" s="1">
        <f>IFERROR(__xludf.DUMMYFUNCTION("""COMPUTED_VALUE"""),62.1)</f>
        <v>62.1</v>
      </c>
      <c r="E1898" s="1">
        <f>IFERROR(__xludf.DUMMYFUNCTION("""COMPUTED_VALUE"""),62.15)</f>
        <v>62.15</v>
      </c>
      <c r="F1898" s="1">
        <f>IFERROR(__xludf.DUMMYFUNCTION("""COMPUTED_VALUE"""),1.2207996E7)</f>
        <v>12207996</v>
      </c>
    </row>
    <row r="1899">
      <c r="A1899" s="2">
        <f>IFERROR(__xludf.DUMMYFUNCTION("""COMPUTED_VALUE"""),39286.666666666664)</f>
        <v>39286.66667</v>
      </c>
      <c r="B1899" s="1">
        <f>IFERROR(__xludf.DUMMYFUNCTION("""COMPUTED_VALUE"""),62.15)</f>
        <v>62.15</v>
      </c>
      <c r="C1899" s="1">
        <f>IFERROR(__xludf.DUMMYFUNCTION("""COMPUTED_VALUE"""),63.71)</f>
        <v>63.71</v>
      </c>
      <c r="D1899" s="1">
        <f>IFERROR(__xludf.DUMMYFUNCTION("""COMPUTED_VALUE"""),62.15)</f>
        <v>62.15</v>
      </c>
      <c r="E1899" s="1">
        <f>IFERROR(__xludf.DUMMYFUNCTION("""COMPUTED_VALUE"""),63.34)</f>
        <v>63.34</v>
      </c>
      <c r="F1899" s="1">
        <f>IFERROR(__xludf.DUMMYFUNCTION("""COMPUTED_VALUE"""),9581888.0)</f>
        <v>9581888</v>
      </c>
    </row>
    <row r="1900">
      <c r="A1900" s="2">
        <f>IFERROR(__xludf.DUMMYFUNCTION("""COMPUTED_VALUE"""),39287.666666666664)</f>
        <v>39287.66667</v>
      </c>
      <c r="B1900" s="1">
        <f>IFERROR(__xludf.DUMMYFUNCTION("""COMPUTED_VALUE"""),62.57)</f>
        <v>62.57</v>
      </c>
      <c r="C1900" s="1">
        <f>IFERROR(__xludf.DUMMYFUNCTION("""COMPUTED_VALUE"""),64.38)</f>
        <v>64.38</v>
      </c>
      <c r="D1900" s="1">
        <f>IFERROR(__xludf.DUMMYFUNCTION("""COMPUTED_VALUE"""),62.55)</f>
        <v>62.55</v>
      </c>
      <c r="E1900" s="1">
        <f>IFERROR(__xludf.DUMMYFUNCTION("""COMPUTED_VALUE"""),62.96)</f>
        <v>62.96</v>
      </c>
      <c r="F1900" s="1">
        <f>IFERROR(__xludf.DUMMYFUNCTION("""COMPUTED_VALUE"""),1.4793458E7)</f>
        <v>14793458</v>
      </c>
    </row>
    <row r="1901">
      <c r="A1901" s="2">
        <f>IFERROR(__xludf.DUMMYFUNCTION("""COMPUTED_VALUE"""),39288.666666666664)</f>
        <v>39288.66667</v>
      </c>
      <c r="B1901" s="1">
        <f>IFERROR(__xludf.DUMMYFUNCTION("""COMPUTED_VALUE"""),62.96)</f>
        <v>62.96</v>
      </c>
      <c r="C1901" s="1">
        <f>IFERROR(__xludf.DUMMYFUNCTION("""COMPUTED_VALUE"""),63.57)</f>
        <v>63.57</v>
      </c>
      <c r="D1901" s="1">
        <f>IFERROR(__xludf.DUMMYFUNCTION("""COMPUTED_VALUE"""),62.59)</f>
        <v>62.59</v>
      </c>
      <c r="E1901" s="1">
        <f>IFERROR(__xludf.DUMMYFUNCTION("""COMPUTED_VALUE"""),62.98)</f>
        <v>62.98</v>
      </c>
      <c r="F1901" s="1">
        <f>IFERROR(__xludf.DUMMYFUNCTION("""COMPUTED_VALUE"""),1.3596865E7)</f>
        <v>13596865</v>
      </c>
    </row>
    <row r="1902">
      <c r="A1902" s="2">
        <f>IFERROR(__xludf.DUMMYFUNCTION("""COMPUTED_VALUE"""),39289.666666666664)</f>
        <v>39289.66667</v>
      </c>
      <c r="B1902" s="1">
        <f>IFERROR(__xludf.DUMMYFUNCTION("""COMPUTED_VALUE"""),62.32)</f>
        <v>62.32</v>
      </c>
      <c r="C1902" s="1">
        <f>IFERROR(__xludf.DUMMYFUNCTION("""COMPUTED_VALUE"""),63.81)</f>
        <v>63.81</v>
      </c>
      <c r="D1902" s="1">
        <f>IFERROR(__xludf.DUMMYFUNCTION("""COMPUTED_VALUE"""),62.3)</f>
        <v>62.3</v>
      </c>
      <c r="E1902" s="1">
        <f>IFERROR(__xludf.DUMMYFUNCTION("""COMPUTED_VALUE"""),62.56)</f>
        <v>62.56</v>
      </c>
      <c r="F1902" s="1">
        <f>IFERROR(__xludf.DUMMYFUNCTION("""COMPUTED_VALUE"""),2.219714E7)</f>
        <v>22197140</v>
      </c>
    </row>
    <row r="1903">
      <c r="A1903" s="2">
        <f>IFERROR(__xludf.DUMMYFUNCTION("""COMPUTED_VALUE"""),39290.666666666664)</f>
        <v>39290.66667</v>
      </c>
      <c r="B1903" s="1">
        <f>IFERROR(__xludf.DUMMYFUNCTION("""COMPUTED_VALUE"""),62.25)</f>
        <v>62.25</v>
      </c>
      <c r="C1903" s="1">
        <f>IFERROR(__xludf.DUMMYFUNCTION("""COMPUTED_VALUE"""),63.41)</f>
        <v>63.41</v>
      </c>
      <c r="D1903" s="1">
        <f>IFERROR(__xludf.DUMMYFUNCTION("""COMPUTED_VALUE"""),62.25)</f>
        <v>62.25</v>
      </c>
      <c r="E1903" s="1">
        <f>IFERROR(__xludf.DUMMYFUNCTION("""COMPUTED_VALUE"""),62.82)</f>
        <v>62.82</v>
      </c>
      <c r="F1903" s="1">
        <f>IFERROR(__xludf.DUMMYFUNCTION("""COMPUTED_VALUE"""),1.6874556E7)</f>
        <v>16874556</v>
      </c>
    </row>
    <row r="1904">
      <c r="A1904" s="2">
        <f>IFERROR(__xludf.DUMMYFUNCTION("""COMPUTED_VALUE"""),39293.666666666664)</f>
        <v>39293.66667</v>
      </c>
      <c r="B1904" s="1">
        <f>IFERROR(__xludf.DUMMYFUNCTION("""COMPUTED_VALUE"""),62.79)</f>
        <v>62.79</v>
      </c>
      <c r="C1904" s="1">
        <f>IFERROR(__xludf.DUMMYFUNCTION("""COMPUTED_VALUE"""),63.54)</f>
        <v>63.54</v>
      </c>
      <c r="D1904" s="1">
        <f>IFERROR(__xludf.DUMMYFUNCTION("""COMPUTED_VALUE"""),62.05)</f>
        <v>62.05</v>
      </c>
      <c r="E1904" s="1">
        <f>IFERROR(__xludf.DUMMYFUNCTION("""COMPUTED_VALUE"""),63.27)</f>
        <v>63.27</v>
      </c>
      <c r="F1904" s="1">
        <f>IFERROR(__xludf.DUMMYFUNCTION("""COMPUTED_VALUE"""),1.4882612E7)</f>
        <v>14882612</v>
      </c>
    </row>
    <row r="1905">
      <c r="A1905" s="2">
        <f>IFERROR(__xludf.DUMMYFUNCTION("""COMPUTED_VALUE"""),39294.666666666664)</f>
        <v>39294.66667</v>
      </c>
      <c r="B1905" s="1">
        <f>IFERROR(__xludf.DUMMYFUNCTION("""COMPUTED_VALUE"""),63.27)</f>
        <v>63.27</v>
      </c>
      <c r="C1905" s="1">
        <f>IFERROR(__xludf.DUMMYFUNCTION("""COMPUTED_VALUE"""),63.27)</f>
        <v>63.27</v>
      </c>
      <c r="D1905" s="1">
        <f>IFERROR(__xludf.DUMMYFUNCTION("""COMPUTED_VALUE"""),61.74)</f>
        <v>61.74</v>
      </c>
      <c r="E1905" s="1">
        <f>IFERROR(__xludf.DUMMYFUNCTION("""COMPUTED_VALUE"""),61.86)</f>
        <v>61.86</v>
      </c>
      <c r="F1905" s="1">
        <f>IFERROR(__xludf.DUMMYFUNCTION("""COMPUTED_VALUE"""),1.5470725E7)</f>
        <v>15470725</v>
      </c>
    </row>
    <row r="1906">
      <c r="A1906" s="2">
        <f>IFERROR(__xludf.DUMMYFUNCTION("""COMPUTED_VALUE"""),39295.666666666664)</f>
        <v>39295.66667</v>
      </c>
      <c r="B1906" s="1">
        <f>IFERROR(__xludf.DUMMYFUNCTION("""COMPUTED_VALUE"""),61.6)</f>
        <v>61.6</v>
      </c>
      <c r="C1906" s="1">
        <f>IFERROR(__xludf.DUMMYFUNCTION("""COMPUTED_VALUE"""),63.49)</f>
        <v>63.49</v>
      </c>
      <c r="D1906" s="1">
        <f>IFERROR(__xludf.DUMMYFUNCTION("""COMPUTED_VALUE"""),61.5)</f>
        <v>61.5</v>
      </c>
      <c r="E1906" s="1">
        <f>IFERROR(__xludf.DUMMYFUNCTION("""COMPUTED_VALUE"""),63.16)</f>
        <v>63.16</v>
      </c>
      <c r="F1906" s="1">
        <f>IFERROR(__xludf.DUMMYFUNCTION("""COMPUTED_VALUE"""),1.4824102E7)</f>
        <v>14824102</v>
      </c>
    </row>
    <row r="1907">
      <c r="A1907" s="2">
        <f>IFERROR(__xludf.DUMMYFUNCTION("""COMPUTED_VALUE"""),39296.666666666664)</f>
        <v>39296.66667</v>
      </c>
      <c r="B1907" s="1">
        <f>IFERROR(__xludf.DUMMYFUNCTION("""COMPUTED_VALUE"""),63.15)</f>
        <v>63.15</v>
      </c>
      <c r="C1907" s="1">
        <f>IFERROR(__xludf.DUMMYFUNCTION("""COMPUTED_VALUE"""),63.59)</f>
        <v>63.59</v>
      </c>
      <c r="D1907" s="1">
        <f>IFERROR(__xludf.DUMMYFUNCTION("""COMPUTED_VALUE"""),62.64)</f>
        <v>62.64</v>
      </c>
      <c r="E1907" s="1">
        <f>IFERROR(__xludf.DUMMYFUNCTION("""COMPUTED_VALUE"""),63.3)</f>
        <v>63.3</v>
      </c>
      <c r="F1907" s="1">
        <f>IFERROR(__xludf.DUMMYFUNCTION("""COMPUTED_VALUE"""),1.1890347E7)</f>
        <v>11890347</v>
      </c>
    </row>
    <row r="1908">
      <c r="A1908" s="2">
        <f>IFERROR(__xludf.DUMMYFUNCTION("""COMPUTED_VALUE"""),39297.666666666664)</f>
        <v>39297.66667</v>
      </c>
      <c r="B1908" s="1">
        <f>IFERROR(__xludf.DUMMYFUNCTION("""COMPUTED_VALUE"""),63.75)</f>
        <v>63.75</v>
      </c>
      <c r="C1908" s="1">
        <f>IFERROR(__xludf.DUMMYFUNCTION("""COMPUTED_VALUE"""),63.75)</f>
        <v>63.75</v>
      </c>
      <c r="D1908" s="1">
        <f>IFERROR(__xludf.DUMMYFUNCTION("""COMPUTED_VALUE"""),62.34)</f>
        <v>62.34</v>
      </c>
      <c r="E1908" s="1">
        <f>IFERROR(__xludf.DUMMYFUNCTION("""COMPUTED_VALUE"""),62.88)</f>
        <v>62.88</v>
      </c>
      <c r="F1908" s="1">
        <f>IFERROR(__xludf.DUMMYFUNCTION("""COMPUTED_VALUE"""),2.0337252E7)</f>
        <v>20337252</v>
      </c>
    </row>
    <row r="1909">
      <c r="A1909" s="2">
        <f>IFERROR(__xludf.DUMMYFUNCTION("""COMPUTED_VALUE"""),39300.666666666664)</f>
        <v>39300.66667</v>
      </c>
      <c r="B1909" s="1">
        <f>IFERROR(__xludf.DUMMYFUNCTION("""COMPUTED_VALUE"""),62.88)</f>
        <v>62.88</v>
      </c>
      <c r="C1909" s="1">
        <f>IFERROR(__xludf.DUMMYFUNCTION("""COMPUTED_VALUE"""),65.0)</f>
        <v>65</v>
      </c>
      <c r="D1909" s="1">
        <f>IFERROR(__xludf.DUMMYFUNCTION("""COMPUTED_VALUE"""),62.88)</f>
        <v>62.88</v>
      </c>
      <c r="E1909" s="1">
        <f>IFERROR(__xludf.DUMMYFUNCTION("""COMPUTED_VALUE"""),65.0)</f>
        <v>65</v>
      </c>
      <c r="F1909" s="1">
        <f>IFERROR(__xludf.DUMMYFUNCTION("""COMPUTED_VALUE"""),1.8583606E7)</f>
        <v>18583606</v>
      </c>
    </row>
    <row r="1910">
      <c r="A1910" s="2">
        <f>IFERROR(__xludf.DUMMYFUNCTION("""COMPUTED_VALUE"""),39301.666666666664)</f>
        <v>39301.66667</v>
      </c>
      <c r="B1910" s="1">
        <f>IFERROR(__xludf.DUMMYFUNCTION("""COMPUTED_VALUE"""),64.23)</f>
        <v>64.23</v>
      </c>
      <c r="C1910" s="1">
        <f>IFERROR(__xludf.DUMMYFUNCTION("""COMPUTED_VALUE"""),65.79)</f>
        <v>65.79</v>
      </c>
      <c r="D1910" s="1">
        <f>IFERROR(__xludf.DUMMYFUNCTION("""COMPUTED_VALUE"""),64.23)</f>
        <v>64.23</v>
      </c>
      <c r="E1910" s="1">
        <f>IFERROR(__xludf.DUMMYFUNCTION("""COMPUTED_VALUE"""),65.23)</f>
        <v>65.23</v>
      </c>
      <c r="F1910" s="1">
        <f>IFERROR(__xludf.DUMMYFUNCTION("""COMPUTED_VALUE"""),1.9239104E7)</f>
        <v>19239104</v>
      </c>
    </row>
    <row r="1911">
      <c r="A1911" s="2">
        <f>IFERROR(__xludf.DUMMYFUNCTION("""COMPUTED_VALUE"""),39302.666666666664)</f>
        <v>39302.66667</v>
      </c>
      <c r="B1911" s="1">
        <f>IFERROR(__xludf.DUMMYFUNCTION("""COMPUTED_VALUE"""),65.35)</f>
        <v>65.35</v>
      </c>
      <c r="C1911" s="1">
        <f>IFERROR(__xludf.DUMMYFUNCTION("""COMPUTED_VALUE"""),65.75)</f>
        <v>65.75</v>
      </c>
      <c r="D1911" s="1">
        <f>IFERROR(__xludf.DUMMYFUNCTION("""COMPUTED_VALUE"""),64.6)</f>
        <v>64.6</v>
      </c>
      <c r="E1911" s="1">
        <f>IFERROR(__xludf.DUMMYFUNCTION("""COMPUTED_VALUE"""),65.16)</f>
        <v>65.16</v>
      </c>
      <c r="F1911" s="1">
        <f>IFERROR(__xludf.DUMMYFUNCTION("""COMPUTED_VALUE"""),1.3785191E7)</f>
        <v>13785191</v>
      </c>
    </row>
    <row r="1912">
      <c r="A1912" s="2">
        <f>IFERROR(__xludf.DUMMYFUNCTION("""COMPUTED_VALUE"""),39303.666666666664)</f>
        <v>39303.66667</v>
      </c>
      <c r="B1912" s="1">
        <f>IFERROR(__xludf.DUMMYFUNCTION("""COMPUTED_VALUE"""),64.6)</f>
        <v>64.6</v>
      </c>
      <c r="C1912" s="1">
        <f>IFERROR(__xludf.DUMMYFUNCTION("""COMPUTED_VALUE"""),66.75)</f>
        <v>66.75</v>
      </c>
      <c r="D1912" s="1">
        <f>IFERROR(__xludf.DUMMYFUNCTION("""COMPUTED_VALUE"""),64.0)</f>
        <v>64</v>
      </c>
      <c r="E1912" s="1">
        <f>IFERROR(__xludf.DUMMYFUNCTION("""COMPUTED_VALUE"""),64.97)</f>
        <v>64.97</v>
      </c>
      <c r="F1912" s="1">
        <f>IFERROR(__xludf.DUMMYFUNCTION("""COMPUTED_VALUE"""),1.9541812E7)</f>
        <v>19541812</v>
      </c>
    </row>
    <row r="1913">
      <c r="A1913" s="2">
        <f>IFERROR(__xludf.DUMMYFUNCTION("""COMPUTED_VALUE"""),39304.666666666664)</f>
        <v>39304.66667</v>
      </c>
      <c r="B1913" s="1">
        <f>IFERROR(__xludf.DUMMYFUNCTION("""COMPUTED_VALUE"""),64.31)</f>
        <v>64.31</v>
      </c>
      <c r="C1913" s="1">
        <f>IFERROR(__xludf.DUMMYFUNCTION("""COMPUTED_VALUE"""),65.89)</f>
        <v>65.89</v>
      </c>
      <c r="D1913" s="1">
        <f>IFERROR(__xludf.DUMMYFUNCTION("""COMPUTED_VALUE"""),64.28)</f>
        <v>64.28</v>
      </c>
      <c r="E1913" s="1">
        <f>IFERROR(__xludf.DUMMYFUNCTION("""COMPUTED_VALUE"""),65.39)</f>
        <v>65.39</v>
      </c>
      <c r="F1913" s="1">
        <f>IFERROR(__xludf.DUMMYFUNCTION("""COMPUTED_VALUE"""),1.7234892E7)</f>
        <v>17234892</v>
      </c>
    </row>
    <row r="1914">
      <c r="A1914" s="2">
        <f>IFERROR(__xludf.DUMMYFUNCTION("""COMPUTED_VALUE"""),39307.666666666664)</f>
        <v>39307.66667</v>
      </c>
      <c r="B1914" s="1">
        <f>IFERROR(__xludf.DUMMYFUNCTION("""COMPUTED_VALUE"""),65.39)</f>
        <v>65.39</v>
      </c>
      <c r="C1914" s="1">
        <f>IFERROR(__xludf.DUMMYFUNCTION("""COMPUTED_VALUE"""),65.4)</f>
        <v>65.4</v>
      </c>
      <c r="D1914" s="1">
        <f>IFERROR(__xludf.DUMMYFUNCTION("""COMPUTED_VALUE"""),64.01)</f>
        <v>64.01</v>
      </c>
      <c r="E1914" s="1">
        <f>IFERROR(__xludf.DUMMYFUNCTION("""COMPUTED_VALUE"""),64.28)</f>
        <v>64.28</v>
      </c>
      <c r="F1914" s="1">
        <f>IFERROR(__xludf.DUMMYFUNCTION("""COMPUTED_VALUE"""),1.5455E7)</f>
        <v>15455000</v>
      </c>
    </row>
    <row r="1915">
      <c r="A1915" s="2">
        <f>IFERROR(__xludf.DUMMYFUNCTION("""COMPUTED_VALUE"""),39308.666666666664)</f>
        <v>39308.66667</v>
      </c>
      <c r="B1915" s="1">
        <f>IFERROR(__xludf.DUMMYFUNCTION("""COMPUTED_VALUE"""),64.23)</f>
        <v>64.23</v>
      </c>
      <c r="C1915" s="1">
        <f>IFERROR(__xludf.DUMMYFUNCTION("""COMPUTED_VALUE"""),64.45)</f>
        <v>64.45</v>
      </c>
      <c r="D1915" s="1">
        <f>IFERROR(__xludf.DUMMYFUNCTION("""COMPUTED_VALUE"""),63.52)</f>
        <v>63.52</v>
      </c>
      <c r="E1915" s="1">
        <f>IFERROR(__xludf.DUMMYFUNCTION("""COMPUTED_VALUE"""),63.72)</f>
        <v>63.72</v>
      </c>
      <c r="F1915" s="1">
        <f>IFERROR(__xludf.DUMMYFUNCTION("""COMPUTED_VALUE"""),1.0928797E7)</f>
        <v>10928797</v>
      </c>
    </row>
    <row r="1916">
      <c r="A1916" s="2">
        <f>IFERROR(__xludf.DUMMYFUNCTION("""COMPUTED_VALUE"""),39309.666666666664)</f>
        <v>39309.66667</v>
      </c>
      <c r="B1916" s="1">
        <f>IFERROR(__xludf.DUMMYFUNCTION("""COMPUTED_VALUE"""),63.72)</f>
        <v>63.72</v>
      </c>
      <c r="C1916" s="1">
        <f>IFERROR(__xludf.DUMMYFUNCTION("""COMPUTED_VALUE"""),64.8)</f>
        <v>64.8</v>
      </c>
      <c r="D1916" s="1">
        <f>IFERROR(__xludf.DUMMYFUNCTION("""COMPUTED_VALUE"""),63.34)</f>
        <v>63.34</v>
      </c>
      <c r="E1916" s="1">
        <f>IFERROR(__xludf.DUMMYFUNCTION("""COMPUTED_VALUE"""),63.48)</f>
        <v>63.48</v>
      </c>
      <c r="F1916" s="1">
        <f>IFERROR(__xludf.DUMMYFUNCTION("""COMPUTED_VALUE"""),1.2162715E7)</f>
        <v>12162715</v>
      </c>
    </row>
    <row r="1917">
      <c r="A1917" s="2">
        <f>IFERROR(__xludf.DUMMYFUNCTION("""COMPUTED_VALUE"""),39310.666666666664)</f>
        <v>39310.66667</v>
      </c>
      <c r="B1917" s="1">
        <f>IFERROR(__xludf.DUMMYFUNCTION("""COMPUTED_VALUE"""),63.28)</f>
        <v>63.28</v>
      </c>
      <c r="C1917" s="1">
        <f>IFERROR(__xludf.DUMMYFUNCTION("""COMPUTED_VALUE"""),64.79)</f>
        <v>64.79</v>
      </c>
      <c r="D1917" s="1">
        <f>IFERROR(__xludf.DUMMYFUNCTION("""COMPUTED_VALUE"""),62.53)</f>
        <v>62.53</v>
      </c>
      <c r="E1917" s="1">
        <f>IFERROR(__xludf.DUMMYFUNCTION("""COMPUTED_VALUE"""),64.03)</f>
        <v>64.03</v>
      </c>
      <c r="F1917" s="1">
        <f>IFERROR(__xludf.DUMMYFUNCTION("""COMPUTED_VALUE"""),2.2611476E7)</f>
        <v>22611476</v>
      </c>
    </row>
    <row r="1918">
      <c r="A1918" s="2">
        <f>IFERROR(__xludf.DUMMYFUNCTION("""COMPUTED_VALUE"""),39311.666666666664)</f>
        <v>39311.66667</v>
      </c>
      <c r="B1918" s="1">
        <f>IFERROR(__xludf.DUMMYFUNCTION("""COMPUTED_VALUE"""),64.1)</f>
        <v>64.1</v>
      </c>
      <c r="C1918" s="1">
        <f>IFERROR(__xludf.DUMMYFUNCTION("""COMPUTED_VALUE"""),65.45)</f>
        <v>65.45</v>
      </c>
      <c r="D1918" s="1">
        <f>IFERROR(__xludf.DUMMYFUNCTION("""COMPUTED_VALUE"""),64.1)</f>
        <v>64.1</v>
      </c>
      <c r="E1918" s="1">
        <f>IFERROR(__xludf.DUMMYFUNCTION("""COMPUTED_VALUE"""),65.35)</f>
        <v>65.35</v>
      </c>
      <c r="F1918" s="1">
        <f>IFERROR(__xludf.DUMMYFUNCTION("""COMPUTED_VALUE"""),1.99573E7)</f>
        <v>19957300</v>
      </c>
    </row>
    <row r="1919">
      <c r="A1919" s="2">
        <f>IFERROR(__xludf.DUMMYFUNCTION("""COMPUTED_VALUE"""),39314.666666666664)</f>
        <v>39314.66667</v>
      </c>
      <c r="B1919" s="1">
        <f>IFERROR(__xludf.DUMMYFUNCTION("""COMPUTED_VALUE"""),65.15)</f>
        <v>65.15</v>
      </c>
      <c r="C1919" s="1">
        <f>IFERROR(__xludf.DUMMYFUNCTION("""COMPUTED_VALUE"""),65.8)</f>
        <v>65.8</v>
      </c>
      <c r="D1919" s="1">
        <f>IFERROR(__xludf.DUMMYFUNCTION("""COMPUTED_VALUE"""),64.72)</f>
        <v>64.72</v>
      </c>
      <c r="E1919" s="1">
        <f>IFERROR(__xludf.DUMMYFUNCTION("""COMPUTED_VALUE"""),65.01)</f>
        <v>65.01</v>
      </c>
      <c r="F1919" s="1">
        <f>IFERROR(__xludf.DUMMYFUNCTION("""COMPUTED_VALUE"""),9519000.0)</f>
        <v>9519000</v>
      </c>
    </row>
    <row r="1920">
      <c r="A1920" s="2">
        <f>IFERROR(__xludf.DUMMYFUNCTION("""COMPUTED_VALUE"""),39315.666666666664)</f>
        <v>39315.66667</v>
      </c>
      <c r="B1920" s="1">
        <f>IFERROR(__xludf.DUMMYFUNCTION("""COMPUTED_VALUE"""),64.65)</f>
        <v>64.65</v>
      </c>
      <c r="C1920" s="1">
        <f>IFERROR(__xludf.DUMMYFUNCTION("""COMPUTED_VALUE"""),64.98)</f>
        <v>64.98</v>
      </c>
      <c r="D1920" s="1">
        <f>IFERROR(__xludf.DUMMYFUNCTION("""COMPUTED_VALUE"""),64.21)</f>
        <v>64.21</v>
      </c>
      <c r="E1920" s="1">
        <f>IFERROR(__xludf.DUMMYFUNCTION("""COMPUTED_VALUE"""),64.46)</f>
        <v>64.46</v>
      </c>
      <c r="F1920" s="1">
        <f>IFERROR(__xludf.DUMMYFUNCTION("""COMPUTED_VALUE"""),9746400.0)</f>
        <v>9746400</v>
      </c>
    </row>
    <row r="1921">
      <c r="A1921" s="2">
        <f>IFERROR(__xludf.DUMMYFUNCTION("""COMPUTED_VALUE"""),39316.666666666664)</f>
        <v>39316.66667</v>
      </c>
      <c r="B1921" s="1">
        <f>IFERROR(__xludf.DUMMYFUNCTION("""COMPUTED_VALUE"""),64.78)</f>
        <v>64.78</v>
      </c>
      <c r="C1921" s="1">
        <f>IFERROR(__xludf.DUMMYFUNCTION("""COMPUTED_VALUE"""),65.11)</f>
        <v>65.11</v>
      </c>
      <c r="D1921" s="1">
        <f>IFERROR(__xludf.DUMMYFUNCTION("""COMPUTED_VALUE"""),64.39)</f>
        <v>64.39</v>
      </c>
      <c r="E1921" s="1">
        <f>IFERROR(__xludf.DUMMYFUNCTION("""COMPUTED_VALUE"""),64.74)</f>
        <v>64.74</v>
      </c>
      <c r="F1921" s="1">
        <f>IFERROR(__xludf.DUMMYFUNCTION("""COMPUTED_VALUE"""),9600900.0)</f>
        <v>9600900</v>
      </c>
    </row>
    <row r="1922">
      <c r="A1922" s="2">
        <f>IFERROR(__xludf.DUMMYFUNCTION("""COMPUTED_VALUE"""),39317.666666666664)</f>
        <v>39317.66667</v>
      </c>
      <c r="B1922" s="1">
        <f>IFERROR(__xludf.DUMMYFUNCTION("""COMPUTED_VALUE"""),64.8)</f>
        <v>64.8</v>
      </c>
      <c r="C1922" s="1">
        <f>IFERROR(__xludf.DUMMYFUNCTION("""COMPUTED_VALUE"""),65.18)</f>
        <v>65.18</v>
      </c>
      <c r="D1922" s="1">
        <f>IFERROR(__xludf.DUMMYFUNCTION("""COMPUTED_VALUE"""),64.54)</f>
        <v>64.54</v>
      </c>
      <c r="E1922" s="1">
        <f>IFERROR(__xludf.DUMMYFUNCTION("""COMPUTED_VALUE"""),65.04)</f>
        <v>65.04</v>
      </c>
      <c r="F1922" s="1">
        <f>IFERROR(__xludf.DUMMYFUNCTION("""COMPUTED_VALUE"""),1.07116E7)</f>
        <v>10711600</v>
      </c>
    </row>
    <row r="1923">
      <c r="A1923" s="2">
        <f>IFERROR(__xludf.DUMMYFUNCTION("""COMPUTED_VALUE"""),39318.666666666664)</f>
        <v>39318.66667</v>
      </c>
      <c r="B1923" s="1">
        <f>IFERROR(__xludf.DUMMYFUNCTION("""COMPUTED_VALUE"""),65.31)</f>
        <v>65.31</v>
      </c>
      <c r="C1923" s="1">
        <f>IFERROR(__xludf.DUMMYFUNCTION("""COMPUTED_VALUE"""),65.95)</f>
        <v>65.95</v>
      </c>
      <c r="D1923" s="1">
        <f>IFERROR(__xludf.DUMMYFUNCTION("""COMPUTED_VALUE"""),65.1)</f>
        <v>65.1</v>
      </c>
      <c r="E1923" s="1">
        <f>IFERROR(__xludf.DUMMYFUNCTION("""COMPUTED_VALUE"""),65.93)</f>
        <v>65.93</v>
      </c>
      <c r="F1923" s="1">
        <f>IFERROR(__xludf.DUMMYFUNCTION("""COMPUTED_VALUE"""),8496800.0)</f>
        <v>8496800</v>
      </c>
    </row>
    <row r="1924">
      <c r="A1924" s="2">
        <f>IFERROR(__xludf.DUMMYFUNCTION("""COMPUTED_VALUE"""),39321.666666666664)</f>
        <v>39321.66667</v>
      </c>
      <c r="B1924" s="1">
        <f>IFERROR(__xludf.DUMMYFUNCTION("""COMPUTED_VALUE"""),65.67)</f>
        <v>65.67</v>
      </c>
      <c r="C1924" s="1">
        <f>IFERROR(__xludf.DUMMYFUNCTION("""COMPUTED_VALUE"""),65.74)</f>
        <v>65.74</v>
      </c>
      <c r="D1924" s="1">
        <f>IFERROR(__xludf.DUMMYFUNCTION("""COMPUTED_VALUE"""),64.91)</f>
        <v>64.91</v>
      </c>
      <c r="E1924" s="1">
        <f>IFERROR(__xludf.DUMMYFUNCTION("""COMPUTED_VALUE"""),65.23)</f>
        <v>65.23</v>
      </c>
      <c r="F1924" s="1">
        <f>IFERROR(__xludf.DUMMYFUNCTION("""COMPUTED_VALUE"""),7794218.0)</f>
        <v>7794218</v>
      </c>
    </row>
    <row r="1925">
      <c r="A1925" s="2">
        <f>IFERROR(__xludf.DUMMYFUNCTION("""COMPUTED_VALUE"""),39322.666666666664)</f>
        <v>39322.66667</v>
      </c>
      <c r="B1925" s="1">
        <f>IFERROR(__xludf.DUMMYFUNCTION("""COMPUTED_VALUE"""),65.25)</f>
        <v>65.25</v>
      </c>
      <c r="C1925" s="1">
        <f>IFERROR(__xludf.DUMMYFUNCTION("""COMPUTED_VALUE"""),65.38)</f>
        <v>65.38</v>
      </c>
      <c r="D1925" s="1">
        <f>IFERROR(__xludf.DUMMYFUNCTION("""COMPUTED_VALUE"""),64.2)</f>
        <v>64.2</v>
      </c>
      <c r="E1925" s="1">
        <f>IFERROR(__xludf.DUMMYFUNCTION("""COMPUTED_VALUE"""),64.7)</f>
        <v>64.7</v>
      </c>
      <c r="F1925" s="1">
        <f>IFERROR(__xludf.DUMMYFUNCTION("""COMPUTED_VALUE"""),1.08285E7)</f>
        <v>10828500</v>
      </c>
    </row>
    <row r="1926">
      <c r="A1926" s="2">
        <f>IFERROR(__xludf.DUMMYFUNCTION("""COMPUTED_VALUE"""),39323.666666666664)</f>
        <v>39323.66667</v>
      </c>
      <c r="B1926" s="1">
        <f>IFERROR(__xludf.DUMMYFUNCTION("""COMPUTED_VALUE"""),64.56)</f>
        <v>64.56</v>
      </c>
      <c r="C1926" s="1">
        <f>IFERROR(__xludf.DUMMYFUNCTION("""COMPUTED_VALUE"""),65.26)</f>
        <v>65.26</v>
      </c>
      <c r="D1926" s="1">
        <f>IFERROR(__xludf.DUMMYFUNCTION("""COMPUTED_VALUE"""),64.5)</f>
        <v>64.5</v>
      </c>
      <c r="E1926" s="1">
        <f>IFERROR(__xludf.DUMMYFUNCTION("""COMPUTED_VALUE"""),65.12)</f>
        <v>65.12</v>
      </c>
      <c r="F1926" s="1">
        <f>IFERROR(__xludf.DUMMYFUNCTION("""COMPUTED_VALUE"""),8875500.0)</f>
        <v>8875500</v>
      </c>
    </row>
    <row r="1927">
      <c r="A1927" s="2">
        <f>IFERROR(__xludf.DUMMYFUNCTION("""COMPUTED_VALUE"""),39324.666666666664)</f>
        <v>39324.66667</v>
      </c>
      <c r="B1927" s="1">
        <f>IFERROR(__xludf.DUMMYFUNCTION("""COMPUTED_VALUE"""),64.59)</f>
        <v>64.59</v>
      </c>
      <c r="C1927" s="1">
        <f>IFERROR(__xludf.DUMMYFUNCTION("""COMPUTED_VALUE"""),65.31)</f>
        <v>65.31</v>
      </c>
      <c r="D1927" s="1">
        <f>IFERROR(__xludf.DUMMYFUNCTION("""COMPUTED_VALUE"""),64.51)</f>
        <v>64.51</v>
      </c>
      <c r="E1927" s="1">
        <f>IFERROR(__xludf.DUMMYFUNCTION("""COMPUTED_VALUE"""),65.01)</f>
        <v>65.01</v>
      </c>
      <c r="F1927" s="1">
        <f>IFERROR(__xludf.DUMMYFUNCTION("""COMPUTED_VALUE"""),8297200.0)</f>
        <v>8297200</v>
      </c>
    </row>
    <row r="1928">
      <c r="A1928" s="2">
        <f>IFERROR(__xludf.DUMMYFUNCTION("""COMPUTED_VALUE"""),39325.666666666664)</f>
        <v>39325.66667</v>
      </c>
      <c r="B1928" s="1">
        <f>IFERROR(__xludf.DUMMYFUNCTION("""COMPUTED_VALUE"""),65.13)</f>
        <v>65.13</v>
      </c>
      <c r="C1928" s="1">
        <f>IFERROR(__xludf.DUMMYFUNCTION("""COMPUTED_VALUE"""),65.61)</f>
        <v>65.61</v>
      </c>
      <c r="D1928" s="1">
        <f>IFERROR(__xludf.DUMMYFUNCTION("""COMPUTED_VALUE"""),64.88)</f>
        <v>64.88</v>
      </c>
      <c r="E1928" s="1">
        <f>IFERROR(__xludf.DUMMYFUNCTION("""COMPUTED_VALUE"""),65.31)</f>
        <v>65.31</v>
      </c>
      <c r="F1928" s="1">
        <f>IFERROR(__xludf.DUMMYFUNCTION("""COMPUTED_VALUE"""),8394300.0)</f>
        <v>8394300</v>
      </c>
    </row>
    <row r="1929">
      <c r="A1929" s="2">
        <f>IFERROR(__xludf.DUMMYFUNCTION("""COMPUTED_VALUE"""),39329.666666666664)</f>
        <v>39329.66667</v>
      </c>
      <c r="B1929" s="1">
        <f>IFERROR(__xludf.DUMMYFUNCTION("""COMPUTED_VALUE"""),65.1)</f>
        <v>65.1</v>
      </c>
      <c r="C1929" s="1">
        <f>IFERROR(__xludf.DUMMYFUNCTION("""COMPUTED_VALUE"""),65.54)</f>
        <v>65.54</v>
      </c>
      <c r="D1929" s="1">
        <f>IFERROR(__xludf.DUMMYFUNCTION("""COMPUTED_VALUE"""),64.89)</f>
        <v>64.89</v>
      </c>
      <c r="E1929" s="1">
        <f>IFERROR(__xludf.DUMMYFUNCTION("""COMPUTED_VALUE"""),65.45)</f>
        <v>65.45</v>
      </c>
      <c r="F1929" s="1">
        <f>IFERROR(__xludf.DUMMYFUNCTION("""COMPUTED_VALUE"""),8808550.0)</f>
        <v>8808550</v>
      </c>
    </row>
    <row r="1930">
      <c r="A1930" s="2">
        <f>IFERROR(__xludf.DUMMYFUNCTION("""COMPUTED_VALUE"""),39330.666666666664)</f>
        <v>39330.66667</v>
      </c>
      <c r="B1930" s="1">
        <f>IFERROR(__xludf.DUMMYFUNCTION("""COMPUTED_VALUE"""),65.45)</f>
        <v>65.45</v>
      </c>
      <c r="C1930" s="1">
        <f>IFERROR(__xludf.DUMMYFUNCTION("""COMPUTED_VALUE"""),65.65)</f>
        <v>65.65</v>
      </c>
      <c r="D1930" s="1">
        <f>IFERROR(__xludf.DUMMYFUNCTION("""COMPUTED_VALUE"""),64.93)</f>
        <v>64.93</v>
      </c>
      <c r="E1930" s="1">
        <f>IFERROR(__xludf.DUMMYFUNCTION("""COMPUTED_VALUE"""),65.46)</f>
        <v>65.46</v>
      </c>
      <c r="F1930" s="1">
        <f>IFERROR(__xludf.DUMMYFUNCTION("""COMPUTED_VALUE"""),8978200.0)</f>
        <v>8978200</v>
      </c>
    </row>
    <row r="1931">
      <c r="A1931" s="2">
        <f>IFERROR(__xludf.DUMMYFUNCTION("""COMPUTED_VALUE"""),39331.666666666664)</f>
        <v>39331.66667</v>
      </c>
      <c r="B1931" s="1">
        <f>IFERROR(__xludf.DUMMYFUNCTION("""COMPUTED_VALUE"""),65.11)</f>
        <v>65.11</v>
      </c>
      <c r="C1931" s="1">
        <f>IFERROR(__xludf.DUMMYFUNCTION("""COMPUTED_VALUE"""),66.28)</f>
        <v>66.28</v>
      </c>
      <c r="D1931" s="1">
        <f>IFERROR(__xludf.DUMMYFUNCTION("""COMPUTED_VALUE"""),65.09)</f>
        <v>65.09</v>
      </c>
      <c r="E1931" s="1">
        <f>IFERROR(__xludf.DUMMYFUNCTION("""COMPUTED_VALUE"""),66.11)</f>
        <v>66.11</v>
      </c>
      <c r="F1931" s="1">
        <f>IFERROR(__xludf.DUMMYFUNCTION("""COMPUTED_VALUE"""),1.1115E7)</f>
        <v>11115000</v>
      </c>
    </row>
    <row r="1932">
      <c r="A1932" s="2">
        <f>IFERROR(__xludf.DUMMYFUNCTION("""COMPUTED_VALUE"""),39332.666666666664)</f>
        <v>39332.66667</v>
      </c>
      <c r="B1932" s="1">
        <f>IFERROR(__xludf.DUMMYFUNCTION("""COMPUTED_VALUE"""),65.69)</f>
        <v>65.69</v>
      </c>
      <c r="C1932" s="1">
        <f>IFERROR(__xludf.DUMMYFUNCTION("""COMPUTED_VALUE"""),66.33)</f>
        <v>66.33</v>
      </c>
      <c r="D1932" s="1">
        <f>IFERROR(__xludf.DUMMYFUNCTION("""COMPUTED_VALUE"""),65.4)</f>
        <v>65.4</v>
      </c>
      <c r="E1932" s="1">
        <f>IFERROR(__xludf.DUMMYFUNCTION("""COMPUTED_VALUE"""),65.47)</f>
        <v>65.47</v>
      </c>
      <c r="F1932" s="1">
        <f>IFERROR(__xludf.DUMMYFUNCTION("""COMPUTED_VALUE"""),1.14912E7)</f>
        <v>11491200</v>
      </c>
    </row>
    <row r="1933">
      <c r="A1933" s="2">
        <f>IFERROR(__xludf.DUMMYFUNCTION("""COMPUTED_VALUE"""),39335.666666666664)</f>
        <v>39335.66667</v>
      </c>
      <c r="B1933" s="1">
        <f>IFERROR(__xludf.DUMMYFUNCTION("""COMPUTED_VALUE"""),65.55)</f>
        <v>65.55</v>
      </c>
      <c r="C1933" s="1">
        <f>IFERROR(__xludf.DUMMYFUNCTION("""COMPUTED_VALUE"""),66.1)</f>
        <v>66.1</v>
      </c>
      <c r="D1933" s="1">
        <f>IFERROR(__xludf.DUMMYFUNCTION("""COMPUTED_VALUE"""),65.43)</f>
        <v>65.43</v>
      </c>
      <c r="E1933" s="1">
        <f>IFERROR(__xludf.DUMMYFUNCTION("""COMPUTED_VALUE"""),65.9)</f>
        <v>65.9</v>
      </c>
      <c r="F1933" s="1">
        <f>IFERROR(__xludf.DUMMYFUNCTION("""COMPUTED_VALUE"""),8824300.0)</f>
        <v>8824300</v>
      </c>
    </row>
    <row r="1934">
      <c r="A1934" s="2">
        <f>IFERROR(__xludf.DUMMYFUNCTION("""COMPUTED_VALUE"""),39336.666666666664)</f>
        <v>39336.66667</v>
      </c>
      <c r="B1934" s="1">
        <f>IFERROR(__xludf.DUMMYFUNCTION("""COMPUTED_VALUE"""),66.29)</f>
        <v>66.29</v>
      </c>
      <c r="C1934" s="1">
        <f>IFERROR(__xludf.DUMMYFUNCTION("""COMPUTED_VALUE"""),67.0)</f>
        <v>67</v>
      </c>
      <c r="D1934" s="1">
        <f>IFERROR(__xludf.DUMMYFUNCTION("""COMPUTED_VALUE"""),65.85)</f>
        <v>65.85</v>
      </c>
      <c r="E1934" s="1">
        <f>IFERROR(__xludf.DUMMYFUNCTION("""COMPUTED_VALUE"""),66.99)</f>
        <v>66.99</v>
      </c>
      <c r="F1934" s="1">
        <f>IFERROR(__xludf.DUMMYFUNCTION("""COMPUTED_VALUE"""),1.2452537E7)</f>
        <v>12452537</v>
      </c>
    </row>
    <row r="1935">
      <c r="A1935" s="2">
        <f>IFERROR(__xludf.DUMMYFUNCTION("""COMPUTED_VALUE"""),39337.666666666664)</f>
        <v>39337.66667</v>
      </c>
      <c r="B1935" s="1">
        <f>IFERROR(__xludf.DUMMYFUNCTION("""COMPUTED_VALUE"""),66.89)</f>
        <v>66.89</v>
      </c>
      <c r="C1935" s="1">
        <f>IFERROR(__xludf.DUMMYFUNCTION("""COMPUTED_VALUE"""),67.4)</f>
        <v>67.4</v>
      </c>
      <c r="D1935" s="1">
        <f>IFERROR(__xludf.DUMMYFUNCTION("""COMPUTED_VALUE"""),66.54)</f>
        <v>66.54</v>
      </c>
      <c r="E1935" s="1">
        <f>IFERROR(__xludf.DUMMYFUNCTION("""COMPUTED_VALUE"""),67.31)</f>
        <v>67.31</v>
      </c>
      <c r="F1935" s="1">
        <f>IFERROR(__xludf.DUMMYFUNCTION("""COMPUTED_VALUE"""),9591900.0)</f>
        <v>9591900</v>
      </c>
    </row>
    <row r="1936">
      <c r="A1936" s="2">
        <f>IFERROR(__xludf.DUMMYFUNCTION("""COMPUTED_VALUE"""),39338.666666666664)</f>
        <v>39338.66667</v>
      </c>
      <c r="B1936" s="1">
        <f>IFERROR(__xludf.DUMMYFUNCTION("""COMPUTED_VALUE"""),67.25)</f>
        <v>67.25</v>
      </c>
      <c r="C1936" s="1">
        <f>IFERROR(__xludf.DUMMYFUNCTION("""COMPUTED_VALUE"""),67.72)</f>
        <v>67.72</v>
      </c>
      <c r="D1936" s="1">
        <f>IFERROR(__xludf.DUMMYFUNCTION("""COMPUTED_VALUE"""),67.16)</f>
        <v>67.16</v>
      </c>
      <c r="E1936" s="1">
        <f>IFERROR(__xludf.DUMMYFUNCTION("""COMPUTED_VALUE"""),67.46)</f>
        <v>67.46</v>
      </c>
      <c r="F1936" s="1">
        <f>IFERROR(__xludf.DUMMYFUNCTION("""COMPUTED_VALUE"""),8547100.0)</f>
        <v>8547100</v>
      </c>
    </row>
    <row r="1937">
      <c r="A1937" s="2">
        <f>IFERROR(__xludf.DUMMYFUNCTION("""COMPUTED_VALUE"""),39339.666666666664)</f>
        <v>39339.66667</v>
      </c>
      <c r="B1937" s="1">
        <f>IFERROR(__xludf.DUMMYFUNCTION("""COMPUTED_VALUE"""),67.46)</f>
        <v>67.46</v>
      </c>
      <c r="C1937" s="1">
        <f>IFERROR(__xludf.DUMMYFUNCTION("""COMPUTED_VALUE"""),67.85)</f>
        <v>67.85</v>
      </c>
      <c r="D1937" s="1">
        <f>IFERROR(__xludf.DUMMYFUNCTION("""COMPUTED_VALUE"""),66.94)</f>
        <v>66.94</v>
      </c>
      <c r="E1937" s="1">
        <f>IFERROR(__xludf.DUMMYFUNCTION("""COMPUTED_VALUE"""),67.81)</f>
        <v>67.81</v>
      </c>
      <c r="F1937" s="1">
        <f>IFERROR(__xludf.DUMMYFUNCTION("""COMPUTED_VALUE"""),8319900.0)</f>
        <v>8319900</v>
      </c>
    </row>
    <row r="1938">
      <c r="A1938" s="2">
        <f>IFERROR(__xludf.DUMMYFUNCTION("""COMPUTED_VALUE"""),39342.666666666664)</f>
        <v>39342.66667</v>
      </c>
      <c r="B1938" s="1">
        <f>IFERROR(__xludf.DUMMYFUNCTION("""COMPUTED_VALUE"""),67.49)</f>
        <v>67.49</v>
      </c>
      <c r="C1938" s="1">
        <f>IFERROR(__xludf.DUMMYFUNCTION("""COMPUTED_VALUE"""),68.29)</f>
        <v>68.29</v>
      </c>
      <c r="D1938" s="1">
        <f>IFERROR(__xludf.DUMMYFUNCTION("""COMPUTED_VALUE"""),67.26)</f>
        <v>67.26</v>
      </c>
      <c r="E1938" s="1">
        <f>IFERROR(__xludf.DUMMYFUNCTION("""COMPUTED_VALUE"""),67.95)</f>
        <v>67.95</v>
      </c>
      <c r="F1938" s="1">
        <f>IFERROR(__xludf.DUMMYFUNCTION("""COMPUTED_VALUE"""),1.02824E7)</f>
        <v>10282400</v>
      </c>
    </row>
    <row r="1939">
      <c r="A1939" s="2">
        <f>IFERROR(__xludf.DUMMYFUNCTION("""COMPUTED_VALUE"""),39343.666666666664)</f>
        <v>39343.66667</v>
      </c>
      <c r="B1939" s="1">
        <f>IFERROR(__xludf.DUMMYFUNCTION("""COMPUTED_VALUE"""),68.29)</f>
        <v>68.29</v>
      </c>
      <c r="C1939" s="1">
        <f>IFERROR(__xludf.DUMMYFUNCTION("""COMPUTED_VALUE"""),69.07)</f>
        <v>69.07</v>
      </c>
      <c r="D1939" s="1">
        <f>IFERROR(__xludf.DUMMYFUNCTION("""COMPUTED_VALUE"""),67.89)</f>
        <v>67.89</v>
      </c>
      <c r="E1939" s="1">
        <f>IFERROR(__xludf.DUMMYFUNCTION("""COMPUTED_VALUE"""),68.68)</f>
        <v>68.68</v>
      </c>
      <c r="F1939" s="1">
        <f>IFERROR(__xludf.DUMMYFUNCTION("""COMPUTED_VALUE"""),1.5487899E7)</f>
        <v>15487899</v>
      </c>
    </row>
    <row r="1940">
      <c r="A1940" s="2">
        <f>IFERROR(__xludf.DUMMYFUNCTION("""COMPUTED_VALUE"""),39344.666666666664)</f>
        <v>39344.66667</v>
      </c>
      <c r="B1940" s="1">
        <f>IFERROR(__xludf.DUMMYFUNCTION("""COMPUTED_VALUE"""),68.75)</f>
        <v>68.75</v>
      </c>
      <c r="C1940" s="1">
        <f>IFERROR(__xludf.DUMMYFUNCTION("""COMPUTED_VALUE"""),69.0)</f>
        <v>69</v>
      </c>
      <c r="D1940" s="1">
        <f>IFERROR(__xludf.DUMMYFUNCTION("""COMPUTED_VALUE"""),68.1)</f>
        <v>68.1</v>
      </c>
      <c r="E1940" s="1">
        <f>IFERROR(__xludf.DUMMYFUNCTION("""COMPUTED_VALUE"""),68.79)</f>
        <v>68.79</v>
      </c>
      <c r="F1940" s="1">
        <f>IFERROR(__xludf.DUMMYFUNCTION("""COMPUTED_VALUE"""),1.50346E7)</f>
        <v>15034600</v>
      </c>
    </row>
    <row r="1941">
      <c r="A1941" s="2">
        <f>IFERROR(__xludf.DUMMYFUNCTION("""COMPUTED_VALUE"""),39345.666666666664)</f>
        <v>39345.66667</v>
      </c>
      <c r="B1941" s="1">
        <f>IFERROR(__xludf.DUMMYFUNCTION("""COMPUTED_VALUE"""),68.49)</f>
        <v>68.49</v>
      </c>
      <c r="C1941" s="1">
        <f>IFERROR(__xludf.DUMMYFUNCTION("""COMPUTED_VALUE"""),69.32)</f>
        <v>69.32</v>
      </c>
      <c r="D1941" s="1">
        <f>IFERROR(__xludf.DUMMYFUNCTION("""COMPUTED_VALUE"""),68.45)</f>
        <v>68.45</v>
      </c>
      <c r="E1941" s="1">
        <f>IFERROR(__xludf.DUMMYFUNCTION("""COMPUTED_VALUE"""),68.98)</f>
        <v>68.98</v>
      </c>
      <c r="F1941" s="1">
        <f>IFERROR(__xludf.DUMMYFUNCTION("""COMPUTED_VALUE"""),9045200.0)</f>
        <v>9045200</v>
      </c>
    </row>
    <row r="1942">
      <c r="A1942" s="2">
        <f>IFERROR(__xludf.DUMMYFUNCTION("""COMPUTED_VALUE"""),39346.666666666664)</f>
        <v>39346.66667</v>
      </c>
      <c r="B1942" s="1">
        <f>IFERROR(__xludf.DUMMYFUNCTION("""COMPUTED_VALUE"""),69.01)</f>
        <v>69.01</v>
      </c>
      <c r="C1942" s="1">
        <f>IFERROR(__xludf.DUMMYFUNCTION("""COMPUTED_VALUE"""),69.94)</f>
        <v>69.94</v>
      </c>
      <c r="D1942" s="1">
        <f>IFERROR(__xludf.DUMMYFUNCTION("""COMPUTED_VALUE"""),68.98)</f>
        <v>68.98</v>
      </c>
      <c r="E1942" s="1">
        <f>IFERROR(__xludf.DUMMYFUNCTION("""COMPUTED_VALUE"""),69.39)</f>
        <v>69.39</v>
      </c>
      <c r="F1942" s="1">
        <f>IFERROR(__xludf.DUMMYFUNCTION("""COMPUTED_VALUE"""),1.60852E7)</f>
        <v>16085200</v>
      </c>
    </row>
    <row r="1943">
      <c r="A1943" s="2">
        <f>IFERROR(__xludf.DUMMYFUNCTION("""COMPUTED_VALUE"""),39349.666666666664)</f>
        <v>39349.66667</v>
      </c>
      <c r="B1943" s="1">
        <f>IFERROR(__xludf.DUMMYFUNCTION("""COMPUTED_VALUE"""),69.39)</f>
        <v>69.39</v>
      </c>
      <c r="C1943" s="1">
        <f>IFERROR(__xludf.DUMMYFUNCTION("""COMPUTED_VALUE"""),70.0)</f>
        <v>70</v>
      </c>
      <c r="D1943" s="1">
        <f>IFERROR(__xludf.DUMMYFUNCTION("""COMPUTED_VALUE"""),69.1)</f>
        <v>69.1</v>
      </c>
      <c r="E1943" s="1">
        <f>IFERROR(__xludf.DUMMYFUNCTION("""COMPUTED_VALUE"""),69.8)</f>
        <v>69.8</v>
      </c>
      <c r="F1943" s="1">
        <f>IFERROR(__xludf.DUMMYFUNCTION("""COMPUTED_VALUE"""),1.1617595E7)</f>
        <v>11617595</v>
      </c>
    </row>
    <row r="1944">
      <c r="A1944" s="2">
        <f>IFERROR(__xludf.DUMMYFUNCTION("""COMPUTED_VALUE"""),39350.666666666664)</f>
        <v>39350.66667</v>
      </c>
      <c r="B1944" s="1">
        <f>IFERROR(__xludf.DUMMYFUNCTION("""COMPUTED_VALUE"""),69.7)</f>
        <v>69.7</v>
      </c>
      <c r="C1944" s="1">
        <f>IFERROR(__xludf.DUMMYFUNCTION("""COMPUTED_VALUE"""),70.34)</f>
        <v>70.34</v>
      </c>
      <c r="D1944" s="1">
        <f>IFERROR(__xludf.DUMMYFUNCTION("""COMPUTED_VALUE"""),69.4)</f>
        <v>69.4</v>
      </c>
      <c r="E1944" s="1">
        <f>IFERROR(__xludf.DUMMYFUNCTION("""COMPUTED_VALUE"""),69.85)</f>
        <v>69.85</v>
      </c>
      <c r="F1944" s="1">
        <f>IFERROR(__xludf.DUMMYFUNCTION("""COMPUTED_VALUE"""),9845116.0)</f>
        <v>9845116</v>
      </c>
    </row>
    <row r="1945">
      <c r="A1945" s="2">
        <f>IFERROR(__xludf.DUMMYFUNCTION("""COMPUTED_VALUE"""),39351.666666666664)</f>
        <v>39351.66667</v>
      </c>
      <c r="B1945" s="1">
        <f>IFERROR(__xludf.DUMMYFUNCTION("""COMPUTED_VALUE"""),69.91)</f>
        <v>69.91</v>
      </c>
      <c r="C1945" s="1">
        <f>IFERROR(__xludf.DUMMYFUNCTION("""COMPUTED_VALUE"""),70.73)</f>
        <v>70.73</v>
      </c>
      <c r="D1945" s="1">
        <f>IFERROR(__xludf.DUMMYFUNCTION("""COMPUTED_VALUE"""),69.66)</f>
        <v>69.66</v>
      </c>
      <c r="E1945" s="1">
        <f>IFERROR(__xludf.DUMMYFUNCTION("""COMPUTED_VALUE"""),70.51)</f>
        <v>70.51</v>
      </c>
      <c r="F1945" s="1">
        <f>IFERROR(__xludf.DUMMYFUNCTION("""COMPUTED_VALUE"""),1.0491443E7)</f>
        <v>10491443</v>
      </c>
    </row>
    <row r="1946">
      <c r="A1946" s="2">
        <f>IFERROR(__xludf.DUMMYFUNCTION("""COMPUTED_VALUE"""),39352.666666666664)</f>
        <v>39352.66667</v>
      </c>
      <c r="B1946" s="1">
        <f>IFERROR(__xludf.DUMMYFUNCTION("""COMPUTED_VALUE"""),70.51)</f>
        <v>70.51</v>
      </c>
      <c r="C1946" s="1">
        <f>IFERROR(__xludf.DUMMYFUNCTION("""COMPUTED_VALUE"""),70.65)</f>
        <v>70.65</v>
      </c>
      <c r="D1946" s="1">
        <f>IFERROR(__xludf.DUMMYFUNCTION("""COMPUTED_VALUE"""),69.83)</f>
        <v>69.83</v>
      </c>
      <c r="E1946" s="1">
        <f>IFERROR(__xludf.DUMMYFUNCTION("""COMPUTED_VALUE"""),70.1)</f>
        <v>70.1</v>
      </c>
      <c r="F1946" s="1">
        <f>IFERROR(__xludf.DUMMYFUNCTION("""COMPUTED_VALUE"""),8618706.0)</f>
        <v>8618706</v>
      </c>
    </row>
    <row r="1947">
      <c r="A1947" s="2">
        <f>IFERROR(__xludf.DUMMYFUNCTION("""COMPUTED_VALUE"""),39353.666666666664)</f>
        <v>39353.66667</v>
      </c>
      <c r="B1947" s="1">
        <f>IFERROR(__xludf.DUMMYFUNCTION("""COMPUTED_VALUE"""),69.95)</f>
        <v>69.95</v>
      </c>
      <c r="C1947" s="1">
        <f>IFERROR(__xludf.DUMMYFUNCTION("""COMPUTED_VALUE"""),70.49)</f>
        <v>70.49</v>
      </c>
      <c r="D1947" s="1">
        <f>IFERROR(__xludf.DUMMYFUNCTION("""COMPUTED_VALUE"""),69.91)</f>
        <v>69.91</v>
      </c>
      <c r="E1947" s="1">
        <f>IFERROR(__xludf.DUMMYFUNCTION("""COMPUTED_VALUE"""),70.34)</f>
        <v>70.34</v>
      </c>
      <c r="F1947" s="1">
        <f>IFERROR(__xludf.DUMMYFUNCTION("""COMPUTED_VALUE"""),9747564.0)</f>
        <v>9747564</v>
      </c>
    </row>
    <row r="1948">
      <c r="A1948" s="2">
        <f>IFERROR(__xludf.DUMMYFUNCTION("""COMPUTED_VALUE"""),39356.666666666664)</f>
        <v>39356.66667</v>
      </c>
      <c r="B1948" s="1">
        <f>IFERROR(__xludf.DUMMYFUNCTION("""COMPUTED_VALUE"""),69.88)</f>
        <v>69.88</v>
      </c>
      <c r="C1948" s="1">
        <f>IFERROR(__xludf.DUMMYFUNCTION("""COMPUTED_VALUE"""),71.0)</f>
        <v>71</v>
      </c>
      <c r="D1948" s="1">
        <f>IFERROR(__xludf.DUMMYFUNCTION("""COMPUTED_VALUE"""),69.88)</f>
        <v>69.88</v>
      </c>
      <c r="E1948" s="1">
        <f>IFERROR(__xludf.DUMMYFUNCTION("""COMPUTED_VALUE"""),70.91)</f>
        <v>70.91</v>
      </c>
      <c r="F1948" s="1">
        <f>IFERROR(__xludf.DUMMYFUNCTION("""COMPUTED_VALUE"""),1.15002E7)</f>
        <v>11500200</v>
      </c>
    </row>
    <row r="1949">
      <c r="A1949" s="2">
        <f>IFERROR(__xludf.DUMMYFUNCTION("""COMPUTED_VALUE"""),39357.666666666664)</f>
        <v>39357.66667</v>
      </c>
      <c r="B1949" s="1">
        <f>IFERROR(__xludf.DUMMYFUNCTION("""COMPUTED_VALUE"""),70.85)</f>
        <v>70.85</v>
      </c>
      <c r="C1949" s="1">
        <f>IFERROR(__xludf.DUMMYFUNCTION("""COMPUTED_VALUE"""),71.0)</f>
        <v>71</v>
      </c>
      <c r="D1949" s="1">
        <f>IFERROR(__xludf.DUMMYFUNCTION("""COMPUTED_VALUE"""),70.35)</f>
        <v>70.35</v>
      </c>
      <c r="E1949" s="1">
        <f>IFERROR(__xludf.DUMMYFUNCTION("""COMPUTED_VALUE"""),70.73)</f>
        <v>70.73</v>
      </c>
      <c r="F1949" s="1">
        <f>IFERROR(__xludf.DUMMYFUNCTION("""COMPUTED_VALUE"""),9366900.0)</f>
        <v>9366900</v>
      </c>
    </row>
    <row r="1950">
      <c r="A1950" s="2">
        <f>IFERROR(__xludf.DUMMYFUNCTION("""COMPUTED_VALUE"""),39358.666666666664)</f>
        <v>39358.66667</v>
      </c>
      <c r="B1950" s="1">
        <f>IFERROR(__xludf.DUMMYFUNCTION("""COMPUTED_VALUE"""),70.73)</f>
        <v>70.73</v>
      </c>
      <c r="C1950" s="1">
        <f>IFERROR(__xludf.DUMMYFUNCTION("""COMPUTED_VALUE"""),70.87)</f>
        <v>70.87</v>
      </c>
      <c r="D1950" s="1">
        <f>IFERROR(__xludf.DUMMYFUNCTION("""COMPUTED_VALUE"""),70.23)</f>
        <v>70.23</v>
      </c>
      <c r="E1950" s="1">
        <f>IFERROR(__xludf.DUMMYFUNCTION("""COMPUTED_VALUE"""),70.41)</f>
        <v>70.41</v>
      </c>
      <c r="F1950" s="1">
        <f>IFERROR(__xludf.DUMMYFUNCTION("""COMPUTED_VALUE"""),8697628.0)</f>
        <v>8697628</v>
      </c>
    </row>
    <row r="1951">
      <c r="A1951" s="2">
        <f>IFERROR(__xludf.DUMMYFUNCTION("""COMPUTED_VALUE"""),39359.666666666664)</f>
        <v>39359.66667</v>
      </c>
      <c r="B1951" s="1">
        <f>IFERROR(__xludf.DUMMYFUNCTION("""COMPUTED_VALUE"""),70.41)</f>
        <v>70.41</v>
      </c>
      <c r="C1951" s="1">
        <f>IFERROR(__xludf.DUMMYFUNCTION("""COMPUTED_VALUE"""),71.07)</f>
        <v>71.07</v>
      </c>
      <c r="D1951" s="1">
        <f>IFERROR(__xludf.DUMMYFUNCTION("""COMPUTED_VALUE"""),70.2)</f>
        <v>70.2</v>
      </c>
      <c r="E1951" s="1">
        <f>IFERROR(__xludf.DUMMYFUNCTION("""COMPUTED_VALUE"""),70.83)</f>
        <v>70.83</v>
      </c>
      <c r="F1951" s="1">
        <f>IFERROR(__xludf.DUMMYFUNCTION("""COMPUTED_VALUE"""),1.16946E7)</f>
        <v>11694600</v>
      </c>
    </row>
    <row r="1952">
      <c r="A1952" s="2">
        <f>IFERROR(__xludf.DUMMYFUNCTION("""COMPUTED_VALUE"""),39360.666666666664)</f>
        <v>39360.66667</v>
      </c>
      <c r="B1952" s="1">
        <f>IFERROR(__xludf.DUMMYFUNCTION("""COMPUTED_VALUE"""),70.9)</f>
        <v>70.9</v>
      </c>
      <c r="C1952" s="1">
        <f>IFERROR(__xludf.DUMMYFUNCTION("""COMPUTED_VALUE"""),71.32)</f>
        <v>71.32</v>
      </c>
      <c r="D1952" s="1">
        <f>IFERROR(__xludf.DUMMYFUNCTION("""COMPUTED_VALUE"""),70.58)</f>
        <v>70.58</v>
      </c>
      <c r="E1952" s="1">
        <f>IFERROR(__xludf.DUMMYFUNCTION("""COMPUTED_VALUE"""),70.83)</f>
        <v>70.83</v>
      </c>
      <c r="F1952" s="1">
        <f>IFERROR(__xludf.DUMMYFUNCTION("""COMPUTED_VALUE"""),1.02862E7)</f>
        <v>10286200</v>
      </c>
    </row>
    <row r="1953">
      <c r="A1953" s="2">
        <f>IFERROR(__xludf.DUMMYFUNCTION("""COMPUTED_VALUE"""),39363.666666666664)</f>
        <v>39363.66667</v>
      </c>
      <c r="B1953" s="1">
        <f>IFERROR(__xludf.DUMMYFUNCTION("""COMPUTED_VALUE"""),70.11)</f>
        <v>70.11</v>
      </c>
      <c r="C1953" s="1">
        <f>IFERROR(__xludf.DUMMYFUNCTION("""COMPUTED_VALUE"""),70.92)</f>
        <v>70.92</v>
      </c>
      <c r="D1953" s="1">
        <f>IFERROR(__xludf.DUMMYFUNCTION("""COMPUTED_VALUE"""),70.05)</f>
        <v>70.05</v>
      </c>
      <c r="E1953" s="1">
        <f>IFERROR(__xludf.DUMMYFUNCTION("""COMPUTED_VALUE"""),70.71)</f>
        <v>70.71</v>
      </c>
      <c r="F1953" s="1">
        <f>IFERROR(__xludf.DUMMYFUNCTION("""COMPUTED_VALUE"""),6046750.0)</f>
        <v>6046750</v>
      </c>
    </row>
    <row r="1954">
      <c r="A1954" s="2">
        <f>IFERROR(__xludf.DUMMYFUNCTION("""COMPUTED_VALUE"""),39364.666666666664)</f>
        <v>39364.66667</v>
      </c>
      <c r="B1954" s="1">
        <f>IFERROR(__xludf.DUMMYFUNCTION("""COMPUTED_VALUE"""),70.71)</f>
        <v>70.71</v>
      </c>
      <c r="C1954" s="1">
        <f>IFERROR(__xludf.DUMMYFUNCTION("""COMPUTED_VALUE"""),71.35)</f>
        <v>71.35</v>
      </c>
      <c r="D1954" s="1">
        <f>IFERROR(__xludf.DUMMYFUNCTION("""COMPUTED_VALUE"""),70.5)</f>
        <v>70.5</v>
      </c>
      <c r="E1954" s="1">
        <f>IFERROR(__xludf.DUMMYFUNCTION("""COMPUTED_VALUE"""),71.08)</f>
        <v>71.08</v>
      </c>
      <c r="F1954" s="1">
        <f>IFERROR(__xludf.DUMMYFUNCTION("""COMPUTED_VALUE"""),8256800.0)</f>
        <v>8256800</v>
      </c>
    </row>
    <row r="1955">
      <c r="A1955" s="2">
        <f>IFERROR(__xludf.DUMMYFUNCTION("""COMPUTED_VALUE"""),39365.666666666664)</f>
        <v>39365.66667</v>
      </c>
      <c r="B1955" s="1">
        <f>IFERROR(__xludf.DUMMYFUNCTION("""COMPUTED_VALUE"""),71.15)</f>
        <v>71.15</v>
      </c>
      <c r="C1955" s="1">
        <f>IFERROR(__xludf.DUMMYFUNCTION("""COMPUTED_VALUE"""),71.75)</f>
        <v>71.75</v>
      </c>
      <c r="D1955" s="1">
        <f>IFERROR(__xludf.DUMMYFUNCTION("""COMPUTED_VALUE"""),71.13)</f>
        <v>71.13</v>
      </c>
      <c r="E1955" s="1">
        <f>IFERROR(__xludf.DUMMYFUNCTION("""COMPUTED_VALUE"""),71.4)</f>
        <v>71.4</v>
      </c>
      <c r="F1955" s="1">
        <f>IFERROR(__xludf.DUMMYFUNCTION("""COMPUTED_VALUE"""),7719800.0)</f>
        <v>7719800</v>
      </c>
    </row>
    <row r="1956">
      <c r="A1956" s="2">
        <f>IFERROR(__xludf.DUMMYFUNCTION("""COMPUTED_VALUE"""),39366.666666666664)</f>
        <v>39366.66667</v>
      </c>
      <c r="B1956" s="1">
        <f>IFERROR(__xludf.DUMMYFUNCTION("""COMPUTED_VALUE"""),71.65)</f>
        <v>71.65</v>
      </c>
      <c r="C1956" s="1">
        <f>IFERROR(__xludf.DUMMYFUNCTION("""COMPUTED_VALUE"""),71.98)</f>
        <v>71.98</v>
      </c>
      <c r="D1956" s="1">
        <f>IFERROR(__xludf.DUMMYFUNCTION("""COMPUTED_VALUE"""),71.41)</f>
        <v>71.41</v>
      </c>
      <c r="E1956" s="1">
        <f>IFERROR(__xludf.DUMMYFUNCTION("""COMPUTED_VALUE"""),71.77)</f>
        <v>71.77</v>
      </c>
      <c r="F1956" s="1">
        <f>IFERROR(__xludf.DUMMYFUNCTION("""COMPUTED_VALUE"""),9204200.0)</f>
        <v>9204200</v>
      </c>
    </row>
    <row r="1957">
      <c r="A1957" s="2">
        <f>IFERROR(__xludf.DUMMYFUNCTION("""COMPUTED_VALUE"""),39367.666666666664)</f>
        <v>39367.66667</v>
      </c>
      <c r="B1957" s="1">
        <f>IFERROR(__xludf.DUMMYFUNCTION("""COMPUTED_VALUE"""),71.93)</f>
        <v>71.93</v>
      </c>
      <c r="C1957" s="1">
        <f>IFERROR(__xludf.DUMMYFUNCTION("""COMPUTED_VALUE"""),72.0)</f>
        <v>72</v>
      </c>
      <c r="D1957" s="1">
        <f>IFERROR(__xludf.DUMMYFUNCTION("""COMPUTED_VALUE"""),71.6)</f>
        <v>71.6</v>
      </c>
      <c r="E1957" s="1">
        <f>IFERROR(__xludf.DUMMYFUNCTION("""COMPUTED_VALUE"""),71.7)</f>
        <v>71.7</v>
      </c>
      <c r="F1957" s="1">
        <f>IFERROR(__xludf.DUMMYFUNCTION("""COMPUTED_VALUE"""),8213297.0)</f>
        <v>8213297</v>
      </c>
    </row>
    <row r="1958">
      <c r="A1958" s="2">
        <f>IFERROR(__xludf.DUMMYFUNCTION("""COMPUTED_VALUE"""),39370.666666666664)</f>
        <v>39370.66667</v>
      </c>
      <c r="B1958" s="1">
        <f>IFERROR(__xludf.DUMMYFUNCTION("""COMPUTED_VALUE"""),71.7)</f>
        <v>71.7</v>
      </c>
      <c r="C1958" s="1">
        <f>IFERROR(__xludf.DUMMYFUNCTION("""COMPUTED_VALUE"""),71.9)</f>
        <v>71.9</v>
      </c>
      <c r="D1958" s="1">
        <f>IFERROR(__xludf.DUMMYFUNCTION("""COMPUTED_VALUE"""),70.67)</f>
        <v>70.67</v>
      </c>
      <c r="E1958" s="1">
        <f>IFERROR(__xludf.DUMMYFUNCTION("""COMPUTED_VALUE"""),71.0)</f>
        <v>71</v>
      </c>
      <c r="F1958" s="1">
        <f>IFERROR(__xludf.DUMMYFUNCTION("""COMPUTED_VALUE"""),8233500.0)</f>
        <v>8233500</v>
      </c>
    </row>
    <row r="1959">
      <c r="A1959" s="2">
        <f>IFERROR(__xludf.DUMMYFUNCTION("""COMPUTED_VALUE"""),39371.666666666664)</f>
        <v>39371.66667</v>
      </c>
      <c r="B1959" s="1">
        <f>IFERROR(__xludf.DUMMYFUNCTION("""COMPUTED_VALUE"""),70.98)</f>
        <v>70.98</v>
      </c>
      <c r="C1959" s="1">
        <f>IFERROR(__xludf.DUMMYFUNCTION("""COMPUTED_VALUE"""),71.55)</f>
        <v>71.55</v>
      </c>
      <c r="D1959" s="1">
        <f>IFERROR(__xludf.DUMMYFUNCTION("""COMPUTED_VALUE"""),70.54)</f>
        <v>70.54</v>
      </c>
      <c r="E1959" s="1">
        <f>IFERROR(__xludf.DUMMYFUNCTION("""COMPUTED_VALUE"""),70.82)</f>
        <v>70.82</v>
      </c>
      <c r="F1959" s="1">
        <f>IFERROR(__xludf.DUMMYFUNCTION("""COMPUTED_VALUE"""),9637638.0)</f>
        <v>9637638</v>
      </c>
    </row>
    <row r="1960">
      <c r="A1960" s="2">
        <f>IFERROR(__xludf.DUMMYFUNCTION("""COMPUTED_VALUE"""),39372.666666666664)</f>
        <v>39372.66667</v>
      </c>
      <c r="B1960" s="1">
        <f>IFERROR(__xludf.DUMMYFUNCTION("""COMPUTED_VALUE"""),70.85)</f>
        <v>70.85</v>
      </c>
      <c r="C1960" s="1">
        <f>IFERROR(__xludf.DUMMYFUNCTION("""COMPUTED_VALUE"""),70.85)</f>
        <v>70.85</v>
      </c>
      <c r="D1960" s="1">
        <f>IFERROR(__xludf.DUMMYFUNCTION("""COMPUTED_VALUE"""),70.3)</f>
        <v>70.3</v>
      </c>
      <c r="E1960" s="1">
        <f>IFERROR(__xludf.DUMMYFUNCTION("""COMPUTED_VALUE"""),70.59)</f>
        <v>70.59</v>
      </c>
      <c r="F1960" s="1">
        <f>IFERROR(__xludf.DUMMYFUNCTION("""COMPUTED_VALUE"""),1.18546E7)</f>
        <v>11854600</v>
      </c>
    </row>
    <row r="1961">
      <c r="A1961" s="2">
        <f>IFERROR(__xludf.DUMMYFUNCTION("""COMPUTED_VALUE"""),39373.666666666664)</f>
        <v>39373.66667</v>
      </c>
      <c r="B1961" s="1">
        <f>IFERROR(__xludf.DUMMYFUNCTION("""COMPUTED_VALUE"""),70.55)</f>
        <v>70.55</v>
      </c>
      <c r="C1961" s="1">
        <f>IFERROR(__xludf.DUMMYFUNCTION("""COMPUTED_VALUE"""),71.0)</f>
        <v>71</v>
      </c>
      <c r="D1961" s="1">
        <f>IFERROR(__xludf.DUMMYFUNCTION("""COMPUTED_VALUE"""),70.5)</f>
        <v>70.5</v>
      </c>
      <c r="E1961" s="1">
        <f>IFERROR(__xludf.DUMMYFUNCTION("""COMPUTED_VALUE"""),70.9)</f>
        <v>70.9</v>
      </c>
      <c r="F1961" s="1">
        <f>IFERROR(__xludf.DUMMYFUNCTION("""COMPUTED_VALUE"""),8079900.0)</f>
        <v>8079900</v>
      </c>
    </row>
    <row r="1962">
      <c r="A1962" s="2">
        <f>IFERROR(__xludf.DUMMYFUNCTION("""COMPUTED_VALUE"""),39374.666666666664)</f>
        <v>39374.66667</v>
      </c>
      <c r="B1962" s="1">
        <f>IFERROR(__xludf.DUMMYFUNCTION("""COMPUTED_VALUE"""),71.0)</f>
        <v>71</v>
      </c>
      <c r="C1962" s="1">
        <f>IFERROR(__xludf.DUMMYFUNCTION("""COMPUTED_VALUE"""),71.52)</f>
        <v>71.52</v>
      </c>
      <c r="D1962" s="1">
        <f>IFERROR(__xludf.DUMMYFUNCTION("""COMPUTED_VALUE"""),70.61)</f>
        <v>70.61</v>
      </c>
      <c r="E1962" s="1">
        <f>IFERROR(__xludf.DUMMYFUNCTION("""COMPUTED_VALUE"""),70.8)</f>
        <v>70.8</v>
      </c>
      <c r="F1962" s="1">
        <f>IFERROR(__xludf.DUMMYFUNCTION("""COMPUTED_VALUE"""),1.59797E7)</f>
        <v>15979700</v>
      </c>
    </row>
    <row r="1963">
      <c r="A1963" s="2">
        <f>IFERROR(__xludf.DUMMYFUNCTION("""COMPUTED_VALUE"""),39377.666666666664)</f>
        <v>39377.66667</v>
      </c>
      <c r="B1963" s="1">
        <f>IFERROR(__xludf.DUMMYFUNCTION("""COMPUTED_VALUE"""),70.41)</f>
        <v>70.41</v>
      </c>
      <c r="C1963" s="1">
        <f>IFERROR(__xludf.DUMMYFUNCTION("""COMPUTED_VALUE"""),71.12)</f>
        <v>71.12</v>
      </c>
      <c r="D1963" s="1">
        <f>IFERROR(__xludf.DUMMYFUNCTION("""COMPUTED_VALUE"""),70.41)</f>
        <v>70.41</v>
      </c>
      <c r="E1963" s="1">
        <f>IFERROR(__xludf.DUMMYFUNCTION("""COMPUTED_VALUE"""),71.06)</f>
        <v>71.06</v>
      </c>
      <c r="F1963" s="1">
        <f>IFERROR(__xludf.DUMMYFUNCTION("""COMPUTED_VALUE"""),9040707.0)</f>
        <v>9040707</v>
      </c>
    </row>
    <row r="1964">
      <c r="A1964" s="2">
        <f>IFERROR(__xludf.DUMMYFUNCTION("""COMPUTED_VALUE"""),39378.666666666664)</f>
        <v>39378.66667</v>
      </c>
      <c r="B1964" s="1">
        <f>IFERROR(__xludf.DUMMYFUNCTION("""COMPUTED_VALUE"""),71.17)</f>
        <v>71.17</v>
      </c>
      <c r="C1964" s="1">
        <f>IFERROR(__xludf.DUMMYFUNCTION("""COMPUTED_VALUE"""),73.05)</f>
        <v>73.05</v>
      </c>
      <c r="D1964" s="1">
        <f>IFERROR(__xludf.DUMMYFUNCTION("""COMPUTED_VALUE"""),70.64)</f>
        <v>70.64</v>
      </c>
      <c r="E1964" s="1">
        <f>IFERROR(__xludf.DUMMYFUNCTION("""COMPUTED_VALUE"""),71.26)</f>
        <v>71.26</v>
      </c>
      <c r="F1964" s="1">
        <f>IFERROR(__xludf.DUMMYFUNCTION("""COMPUTED_VALUE"""),7705500.0)</f>
        <v>7705500</v>
      </c>
    </row>
    <row r="1965">
      <c r="A1965" s="2">
        <f>IFERROR(__xludf.DUMMYFUNCTION("""COMPUTED_VALUE"""),39379.666666666664)</f>
        <v>39379.66667</v>
      </c>
      <c r="B1965" s="1">
        <f>IFERROR(__xludf.DUMMYFUNCTION("""COMPUTED_VALUE"""),71.16)</f>
        <v>71.16</v>
      </c>
      <c r="C1965" s="1">
        <f>IFERROR(__xludf.DUMMYFUNCTION("""COMPUTED_VALUE"""),71.49)</f>
        <v>71.49</v>
      </c>
      <c r="D1965" s="1">
        <f>IFERROR(__xludf.DUMMYFUNCTION("""COMPUTED_VALUE"""),70.63)</f>
        <v>70.63</v>
      </c>
      <c r="E1965" s="1">
        <f>IFERROR(__xludf.DUMMYFUNCTION("""COMPUTED_VALUE"""),71.38)</f>
        <v>71.38</v>
      </c>
      <c r="F1965" s="1">
        <f>IFERROR(__xludf.DUMMYFUNCTION("""COMPUTED_VALUE"""),1.00963E7)</f>
        <v>10096300</v>
      </c>
    </row>
    <row r="1966">
      <c r="A1966" s="2">
        <f>IFERROR(__xludf.DUMMYFUNCTION("""COMPUTED_VALUE"""),39380.666666666664)</f>
        <v>39380.66667</v>
      </c>
      <c r="B1966" s="1">
        <f>IFERROR(__xludf.DUMMYFUNCTION("""COMPUTED_VALUE"""),71.21)</f>
        <v>71.21</v>
      </c>
      <c r="C1966" s="1">
        <f>IFERROR(__xludf.DUMMYFUNCTION("""COMPUTED_VALUE"""),71.68)</f>
        <v>71.68</v>
      </c>
      <c r="D1966" s="1">
        <f>IFERROR(__xludf.DUMMYFUNCTION("""COMPUTED_VALUE"""),71.14)</f>
        <v>71.14</v>
      </c>
      <c r="E1966" s="1">
        <f>IFERROR(__xludf.DUMMYFUNCTION("""COMPUTED_VALUE"""),71.35)</f>
        <v>71.35</v>
      </c>
      <c r="F1966" s="1">
        <f>IFERROR(__xludf.DUMMYFUNCTION("""COMPUTED_VALUE"""),1.04061E7)</f>
        <v>10406100</v>
      </c>
    </row>
    <row r="1967">
      <c r="A1967" s="2">
        <f>IFERROR(__xludf.DUMMYFUNCTION("""COMPUTED_VALUE"""),39381.666666666664)</f>
        <v>39381.66667</v>
      </c>
      <c r="B1967" s="1">
        <f>IFERROR(__xludf.DUMMYFUNCTION("""COMPUTED_VALUE"""),71.6)</f>
        <v>71.6</v>
      </c>
      <c r="C1967" s="1">
        <f>IFERROR(__xludf.DUMMYFUNCTION("""COMPUTED_VALUE"""),71.76)</f>
        <v>71.76</v>
      </c>
      <c r="D1967" s="1">
        <f>IFERROR(__xludf.DUMMYFUNCTION("""COMPUTED_VALUE"""),71.12)</f>
        <v>71.12</v>
      </c>
      <c r="E1967" s="1">
        <f>IFERROR(__xludf.DUMMYFUNCTION("""COMPUTED_VALUE"""),71.75)</f>
        <v>71.75</v>
      </c>
      <c r="F1967" s="1">
        <f>IFERROR(__xludf.DUMMYFUNCTION("""COMPUTED_VALUE"""),9323200.0)</f>
        <v>9323200</v>
      </c>
    </row>
    <row r="1968">
      <c r="A1968" s="2">
        <f>IFERROR(__xludf.DUMMYFUNCTION("""COMPUTED_VALUE"""),39384.666666666664)</f>
        <v>39384.66667</v>
      </c>
      <c r="B1968" s="1">
        <f>IFERROR(__xludf.DUMMYFUNCTION("""COMPUTED_VALUE"""),72.13)</f>
        <v>72.13</v>
      </c>
      <c r="C1968" s="1">
        <f>IFERROR(__xludf.DUMMYFUNCTION("""COMPUTED_VALUE"""),72.19)</f>
        <v>72.19</v>
      </c>
      <c r="D1968" s="1">
        <f>IFERROR(__xludf.DUMMYFUNCTION("""COMPUTED_VALUE"""),71.6)</f>
        <v>71.6</v>
      </c>
      <c r="E1968" s="1">
        <f>IFERROR(__xludf.DUMMYFUNCTION("""COMPUTED_VALUE"""),71.83)</f>
        <v>71.83</v>
      </c>
      <c r="F1968" s="1">
        <f>IFERROR(__xludf.DUMMYFUNCTION("""COMPUTED_VALUE"""),1.14896E7)</f>
        <v>11489600</v>
      </c>
    </row>
    <row r="1969">
      <c r="A1969" s="2">
        <f>IFERROR(__xludf.DUMMYFUNCTION("""COMPUTED_VALUE"""),39385.666666666664)</f>
        <v>39385.66667</v>
      </c>
      <c r="B1969" s="1">
        <f>IFERROR(__xludf.DUMMYFUNCTION("""COMPUTED_VALUE"""),70.35)</f>
        <v>70.35</v>
      </c>
      <c r="C1969" s="1">
        <f>IFERROR(__xludf.DUMMYFUNCTION("""COMPUTED_VALUE"""),70.35)</f>
        <v>70.35</v>
      </c>
      <c r="D1969" s="1">
        <f>IFERROR(__xludf.DUMMYFUNCTION("""COMPUTED_VALUE"""),67.9)</f>
        <v>67.9</v>
      </c>
      <c r="E1969" s="1">
        <f>IFERROR(__xludf.DUMMYFUNCTION("""COMPUTED_VALUE"""),68.95)</f>
        <v>68.95</v>
      </c>
      <c r="F1969" s="1">
        <f>IFERROR(__xludf.DUMMYFUNCTION("""COMPUTED_VALUE"""),2.5805722E7)</f>
        <v>25805722</v>
      </c>
    </row>
    <row r="1970">
      <c r="A1970" s="2">
        <f>IFERROR(__xludf.DUMMYFUNCTION("""COMPUTED_VALUE"""),39386.666666666664)</f>
        <v>39386.66667</v>
      </c>
      <c r="B1970" s="1">
        <f>IFERROR(__xludf.DUMMYFUNCTION("""COMPUTED_VALUE"""),69.0)</f>
        <v>69</v>
      </c>
      <c r="C1970" s="1">
        <f>IFERROR(__xludf.DUMMYFUNCTION("""COMPUTED_VALUE"""),69.89)</f>
        <v>69.89</v>
      </c>
      <c r="D1970" s="1">
        <f>IFERROR(__xludf.DUMMYFUNCTION("""COMPUTED_VALUE"""),69.0)</f>
        <v>69</v>
      </c>
      <c r="E1970" s="1">
        <f>IFERROR(__xludf.DUMMYFUNCTION("""COMPUTED_VALUE"""),69.52)</f>
        <v>69.52</v>
      </c>
      <c r="F1970" s="1">
        <f>IFERROR(__xludf.DUMMYFUNCTION("""COMPUTED_VALUE"""),1.41458E7)</f>
        <v>14145800</v>
      </c>
    </row>
    <row r="1971">
      <c r="A1971" s="2">
        <f>IFERROR(__xludf.DUMMYFUNCTION("""COMPUTED_VALUE"""),39387.666666666664)</f>
        <v>39387.66667</v>
      </c>
      <c r="B1971" s="1">
        <f>IFERROR(__xludf.DUMMYFUNCTION("""COMPUTED_VALUE"""),69.4)</f>
        <v>69.4</v>
      </c>
      <c r="C1971" s="1">
        <f>IFERROR(__xludf.DUMMYFUNCTION("""COMPUTED_VALUE"""),69.85)</f>
        <v>69.85</v>
      </c>
      <c r="D1971" s="1">
        <f>IFERROR(__xludf.DUMMYFUNCTION("""COMPUTED_VALUE"""),68.59)</f>
        <v>68.59</v>
      </c>
      <c r="E1971" s="1">
        <f>IFERROR(__xludf.DUMMYFUNCTION("""COMPUTED_VALUE"""),68.59)</f>
        <v>68.59</v>
      </c>
      <c r="F1971" s="1">
        <f>IFERROR(__xludf.DUMMYFUNCTION("""COMPUTED_VALUE"""),1.51062E7)</f>
        <v>15106200</v>
      </c>
    </row>
    <row r="1972">
      <c r="A1972" s="2">
        <f>IFERROR(__xludf.DUMMYFUNCTION("""COMPUTED_VALUE"""),39388.666666666664)</f>
        <v>39388.66667</v>
      </c>
      <c r="B1972" s="1">
        <f>IFERROR(__xludf.DUMMYFUNCTION("""COMPUTED_VALUE"""),69.05)</f>
        <v>69.05</v>
      </c>
      <c r="C1972" s="1">
        <f>IFERROR(__xludf.DUMMYFUNCTION("""COMPUTED_VALUE"""),69.76)</f>
        <v>69.76</v>
      </c>
      <c r="D1972" s="1">
        <f>IFERROR(__xludf.DUMMYFUNCTION("""COMPUTED_VALUE"""),68.86)</f>
        <v>68.86</v>
      </c>
      <c r="E1972" s="1">
        <f>IFERROR(__xludf.DUMMYFUNCTION("""COMPUTED_VALUE"""),69.55)</f>
        <v>69.55</v>
      </c>
      <c r="F1972" s="1">
        <f>IFERROR(__xludf.DUMMYFUNCTION("""COMPUTED_VALUE"""),1.1448894E7)</f>
        <v>11448894</v>
      </c>
    </row>
    <row r="1973">
      <c r="A1973" s="2">
        <f>IFERROR(__xludf.DUMMYFUNCTION("""COMPUTED_VALUE"""),39391.666666666664)</f>
        <v>39391.66667</v>
      </c>
      <c r="B1973" s="1">
        <f>IFERROR(__xludf.DUMMYFUNCTION("""COMPUTED_VALUE"""),69.2)</f>
        <v>69.2</v>
      </c>
      <c r="C1973" s="1">
        <f>IFERROR(__xludf.DUMMYFUNCTION("""COMPUTED_VALUE"""),70.92)</f>
        <v>70.92</v>
      </c>
      <c r="D1973" s="1">
        <f>IFERROR(__xludf.DUMMYFUNCTION("""COMPUTED_VALUE"""),69.2)</f>
        <v>69.2</v>
      </c>
      <c r="E1973" s="1">
        <f>IFERROR(__xludf.DUMMYFUNCTION("""COMPUTED_VALUE"""),70.18)</f>
        <v>70.18</v>
      </c>
      <c r="F1973" s="1">
        <f>IFERROR(__xludf.DUMMYFUNCTION("""COMPUTED_VALUE"""),1.2739973E7)</f>
        <v>12739973</v>
      </c>
    </row>
    <row r="1974">
      <c r="A1974" s="2">
        <f>IFERROR(__xludf.DUMMYFUNCTION("""COMPUTED_VALUE"""),39392.666666666664)</f>
        <v>39392.66667</v>
      </c>
      <c r="B1974" s="1">
        <f>IFERROR(__xludf.DUMMYFUNCTION("""COMPUTED_VALUE"""),70.4)</f>
        <v>70.4</v>
      </c>
      <c r="C1974" s="1">
        <f>IFERROR(__xludf.DUMMYFUNCTION("""COMPUTED_VALUE"""),70.64)</f>
        <v>70.64</v>
      </c>
      <c r="D1974" s="1">
        <f>IFERROR(__xludf.DUMMYFUNCTION("""COMPUTED_VALUE"""),70.07)</f>
        <v>70.07</v>
      </c>
      <c r="E1974" s="1">
        <f>IFERROR(__xludf.DUMMYFUNCTION("""COMPUTED_VALUE"""),70.47)</f>
        <v>70.47</v>
      </c>
      <c r="F1974" s="1">
        <f>IFERROR(__xludf.DUMMYFUNCTION("""COMPUTED_VALUE"""),8733647.0)</f>
        <v>8733647</v>
      </c>
    </row>
    <row r="1975">
      <c r="A1975" s="2">
        <f>IFERROR(__xludf.DUMMYFUNCTION("""COMPUTED_VALUE"""),39393.666666666664)</f>
        <v>39393.66667</v>
      </c>
      <c r="B1975" s="1">
        <f>IFERROR(__xludf.DUMMYFUNCTION("""COMPUTED_VALUE"""),70.47)</f>
        <v>70.47</v>
      </c>
      <c r="C1975" s="1">
        <f>IFERROR(__xludf.DUMMYFUNCTION("""COMPUTED_VALUE"""),70.98)</f>
        <v>70.98</v>
      </c>
      <c r="D1975" s="1">
        <f>IFERROR(__xludf.DUMMYFUNCTION("""COMPUTED_VALUE"""),69.23)</f>
        <v>69.23</v>
      </c>
      <c r="E1975" s="1">
        <f>IFERROR(__xludf.DUMMYFUNCTION("""COMPUTED_VALUE"""),69.42)</f>
        <v>69.42</v>
      </c>
      <c r="F1975" s="1">
        <f>IFERROR(__xludf.DUMMYFUNCTION("""COMPUTED_VALUE"""),1.1874255E7)</f>
        <v>11874255</v>
      </c>
    </row>
    <row r="1976">
      <c r="A1976" s="2">
        <f>IFERROR(__xludf.DUMMYFUNCTION("""COMPUTED_VALUE"""),39394.666666666664)</f>
        <v>39394.66667</v>
      </c>
      <c r="B1976" s="1">
        <f>IFERROR(__xludf.DUMMYFUNCTION("""COMPUTED_VALUE"""),69.82)</f>
        <v>69.82</v>
      </c>
      <c r="C1976" s="1">
        <f>IFERROR(__xludf.DUMMYFUNCTION("""COMPUTED_VALUE"""),71.02)</f>
        <v>71.02</v>
      </c>
      <c r="D1976" s="1">
        <f>IFERROR(__xludf.DUMMYFUNCTION("""COMPUTED_VALUE"""),69.1)</f>
        <v>69.1</v>
      </c>
      <c r="E1976" s="1">
        <f>IFERROR(__xludf.DUMMYFUNCTION("""COMPUTED_VALUE"""),70.84)</f>
        <v>70.84</v>
      </c>
      <c r="F1976" s="1">
        <f>IFERROR(__xludf.DUMMYFUNCTION("""COMPUTED_VALUE"""),1.4437023E7)</f>
        <v>14437023</v>
      </c>
    </row>
    <row r="1977">
      <c r="A1977" s="2">
        <f>IFERROR(__xludf.DUMMYFUNCTION("""COMPUTED_VALUE"""),39395.666666666664)</f>
        <v>39395.66667</v>
      </c>
      <c r="B1977" s="1">
        <f>IFERROR(__xludf.DUMMYFUNCTION("""COMPUTED_VALUE"""),70.78)</f>
        <v>70.78</v>
      </c>
      <c r="C1977" s="1">
        <f>IFERROR(__xludf.DUMMYFUNCTION("""COMPUTED_VALUE"""),71.0)</f>
        <v>71</v>
      </c>
      <c r="D1977" s="1">
        <f>IFERROR(__xludf.DUMMYFUNCTION("""COMPUTED_VALUE"""),70.3)</f>
        <v>70.3</v>
      </c>
      <c r="E1977" s="1">
        <f>IFERROR(__xludf.DUMMYFUNCTION("""COMPUTED_VALUE"""),70.42)</f>
        <v>70.42</v>
      </c>
      <c r="F1977" s="1">
        <f>IFERROR(__xludf.DUMMYFUNCTION("""COMPUTED_VALUE"""),1.1899054E7)</f>
        <v>11899054</v>
      </c>
    </row>
    <row r="1978">
      <c r="A1978" s="2">
        <f>IFERROR(__xludf.DUMMYFUNCTION("""COMPUTED_VALUE"""),39398.666666666664)</f>
        <v>39398.66667</v>
      </c>
      <c r="B1978" s="1">
        <f>IFERROR(__xludf.DUMMYFUNCTION("""COMPUTED_VALUE"""),70.44)</f>
        <v>70.44</v>
      </c>
      <c r="C1978" s="1">
        <f>IFERROR(__xludf.DUMMYFUNCTION("""COMPUTED_VALUE"""),71.48)</f>
        <v>71.48</v>
      </c>
      <c r="D1978" s="1">
        <f>IFERROR(__xludf.DUMMYFUNCTION("""COMPUTED_VALUE"""),70.35)</f>
        <v>70.35</v>
      </c>
      <c r="E1978" s="1">
        <f>IFERROR(__xludf.DUMMYFUNCTION("""COMPUTED_VALUE"""),70.77)</f>
        <v>70.77</v>
      </c>
      <c r="F1978" s="1">
        <f>IFERROR(__xludf.DUMMYFUNCTION("""COMPUTED_VALUE"""),1.0793964E7)</f>
        <v>10793964</v>
      </c>
    </row>
    <row r="1979">
      <c r="A1979" s="2">
        <f>IFERROR(__xludf.DUMMYFUNCTION("""COMPUTED_VALUE"""),39399.666666666664)</f>
        <v>39399.66667</v>
      </c>
      <c r="B1979" s="1">
        <f>IFERROR(__xludf.DUMMYFUNCTION("""COMPUTED_VALUE"""),71.16)</f>
        <v>71.16</v>
      </c>
      <c r="C1979" s="1">
        <f>IFERROR(__xludf.DUMMYFUNCTION("""COMPUTED_VALUE"""),71.76)</f>
        <v>71.76</v>
      </c>
      <c r="D1979" s="1">
        <f>IFERROR(__xludf.DUMMYFUNCTION("""COMPUTED_VALUE"""),70.77)</f>
        <v>70.77</v>
      </c>
      <c r="E1979" s="1">
        <f>IFERROR(__xludf.DUMMYFUNCTION("""COMPUTED_VALUE"""),71.57)</f>
        <v>71.57</v>
      </c>
      <c r="F1979" s="1">
        <f>IFERROR(__xludf.DUMMYFUNCTION("""COMPUTED_VALUE"""),1.2264635E7)</f>
        <v>12264635</v>
      </c>
    </row>
    <row r="1980">
      <c r="A1980" s="2">
        <f>IFERROR(__xludf.DUMMYFUNCTION("""COMPUTED_VALUE"""),39400.666666666664)</f>
        <v>39400.66667</v>
      </c>
      <c r="B1980" s="1">
        <f>IFERROR(__xludf.DUMMYFUNCTION("""COMPUTED_VALUE"""),71.98)</f>
        <v>71.98</v>
      </c>
      <c r="C1980" s="1">
        <f>IFERROR(__xludf.DUMMYFUNCTION("""COMPUTED_VALUE"""),72.25)</f>
        <v>72.25</v>
      </c>
      <c r="D1980" s="1">
        <f>IFERROR(__xludf.DUMMYFUNCTION("""COMPUTED_VALUE"""),71.2)</f>
        <v>71.2</v>
      </c>
      <c r="E1980" s="1">
        <f>IFERROR(__xludf.DUMMYFUNCTION("""COMPUTED_VALUE"""),71.54)</f>
        <v>71.54</v>
      </c>
      <c r="F1980" s="1">
        <f>IFERROR(__xludf.DUMMYFUNCTION("""COMPUTED_VALUE"""),1.1908741E7)</f>
        <v>11908741</v>
      </c>
    </row>
    <row r="1981">
      <c r="A1981" s="2">
        <f>IFERROR(__xludf.DUMMYFUNCTION("""COMPUTED_VALUE"""),39401.666666666664)</f>
        <v>39401.66667</v>
      </c>
      <c r="B1981" s="1">
        <f>IFERROR(__xludf.DUMMYFUNCTION("""COMPUTED_VALUE"""),71.4)</f>
        <v>71.4</v>
      </c>
      <c r="C1981" s="1">
        <f>IFERROR(__xludf.DUMMYFUNCTION("""COMPUTED_VALUE"""),72.49)</f>
        <v>72.49</v>
      </c>
      <c r="D1981" s="1">
        <f>IFERROR(__xludf.DUMMYFUNCTION("""COMPUTED_VALUE"""),71.31)</f>
        <v>71.31</v>
      </c>
      <c r="E1981" s="1">
        <f>IFERROR(__xludf.DUMMYFUNCTION("""COMPUTED_VALUE"""),71.83)</f>
        <v>71.83</v>
      </c>
      <c r="F1981" s="1">
        <f>IFERROR(__xludf.DUMMYFUNCTION("""COMPUTED_VALUE"""),1.1439957E7)</f>
        <v>11439957</v>
      </c>
    </row>
    <row r="1982">
      <c r="A1982" s="2">
        <f>IFERROR(__xludf.DUMMYFUNCTION("""COMPUTED_VALUE"""),39402.666666666664)</f>
        <v>39402.66667</v>
      </c>
      <c r="B1982" s="1">
        <f>IFERROR(__xludf.DUMMYFUNCTION("""COMPUTED_VALUE"""),72.46)</f>
        <v>72.46</v>
      </c>
      <c r="C1982" s="1">
        <f>IFERROR(__xludf.DUMMYFUNCTION("""COMPUTED_VALUE"""),73.25)</f>
        <v>73.25</v>
      </c>
      <c r="D1982" s="1">
        <f>IFERROR(__xludf.DUMMYFUNCTION("""COMPUTED_VALUE"""),72.15)</f>
        <v>72.15</v>
      </c>
      <c r="E1982" s="1">
        <f>IFERROR(__xludf.DUMMYFUNCTION("""COMPUTED_VALUE"""),73.19)</f>
        <v>73.19</v>
      </c>
      <c r="F1982" s="1">
        <f>IFERROR(__xludf.DUMMYFUNCTION("""COMPUTED_VALUE"""),1.5145888E7)</f>
        <v>15145888</v>
      </c>
    </row>
    <row r="1983">
      <c r="A1983" s="2">
        <f>IFERROR(__xludf.DUMMYFUNCTION("""COMPUTED_VALUE"""),39405.666666666664)</f>
        <v>39405.66667</v>
      </c>
      <c r="B1983" s="1">
        <f>IFERROR(__xludf.DUMMYFUNCTION("""COMPUTED_VALUE"""),72.87)</f>
        <v>72.87</v>
      </c>
      <c r="C1983" s="1">
        <f>IFERROR(__xludf.DUMMYFUNCTION("""COMPUTED_VALUE"""),73.29)</f>
        <v>73.29</v>
      </c>
      <c r="D1983" s="1">
        <f>IFERROR(__xludf.DUMMYFUNCTION("""COMPUTED_VALUE"""),72.28)</f>
        <v>72.28</v>
      </c>
      <c r="E1983" s="1">
        <f>IFERROR(__xludf.DUMMYFUNCTION("""COMPUTED_VALUE"""),72.82)</f>
        <v>72.82</v>
      </c>
      <c r="F1983" s="1">
        <f>IFERROR(__xludf.DUMMYFUNCTION("""COMPUTED_VALUE"""),1.1337826E7)</f>
        <v>11337826</v>
      </c>
    </row>
    <row r="1984">
      <c r="A1984" s="2">
        <f>IFERROR(__xludf.DUMMYFUNCTION("""COMPUTED_VALUE"""),39406.666666666664)</f>
        <v>39406.66667</v>
      </c>
      <c r="B1984" s="1">
        <f>IFERROR(__xludf.DUMMYFUNCTION("""COMPUTED_VALUE"""),72.98)</f>
        <v>72.98</v>
      </c>
      <c r="C1984" s="1">
        <f>IFERROR(__xludf.DUMMYFUNCTION("""COMPUTED_VALUE"""),73.85)</f>
        <v>73.85</v>
      </c>
      <c r="D1984" s="1">
        <f>IFERROR(__xludf.DUMMYFUNCTION("""COMPUTED_VALUE"""),72.46)</f>
        <v>72.46</v>
      </c>
      <c r="E1984" s="1">
        <f>IFERROR(__xludf.DUMMYFUNCTION("""COMPUTED_VALUE"""),73.21)</f>
        <v>73.21</v>
      </c>
      <c r="F1984" s="1">
        <f>IFERROR(__xludf.DUMMYFUNCTION("""COMPUTED_VALUE"""),1.2770929E7)</f>
        <v>12770929</v>
      </c>
    </row>
    <row r="1985">
      <c r="A1985" s="2">
        <f>IFERROR(__xludf.DUMMYFUNCTION("""COMPUTED_VALUE"""),39407.666666666664)</f>
        <v>39407.66667</v>
      </c>
      <c r="B1985" s="1">
        <f>IFERROR(__xludf.DUMMYFUNCTION("""COMPUTED_VALUE"""),73.05)</f>
        <v>73.05</v>
      </c>
      <c r="C1985" s="1">
        <f>IFERROR(__xludf.DUMMYFUNCTION("""COMPUTED_VALUE"""),73.8)</f>
        <v>73.8</v>
      </c>
      <c r="D1985" s="1">
        <f>IFERROR(__xludf.DUMMYFUNCTION("""COMPUTED_VALUE"""),72.09)</f>
        <v>72.09</v>
      </c>
      <c r="E1985" s="1">
        <f>IFERROR(__xludf.DUMMYFUNCTION("""COMPUTED_VALUE"""),72.26)</f>
        <v>72.26</v>
      </c>
      <c r="F1985" s="1">
        <f>IFERROR(__xludf.DUMMYFUNCTION("""COMPUTED_VALUE"""),1.038256E7)</f>
        <v>10382560</v>
      </c>
    </row>
    <row r="1986">
      <c r="A1986" s="2">
        <f>IFERROR(__xludf.DUMMYFUNCTION("""COMPUTED_VALUE"""),39409.666666666664)</f>
        <v>39409.66667</v>
      </c>
      <c r="B1986" s="1">
        <f>IFERROR(__xludf.DUMMYFUNCTION("""COMPUTED_VALUE"""),72.88)</f>
        <v>72.88</v>
      </c>
      <c r="C1986" s="1">
        <f>IFERROR(__xludf.DUMMYFUNCTION("""COMPUTED_VALUE"""),72.92)</f>
        <v>72.92</v>
      </c>
      <c r="D1986" s="1">
        <f>IFERROR(__xludf.DUMMYFUNCTION("""COMPUTED_VALUE"""),72.3)</f>
        <v>72.3</v>
      </c>
      <c r="E1986" s="1">
        <f>IFERROR(__xludf.DUMMYFUNCTION("""COMPUTED_VALUE"""),72.86)</f>
        <v>72.86</v>
      </c>
      <c r="F1986" s="1">
        <f>IFERROR(__xludf.DUMMYFUNCTION("""COMPUTED_VALUE"""),4592459.0)</f>
        <v>4592459</v>
      </c>
    </row>
    <row r="1987">
      <c r="A1987" s="2">
        <f>IFERROR(__xludf.DUMMYFUNCTION("""COMPUTED_VALUE"""),39412.666666666664)</f>
        <v>39412.66667</v>
      </c>
      <c r="B1987" s="1">
        <f>IFERROR(__xludf.DUMMYFUNCTION("""COMPUTED_VALUE"""),73.0)</f>
        <v>73</v>
      </c>
      <c r="C1987" s="1">
        <f>IFERROR(__xludf.DUMMYFUNCTION("""COMPUTED_VALUE"""),73.55)</f>
        <v>73.55</v>
      </c>
      <c r="D1987" s="1">
        <f>IFERROR(__xludf.DUMMYFUNCTION("""COMPUTED_VALUE"""),71.92)</f>
        <v>71.92</v>
      </c>
      <c r="E1987" s="1">
        <f>IFERROR(__xludf.DUMMYFUNCTION("""COMPUTED_VALUE"""),72.19)</f>
        <v>72.19</v>
      </c>
      <c r="F1987" s="1">
        <f>IFERROR(__xludf.DUMMYFUNCTION("""COMPUTED_VALUE"""),1.3670403E7)</f>
        <v>13670403</v>
      </c>
    </row>
    <row r="1988">
      <c r="A1988" s="2">
        <f>IFERROR(__xludf.DUMMYFUNCTION("""COMPUTED_VALUE"""),39413.666666666664)</f>
        <v>39413.66667</v>
      </c>
      <c r="B1988" s="1">
        <f>IFERROR(__xludf.DUMMYFUNCTION("""COMPUTED_VALUE"""),72.71)</f>
        <v>72.71</v>
      </c>
      <c r="C1988" s="1">
        <f>IFERROR(__xludf.DUMMYFUNCTION("""COMPUTED_VALUE"""),73.62)</f>
        <v>73.62</v>
      </c>
      <c r="D1988" s="1">
        <f>IFERROR(__xludf.DUMMYFUNCTION("""COMPUTED_VALUE"""),72.27)</f>
        <v>72.27</v>
      </c>
      <c r="E1988" s="1">
        <f>IFERROR(__xludf.DUMMYFUNCTION("""COMPUTED_VALUE"""),73.13)</f>
        <v>73.13</v>
      </c>
      <c r="F1988" s="1">
        <f>IFERROR(__xludf.DUMMYFUNCTION("""COMPUTED_VALUE"""),1.3090394E7)</f>
        <v>13090394</v>
      </c>
    </row>
    <row r="1989">
      <c r="A1989" s="2">
        <f>IFERROR(__xludf.DUMMYFUNCTION("""COMPUTED_VALUE"""),39414.666666666664)</f>
        <v>39414.66667</v>
      </c>
      <c r="B1989" s="1">
        <f>IFERROR(__xludf.DUMMYFUNCTION("""COMPUTED_VALUE"""),72.99)</f>
        <v>72.99</v>
      </c>
      <c r="C1989" s="1">
        <f>IFERROR(__xludf.DUMMYFUNCTION("""COMPUTED_VALUE"""),74.04)</f>
        <v>74.04</v>
      </c>
      <c r="D1989" s="1">
        <f>IFERROR(__xludf.DUMMYFUNCTION("""COMPUTED_VALUE"""),72.52)</f>
        <v>72.52</v>
      </c>
      <c r="E1989" s="1">
        <f>IFERROR(__xludf.DUMMYFUNCTION("""COMPUTED_VALUE"""),73.91)</f>
        <v>73.91</v>
      </c>
      <c r="F1989" s="1">
        <f>IFERROR(__xludf.DUMMYFUNCTION("""COMPUTED_VALUE"""),1.3638652E7)</f>
        <v>13638652</v>
      </c>
    </row>
    <row r="1990">
      <c r="A1990" s="2">
        <f>IFERROR(__xludf.DUMMYFUNCTION("""COMPUTED_VALUE"""),39415.666666666664)</f>
        <v>39415.66667</v>
      </c>
      <c r="B1990" s="1">
        <f>IFERROR(__xludf.DUMMYFUNCTION("""COMPUTED_VALUE"""),73.82)</f>
        <v>73.82</v>
      </c>
      <c r="C1990" s="1">
        <f>IFERROR(__xludf.DUMMYFUNCTION("""COMPUTED_VALUE"""),74.3)</f>
        <v>74.3</v>
      </c>
      <c r="D1990" s="1">
        <f>IFERROR(__xludf.DUMMYFUNCTION("""COMPUTED_VALUE"""),73.35)</f>
        <v>73.35</v>
      </c>
      <c r="E1990" s="1">
        <f>IFERROR(__xludf.DUMMYFUNCTION("""COMPUTED_VALUE"""),74.15)</f>
        <v>74.15</v>
      </c>
      <c r="F1990" s="1">
        <f>IFERROR(__xludf.DUMMYFUNCTION("""COMPUTED_VALUE"""),7878931.0)</f>
        <v>7878931</v>
      </c>
    </row>
    <row r="1991">
      <c r="A1991" s="2">
        <f>IFERROR(__xludf.DUMMYFUNCTION("""COMPUTED_VALUE"""),39416.666666666664)</f>
        <v>39416.66667</v>
      </c>
      <c r="B1991" s="1">
        <f>IFERROR(__xludf.DUMMYFUNCTION("""COMPUTED_VALUE"""),74.6)</f>
        <v>74.6</v>
      </c>
      <c r="C1991" s="1">
        <f>IFERROR(__xludf.DUMMYFUNCTION("""COMPUTED_VALUE"""),74.6)</f>
        <v>74.6</v>
      </c>
      <c r="D1991" s="1">
        <f>IFERROR(__xludf.DUMMYFUNCTION("""COMPUTED_VALUE"""),73.35)</f>
        <v>73.35</v>
      </c>
      <c r="E1991" s="1">
        <f>IFERROR(__xludf.DUMMYFUNCTION("""COMPUTED_VALUE"""),74.0)</f>
        <v>74</v>
      </c>
      <c r="F1991" s="1">
        <f>IFERROR(__xludf.DUMMYFUNCTION("""COMPUTED_VALUE"""),1.3784572E7)</f>
        <v>13784572</v>
      </c>
    </row>
    <row r="1992">
      <c r="A1992" s="2">
        <f>IFERROR(__xludf.DUMMYFUNCTION("""COMPUTED_VALUE"""),39419.666666666664)</f>
        <v>39419.66667</v>
      </c>
      <c r="B1992" s="1">
        <f>IFERROR(__xludf.DUMMYFUNCTION("""COMPUTED_VALUE"""),74.0)</f>
        <v>74</v>
      </c>
      <c r="C1992" s="1">
        <f>IFERROR(__xludf.DUMMYFUNCTION("""COMPUTED_VALUE"""),74.25)</f>
        <v>74.25</v>
      </c>
      <c r="D1992" s="1">
        <f>IFERROR(__xludf.DUMMYFUNCTION("""COMPUTED_VALUE"""),73.22)</f>
        <v>73.22</v>
      </c>
      <c r="E1992" s="1">
        <f>IFERROR(__xludf.DUMMYFUNCTION("""COMPUTED_VALUE"""),73.52)</f>
        <v>73.52</v>
      </c>
      <c r="F1992" s="1">
        <f>IFERROR(__xludf.DUMMYFUNCTION("""COMPUTED_VALUE"""),9036156.0)</f>
        <v>9036156</v>
      </c>
    </row>
    <row r="1993">
      <c r="A1993" s="2">
        <f>IFERROR(__xludf.DUMMYFUNCTION("""COMPUTED_VALUE"""),39420.666666666664)</f>
        <v>39420.66667</v>
      </c>
      <c r="B1993" s="1">
        <f>IFERROR(__xludf.DUMMYFUNCTION("""COMPUTED_VALUE"""),73.23)</f>
        <v>73.23</v>
      </c>
      <c r="C1993" s="1">
        <f>IFERROR(__xludf.DUMMYFUNCTION("""COMPUTED_VALUE"""),73.8)</f>
        <v>73.8</v>
      </c>
      <c r="D1993" s="1">
        <f>IFERROR(__xludf.DUMMYFUNCTION("""COMPUTED_VALUE"""),73.04)</f>
        <v>73.04</v>
      </c>
      <c r="E1993" s="1">
        <f>IFERROR(__xludf.DUMMYFUNCTION("""COMPUTED_VALUE"""),73.29)</f>
        <v>73.29</v>
      </c>
      <c r="F1993" s="1">
        <f>IFERROR(__xludf.DUMMYFUNCTION("""COMPUTED_VALUE"""),9185535.0)</f>
        <v>9185535</v>
      </c>
    </row>
    <row r="1994">
      <c r="A1994" s="2">
        <f>IFERROR(__xludf.DUMMYFUNCTION("""COMPUTED_VALUE"""),39421.666666666664)</f>
        <v>39421.66667</v>
      </c>
      <c r="B1994" s="1">
        <f>IFERROR(__xludf.DUMMYFUNCTION("""COMPUTED_VALUE"""),73.65)</f>
        <v>73.65</v>
      </c>
      <c r="C1994" s="1">
        <f>IFERROR(__xludf.DUMMYFUNCTION("""COMPUTED_VALUE"""),74.08)</f>
        <v>74.08</v>
      </c>
      <c r="D1994" s="1">
        <f>IFERROR(__xludf.DUMMYFUNCTION("""COMPUTED_VALUE"""),72.91)</f>
        <v>72.91</v>
      </c>
      <c r="E1994" s="1">
        <f>IFERROR(__xludf.DUMMYFUNCTION("""COMPUTED_VALUE"""),73.81)</f>
        <v>73.81</v>
      </c>
      <c r="F1994" s="1">
        <f>IFERROR(__xludf.DUMMYFUNCTION("""COMPUTED_VALUE"""),9682563.0)</f>
        <v>9682563</v>
      </c>
    </row>
    <row r="1995">
      <c r="A1995" s="2">
        <f>IFERROR(__xludf.DUMMYFUNCTION("""COMPUTED_VALUE"""),39422.666666666664)</f>
        <v>39422.66667</v>
      </c>
      <c r="B1995" s="1">
        <f>IFERROR(__xludf.DUMMYFUNCTION("""COMPUTED_VALUE"""),73.78)</f>
        <v>73.78</v>
      </c>
      <c r="C1995" s="1">
        <f>IFERROR(__xludf.DUMMYFUNCTION("""COMPUTED_VALUE"""),74.24)</f>
        <v>74.24</v>
      </c>
      <c r="D1995" s="1">
        <f>IFERROR(__xludf.DUMMYFUNCTION("""COMPUTED_VALUE"""),73.49)</f>
        <v>73.49</v>
      </c>
      <c r="E1995" s="1">
        <f>IFERROR(__xludf.DUMMYFUNCTION("""COMPUTED_VALUE"""),74.18)</f>
        <v>74.18</v>
      </c>
      <c r="F1995" s="1">
        <f>IFERROR(__xludf.DUMMYFUNCTION("""COMPUTED_VALUE"""),8469942.0)</f>
        <v>8469942</v>
      </c>
    </row>
    <row r="1996">
      <c r="A1996" s="2">
        <f>IFERROR(__xludf.DUMMYFUNCTION("""COMPUTED_VALUE"""),39423.666666666664)</f>
        <v>39423.66667</v>
      </c>
      <c r="B1996" s="1">
        <f>IFERROR(__xludf.DUMMYFUNCTION("""COMPUTED_VALUE"""),74.24)</f>
        <v>74.24</v>
      </c>
      <c r="C1996" s="1">
        <f>IFERROR(__xludf.DUMMYFUNCTION("""COMPUTED_VALUE"""),74.82)</f>
        <v>74.82</v>
      </c>
      <c r="D1996" s="1">
        <f>IFERROR(__xludf.DUMMYFUNCTION("""COMPUTED_VALUE"""),74.06)</f>
        <v>74.06</v>
      </c>
      <c r="E1996" s="1">
        <f>IFERROR(__xludf.DUMMYFUNCTION("""COMPUTED_VALUE"""),74.12)</f>
        <v>74.12</v>
      </c>
      <c r="F1996" s="1">
        <f>IFERROR(__xludf.DUMMYFUNCTION("""COMPUTED_VALUE"""),7692143.0)</f>
        <v>7692143</v>
      </c>
    </row>
    <row r="1997">
      <c r="A1997" s="2">
        <f>IFERROR(__xludf.DUMMYFUNCTION("""COMPUTED_VALUE"""),39426.666666666664)</f>
        <v>39426.66667</v>
      </c>
      <c r="B1997" s="1">
        <f>IFERROR(__xludf.DUMMYFUNCTION("""COMPUTED_VALUE"""),74.17)</f>
        <v>74.17</v>
      </c>
      <c r="C1997" s="1">
        <f>IFERROR(__xludf.DUMMYFUNCTION("""COMPUTED_VALUE"""),74.6)</f>
        <v>74.6</v>
      </c>
      <c r="D1997" s="1">
        <f>IFERROR(__xludf.DUMMYFUNCTION("""COMPUTED_VALUE"""),74.08)</f>
        <v>74.08</v>
      </c>
      <c r="E1997" s="1">
        <f>IFERROR(__xludf.DUMMYFUNCTION("""COMPUTED_VALUE"""),74.33)</f>
        <v>74.33</v>
      </c>
      <c r="F1997" s="1">
        <f>IFERROR(__xludf.DUMMYFUNCTION("""COMPUTED_VALUE"""),6521595.0)</f>
        <v>6521595</v>
      </c>
    </row>
    <row r="1998">
      <c r="A1998" s="2">
        <f>IFERROR(__xludf.DUMMYFUNCTION("""COMPUTED_VALUE"""),39427.666666666664)</f>
        <v>39427.66667</v>
      </c>
      <c r="B1998" s="1">
        <f>IFERROR(__xludf.DUMMYFUNCTION("""COMPUTED_VALUE"""),74.59)</f>
        <v>74.59</v>
      </c>
      <c r="C1998" s="1">
        <f>IFERROR(__xludf.DUMMYFUNCTION("""COMPUTED_VALUE"""),74.91)</f>
        <v>74.91</v>
      </c>
      <c r="D1998" s="1">
        <f>IFERROR(__xludf.DUMMYFUNCTION("""COMPUTED_VALUE"""),73.76)</f>
        <v>73.76</v>
      </c>
      <c r="E1998" s="1">
        <f>IFERROR(__xludf.DUMMYFUNCTION("""COMPUTED_VALUE"""),73.84)</f>
        <v>73.84</v>
      </c>
      <c r="F1998" s="1">
        <f>IFERROR(__xludf.DUMMYFUNCTION("""COMPUTED_VALUE"""),1.3287388E7)</f>
        <v>13287388</v>
      </c>
    </row>
    <row r="1999">
      <c r="A1999" s="2">
        <f>IFERROR(__xludf.DUMMYFUNCTION("""COMPUTED_VALUE"""),39428.666666666664)</f>
        <v>39428.66667</v>
      </c>
      <c r="B1999" s="1">
        <f>IFERROR(__xludf.DUMMYFUNCTION("""COMPUTED_VALUE"""),74.65)</f>
        <v>74.65</v>
      </c>
      <c r="C1999" s="1">
        <f>IFERROR(__xludf.DUMMYFUNCTION("""COMPUTED_VALUE"""),75.18)</f>
        <v>75.18</v>
      </c>
      <c r="D1999" s="1">
        <f>IFERROR(__xludf.DUMMYFUNCTION("""COMPUTED_VALUE"""),74.23)</f>
        <v>74.23</v>
      </c>
      <c r="E1999" s="1">
        <f>IFERROR(__xludf.DUMMYFUNCTION("""COMPUTED_VALUE"""),74.67)</f>
        <v>74.67</v>
      </c>
      <c r="F1999" s="1">
        <f>IFERROR(__xludf.DUMMYFUNCTION("""COMPUTED_VALUE"""),1.3647206E7)</f>
        <v>13647206</v>
      </c>
    </row>
    <row r="2000">
      <c r="A2000" s="2">
        <f>IFERROR(__xludf.DUMMYFUNCTION("""COMPUTED_VALUE"""),39429.666666666664)</f>
        <v>39429.66667</v>
      </c>
      <c r="B2000" s="1">
        <f>IFERROR(__xludf.DUMMYFUNCTION("""COMPUTED_VALUE"""),74.45)</f>
        <v>74.45</v>
      </c>
      <c r="C2000" s="1">
        <f>IFERROR(__xludf.DUMMYFUNCTION("""COMPUTED_VALUE"""),75.0)</f>
        <v>75</v>
      </c>
      <c r="D2000" s="1">
        <f>IFERROR(__xludf.DUMMYFUNCTION("""COMPUTED_VALUE"""),74.1)</f>
        <v>74.1</v>
      </c>
      <c r="E2000" s="1">
        <f>IFERROR(__xludf.DUMMYFUNCTION("""COMPUTED_VALUE"""),74.4)</f>
        <v>74.4</v>
      </c>
      <c r="F2000" s="1">
        <f>IFERROR(__xludf.DUMMYFUNCTION("""COMPUTED_VALUE"""),1.056942E7)</f>
        <v>10569420</v>
      </c>
    </row>
    <row r="2001">
      <c r="A2001" s="2">
        <f>IFERROR(__xludf.DUMMYFUNCTION("""COMPUTED_VALUE"""),39430.666666666664)</f>
        <v>39430.66667</v>
      </c>
      <c r="B2001" s="1">
        <f>IFERROR(__xludf.DUMMYFUNCTION("""COMPUTED_VALUE"""),74.37)</f>
        <v>74.37</v>
      </c>
      <c r="C2001" s="1">
        <f>IFERROR(__xludf.DUMMYFUNCTION("""COMPUTED_VALUE"""),74.5)</f>
        <v>74.5</v>
      </c>
      <c r="D2001" s="1">
        <f>IFERROR(__xludf.DUMMYFUNCTION("""COMPUTED_VALUE"""),73.85)</f>
        <v>73.85</v>
      </c>
      <c r="E2001" s="1">
        <f>IFERROR(__xludf.DUMMYFUNCTION("""COMPUTED_VALUE"""),73.9)</f>
        <v>73.9</v>
      </c>
      <c r="F2001" s="1">
        <f>IFERROR(__xludf.DUMMYFUNCTION("""COMPUTED_VALUE"""),1.3648077E7)</f>
        <v>13648077</v>
      </c>
    </row>
    <row r="2002">
      <c r="A2002" s="2">
        <f>IFERROR(__xludf.DUMMYFUNCTION("""COMPUTED_VALUE"""),39433.666666666664)</f>
        <v>39433.66667</v>
      </c>
      <c r="B2002" s="1">
        <f>IFERROR(__xludf.DUMMYFUNCTION("""COMPUTED_VALUE"""),73.73)</f>
        <v>73.73</v>
      </c>
      <c r="C2002" s="1">
        <f>IFERROR(__xludf.DUMMYFUNCTION("""COMPUTED_VALUE"""),73.94)</f>
        <v>73.94</v>
      </c>
      <c r="D2002" s="1">
        <f>IFERROR(__xludf.DUMMYFUNCTION("""COMPUTED_VALUE"""),73.09)</f>
        <v>73.09</v>
      </c>
      <c r="E2002" s="1">
        <f>IFERROR(__xludf.DUMMYFUNCTION("""COMPUTED_VALUE"""),73.24)</f>
        <v>73.24</v>
      </c>
      <c r="F2002" s="1">
        <f>IFERROR(__xludf.DUMMYFUNCTION("""COMPUTED_VALUE"""),1.3268713E7)</f>
        <v>13268713</v>
      </c>
    </row>
    <row r="2003">
      <c r="A2003" s="2">
        <f>IFERROR(__xludf.DUMMYFUNCTION("""COMPUTED_VALUE"""),39434.666666666664)</f>
        <v>39434.66667</v>
      </c>
      <c r="B2003" s="1">
        <f>IFERROR(__xludf.DUMMYFUNCTION("""COMPUTED_VALUE"""),73.65)</f>
        <v>73.65</v>
      </c>
      <c r="C2003" s="1">
        <f>IFERROR(__xludf.DUMMYFUNCTION("""COMPUTED_VALUE"""),73.65)</f>
        <v>73.65</v>
      </c>
      <c r="D2003" s="1">
        <f>IFERROR(__xludf.DUMMYFUNCTION("""COMPUTED_VALUE"""),72.52)</f>
        <v>72.52</v>
      </c>
      <c r="E2003" s="1">
        <f>IFERROR(__xludf.DUMMYFUNCTION("""COMPUTED_VALUE"""),72.84)</f>
        <v>72.84</v>
      </c>
      <c r="F2003" s="1">
        <f>IFERROR(__xludf.DUMMYFUNCTION("""COMPUTED_VALUE"""),1.0732045E7)</f>
        <v>10732045</v>
      </c>
    </row>
    <row r="2004">
      <c r="A2004" s="2">
        <f>IFERROR(__xludf.DUMMYFUNCTION("""COMPUTED_VALUE"""),39435.666666666664)</f>
        <v>39435.66667</v>
      </c>
      <c r="B2004" s="1">
        <f>IFERROR(__xludf.DUMMYFUNCTION("""COMPUTED_VALUE"""),72.78)</f>
        <v>72.78</v>
      </c>
      <c r="C2004" s="1">
        <f>IFERROR(__xludf.DUMMYFUNCTION("""COMPUTED_VALUE"""),73.62)</f>
        <v>73.62</v>
      </c>
      <c r="D2004" s="1">
        <f>IFERROR(__xludf.DUMMYFUNCTION("""COMPUTED_VALUE"""),72.66)</f>
        <v>72.66</v>
      </c>
      <c r="E2004" s="1">
        <f>IFERROR(__xludf.DUMMYFUNCTION("""COMPUTED_VALUE"""),72.98)</f>
        <v>72.98</v>
      </c>
      <c r="F2004" s="1">
        <f>IFERROR(__xludf.DUMMYFUNCTION("""COMPUTED_VALUE"""),8173334.0)</f>
        <v>8173334</v>
      </c>
    </row>
    <row r="2005">
      <c r="A2005" s="2">
        <f>IFERROR(__xludf.DUMMYFUNCTION("""COMPUTED_VALUE"""),39436.666666666664)</f>
        <v>39436.66667</v>
      </c>
      <c r="B2005" s="1">
        <f>IFERROR(__xludf.DUMMYFUNCTION("""COMPUTED_VALUE"""),73.38)</f>
        <v>73.38</v>
      </c>
      <c r="C2005" s="1">
        <f>IFERROR(__xludf.DUMMYFUNCTION("""COMPUTED_VALUE"""),73.49)</f>
        <v>73.49</v>
      </c>
      <c r="D2005" s="1">
        <f>IFERROR(__xludf.DUMMYFUNCTION("""COMPUTED_VALUE"""),73.0)</f>
        <v>73</v>
      </c>
      <c r="E2005" s="1">
        <f>IFERROR(__xludf.DUMMYFUNCTION("""COMPUTED_VALUE"""),73.19)</f>
        <v>73.19</v>
      </c>
      <c r="F2005" s="1">
        <f>IFERROR(__xludf.DUMMYFUNCTION("""COMPUTED_VALUE"""),7362131.0)</f>
        <v>7362131</v>
      </c>
    </row>
    <row r="2006">
      <c r="A2006" s="2">
        <f>IFERROR(__xludf.DUMMYFUNCTION("""COMPUTED_VALUE"""),39437.666666666664)</f>
        <v>39437.66667</v>
      </c>
      <c r="B2006" s="1">
        <f>IFERROR(__xludf.DUMMYFUNCTION("""COMPUTED_VALUE"""),73.41)</f>
        <v>73.41</v>
      </c>
      <c r="C2006" s="1">
        <f>IFERROR(__xludf.DUMMYFUNCTION("""COMPUTED_VALUE"""),74.33)</f>
        <v>74.33</v>
      </c>
      <c r="D2006" s="1">
        <f>IFERROR(__xludf.DUMMYFUNCTION("""COMPUTED_VALUE"""),73.34)</f>
        <v>73.34</v>
      </c>
      <c r="E2006" s="1">
        <f>IFERROR(__xludf.DUMMYFUNCTION("""COMPUTED_VALUE"""),74.08)</f>
        <v>74.08</v>
      </c>
      <c r="F2006" s="1">
        <f>IFERROR(__xludf.DUMMYFUNCTION("""COMPUTED_VALUE"""),1.6219929E7)</f>
        <v>16219929</v>
      </c>
    </row>
    <row r="2007">
      <c r="A2007" s="2">
        <f>IFERROR(__xludf.DUMMYFUNCTION("""COMPUTED_VALUE"""),39440.666666666664)</f>
        <v>39440.66667</v>
      </c>
      <c r="B2007" s="1">
        <f>IFERROR(__xludf.DUMMYFUNCTION("""COMPUTED_VALUE"""),74.03)</f>
        <v>74.03</v>
      </c>
      <c r="C2007" s="1">
        <f>IFERROR(__xludf.DUMMYFUNCTION("""COMPUTED_VALUE"""),74.44)</f>
        <v>74.44</v>
      </c>
      <c r="D2007" s="1">
        <f>IFERROR(__xludf.DUMMYFUNCTION("""COMPUTED_VALUE"""),73.7)</f>
        <v>73.7</v>
      </c>
      <c r="E2007" s="1">
        <f>IFERROR(__xludf.DUMMYFUNCTION("""COMPUTED_VALUE"""),73.94)</f>
        <v>73.94</v>
      </c>
      <c r="F2007" s="1">
        <f>IFERROR(__xludf.DUMMYFUNCTION("""COMPUTED_VALUE"""),2826952.0)</f>
        <v>2826952</v>
      </c>
    </row>
    <row r="2008">
      <c r="A2008" s="2">
        <f>IFERROR(__xludf.DUMMYFUNCTION("""COMPUTED_VALUE"""),39442.666666666664)</f>
        <v>39442.66667</v>
      </c>
      <c r="B2008" s="1">
        <f>IFERROR(__xludf.DUMMYFUNCTION("""COMPUTED_VALUE"""),73.91)</f>
        <v>73.91</v>
      </c>
      <c r="C2008" s="1">
        <f>IFERROR(__xludf.DUMMYFUNCTION("""COMPUTED_VALUE"""),74.2)</f>
        <v>74.2</v>
      </c>
      <c r="D2008" s="1">
        <f>IFERROR(__xludf.DUMMYFUNCTION("""COMPUTED_VALUE"""),73.77)</f>
        <v>73.77</v>
      </c>
      <c r="E2008" s="1">
        <f>IFERROR(__xludf.DUMMYFUNCTION("""COMPUTED_VALUE"""),74.04)</f>
        <v>74.04</v>
      </c>
      <c r="F2008" s="1">
        <f>IFERROR(__xludf.DUMMYFUNCTION("""COMPUTED_VALUE"""),6433792.0)</f>
        <v>6433792</v>
      </c>
    </row>
    <row r="2009">
      <c r="A2009" s="2">
        <f>IFERROR(__xludf.DUMMYFUNCTION("""COMPUTED_VALUE"""),39443.666666666664)</f>
        <v>39443.66667</v>
      </c>
      <c r="B2009" s="1">
        <f>IFERROR(__xludf.DUMMYFUNCTION("""COMPUTED_VALUE"""),73.8)</f>
        <v>73.8</v>
      </c>
      <c r="C2009" s="1">
        <f>IFERROR(__xludf.DUMMYFUNCTION("""COMPUTED_VALUE"""),74.26)</f>
        <v>74.26</v>
      </c>
      <c r="D2009" s="1">
        <f>IFERROR(__xludf.DUMMYFUNCTION("""COMPUTED_VALUE"""),73.62)</f>
        <v>73.62</v>
      </c>
      <c r="E2009" s="1">
        <f>IFERROR(__xludf.DUMMYFUNCTION("""COMPUTED_VALUE"""),73.89)</f>
        <v>73.89</v>
      </c>
      <c r="F2009" s="1">
        <f>IFERROR(__xludf.DUMMYFUNCTION("""COMPUTED_VALUE"""),6902899.0)</f>
        <v>6902899</v>
      </c>
    </row>
    <row r="2010">
      <c r="A2010" s="2">
        <f>IFERROR(__xludf.DUMMYFUNCTION("""COMPUTED_VALUE"""),39444.666666666664)</f>
        <v>39444.66667</v>
      </c>
      <c r="B2010" s="1">
        <f>IFERROR(__xludf.DUMMYFUNCTION("""COMPUTED_VALUE"""),74.06)</f>
        <v>74.06</v>
      </c>
      <c r="C2010" s="1">
        <f>IFERROR(__xludf.DUMMYFUNCTION("""COMPUTED_VALUE"""),74.49)</f>
        <v>74.49</v>
      </c>
      <c r="D2010" s="1">
        <f>IFERROR(__xludf.DUMMYFUNCTION("""COMPUTED_VALUE"""),73.82)</f>
        <v>73.82</v>
      </c>
      <c r="E2010" s="1">
        <f>IFERROR(__xludf.DUMMYFUNCTION("""COMPUTED_VALUE"""),74.25)</f>
        <v>74.25</v>
      </c>
      <c r="F2010" s="1">
        <f>IFERROR(__xludf.DUMMYFUNCTION("""COMPUTED_VALUE"""),6637862.0)</f>
        <v>6637862</v>
      </c>
    </row>
    <row r="2011">
      <c r="A2011" s="2">
        <f>IFERROR(__xludf.DUMMYFUNCTION("""COMPUTED_VALUE"""),39447.666666666664)</f>
        <v>39447.66667</v>
      </c>
      <c r="B2011" s="1">
        <f>IFERROR(__xludf.DUMMYFUNCTION("""COMPUTED_VALUE"""),74.25)</f>
        <v>74.25</v>
      </c>
      <c r="C2011" s="1">
        <f>IFERROR(__xludf.DUMMYFUNCTION("""COMPUTED_VALUE"""),74.26)</f>
        <v>74.26</v>
      </c>
      <c r="D2011" s="1">
        <f>IFERROR(__xludf.DUMMYFUNCTION("""COMPUTED_VALUE"""),73.23)</f>
        <v>73.23</v>
      </c>
      <c r="E2011" s="1">
        <f>IFERROR(__xludf.DUMMYFUNCTION("""COMPUTED_VALUE"""),73.42)</f>
        <v>73.42</v>
      </c>
      <c r="F2011" s="1">
        <f>IFERROR(__xludf.DUMMYFUNCTION("""COMPUTED_VALUE"""),7996649.0)</f>
        <v>7996649</v>
      </c>
    </row>
    <row r="2012">
      <c r="A2012" s="2">
        <f>IFERROR(__xludf.DUMMYFUNCTION("""COMPUTED_VALUE"""),39449.666666666664)</f>
        <v>39449.66667</v>
      </c>
      <c r="B2012" s="1">
        <f>IFERROR(__xludf.DUMMYFUNCTION("""COMPUTED_VALUE"""),73.29)</f>
        <v>73.29</v>
      </c>
      <c r="C2012" s="1">
        <f>IFERROR(__xludf.DUMMYFUNCTION("""COMPUTED_VALUE"""),73.59)</f>
        <v>73.59</v>
      </c>
      <c r="D2012" s="1">
        <f>IFERROR(__xludf.DUMMYFUNCTION("""COMPUTED_VALUE"""),71.87)</f>
        <v>71.87</v>
      </c>
      <c r="E2012" s="1">
        <f>IFERROR(__xludf.DUMMYFUNCTION("""COMPUTED_VALUE"""),72.31)</f>
        <v>72.31</v>
      </c>
      <c r="F2012" s="1">
        <f>IFERROR(__xludf.DUMMYFUNCTION("""COMPUTED_VALUE"""),1.2255349E7)</f>
        <v>12255349</v>
      </c>
    </row>
    <row r="2013">
      <c r="A2013" s="2">
        <f>IFERROR(__xludf.DUMMYFUNCTION("""COMPUTED_VALUE"""),39450.666666666664)</f>
        <v>39450.66667</v>
      </c>
      <c r="B2013" s="1">
        <f>IFERROR(__xludf.DUMMYFUNCTION("""COMPUTED_VALUE"""),72.41)</f>
        <v>72.41</v>
      </c>
      <c r="C2013" s="1">
        <f>IFERROR(__xludf.DUMMYFUNCTION("""COMPUTED_VALUE"""),73.33)</f>
        <v>73.33</v>
      </c>
      <c r="D2013" s="1">
        <f>IFERROR(__xludf.DUMMYFUNCTION("""COMPUTED_VALUE"""),72.0)</f>
        <v>72</v>
      </c>
      <c r="E2013" s="1">
        <f>IFERROR(__xludf.DUMMYFUNCTION("""COMPUTED_VALUE"""),72.31)</f>
        <v>72.31</v>
      </c>
      <c r="F2013" s="1">
        <f>IFERROR(__xludf.DUMMYFUNCTION("""COMPUTED_VALUE"""),1.1163055E7)</f>
        <v>11163055</v>
      </c>
    </row>
    <row r="2014">
      <c r="A2014" s="2">
        <f>IFERROR(__xludf.DUMMYFUNCTION("""COMPUTED_VALUE"""),39451.666666666664)</f>
        <v>39451.66667</v>
      </c>
      <c r="B2014" s="1">
        <f>IFERROR(__xludf.DUMMYFUNCTION("""COMPUTED_VALUE"""),71.99)</f>
        <v>71.99</v>
      </c>
      <c r="C2014" s="1">
        <f>IFERROR(__xludf.DUMMYFUNCTION("""COMPUTED_VALUE"""),72.99)</f>
        <v>72.99</v>
      </c>
      <c r="D2014" s="1">
        <f>IFERROR(__xludf.DUMMYFUNCTION("""COMPUTED_VALUE"""),71.7)</f>
        <v>71.7</v>
      </c>
      <c r="E2014" s="1">
        <f>IFERROR(__xludf.DUMMYFUNCTION("""COMPUTED_VALUE"""),72.02)</f>
        <v>72.02</v>
      </c>
      <c r="F2014" s="1">
        <f>IFERROR(__xludf.DUMMYFUNCTION("""COMPUTED_VALUE"""),1.0049275E7)</f>
        <v>10049275</v>
      </c>
    </row>
    <row r="2015">
      <c r="A2015" s="2">
        <f>IFERROR(__xludf.DUMMYFUNCTION("""COMPUTED_VALUE"""),39454.666666666664)</f>
        <v>39454.66667</v>
      </c>
      <c r="B2015" s="1">
        <f>IFERROR(__xludf.DUMMYFUNCTION("""COMPUTED_VALUE"""),72.24)</f>
        <v>72.24</v>
      </c>
      <c r="C2015" s="1">
        <f>IFERROR(__xludf.DUMMYFUNCTION("""COMPUTED_VALUE"""),72.67)</f>
        <v>72.67</v>
      </c>
      <c r="D2015" s="1">
        <f>IFERROR(__xludf.DUMMYFUNCTION("""COMPUTED_VALUE"""),71.9)</f>
        <v>71.9</v>
      </c>
      <c r="E2015" s="1">
        <f>IFERROR(__xludf.DUMMYFUNCTION("""COMPUTED_VALUE"""),72.49)</f>
        <v>72.49</v>
      </c>
      <c r="F2015" s="1">
        <f>IFERROR(__xludf.DUMMYFUNCTION("""COMPUTED_VALUE"""),1.1915993E7)</f>
        <v>11915993</v>
      </c>
    </row>
    <row r="2016">
      <c r="A2016" s="2">
        <f>IFERROR(__xludf.DUMMYFUNCTION("""COMPUTED_VALUE"""),39455.666666666664)</f>
        <v>39455.66667</v>
      </c>
      <c r="B2016" s="1">
        <f>IFERROR(__xludf.DUMMYFUNCTION("""COMPUTED_VALUE"""),72.7)</f>
        <v>72.7</v>
      </c>
      <c r="C2016" s="1">
        <f>IFERROR(__xludf.DUMMYFUNCTION("""COMPUTED_VALUE"""),73.81)</f>
        <v>73.81</v>
      </c>
      <c r="D2016" s="1">
        <f>IFERROR(__xludf.DUMMYFUNCTION("""COMPUTED_VALUE"""),72.0)</f>
        <v>72</v>
      </c>
      <c r="E2016" s="1">
        <f>IFERROR(__xludf.DUMMYFUNCTION("""COMPUTED_VALUE"""),72.68)</f>
        <v>72.68</v>
      </c>
      <c r="F2016" s="1">
        <f>IFERROR(__xludf.DUMMYFUNCTION("""COMPUTED_VALUE"""),1.7169076E7)</f>
        <v>17169076</v>
      </c>
    </row>
    <row r="2017">
      <c r="A2017" s="2">
        <f>IFERROR(__xludf.DUMMYFUNCTION("""COMPUTED_VALUE"""),39456.666666666664)</f>
        <v>39456.66667</v>
      </c>
      <c r="B2017" s="1">
        <f>IFERROR(__xludf.DUMMYFUNCTION("""COMPUTED_VALUE"""),72.54)</f>
        <v>72.54</v>
      </c>
      <c r="C2017" s="1">
        <f>IFERROR(__xludf.DUMMYFUNCTION("""COMPUTED_VALUE"""),73.6)</f>
        <v>73.6</v>
      </c>
      <c r="D2017" s="1">
        <f>IFERROR(__xludf.DUMMYFUNCTION("""COMPUTED_VALUE"""),72.06)</f>
        <v>72.06</v>
      </c>
      <c r="E2017" s="1">
        <f>IFERROR(__xludf.DUMMYFUNCTION("""COMPUTED_VALUE"""),72.54)</f>
        <v>72.54</v>
      </c>
      <c r="F2017" s="1">
        <f>IFERROR(__xludf.DUMMYFUNCTION("""COMPUTED_VALUE"""),1.487585E7)</f>
        <v>14875850</v>
      </c>
    </row>
    <row r="2018">
      <c r="A2018" s="2">
        <f>IFERROR(__xludf.DUMMYFUNCTION("""COMPUTED_VALUE"""),39457.666666666664)</f>
        <v>39457.66667</v>
      </c>
      <c r="B2018" s="1">
        <f>IFERROR(__xludf.DUMMYFUNCTION("""COMPUTED_VALUE"""),72.07)</f>
        <v>72.07</v>
      </c>
      <c r="C2018" s="1">
        <f>IFERROR(__xludf.DUMMYFUNCTION("""COMPUTED_VALUE"""),72.85)</f>
        <v>72.85</v>
      </c>
      <c r="D2018" s="1">
        <f>IFERROR(__xludf.DUMMYFUNCTION("""COMPUTED_VALUE"""),72.07)</f>
        <v>72.07</v>
      </c>
      <c r="E2018" s="1">
        <f>IFERROR(__xludf.DUMMYFUNCTION("""COMPUTED_VALUE"""),72.48)</f>
        <v>72.48</v>
      </c>
      <c r="F2018" s="1">
        <f>IFERROR(__xludf.DUMMYFUNCTION("""COMPUTED_VALUE"""),1.3039685E7)</f>
        <v>13039685</v>
      </c>
    </row>
    <row r="2019">
      <c r="A2019" s="2">
        <f>IFERROR(__xludf.DUMMYFUNCTION("""COMPUTED_VALUE"""),39458.666666666664)</f>
        <v>39458.66667</v>
      </c>
      <c r="B2019" s="1">
        <f>IFERROR(__xludf.DUMMYFUNCTION("""COMPUTED_VALUE"""),72.3)</f>
        <v>72.3</v>
      </c>
      <c r="C2019" s="1">
        <f>IFERROR(__xludf.DUMMYFUNCTION("""COMPUTED_VALUE"""),72.3)</f>
        <v>72.3</v>
      </c>
      <c r="D2019" s="1">
        <f>IFERROR(__xludf.DUMMYFUNCTION("""COMPUTED_VALUE"""),70.01)</f>
        <v>70.01</v>
      </c>
      <c r="E2019" s="1">
        <f>IFERROR(__xludf.DUMMYFUNCTION("""COMPUTED_VALUE"""),70.18)</f>
        <v>70.18</v>
      </c>
      <c r="F2019" s="1">
        <f>IFERROR(__xludf.DUMMYFUNCTION("""COMPUTED_VALUE"""),1.8046424E7)</f>
        <v>18046424</v>
      </c>
    </row>
    <row r="2020">
      <c r="A2020" s="2">
        <f>IFERROR(__xludf.DUMMYFUNCTION("""COMPUTED_VALUE"""),39461.666666666664)</f>
        <v>39461.66667</v>
      </c>
      <c r="B2020" s="1">
        <f>IFERROR(__xludf.DUMMYFUNCTION("""COMPUTED_VALUE"""),70.82)</f>
        <v>70.82</v>
      </c>
      <c r="C2020" s="1">
        <f>IFERROR(__xludf.DUMMYFUNCTION("""COMPUTED_VALUE"""),70.89)</f>
        <v>70.89</v>
      </c>
      <c r="D2020" s="1">
        <f>IFERROR(__xludf.DUMMYFUNCTION("""COMPUTED_VALUE"""),70.01)</f>
        <v>70.01</v>
      </c>
      <c r="E2020" s="1">
        <f>IFERROR(__xludf.DUMMYFUNCTION("""COMPUTED_VALUE"""),70.29)</f>
        <v>70.29</v>
      </c>
      <c r="F2020" s="1">
        <f>IFERROR(__xludf.DUMMYFUNCTION("""COMPUTED_VALUE"""),1.3145704E7)</f>
        <v>13145704</v>
      </c>
    </row>
    <row r="2021">
      <c r="A2021" s="2">
        <f>IFERROR(__xludf.DUMMYFUNCTION("""COMPUTED_VALUE"""),39462.666666666664)</f>
        <v>39462.66667</v>
      </c>
      <c r="B2021" s="1">
        <f>IFERROR(__xludf.DUMMYFUNCTION("""COMPUTED_VALUE"""),70.0)</f>
        <v>70</v>
      </c>
      <c r="C2021" s="1">
        <f>IFERROR(__xludf.DUMMYFUNCTION("""COMPUTED_VALUE"""),70.79)</f>
        <v>70.79</v>
      </c>
      <c r="D2021" s="1">
        <f>IFERROR(__xludf.DUMMYFUNCTION("""COMPUTED_VALUE"""),69.23)</f>
        <v>69.23</v>
      </c>
      <c r="E2021" s="1">
        <f>IFERROR(__xludf.DUMMYFUNCTION("""COMPUTED_VALUE"""),69.7)</f>
        <v>69.7</v>
      </c>
      <c r="F2021" s="1">
        <f>IFERROR(__xludf.DUMMYFUNCTION("""COMPUTED_VALUE"""),1.2662056E7)</f>
        <v>12662056</v>
      </c>
    </row>
    <row r="2022">
      <c r="A2022" s="2">
        <f>IFERROR(__xludf.DUMMYFUNCTION("""COMPUTED_VALUE"""),39463.666666666664)</f>
        <v>39463.66667</v>
      </c>
      <c r="B2022" s="1">
        <f>IFERROR(__xludf.DUMMYFUNCTION("""COMPUTED_VALUE"""),69.25)</f>
        <v>69.25</v>
      </c>
      <c r="C2022" s="1">
        <f>IFERROR(__xludf.DUMMYFUNCTION("""COMPUTED_VALUE"""),69.96)</f>
        <v>69.96</v>
      </c>
      <c r="D2022" s="1">
        <f>IFERROR(__xludf.DUMMYFUNCTION("""COMPUTED_VALUE"""),68.77)</f>
        <v>68.77</v>
      </c>
      <c r="E2022" s="1">
        <f>IFERROR(__xludf.DUMMYFUNCTION("""COMPUTED_VALUE"""),68.84)</f>
        <v>68.84</v>
      </c>
      <c r="F2022" s="1">
        <f>IFERROR(__xludf.DUMMYFUNCTION("""COMPUTED_VALUE"""),1.4936844E7)</f>
        <v>14936844</v>
      </c>
    </row>
    <row r="2023">
      <c r="A2023" s="2">
        <f>IFERROR(__xludf.DUMMYFUNCTION("""COMPUTED_VALUE"""),39464.666666666664)</f>
        <v>39464.66667</v>
      </c>
      <c r="B2023" s="1">
        <f>IFERROR(__xludf.DUMMYFUNCTION("""COMPUTED_VALUE"""),68.95)</f>
        <v>68.95</v>
      </c>
      <c r="C2023" s="1">
        <f>IFERROR(__xludf.DUMMYFUNCTION("""COMPUTED_VALUE"""),69.46)</f>
        <v>69.46</v>
      </c>
      <c r="D2023" s="1">
        <f>IFERROR(__xludf.DUMMYFUNCTION("""COMPUTED_VALUE"""),67.85)</f>
        <v>67.85</v>
      </c>
      <c r="E2023" s="1">
        <f>IFERROR(__xludf.DUMMYFUNCTION("""COMPUTED_VALUE"""),68.07)</f>
        <v>68.07</v>
      </c>
      <c r="F2023" s="1">
        <f>IFERROR(__xludf.DUMMYFUNCTION("""COMPUTED_VALUE"""),1.5130977E7)</f>
        <v>15130977</v>
      </c>
    </row>
    <row r="2024">
      <c r="A2024" s="2">
        <f>IFERROR(__xludf.DUMMYFUNCTION("""COMPUTED_VALUE"""),39465.666666666664)</f>
        <v>39465.66667</v>
      </c>
      <c r="B2024" s="1">
        <f>IFERROR(__xludf.DUMMYFUNCTION("""COMPUTED_VALUE"""),68.6)</f>
        <v>68.6</v>
      </c>
      <c r="C2024" s="1">
        <f>IFERROR(__xludf.DUMMYFUNCTION("""COMPUTED_VALUE"""),68.65)</f>
        <v>68.65</v>
      </c>
      <c r="D2024" s="1">
        <f>IFERROR(__xludf.DUMMYFUNCTION("""COMPUTED_VALUE"""),66.7)</f>
        <v>66.7</v>
      </c>
      <c r="E2024" s="1">
        <f>IFERROR(__xludf.DUMMYFUNCTION("""COMPUTED_VALUE"""),67.15)</f>
        <v>67.15</v>
      </c>
      <c r="F2024" s="1">
        <f>IFERROR(__xludf.DUMMYFUNCTION("""COMPUTED_VALUE"""),1.7974944E7)</f>
        <v>17974944</v>
      </c>
    </row>
    <row r="2025">
      <c r="A2025" s="2">
        <f>IFERROR(__xludf.DUMMYFUNCTION("""COMPUTED_VALUE"""),39469.666666666664)</f>
        <v>39469.66667</v>
      </c>
      <c r="B2025" s="1">
        <f>IFERROR(__xludf.DUMMYFUNCTION("""COMPUTED_VALUE"""),64.19)</f>
        <v>64.19</v>
      </c>
      <c r="C2025" s="1">
        <f>IFERROR(__xludf.DUMMYFUNCTION("""COMPUTED_VALUE"""),65.93)</f>
        <v>65.93</v>
      </c>
      <c r="D2025" s="1">
        <f>IFERROR(__xludf.DUMMYFUNCTION("""COMPUTED_VALUE"""),62.81)</f>
        <v>62.81</v>
      </c>
      <c r="E2025" s="1">
        <f>IFERROR(__xludf.DUMMYFUNCTION("""COMPUTED_VALUE"""),65.13)</f>
        <v>65.13</v>
      </c>
      <c r="F2025" s="1">
        <f>IFERROR(__xludf.DUMMYFUNCTION("""COMPUTED_VALUE"""),2.5637428E7)</f>
        <v>25637428</v>
      </c>
    </row>
    <row r="2026">
      <c r="A2026" s="2">
        <f>IFERROR(__xludf.DUMMYFUNCTION("""COMPUTED_VALUE"""),39470.666666666664)</f>
        <v>39470.66667</v>
      </c>
      <c r="B2026" s="1">
        <f>IFERROR(__xludf.DUMMYFUNCTION("""COMPUTED_VALUE"""),62.74)</f>
        <v>62.74</v>
      </c>
      <c r="C2026" s="1">
        <f>IFERROR(__xludf.DUMMYFUNCTION("""COMPUTED_VALUE"""),66.5)</f>
        <v>66.5</v>
      </c>
      <c r="D2026" s="1">
        <f>IFERROR(__xludf.DUMMYFUNCTION("""COMPUTED_VALUE"""),62.74)</f>
        <v>62.74</v>
      </c>
      <c r="E2026" s="1">
        <f>IFERROR(__xludf.DUMMYFUNCTION("""COMPUTED_VALUE"""),66.24)</f>
        <v>66.24</v>
      </c>
      <c r="F2026" s="1">
        <f>IFERROR(__xludf.DUMMYFUNCTION("""COMPUTED_VALUE"""),1.848722E7)</f>
        <v>18487220</v>
      </c>
    </row>
    <row r="2027">
      <c r="A2027" s="2">
        <f>IFERROR(__xludf.DUMMYFUNCTION("""COMPUTED_VALUE"""),39471.666666666664)</f>
        <v>39471.66667</v>
      </c>
      <c r="B2027" s="1">
        <f>IFERROR(__xludf.DUMMYFUNCTION("""COMPUTED_VALUE"""),66.64)</f>
        <v>66.64</v>
      </c>
      <c r="C2027" s="1">
        <f>IFERROR(__xludf.DUMMYFUNCTION("""COMPUTED_VALUE"""),66.78)</f>
        <v>66.78</v>
      </c>
      <c r="D2027" s="1">
        <f>IFERROR(__xludf.DUMMYFUNCTION("""COMPUTED_VALUE"""),65.35)</f>
        <v>65.35</v>
      </c>
      <c r="E2027" s="1">
        <f>IFERROR(__xludf.DUMMYFUNCTION("""COMPUTED_VALUE"""),66.15)</f>
        <v>66.15</v>
      </c>
      <c r="F2027" s="1">
        <f>IFERROR(__xludf.DUMMYFUNCTION("""COMPUTED_VALUE"""),1.202782E7)</f>
        <v>12027820</v>
      </c>
    </row>
    <row r="2028">
      <c r="A2028" s="2">
        <f>IFERROR(__xludf.DUMMYFUNCTION("""COMPUTED_VALUE"""),39472.666666666664)</f>
        <v>39472.66667</v>
      </c>
      <c r="B2028" s="1">
        <f>IFERROR(__xludf.DUMMYFUNCTION("""COMPUTED_VALUE"""),66.83)</f>
        <v>66.83</v>
      </c>
      <c r="C2028" s="1">
        <f>IFERROR(__xludf.DUMMYFUNCTION("""COMPUTED_VALUE"""),66.83)</f>
        <v>66.83</v>
      </c>
      <c r="D2028" s="1">
        <f>IFERROR(__xludf.DUMMYFUNCTION("""COMPUTED_VALUE"""),65.29)</f>
        <v>65.29</v>
      </c>
      <c r="E2028" s="1">
        <f>IFERROR(__xludf.DUMMYFUNCTION("""COMPUTED_VALUE"""),65.31)</f>
        <v>65.31</v>
      </c>
      <c r="F2028" s="1">
        <f>IFERROR(__xludf.DUMMYFUNCTION("""COMPUTED_VALUE"""),1.3000402E7)</f>
        <v>13000402</v>
      </c>
    </row>
    <row r="2029">
      <c r="A2029" s="2">
        <f>IFERROR(__xludf.DUMMYFUNCTION("""COMPUTED_VALUE"""),39475.666666666664)</f>
        <v>39475.66667</v>
      </c>
      <c r="B2029" s="1">
        <f>IFERROR(__xludf.DUMMYFUNCTION("""COMPUTED_VALUE"""),65.53)</f>
        <v>65.53</v>
      </c>
      <c r="C2029" s="1">
        <f>IFERROR(__xludf.DUMMYFUNCTION("""COMPUTED_VALUE"""),65.7)</f>
        <v>65.7</v>
      </c>
      <c r="D2029" s="1">
        <f>IFERROR(__xludf.DUMMYFUNCTION("""COMPUTED_VALUE"""),64.9)</f>
        <v>64.9</v>
      </c>
      <c r="E2029" s="1">
        <f>IFERROR(__xludf.DUMMYFUNCTION("""COMPUTED_VALUE"""),65.29)</f>
        <v>65.29</v>
      </c>
      <c r="F2029" s="1">
        <f>IFERROR(__xludf.DUMMYFUNCTION("""COMPUTED_VALUE"""),1.2868576E7)</f>
        <v>12868576</v>
      </c>
    </row>
    <row r="2030">
      <c r="A2030" s="2">
        <f>IFERROR(__xludf.DUMMYFUNCTION("""COMPUTED_VALUE"""),39476.666666666664)</f>
        <v>39476.66667</v>
      </c>
      <c r="B2030" s="1">
        <f>IFERROR(__xludf.DUMMYFUNCTION("""COMPUTED_VALUE"""),65.57)</f>
        <v>65.57</v>
      </c>
      <c r="C2030" s="1">
        <f>IFERROR(__xludf.DUMMYFUNCTION("""COMPUTED_VALUE"""),65.6)</f>
        <v>65.6</v>
      </c>
      <c r="D2030" s="1">
        <f>IFERROR(__xludf.DUMMYFUNCTION("""COMPUTED_VALUE"""),64.65)</f>
        <v>64.65</v>
      </c>
      <c r="E2030" s="1">
        <f>IFERROR(__xludf.DUMMYFUNCTION("""COMPUTED_VALUE"""),64.68)</f>
        <v>64.68</v>
      </c>
      <c r="F2030" s="1">
        <f>IFERROR(__xludf.DUMMYFUNCTION("""COMPUTED_VALUE"""),1.2683587E7)</f>
        <v>12683587</v>
      </c>
    </row>
    <row r="2031">
      <c r="A2031" s="2">
        <f>IFERROR(__xludf.DUMMYFUNCTION("""COMPUTED_VALUE"""),39477.666666666664)</f>
        <v>39477.66667</v>
      </c>
      <c r="B2031" s="1">
        <f>IFERROR(__xludf.DUMMYFUNCTION("""COMPUTED_VALUE"""),64.7)</f>
        <v>64.7</v>
      </c>
      <c r="C2031" s="1">
        <f>IFERROR(__xludf.DUMMYFUNCTION("""COMPUTED_VALUE"""),65.93)</f>
        <v>65.93</v>
      </c>
      <c r="D2031" s="1">
        <f>IFERROR(__xludf.DUMMYFUNCTION("""COMPUTED_VALUE"""),64.6)</f>
        <v>64.6</v>
      </c>
      <c r="E2031" s="1">
        <f>IFERROR(__xludf.DUMMYFUNCTION("""COMPUTED_VALUE"""),65.09)</f>
        <v>65.09</v>
      </c>
      <c r="F2031" s="1">
        <f>IFERROR(__xludf.DUMMYFUNCTION("""COMPUTED_VALUE"""),1.2264821E7)</f>
        <v>12264821</v>
      </c>
    </row>
    <row r="2032">
      <c r="A2032" s="2">
        <f>IFERROR(__xludf.DUMMYFUNCTION("""COMPUTED_VALUE"""),39478.666666666664)</f>
        <v>39478.66667</v>
      </c>
      <c r="B2032" s="1">
        <f>IFERROR(__xludf.DUMMYFUNCTION("""COMPUTED_VALUE"""),63.79)</f>
        <v>63.79</v>
      </c>
      <c r="C2032" s="1">
        <f>IFERROR(__xludf.DUMMYFUNCTION("""COMPUTED_VALUE"""),65.95)</f>
        <v>65.95</v>
      </c>
      <c r="D2032" s="1">
        <f>IFERROR(__xludf.DUMMYFUNCTION("""COMPUTED_VALUE"""),63.78)</f>
        <v>63.78</v>
      </c>
      <c r="E2032" s="1">
        <f>IFERROR(__xludf.DUMMYFUNCTION("""COMPUTED_VALUE"""),65.42)</f>
        <v>65.42</v>
      </c>
      <c r="F2032" s="1">
        <f>IFERROR(__xludf.DUMMYFUNCTION("""COMPUTED_VALUE"""),1.9882168E7)</f>
        <v>19882168</v>
      </c>
    </row>
    <row r="2033">
      <c r="A2033" s="2">
        <f>IFERROR(__xludf.DUMMYFUNCTION("""COMPUTED_VALUE"""),39479.666666666664)</f>
        <v>39479.66667</v>
      </c>
      <c r="B2033" s="1">
        <f>IFERROR(__xludf.DUMMYFUNCTION("""COMPUTED_VALUE"""),66.15)</f>
        <v>66.15</v>
      </c>
      <c r="C2033" s="1">
        <f>IFERROR(__xludf.DUMMYFUNCTION("""COMPUTED_VALUE"""),66.68)</f>
        <v>66.68</v>
      </c>
      <c r="D2033" s="1">
        <f>IFERROR(__xludf.DUMMYFUNCTION("""COMPUTED_VALUE"""),65.44)</f>
        <v>65.44</v>
      </c>
      <c r="E2033" s="1">
        <f>IFERROR(__xludf.DUMMYFUNCTION("""COMPUTED_VALUE"""),66.05)</f>
        <v>66.05</v>
      </c>
      <c r="F2033" s="1">
        <f>IFERROR(__xludf.DUMMYFUNCTION("""COMPUTED_VALUE"""),1.2166656E7)</f>
        <v>12166656</v>
      </c>
    </row>
    <row r="2034">
      <c r="A2034" s="2">
        <f>IFERROR(__xludf.DUMMYFUNCTION("""COMPUTED_VALUE"""),39482.666666666664)</f>
        <v>39482.66667</v>
      </c>
      <c r="B2034" s="1">
        <f>IFERROR(__xludf.DUMMYFUNCTION("""COMPUTED_VALUE"""),66.56)</f>
        <v>66.56</v>
      </c>
      <c r="C2034" s="1">
        <f>IFERROR(__xludf.DUMMYFUNCTION("""COMPUTED_VALUE"""),67.02)</f>
        <v>67.02</v>
      </c>
      <c r="D2034" s="1">
        <f>IFERROR(__xludf.DUMMYFUNCTION("""COMPUTED_VALUE"""),66.15)</f>
        <v>66.15</v>
      </c>
      <c r="E2034" s="1">
        <f>IFERROR(__xludf.DUMMYFUNCTION("""COMPUTED_VALUE"""),66.15)</f>
        <v>66.15</v>
      </c>
      <c r="F2034" s="1">
        <f>IFERROR(__xludf.DUMMYFUNCTION("""COMPUTED_VALUE"""),1.0342966E7)</f>
        <v>10342966</v>
      </c>
    </row>
    <row r="2035">
      <c r="A2035" s="2">
        <f>IFERROR(__xludf.DUMMYFUNCTION("""COMPUTED_VALUE"""),39483.666666666664)</f>
        <v>39483.66667</v>
      </c>
      <c r="B2035" s="1">
        <f>IFERROR(__xludf.DUMMYFUNCTION("""COMPUTED_VALUE"""),66.06)</f>
        <v>66.06</v>
      </c>
      <c r="C2035" s="1">
        <f>IFERROR(__xludf.DUMMYFUNCTION("""COMPUTED_VALUE"""),66.31)</f>
        <v>66.31</v>
      </c>
      <c r="D2035" s="1">
        <f>IFERROR(__xludf.DUMMYFUNCTION("""COMPUTED_VALUE"""),64.98)</f>
        <v>64.98</v>
      </c>
      <c r="E2035" s="1">
        <f>IFERROR(__xludf.DUMMYFUNCTION("""COMPUTED_VALUE"""),65.04)</f>
        <v>65.04</v>
      </c>
      <c r="F2035" s="1">
        <f>IFERROR(__xludf.DUMMYFUNCTION("""COMPUTED_VALUE"""),1.4270893E7)</f>
        <v>14270893</v>
      </c>
    </row>
    <row r="2036">
      <c r="A2036" s="2">
        <f>IFERROR(__xludf.DUMMYFUNCTION("""COMPUTED_VALUE"""),39484.666666666664)</f>
        <v>39484.66667</v>
      </c>
      <c r="B2036" s="1">
        <f>IFERROR(__xludf.DUMMYFUNCTION("""COMPUTED_VALUE"""),65.02)</f>
        <v>65.02</v>
      </c>
      <c r="C2036" s="1">
        <f>IFERROR(__xludf.DUMMYFUNCTION("""COMPUTED_VALUE"""),65.46)</f>
        <v>65.46</v>
      </c>
      <c r="D2036" s="1">
        <f>IFERROR(__xludf.DUMMYFUNCTION("""COMPUTED_VALUE"""),64.81)</f>
        <v>64.81</v>
      </c>
      <c r="E2036" s="1">
        <f>IFERROR(__xludf.DUMMYFUNCTION("""COMPUTED_VALUE"""),65.31)</f>
        <v>65.31</v>
      </c>
      <c r="F2036" s="1">
        <f>IFERROR(__xludf.DUMMYFUNCTION("""COMPUTED_VALUE"""),1.3842155E7)</f>
        <v>13842155</v>
      </c>
    </row>
    <row r="2037">
      <c r="A2037" s="2">
        <f>IFERROR(__xludf.DUMMYFUNCTION("""COMPUTED_VALUE"""),39485.666666666664)</f>
        <v>39485.66667</v>
      </c>
      <c r="B2037" s="1">
        <f>IFERROR(__xludf.DUMMYFUNCTION("""COMPUTED_VALUE"""),65.3)</f>
        <v>65.3</v>
      </c>
      <c r="C2037" s="1">
        <f>IFERROR(__xludf.DUMMYFUNCTION("""COMPUTED_VALUE"""),66.34)</f>
        <v>66.34</v>
      </c>
      <c r="D2037" s="1">
        <f>IFERROR(__xludf.DUMMYFUNCTION("""COMPUTED_VALUE"""),65.08)</f>
        <v>65.08</v>
      </c>
      <c r="E2037" s="1">
        <f>IFERROR(__xludf.DUMMYFUNCTION("""COMPUTED_VALUE"""),65.77)</f>
        <v>65.77</v>
      </c>
      <c r="F2037" s="1">
        <f>IFERROR(__xludf.DUMMYFUNCTION("""COMPUTED_VALUE"""),1.6197782E7)</f>
        <v>16197782</v>
      </c>
    </row>
    <row r="2038">
      <c r="A2038" s="2">
        <f>IFERROR(__xludf.DUMMYFUNCTION("""COMPUTED_VALUE"""),39486.666666666664)</f>
        <v>39486.66667</v>
      </c>
      <c r="B2038" s="1">
        <f>IFERROR(__xludf.DUMMYFUNCTION("""COMPUTED_VALUE"""),65.52)</f>
        <v>65.52</v>
      </c>
      <c r="C2038" s="1">
        <f>IFERROR(__xludf.DUMMYFUNCTION("""COMPUTED_VALUE"""),65.75)</f>
        <v>65.75</v>
      </c>
      <c r="D2038" s="1">
        <f>IFERROR(__xludf.DUMMYFUNCTION("""COMPUTED_VALUE"""),64.85)</f>
        <v>64.85</v>
      </c>
      <c r="E2038" s="1">
        <f>IFERROR(__xludf.DUMMYFUNCTION("""COMPUTED_VALUE"""),65.02)</f>
        <v>65.02</v>
      </c>
      <c r="F2038" s="1">
        <f>IFERROR(__xludf.DUMMYFUNCTION("""COMPUTED_VALUE"""),9270950.0)</f>
        <v>9270950</v>
      </c>
    </row>
    <row r="2039">
      <c r="A2039" s="2">
        <f>IFERROR(__xludf.DUMMYFUNCTION("""COMPUTED_VALUE"""),39489.666666666664)</f>
        <v>39489.66667</v>
      </c>
      <c r="B2039" s="1">
        <f>IFERROR(__xludf.DUMMYFUNCTION("""COMPUTED_VALUE"""),64.91)</f>
        <v>64.91</v>
      </c>
      <c r="C2039" s="1">
        <f>IFERROR(__xludf.DUMMYFUNCTION("""COMPUTED_VALUE"""),66.03)</f>
        <v>66.03</v>
      </c>
      <c r="D2039" s="1">
        <f>IFERROR(__xludf.DUMMYFUNCTION("""COMPUTED_VALUE"""),64.73)</f>
        <v>64.73</v>
      </c>
      <c r="E2039" s="1">
        <f>IFERROR(__xludf.DUMMYFUNCTION("""COMPUTED_VALUE"""),66.0)</f>
        <v>66</v>
      </c>
      <c r="F2039" s="1">
        <f>IFERROR(__xludf.DUMMYFUNCTION("""COMPUTED_VALUE"""),1.0332733E7)</f>
        <v>10332733</v>
      </c>
    </row>
    <row r="2040">
      <c r="A2040" s="2">
        <f>IFERROR(__xludf.DUMMYFUNCTION("""COMPUTED_VALUE"""),39490.666666666664)</f>
        <v>39490.66667</v>
      </c>
      <c r="B2040" s="1">
        <f>IFERROR(__xludf.DUMMYFUNCTION("""COMPUTED_VALUE"""),66.43)</f>
        <v>66.43</v>
      </c>
      <c r="C2040" s="1">
        <f>IFERROR(__xludf.DUMMYFUNCTION("""COMPUTED_VALUE"""),67.4)</f>
        <v>67.4</v>
      </c>
      <c r="D2040" s="1">
        <f>IFERROR(__xludf.DUMMYFUNCTION("""COMPUTED_VALUE"""),66.08)</f>
        <v>66.08</v>
      </c>
      <c r="E2040" s="1">
        <f>IFERROR(__xludf.DUMMYFUNCTION("""COMPUTED_VALUE"""),67.16)</f>
        <v>67.16</v>
      </c>
      <c r="F2040" s="1">
        <f>IFERROR(__xludf.DUMMYFUNCTION("""COMPUTED_VALUE"""),1.1107509E7)</f>
        <v>11107509</v>
      </c>
    </row>
    <row r="2041">
      <c r="A2041" s="2">
        <f>IFERROR(__xludf.DUMMYFUNCTION("""COMPUTED_VALUE"""),39491.666666666664)</f>
        <v>39491.66667</v>
      </c>
      <c r="B2041" s="1">
        <f>IFERROR(__xludf.DUMMYFUNCTION("""COMPUTED_VALUE"""),67.39)</f>
        <v>67.39</v>
      </c>
      <c r="C2041" s="1">
        <f>IFERROR(__xludf.DUMMYFUNCTION("""COMPUTED_VALUE"""),67.74)</f>
        <v>67.74</v>
      </c>
      <c r="D2041" s="1">
        <f>IFERROR(__xludf.DUMMYFUNCTION("""COMPUTED_VALUE"""),66.77)</f>
        <v>66.77</v>
      </c>
      <c r="E2041" s="1">
        <f>IFERROR(__xludf.DUMMYFUNCTION("""COMPUTED_VALUE"""),67.0)</f>
        <v>67</v>
      </c>
      <c r="F2041" s="1">
        <f>IFERROR(__xludf.DUMMYFUNCTION("""COMPUTED_VALUE"""),1.105178E7)</f>
        <v>11051780</v>
      </c>
    </row>
    <row r="2042">
      <c r="A2042" s="2">
        <f>IFERROR(__xludf.DUMMYFUNCTION("""COMPUTED_VALUE"""),39492.666666666664)</f>
        <v>39492.66667</v>
      </c>
      <c r="B2042" s="1">
        <f>IFERROR(__xludf.DUMMYFUNCTION("""COMPUTED_VALUE"""),67.14)</f>
        <v>67.14</v>
      </c>
      <c r="C2042" s="1">
        <f>IFERROR(__xludf.DUMMYFUNCTION("""COMPUTED_VALUE"""),67.45)</f>
        <v>67.45</v>
      </c>
      <c r="D2042" s="1">
        <f>IFERROR(__xludf.DUMMYFUNCTION("""COMPUTED_VALUE"""),66.26)</f>
        <v>66.26</v>
      </c>
      <c r="E2042" s="1">
        <f>IFERROR(__xludf.DUMMYFUNCTION("""COMPUTED_VALUE"""),66.63)</f>
        <v>66.63</v>
      </c>
      <c r="F2042" s="1">
        <f>IFERROR(__xludf.DUMMYFUNCTION("""COMPUTED_VALUE"""),1.0952106E7)</f>
        <v>10952106</v>
      </c>
    </row>
    <row r="2043">
      <c r="A2043" s="2">
        <f>IFERROR(__xludf.DUMMYFUNCTION("""COMPUTED_VALUE"""),39493.666666666664)</f>
        <v>39493.66667</v>
      </c>
      <c r="B2043" s="1">
        <f>IFERROR(__xludf.DUMMYFUNCTION("""COMPUTED_VALUE"""),66.63)</f>
        <v>66.63</v>
      </c>
      <c r="C2043" s="1">
        <f>IFERROR(__xludf.DUMMYFUNCTION("""COMPUTED_VALUE"""),66.9)</f>
        <v>66.9</v>
      </c>
      <c r="D2043" s="1">
        <f>IFERROR(__xludf.DUMMYFUNCTION("""COMPUTED_VALUE"""),66.15)</f>
        <v>66.15</v>
      </c>
      <c r="E2043" s="1">
        <f>IFERROR(__xludf.DUMMYFUNCTION("""COMPUTED_VALUE"""),66.3)</f>
        <v>66.3</v>
      </c>
      <c r="F2043" s="1">
        <f>IFERROR(__xludf.DUMMYFUNCTION("""COMPUTED_VALUE"""),1.1756032E7)</f>
        <v>11756032</v>
      </c>
    </row>
    <row r="2044">
      <c r="A2044" s="2">
        <f>IFERROR(__xludf.DUMMYFUNCTION("""COMPUTED_VALUE"""),39497.666666666664)</f>
        <v>39497.66667</v>
      </c>
      <c r="B2044" s="1">
        <f>IFERROR(__xludf.DUMMYFUNCTION("""COMPUTED_VALUE"""),66.93)</f>
        <v>66.93</v>
      </c>
      <c r="C2044" s="1">
        <f>IFERROR(__xludf.DUMMYFUNCTION("""COMPUTED_VALUE"""),66.93)</f>
        <v>66.93</v>
      </c>
      <c r="D2044" s="1">
        <f>IFERROR(__xludf.DUMMYFUNCTION("""COMPUTED_VALUE"""),66.1)</f>
        <v>66.1</v>
      </c>
      <c r="E2044" s="1">
        <f>IFERROR(__xludf.DUMMYFUNCTION("""COMPUTED_VALUE"""),66.31)</f>
        <v>66.31</v>
      </c>
      <c r="F2044" s="1">
        <f>IFERROR(__xludf.DUMMYFUNCTION("""COMPUTED_VALUE"""),1.0403927E7)</f>
        <v>10403927</v>
      </c>
    </row>
    <row r="2045">
      <c r="A2045" s="2">
        <f>IFERROR(__xludf.DUMMYFUNCTION("""COMPUTED_VALUE"""),39498.666666666664)</f>
        <v>39498.66667</v>
      </c>
      <c r="B2045" s="1">
        <f>IFERROR(__xludf.DUMMYFUNCTION("""COMPUTED_VALUE"""),66.15)</f>
        <v>66.15</v>
      </c>
      <c r="C2045" s="1">
        <f>IFERROR(__xludf.DUMMYFUNCTION("""COMPUTED_VALUE"""),66.23)</f>
        <v>66.23</v>
      </c>
      <c r="D2045" s="1">
        <f>IFERROR(__xludf.DUMMYFUNCTION("""COMPUTED_VALUE"""),65.62)</f>
        <v>65.62</v>
      </c>
      <c r="E2045" s="1">
        <f>IFERROR(__xludf.DUMMYFUNCTION("""COMPUTED_VALUE"""),66.17)</f>
        <v>66.17</v>
      </c>
      <c r="F2045" s="1">
        <f>IFERROR(__xludf.DUMMYFUNCTION("""COMPUTED_VALUE"""),1.0843369E7)</f>
        <v>10843369</v>
      </c>
    </row>
    <row r="2046">
      <c r="A2046" s="2">
        <f>IFERROR(__xludf.DUMMYFUNCTION("""COMPUTED_VALUE"""),39499.666666666664)</f>
        <v>39499.66667</v>
      </c>
      <c r="B2046" s="1">
        <f>IFERROR(__xludf.DUMMYFUNCTION("""COMPUTED_VALUE"""),66.27)</f>
        <v>66.27</v>
      </c>
      <c r="C2046" s="1">
        <f>IFERROR(__xludf.DUMMYFUNCTION("""COMPUTED_VALUE"""),66.33)</f>
        <v>66.33</v>
      </c>
      <c r="D2046" s="1">
        <f>IFERROR(__xludf.DUMMYFUNCTION("""COMPUTED_VALUE"""),65.79)</f>
        <v>65.79</v>
      </c>
      <c r="E2046" s="1">
        <f>IFERROR(__xludf.DUMMYFUNCTION("""COMPUTED_VALUE"""),65.96)</f>
        <v>65.96</v>
      </c>
      <c r="F2046" s="1">
        <f>IFERROR(__xludf.DUMMYFUNCTION("""COMPUTED_VALUE"""),1.1931331E7)</f>
        <v>11931331</v>
      </c>
    </row>
    <row r="2047">
      <c r="A2047" s="2">
        <f>IFERROR(__xludf.DUMMYFUNCTION("""COMPUTED_VALUE"""),39500.666666666664)</f>
        <v>39500.66667</v>
      </c>
      <c r="B2047" s="1">
        <f>IFERROR(__xludf.DUMMYFUNCTION("""COMPUTED_VALUE"""),66.19)</f>
        <v>66.19</v>
      </c>
      <c r="C2047" s="1">
        <f>IFERROR(__xludf.DUMMYFUNCTION("""COMPUTED_VALUE"""),66.4)</f>
        <v>66.4</v>
      </c>
      <c r="D2047" s="1">
        <f>IFERROR(__xludf.DUMMYFUNCTION("""COMPUTED_VALUE"""),65.35)</f>
        <v>65.35</v>
      </c>
      <c r="E2047" s="1">
        <f>IFERROR(__xludf.DUMMYFUNCTION("""COMPUTED_VALUE"""),66.21)</f>
        <v>66.21</v>
      </c>
      <c r="F2047" s="1">
        <f>IFERROR(__xludf.DUMMYFUNCTION("""COMPUTED_VALUE"""),1.1139671E7)</f>
        <v>11139671</v>
      </c>
    </row>
    <row r="2048">
      <c r="A2048" s="2">
        <f>IFERROR(__xludf.DUMMYFUNCTION("""COMPUTED_VALUE"""),39503.666666666664)</f>
        <v>39503.66667</v>
      </c>
      <c r="B2048" s="1">
        <f>IFERROR(__xludf.DUMMYFUNCTION("""COMPUTED_VALUE"""),66.12)</f>
        <v>66.12</v>
      </c>
      <c r="C2048" s="1">
        <f>IFERROR(__xludf.DUMMYFUNCTION("""COMPUTED_VALUE"""),67.18)</f>
        <v>67.18</v>
      </c>
      <c r="D2048" s="1">
        <f>IFERROR(__xludf.DUMMYFUNCTION("""COMPUTED_VALUE"""),66.05)</f>
        <v>66.05</v>
      </c>
      <c r="E2048" s="1">
        <f>IFERROR(__xludf.DUMMYFUNCTION("""COMPUTED_VALUE"""),66.68)</f>
        <v>66.68</v>
      </c>
      <c r="F2048" s="1">
        <f>IFERROR(__xludf.DUMMYFUNCTION("""COMPUTED_VALUE"""),1.1879685E7)</f>
        <v>11879685</v>
      </c>
    </row>
    <row r="2049">
      <c r="A2049" s="2">
        <f>IFERROR(__xludf.DUMMYFUNCTION("""COMPUTED_VALUE"""),39504.666666666664)</f>
        <v>39504.66667</v>
      </c>
      <c r="B2049" s="1">
        <f>IFERROR(__xludf.DUMMYFUNCTION("""COMPUTED_VALUE"""),66.5)</f>
        <v>66.5</v>
      </c>
      <c r="C2049" s="1">
        <f>IFERROR(__xludf.DUMMYFUNCTION("""COMPUTED_VALUE"""),67.92)</f>
        <v>67.92</v>
      </c>
      <c r="D2049" s="1">
        <f>IFERROR(__xludf.DUMMYFUNCTION("""COMPUTED_VALUE"""),66.35)</f>
        <v>66.35</v>
      </c>
      <c r="E2049" s="1">
        <f>IFERROR(__xludf.DUMMYFUNCTION("""COMPUTED_VALUE"""),67.68)</f>
        <v>67.68</v>
      </c>
      <c r="F2049" s="1">
        <f>IFERROR(__xludf.DUMMYFUNCTION("""COMPUTED_VALUE"""),1.1259655E7)</f>
        <v>11259655</v>
      </c>
    </row>
    <row r="2050">
      <c r="A2050" s="2">
        <f>IFERROR(__xludf.DUMMYFUNCTION("""COMPUTED_VALUE"""),39505.666666666664)</f>
        <v>39505.66667</v>
      </c>
      <c r="B2050" s="1">
        <f>IFERROR(__xludf.DUMMYFUNCTION("""COMPUTED_VALUE"""),67.11)</f>
        <v>67.11</v>
      </c>
      <c r="C2050" s="1">
        <f>IFERROR(__xludf.DUMMYFUNCTION("""COMPUTED_VALUE"""),67.64)</f>
        <v>67.64</v>
      </c>
      <c r="D2050" s="1">
        <f>IFERROR(__xludf.DUMMYFUNCTION("""COMPUTED_VALUE"""),67.01)</f>
        <v>67.01</v>
      </c>
      <c r="E2050" s="1">
        <f>IFERROR(__xludf.DUMMYFUNCTION("""COMPUTED_VALUE"""),67.21)</f>
        <v>67.21</v>
      </c>
      <c r="F2050" s="1">
        <f>IFERROR(__xludf.DUMMYFUNCTION("""COMPUTED_VALUE"""),1.1769792E7)</f>
        <v>11769792</v>
      </c>
    </row>
    <row r="2051">
      <c r="A2051" s="2">
        <f>IFERROR(__xludf.DUMMYFUNCTION("""COMPUTED_VALUE"""),39506.666666666664)</f>
        <v>39506.66667</v>
      </c>
      <c r="B2051" s="1">
        <f>IFERROR(__xludf.DUMMYFUNCTION("""COMPUTED_VALUE"""),66.76)</f>
        <v>66.76</v>
      </c>
      <c r="C2051" s="1">
        <f>IFERROR(__xludf.DUMMYFUNCTION("""COMPUTED_VALUE"""),67.1)</f>
        <v>67.1</v>
      </c>
      <c r="D2051" s="1">
        <f>IFERROR(__xludf.DUMMYFUNCTION("""COMPUTED_VALUE"""),66.61)</f>
        <v>66.61</v>
      </c>
      <c r="E2051" s="1">
        <f>IFERROR(__xludf.DUMMYFUNCTION("""COMPUTED_VALUE"""),66.97)</f>
        <v>66.97</v>
      </c>
      <c r="F2051" s="1">
        <f>IFERROR(__xludf.DUMMYFUNCTION("""COMPUTED_VALUE"""),1.1149275E7)</f>
        <v>11149275</v>
      </c>
    </row>
    <row r="2052">
      <c r="A2052" s="2">
        <f>IFERROR(__xludf.DUMMYFUNCTION("""COMPUTED_VALUE"""),39507.666666666664)</f>
        <v>39507.66667</v>
      </c>
      <c r="B2052" s="1">
        <f>IFERROR(__xludf.DUMMYFUNCTION("""COMPUTED_VALUE"""),66.55)</f>
        <v>66.55</v>
      </c>
      <c r="C2052" s="1">
        <f>IFERROR(__xludf.DUMMYFUNCTION("""COMPUTED_VALUE"""),66.96)</f>
        <v>66.96</v>
      </c>
      <c r="D2052" s="1">
        <f>IFERROR(__xludf.DUMMYFUNCTION("""COMPUTED_VALUE"""),66.04)</f>
        <v>66.04</v>
      </c>
      <c r="E2052" s="1">
        <f>IFERROR(__xludf.DUMMYFUNCTION("""COMPUTED_VALUE"""),66.18)</f>
        <v>66.18</v>
      </c>
      <c r="F2052" s="1">
        <f>IFERROR(__xludf.DUMMYFUNCTION("""COMPUTED_VALUE"""),1.4640187E7)</f>
        <v>14640187</v>
      </c>
    </row>
    <row r="2053">
      <c r="A2053" s="2">
        <f>IFERROR(__xludf.DUMMYFUNCTION("""COMPUTED_VALUE"""),39510.666666666664)</f>
        <v>39510.66667</v>
      </c>
      <c r="B2053" s="1">
        <f>IFERROR(__xludf.DUMMYFUNCTION("""COMPUTED_VALUE"""),66.0)</f>
        <v>66</v>
      </c>
      <c r="C2053" s="1">
        <f>IFERROR(__xludf.DUMMYFUNCTION("""COMPUTED_VALUE"""),66.39)</f>
        <v>66.39</v>
      </c>
      <c r="D2053" s="1">
        <f>IFERROR(__xludf.DUMMYFUNCTION("""COMPUTED_VALUE"""),65.53)</f>
        <v>65.53</v>
      </c>
      <c r="E2053" s="1">
        <f>IFERROR(__xludf.DUMMYFUNCTION("""COMPUTED_VALUE"""),66.35)</f>
        <v>66.35</v>
      </c>
      <c r="F2053" s="1">
        <f>IFERROR(__xludf.DUMMYFUNCTION("""COMPUTED_VALUE"""),1.1568432E7)</f>
        <v>11568432</v>
      </c>
    </row>
    <row r="2054">
      <c r="A2054" s="2">
        <f>IFERROR(__xludf.DUMMYFUNCTION("""COMPUTED_VALUE"""),39511.666666666664)</f>
        <v>39511.66667</v>
      </c>
      <c r="B2054" s="1">
        <f>IFERROR(__xludf.DUMMYFUNCTION("""COMPUTED_VALUE"""),65.95)</f>
        <v>65.95</v>
      </c>
      <c r="C2054" s="1">
        <f>IFERROR(__xludf.DUMMYFUNCTION("""COMPUTED_VALUE"""),66.25)</f>
        <v>66.25</v>
      </c>
      <c r="D2054" s="1">
        <f>IFERROR(__xludf.DUMMYFUNCTION("""COMPUTED_VALUE"""),65.53)</f>
        <v>65.53</v>
      </c>
      <c r="E2054" s="1">
        <f>IFERROR(__xludf.DUMMYFUNCTION("""COMPUTED_VALUE"""),66.05)</f>
        <v>66.05</v>
      </c>
      <c r="F2054" s="1">
        <f>IFERROR(__xludf.DUMMYFUNCTION("""COMPUTED_VALUE"""),1.650032E7)</f>
        <v>16500320</v>
      </c>
    </row>
    <row r="2055">
      <c r="A2055" s="2">
        <f>IFERROR(__xludf.DUMMYFUNCTION("""COMPUTED_VALUE"""),39512.666666666664)</f>
        <v>39512.66667</v>
      </c>
      <c r="B2055" s="1">
        <f>IFERROR(__xludf.DUMMYFUNCTION("""COMPUTED_VALUE"""),66.29)</f>
        <v>66.29</v>
      </c>
      <c r="C2055" s="1">
        <f>IFERROR(__xludf.DUMMYFUNCTION("""COMPUTED_VALUE"""),67.16)</f>
        <v>67.16</v>
      </c>
      <c r="D2055" s="1">
        <f>IFERROR(__xludf.DUMMYFUNCTION("""COMPUTED_VALUE"""),66.05)</f>
        <v>66.05</v>
      </c>
      <c r="E2055" s="1">
        <f>IFERROR(__xludf.DUMMYFUNCTION("""COMPUTED_VALUE"""),66.7)</f>
        <v>66.7</v>
      </c>
      <c r="F2055" s="1">
        <f>IFERROR(__xludf.DUMMYFUNCTION("""COMPUTED_VALUE"""),1.1694861E7)</f>
        <v>11694861</v>
      </c>
    </row>
    <row r="2056">
      <c r="A2056" s="2">
        <f>IFERROR(__xludf.DUMMYFUNCTION("""COMPUTED_VALUE"""),39513.666666666664)</f>
        <v>39513.66667</v>
      </c>
      <c r="B2056" s="1">
        <f>IFERROR(__xludf.DUMMYFUNCTION("""COMPUTED_VALUE"""),66.5)</f>
        <v>66.5</v>
      </c>
      <c r="C2056" s="1">
        <f>IFERROR(__xludf.DUMMYFUNCTION("""COMPUTED_VALUE"""),66.89)</f>
        <v>66.89</v>
      </c>
      <c r="D2056" s="1">
        <f>IFERROR(__xludf.DUMMYFUNCTION("""COMPUTED_VALUE"""),66.32)</f>
        <v>66.32</v>
      </c>
      <c r="E2056" s="1">
        <f>IFERROR(__xludf.DUMMYFUNCTION("""COMPUTED_VALUE"""),66.51)</f>
        <v>66.51</v>
      </c>
      <c r="F2056" s="1">
        <f>IFERROR(__xludf.DUMMYFUNCTION("""COMPUTED_VALUE"""),9957839.0)</f>
        <v>9957839</v>
      </c>
    </row>
    <row r="2057">
      <c r="A2057" s="2">
        <f>IFERROR(__xludf.DUMMYFUNCTION("""COMPUTED_VALUE"""),39514.666666666664)</f>
        <v>39514.66667</v>
      </c>
      <c r="B2057" s="1">
        <f>IFERROR(__xludf.DUMMYFUNCTION("""COMPUTED_VALUE"""),66.12)</f>
        <v>66.12</v>
      </c>
      <c r="C2057" s="1">
        <f>IFERROR(__xludf.DUMMYFUNCTION("""COMPUTED_VALUE"""),66.34)</f>
        <v>66.34</v>
      </c>
      <c r="D2057" s="1">
        <f>IFERROR(__xludf.DUMMYFUNCTION("""COMPUTED_VALUE"""),65.67)</f>
        <v>65.67</v>
      </c>
      <c r="E2057" s="1">
        <f>IFERROR(__xludf.DUMMYFUNCTION("""COMPUTED_VALUE"""),65.8)</f>
        <v>65.8</v>
      </c>
      <c r="F2057" s="1">
        <f>IFERROR(__xludf.DUMMYFUNCTION("""COMPUTED_VALUE"""),1.3753806E7)</f>
        <v>13753806</v>
      </c>
    </row>
    <row r="2058">
      <c r="A2058" s="2">
        <f>IFERROR(__xludf.DUMMYFUNCTION("""COMPUTED_VALUE"""),39517.666666666664)</f>
        <v>39517.66667</v>
      </c>
      <c r="B2058" s="1">
        <f>IFERROR(__xludf.DUMMYFUNCTION("""COMPUTED_VALUE"""),65.77)</f>
        <v>65.77</v>
      </c>
      <c r="C2058" s="1">
        <f>IFERROR(__xludf.DUMMYFUNCTION("""COMPUTED_VALUE"""),65.92)</f>
        <v>65.92</v>
      </c>
      <c r="D2058" s="1">
        <f>IFERROR(__xludf.DUMMYFUNCTION("""COMPUTED_VALUE"""),65.58)</f>
        <v>65.58</v>
      </c>
      <c r="E2058" s="1">
        <f>IFERROR(__xludf.DUMMYFUNCTION("""COMPUTED_VALUE"""),65.76)</f>
        <v>65.76</v>
      </c>
      <c r="F2058" s="1">
        <f>IFERROR(__xludf.DUMMYFUNCTION("""COMPUTED_VALUE"""),1.3774289E7)</f>
        <v>13774289</v>
      </c>
    </row>
    <row r="2059">
      <c r="A2059" s="2">
        <f>IFERROR(__xludf.DUMMYFUNCTION("""COMPUTED_VALUE"""),39518.666666666664)</f>
        <v>39518.66667</v>
      </c>
      <c r="B2059" s="1">
        <f>IFERROR(__xludf.DUMMYFUNCTION("""COMPUTED_VALUE"""),65.81)</f>
        <v>65.81</v>
      </c>
      <c r="C2059" s="1">
        <f>IFERROR(__xludf.DUMMYFUNCTION("""COMPUTED_VALUE"""),66.75)</f>
        <v>66.75</v>
      </c>
      <c r="D2059" s="1">
        <f>IFERROR(__xludf.DUMMYFUNCTION("""COMPUTED_VALUE"""),65.81)</f>
        <v>65.81</v>
      </c>
      <c r="E2059" s="1">
        <f>IFERROR(__xludf.DUMMYFUNCTION("""COMPUTED_VALUE"""),66.66)</f>
        <v>66.66</v>
      </c>
      <c r="F2059" s="1">
        <f>IFERROR(__xludf.DUMMYFUNCTION("""COMPUTED_VALUE"""),1.4472601E7)</f>
        <v>14472601</v>
      </c>
    </row>
    <row r="2060">
      <c r="A2060" s="2">
        <f>IFERROR(__xludf.DUMMYFUNCTION("""COMPUTED_VALUE"""),39519.666666666664)</f>
        <v>39519.66667</v>
      </c>
      <c r="B2060" s="1">
        <f>IFERROR(__xludf.DUMMYFUNCTION("""COMPUTED_VALUE"""),66.64)</f>
        <v>66.64</v>
      </c>
      <c r="C2060" s="1">
        <f>IFERROR(__xludf.DUMMYFUNCTION("""COMPUTED_VALUE"""),67.63)</f>
        <v>67.63</v>
      </c>
      <c r="D2060" s="1">
        <f>IFERROR(__xludf.DUMMYFUNCTION("""COMPUTED_VALUE"""),66.64)</f>
        <v>66.64</v>
      </c>
      <c r="E2060" s="1">
        <f>IFERROR(__xludf.DUMMYFUNCTION("""COMPUTED_VALUE"""),67.04)</f>
        <v>67.04</v>
      </c>
      <c r="F2060" s="1">
        <f>IFERROR(__xludf.DUMMYFUNCTION("""COMPUTED_VALUE"""),9641168.0)</f>
        <v>9641168</v>
      </c>
    </row>
    <row r="2061">
      <c r="A2061" s="2">
        <f>IFERROR(__xludf.DUMMYFUNCTION("""COMPUTED_VALUE"""),39520.666666666664)</f>
        <v>39520.66667</v>
      </c>
      <c r="B2061" s="1">
        <f>IFERROR(__xludf.DUMMYFUNCTION("""COMPUTED_VALUE"""),66.84)</f>
        <v>66.84</v>
      </c>
      <c r="C2061" s="1">
        <f>IFERROR(__xludf.DUMMYFUNCTION("""COMPUTED_VALUE"""),67.63)</f>
        <v>67.63</v>
      </c>
      <c r="D2061" s="1">
        <f>IFERROR(__xludf.DUMMYFUNCTION("""COMPUTED_VALUE"""),66.59)</f>
        <v>66.59</v>
      </c>
      <c r="E2061" s="1">
        <f>IFERROR(__xludf.DUMMYFUNCTION("""COMPUTED_VALUE"""),67.36)</f>
        <v>67.36</v>
      </c>
      <c r="F2061" s="1">
        <f>IFERROR(__xludf.DUMMYFUNCTION("""COMPUTED_VALUE"""),1.6206395E7)</f>
        <v>16206395</v>
      </c>
    </row>
    <row r="2062">
      <c r="A2062" s="2">
        <f>IFERROR(__xludf.DUMMYFUNCTION("""COMPUTED_VALUE"""),39521.666666666664)</f>
        <v>39521.66667</v>
      </c>
      <c r="B2062" s="1">
        <f>IFERROR(__xludf.DUMMYFUNCTION("""COMPUTED_VALUE"""),67.71)</f>
        <v>67.71</v>
      </c>
      <c r="C2062" s="1">
        <f>IFERROR(__xludf.DUMMYFUNCTION("""COMPUTED_VALUE"""),67.71)</f>
        <v>67.71</v>
      </c>
      <c r="D2062" s="1">
        <f>IFERROR(__xludf.DUMMYFUNCTION("""COMPUTED_VALUE"""),66.0)</f>
        <v>66</v>
      </c>
      <c r="E2062" s="1">
        <f>IFERROR(__xludf.DUMMYFUNCTION("""COMPUTED_VALUE"""),66.74)</f>
        <v>66.74</v>
      </c>
      <c r="F2062" s="1">
        <f>IFERROR(__xludf.DUMMYFUNCTION("""COMPUTED_VALUE"""),1.9284972E7)</f>
        <v>19284972</v>
      </c>
    </row>
    <row r="2063">
      <c r="A2063" s="2">
        <f>IFERROR(__xludf.DUMMYFUNCTION("""COMPUTED_VALUE"""),39524.666666666664)</f>
        <v>39524.66667</v>
      </c>
      <c r="B2063" s="1">
        <f>IFERROR(__xludf.DUMMYFUNCTION("""COMPUTED_VALUE"""),66.0)</f>
        <v>66</v>
      </c>
      <c r="C2063" s="1">
        <f>IFERROR(__xludf.DUMMYFUNCTION("""COMPUTED_VALUE"""),67.65)</f>
        <v>67.65</v>
      </c>
      <c r="D2063" s="1">
        <f>IFERROR(__xludf.DUMMYFUNCTION("""COMPUTED_VALUE"""),66.0)</f>
        <v>66</v>
      </c>
      <c r="E2063" s="1">
        <f>IFERROR(__xludf.DUMMYFUNCTION("""COMPUTED_VALUE"""),67.05)</f>
        <v>67.05</v>
      </c>
      <c r="F2063" s="1">
        <f>IFERROR(__xludf.DUMMYFUNCTION("""COMPUTED_VALUE"""),1.7066886E7)</f>
        <v>17066886</v>
      </c>
    </row>
    <row r="2064">
      <c r="A2064" s="2">
        <f>IFERROR(__xludf.DUMMYFUNCTION("""COMPUTED_VALUE"""),39525.666666666664)</f>
        <v>39525.66667</v>
      </c>
      <c r="B2064" s="1">
        <f>IFERROR(__xludf.DUMMYFUNCTION("""COMPUTED_VALUE"""),67.39)</f>
        <v>67.39</v>
      </c>
      <c r="C2064" s="1">
        <f>IFERROR(__xludf.DUMMYFUNCTION("""COMPUTED_VALUE"""),68.54)</f>
        <v>68.54</v>
      </c>
      <c r="D2064" s="1">
        <f>IFERROR(__xludf.DUMMYFUNCTION("""COMPUTED_VALUE"""),67.15)</f>
        <v>67.15</v>
      </c>
      <c r="E2064" s="1">
        <f>IFERROR(__xludf.DUMMYFUNCTION("""COMPUTED_VALUE"""),68.54)</f>
        <v>68.54</v>
      </c>
      <c r="F2064" s="1">
        <f>IFERROR(__xludf.DUMMYFUNCTION("""COMPUTED_VALUE"""),1.46812E7)</f>
        <v>14681200</v>
      </c>
    </row>
    <row r="2065">
      <c r="A2065" s="2">
        <f>IFERROR(__xludf.DUMMYFUNCTION("""COMPUTED_VALUE"""),39526.666666666664)</f>
        <v>39526.66667</v>
      </c>
      <c r="B2065" s="1">
        <f>IFERROR(__xludf.DUMMYFUNCTION("""COMPUTED_VALUE"""),68.71)</f>
        <v>68.71</v>
      </c>
      <c r="C2065" s="1">
        <f>IFERROR(__xludf.DUMMYFUNCTION("""COMPUTED_VALUE"""),68.88)</f>
        <v>68.88</v>
      </c>
      <c r="D2065" s="1">
        <f>IFERROR(__xludf.DUMMYFUNCTION("""COMPUTED_VALUE"""),67.78)</f>
        <v>67.78</v>
      </c>
      <c r="E2065" s="1">
        <f>IFERROR(__xludf.DUMMYFUNCTION("""COMPUTED_VALUE"""),67.81)</f>
        <v>67.81</v>
      </c>
      <c r="F2065" s="1">
        <f>IFERROR(__xludf.DUMMYFUNCTION("""COMPUTED_VALUE"""),1.5093873E7)</f>
        <v>15093873</v>
      </c>
    </row>
    <row r="2066">
      <c r="A2066" s="2">
        <f>IFERROR(__xludf.DUMMYFUNCTION("""COMPUTED_VALUE"""),39527.666666666664)</f>
        <v>39527.66667</v>
      </c>
      <c r="B2066" s="1">
        <f>IFERROR(__xludf.DUMMYFUNCTION("""COMPUTED_VALUE"""),68.49)</f>
        <v>68.49</v>
      </c>
      <c r="C2066" s="1">
        <f>IFERROR(__xludf.DUMMYFUNCTION("""COMPUTED_VALUE"""),69.39)</f>
        <v>69.39</v>
      </c>
      <c r="D2066" s="1">
        <f>IFERROR(__xludf.DUMMYFUNCTION("""COMPUTED_VALUE"""),67.81)</f>
        <v>67.81</v>
      </c>
      <c r="E2066" s="1">
        <f>IFERROR(__xludf.DUMMYFUNCTION("""COMPUTED_VALUE"""),69.37)</f>
        <v>69.37</v>
      </c>
      <c r="F2066" s="1">
        <f>IFERROR(__xludf.DUMMYFUNCTION("""COMPUTED_VALUE"""),1.6522962E7)</f>
        <v>16522962</v>
      </c>
    </row>
    <row r="2067">
      <c r="A2067" s="2">
        <f>IFERROR(__xludf.DUMMYFUNCTION("""COMPUTED_VALUE"""),39531.666666666664)</f>
        <v>39531.66667</v>
      </c>
      <c r="B2067" s="1">
        <f>IFERROR(__xludf.DUMMYFUNCTION("""COMPUTED_VALUE"""),69.7)</f>
        <v>69.7</v>
      </c>
      <c r="C2067" s="1">
        <f>IFERROR(__xludf.DUMMYFUNCTION("""COMPUTED_VALUE"""),70.0)</f>
        <v>70</v>
      </c>
      <c r="D2067" s="1">
        <f>IFERROR(__xludf.DUMMYFUNCTION("""COMPUTED_VALUE"""),69.06)</f>
        <v>69.06</v>
      </c>
      <c r="E2067" s="1">
        <f>IFERROR(__xludf.DUMMYFUNCTION("""COMPUTED_VALUE"""),69.97)</f>
        <v>69.97</v>
      </c>
      <c r="F2067" s="1">
        <f>IFERROR(__xludf.DUMMYFUNCTION("""COMPUTED_VALUE"""),1.0099982E7)</f>
        <v>10099982</v>
      </c>
    </row>
    <row r="2068">
      <c r="A2068" s="2">
        <f>IFERROR(__xludf.DUMMYFUNCTION("""COMPUTED_VALUE"""),39532.666666666664)</f>
        <v>39532.66667</v>
      </c>
      <c r="B2068" s="1">
        <f>IFERROR(__xludf.DUMMYFUNCTION("""COMPUTED_VALUE"""),69.98)</f>
        <v>69.98</v>
      </c>
      <c r="C2068" s="1">
        <f>IFERROR(__xludf.DUMMYFUNCTION("""COMPUTED_VALUE"""),69.98)</f>
        <v>69.98</v>
      </c>
      <c r="D2068" s="1">
        <f>IFERROR(__xludf.DUMMYFUNCTION("""COMPUTED_VALUE"""),69.32)</f>
        <v>69.32</v>
      </c>
      <c r="E2068" s="1">
        <f>IFERROR(__xludf.DUMMYFUNCTION("""COMPUTED_VALUE"""),69.54)</f>
        <v>69.54</v>
      </c>
      <c r="F2068" s="1">
        <f>IFERROR(__xludf.DUMMYFUNCTION("""COMPUTED_VALUE"""),1.0581279E7)</f>
        <v>10581279</v>
      </c>
    </row>
    <row r="2069">
      <c r="A2069" s="2">
        <f>IFERROR(__xludf.DUMMYFUNCTION("""COMPUTED_VALUE"""),39533.666666666664)</f>
        <v>39533.66667</v>
      </c>
      <c r="B2069" s="1">
        <f>IFERROR(__xludf.DUMMYFUNCTION("""COMPUTED_VALUE"""),69.32)</f>
        <v>69.32</v>
      </c>
      <c r="C2069" s="1">
        <f>IFERROR(__xludf.DUMMYFUNCTION("""COMPUTED_VALUE"""),69.9)</f>
        <v>69.9</v>
      </c>
      <c r="D2069" s="1">
        <f>IFERROR(__xludf.DUMMYFUNCTION("""COMPUTED_VALUE"""),69.06)</f>
        <v>69.06</v>
      </c>
      <c r="E2069" s="1">
        <f>IFERROR(__xludf.DUMMYFUNCTION("""COMPUTED_VALUE"""),69.64)</f>
        <v>69.64</v>
      </c>
      <c r="F2069" s="1">
        <f>IFERROR(__xludf.DUMMYFUNCTION("""COMPUTED_VALUE"""),8431876.0)</f>
        <v>8431876</v>
      </c>
    </row>
    <row r="2070">
      <c r="A2070" s="2">
        <f>IFERROR(__xludf.DUMMYFUNCTION("""COMPUTED_VALUE"""),39534.666666666664)</f>
        <v>39534.66667</v>
      </c>
      <c r="B2070" s="1">
        <f>IFERROR(__xludf.DUMMYFUNCTION("""COMPUTED_VALUE"""),69.69)</f>
        <v>69.69</v>
      </c>
      <c r="C2070" s="1">
        <f>IFERROR(__xludf.DUMMYFUNCTION("""COMPUTED_VALUE"""),70.1)</f>
        <v>70.1</v>
      </c>
      <c r="D2070" s="1">
        <f>IFERROR(__xludf.DUMMYFUNCTION("""COMPUTED_VALUE"""),69.32)</f>
        <v>69.32</v>
      </c>
      <c r="E2070" s="1">
        <f>IFERROR(__xludf.DUMMYFUNCTION("""COMPUTED_VALUE"""),69.41)</f>
        <v>69.41</v>
      </c>
      <c r="F2070" s="1">
        <f>IFERROR(__xludf.DUMMYFUNCTION("""COMPUTED_VALUE"""),1.1899626E7)</f>
        <v>11899626</v>
      </c>
    </row>
    <row r="2071">
      <c r="A2071" s="2">
        <f>IFERROR(__xludf.DUMMYFUNCTION("""COMPUTED_VALUE"""),39535.666666666664)</f>
        <v>39535.66667</v>
      </c>
      <c r="B2071" s="1">
        <f>IFERROR(__xludf.DUMMYFUNCTION("""COMPUTED_VALUE"""),69.55)</f>
        <v>69.55</v>
      </c>
      <c r="C2071" s="1">
        <f>IFERROR(__xludf.DUMMYFUNCTION("""COMPUTED_VALUE"""),70.04)</f>
        <v>70.04</v>
      </c>
      <c r="D2071" s="1">
        <f>IFERROR(__xludf.DUMMYFUNCTION("""COMPUTED_VALUE"""),69.37)</f>
        <v>69.37</v>
      </c>
      <c r="E2071" s="1">
        <f>IFERROR(__xludf.DUMMYFUNCTION("""COMPUTED_VALUE"""),69.44)</f>
        <v>69.44</v>
      </c>
      <c r="F2071" s="1">
        <f>IFERROR(__xludf.DUMMYFUNCTION("""COMPUTED_VALUE"""),7432156.0)</f>
        <v>7432156</v>
      </c>
    </row>
    <row r="2072">
      <c r="A2072" s="2">
        <f>IFERROR(__xludf.DUMMYFUNCTION("""COMPUTED_VALUE"""),39538.666666666664)</f>
        <v>39538.66667</v>
      </c>
      <c r="B2072" s="1">
        <f>IFERROR(__xludf.DUMMYFUNCTION("""COMPUTED_VALUE"""),69.56)</f>
        <v>69.56</v>
      </c>
      <c r="C2072" s="1">
        <f>IFERROR(__xludf.DUMMYFUNCTION("""COMPUTED_VALUE"""),70.18)</f>
        <v>70.18</v>
      </c>
      <c r="D2072" s="1">
        <f>IFERROR(__xludf.DUMMYFUNCTION("""COMPUTED_VALUE"""),68.9)</f>
        <v>68.9</v>
      </c>
      <c r="E2072" s="1">
        <f>IFERROR(__xludf.DUMMYFUNCTION("""COMPUTED_VALUE"""),70.07)</f>
        <v>70.07</v>
      </c>
      <c r="F2072" s="1">
        <f>IFERROR(__xludf.DUMMYFUNCTION("""COMPUTED_VALUE"""),1.37456E7)</f>
        <v>13745600</v>
      </c>
    </row>
    <row r="2073">
      <c r="A2073" s="2">
        <f>IFERROR(__xludf.DUMMYFUNCTION("""COMPUTED_VALUE"""),39539.666666666664)</f>
        <v>39539.66667</v>
      </c>
      <c r="B2073" s="1">
        <f>IFERROR(__xludf.DUMMYFUNCTION("""COMPUTED_VALUE"""),70.41)</f>
        <v>70.41</v>
      </c>
      <c r="C2073" s="1">
        <f>IFERROR(__xludf.DUMMYFUNCTION("""COMPUTED_VALUE"""),71.2)</f>
        <v>71.2</v>
      </c>
      <c r="D2073" s="1">
        <f>IFERROR(__xludf.DUMMYFUNCTION("""COMPUTED_VALUE"""),69.85)</f>
        <v>69.85</v>
      </c>
      <c r="E2073" s="1">
        <f>IFERROR(__xludf.DUMMYFUNCTION("""COMPUTED_VALUE"""),71.14)</f>
        <v>71.14</v>
      </c>
      <c r="F2073" s="1">
        <f>IFERROR(__xludf.DUMMYFUNCTION("""COMPUTED_VALUE"""),1.1591021E7)</f>
        <v>11591021</v>
      </c>
    </row>
    <row r="2074">
      <c r="A2074" s="2">
        <f>IFERROR(__xludf.DUMMYFUNCTION("""COMPUTED_VALUE"""),39540.666666666664)</f>
        <v>39540.66667</v>
      </c>
      <c r="B2074" s="1">
        <f>IFERROR(__xludf.DUMMYFUNCTION("""COMPUTED_VALUE"""),71.06)</f>
        <v>71.06</v>
      </c>
      <c r="C2074" s="1">
        <f>IFERROR(__xludf.DUMMYFUNCTION("""COMPUTED_VALUE"""),71.13)</f>
        <v>71.13</v>
      </c>
      <c r="D2074" s="1">
        <f>IFERROR(__xludf.DUMMYFUNCTION("""COMPUTED_VALUE"""),70.27)</f>
        <v>70.27</v>
      </c>
      <c r="E2074" s="1">
        <f>IFERROR(__xludf.DUMMYFUNCTION("""COMPUTED_VALUE"""),70.48)</f>
        <v>70.48</v>
      </c>
      <c r="F2074" s="1">
        <f>IFERROR(__xludf.DUMMYFUNCTION("""COMPUTED_VALUE"""),1.0209344E7)</f>
        <v>10209344</v>
      </c>
    </row>
    <row r="2075">
      <c r="A2075" s="2">
        <f>IFERROR(__xludf.DUMMYFUNCTION("""COMPUTED_VALUE"""),39541.666666666664)</f>
        <v>39541.66667</v>
      </c>
      <c r="B2075" s="1">
        <f>IFERROR(__xludf.DUMMYFUNCTION("""COMPUTED_VALUE"""),70.2)</f>
        <v>70.2</v>
      </c>
      <c r="C2075" s="1">
        <f>IFERROR(__xludf.DUMMYFUNCTION("""COMPUTED_VALUE"""),70.6)</f>
        <v>70.6</v>
      </c>
      <c r="D2075" s="1">
        <f>IFERROR(__xludf.DUMMYFUNCTION("""COMPUTED_VALUE"""),69.78)</f>
        <v>69.78</v>
      </c>
      <c r="E2075" s="1">
        <f>IFERROR(__xludf.DUMMYFUNCTION("""COMPUTED_VALUE"""),70.47)</f>
        <v>70.47</v>
      </c>
      <c r="F2075" s="1">
        <f>IFERROR(__xludf.DUMMYFUNCTION("""COMPUTED_VALUE"""),9579949.0)</f>
        <v>9579949</v>
      </c>
    </row>
    <row r="2076">
      <c r="A2076" s="2">
        <f>IFERROR(__xludf.DUMMYFUNCTION("""COMPUTED_VALUE"""),39542.666666666664)</f>
        <v>39542.66667</v>
      </c>
      <c r="B2076" s="1">
        <f>IFERROR(__xludf.DUMMYFUNCTION("""COMPUTED_VALUE"""),70.47)</f>
        <v>70.47</v>
      </c>
      <c r="C2076" s="1">
        <f>IFERROR(__xludf.DUMMYFUNCTION("""COMPUTED_VALUE"""),70.92)</f>
        <v>70.92</v>
      </c>
      <c r="D2076" s="1">
        <f>IFERROR(__xludf.DUMMYFUNCTION("""COMPUTED_VALUE"""),70.05)</f>
        <v>70.05</v>
      </c>
      <c r="E2076" s="1">
        <f>IFERROR(__xludf.DUMMYFUNCTION("""COMPUTED_VALUE"""),70.6)</f>
        <v>70.6</v>
      </c>
      <c r="F2076" s="1">
        <f>IFERROR(__xludf.DUMMYFUNCTION("""COMPUTED_VALUE"""),1.0160261E7)</f>
        <v>10160261</v>
      </c>
    </row>
    <row r="2077">
      <c r="A2077" s="2">
        <f>IFERROR(__xludf.DUMMYFUNCTION("""COMPUTED_VALUE"""),39545.666666666664)</f>
        <v>39545.66667</v>
      </c>
      <c r="B2077" s="1">
        <f>IFERROR(__xludf.DUMMYFUNCTION("""COMPUTED_VALUE"""),70.95)</f>
        <v>70.95</v>
      </c>
      <c r="C2077" s="1">
        <f>IFERROR(__xludf.DUMMYFUNCTION("""COMPUTED_VALUE"""),70.97)</f>
        <v>70.97</v>
      </c>
      <c r="D2077" s="1">
        <f>IFERROR(__xludf.DUMMYFUNCTION("""COMPUTED_VALUE"""),70.1)</f>
        <v>70.1</v>
      </c>
      <c r="E2077" s="1">
        <f>IFERROR(__xludf.DUMMYFUNCTION("""COMPUTED_VALUE"""),70.51)</f>
        <v>70.51</v>
      </c>
      <c r="F2077" s="1">
        <f>IFERROR(__xludf.DUMMYFUNCTION("""COMPUTED_VALUE"""),9466260.0)</f>
        <v>9466260</v>
      </c>
    </row>
    <row r="2078">
      <c r="A2078" s="2">
        <f>IFERROR(__xludf.DUMMYFUNCTION("""COMPUTED_VALUE"""),39546.666666666664)</f>
        <v>39546.66667</v>
      </c>
      <c r="B2078" s="1">
        <f>IFERROR(__xludf.DUMMYFUNCTION("""COMPUTED_VALUE"""),70.01)</f>
        <v>70.01</v>
      </c>
      <c r="C2078" s="1">
        <f>IFERROR(__xludf.DUMMYFUNCTION("""COMPUTED_VALUE"""),70.67)</f>
        <v>70.67</v>
      </c>
      <c r="D2078" s="1">
        <f>IFERROR(__xludf.DUMMYFUNCTION("""COMPUTED_VALUE"""),69.93)</f>
        <v>69.93</v>
      </c>
      <c r="E2078" s="1">
        <f>IFERROR(__xludf.DUMMYFUNCTION("""COMPUTED_VALUE"""),70.65)</f>
        <v>70.65</v>
      </c>
      <c r="F2078" s="1">
        <f>IFERROR(__xludf.DUMMYFUNCTION("""COMPUTED_VALUE"""),8748639.0)</f>
        <v>8748639</v>
      </c>
    </row>
    <row r="2079">
      <c r="A2079" s="2">
        <f>IFERROR(__xludf.DUMMYFUNCTION("""COMPUTED_VALUE"""),39547.666666666664)</f>
        <v>39547.66667</v>
      </c>
      <c r="B2079" s="1">
        <f>IFERROR(__xludf.DUMMYFUNCTION("""COMPUTED_VALUE"""),70.15)</f>
        <v>70.15</v>
      </c>
      <c r="C2079" s="1">
        <f>IFERROR(__xludf.DUMMYFUNCTION("""COMPUTED_VALUE"""),70.3)</f>
        <v>70.3</v>
      </c>
      <c r="D2079" s="1">
        <f>IFERROR(__xludf.DUMMYFUNCTION("""COMPUTED_VALUE"""),69.64)</f>
        <v>69.64</v>
      </c>
      <c r="E2079" s="1">
        <f>IFERROR(__xludf.DUMMYFUNCTION("""COMPUTED_VALUE"""),70.21)</f>
        <v>70.21</v>
      </c>
      <c r="F2079" s="1">
        <f>IFERROR(__xludf.DUMMYFUNCTION("""COMPUTED_VALUE"""),1.1440401E7)</f>
        <v>11440401</v>
      </c>
    </row>
    <row r="2080">
      <c r="A2080" s="2">
        <f>IFERROR(__xludf.DUMMYFUNCTION("""COMPUTED_VALUE"""),39548.666666666664)</f>
        <v>39548.66667</v>
      </c>
      <c r="B2080" s="1">
        <f>IFERROR(__xludf.DUMMYFUNCTION("""COMPUTED_VALUE"""),70.09)</f>
        <v>70.09</v>
      </c>
      <c r="C2080" s="1">
        <f>IFERROR(__xludf.DUMMYFUNCTION("""COMPUTED_VALUE"""),70.69)</f>
        <v>70.69</v>
      </c>
      <c r="D2080" s="1">
        <f>IFERROR(__xludf.DUMMYFUNCTION("""COMPUTED_VALUE"""),69.95)</f>
        <v>69.95</v>
      </c>
      <c r="E2080" s="1">
        <f>IFERROR(__xludf.DUMMYFUNCTION("""COMPUTED_VALUE"""),70.18)</f>
        <v>70.18</v>
      </c>
      <c r="F2080" s="1">
        <f>IFERROR(__xludf.DUMMYFUNCTION("""COMPUTED_VALUE"""),9656737.0)</f>
        <v>9656737</v>
      </c>
    </row>
    <row r="2081">
      <c r="A2081" s="2">
        <f>IFERROR(__xludf.DUMMYFUNCTION("""COMPUTED_VALUE"""),39549.666666666664)</f>
        <v>39549.66667</v>
      </c>
      <c r="B2081" s="1">
        <f>IFERROR(__xludf.DUMMYFUNCTION("""COMPUTED_VALUE"""),70.15)</f>
        <v>70.15</v>
      </c>
      <c r="C2081" s="1">
        <f>IFERROR(__xludf.DUMMYFUNCTION("""COMPUTED_VALUE"""),70.47)</f>
        <v>70.47</v>
      </c>
      <c r="D2081" s="1">
        <f>IFERROR(__xludf.DUMMYFUNCTION("""COMPUTED_VALUE"""),69.75)</f>
        <v>69.75</v>
      </c>
      <c r="E2081" s="1">
        <f>IFERROR(__xludf.DUMMYFUNCTION("""COMPUTED_VALUE"""),70.0)</f>
        <v>70</v>
      </c>
      <c r="F2081" s="1">
        <f>IFERROR(__xludf.DUMMYFUNCTION("""COMPUTED_VALUE"""),1.1862295E7)</f>
        <v>11862295</v>
      </c>
    </row>
    <row r="2082">
      <c r="A2082" s="2">
        <f>IFERROR(__xludf.DUMMYFUNCTION("""COMPUTED_VALUE"""),39552.666666666664)</f>
        <v>39552.66667</v>
      </c>
      <c r="B2082" s="1">
        <f>IFERROR(__xludf.DUMMYFUNCTION("""COMPUTED_VALUE"""),70.12)</f>
        <v>70.12</v>
      </c>
      <c r="C2082" s="1">
        <f>IFERROR(__xludf.DUMMYFUNCTION("""COMPUTED_VALUE"""),70.45)</f>
        <v>70.45</v>
      </c>
      <c r="D2082" s="1">
        <f>IFERROR(__xludf.DUMMYFUNCTION("""COMPUTED_VALUE"""),69.76)</f>
        <v>69.76</v>
      </c>
      <c r="E2082" s="1">
        <f>IFERROR(__xludf.DUMMYFUNCTION("""COMPUTED_VALUE"""),70.12)</f>
        <v>70.12</v>
      </c>
      <c r="F2082" s="1">
        <f>IFERROR(__xludf.DUMMYFUNCTION("""COMPUTED_VALUE"""),9079255.0)</f>
        <v>9079255</v>
      </c>
    </row>
    <row r="2083">
      <c r="A2083" s="2">
        <f>IFERROR(__xludf.DUMMYFUNCTION("""COMPUTED_VALUE"""),39553.666666666664)</f>
        <v>39553.66667</v>
      </c>
      <c r="B2083" s="1">
        <f>IFERROR(__xludf.DUMMYFUNCTION("""COMPUTED_VALUE"""),70.39)</f>
        <v>70.39</v>
      </c>
      <c r="C2083" s="1">
        <f>IFERROR(__xludf.DUMMYFUNCTION("""COMPUTED_VALUE"""),70.4)</f>
        <v>70.4</v>
      </c>
      <c r="D2083" s="1">
        <f>IFERROR(__xludf.DUMMYFUNCTION("""COMPUTED_VALUE"""),69.8)</f>
        <v>69.8</v>
      </c>
      <c r="E2083" s="1">
        <f>IFERROR(__xludf.DUMMYFUNCTION("""COMPUTED_VALUE"""),70.23)</f>
        <v>70.23</v>
      </c>
      <c r="F2083" s="1">
        <f>IFERROR(__xludf.DUMMYFUNCTION("""COMPUTED_VALUE"""),8604080.0)</f>
        <v>8604080</v>
      </c>
    </row>
    <row r="2084">
      <c r="A2084" s="2">
        <f>IFERROR(__xludf.DUMMYFUNCTION("""COMPUTED_VALUE"""),39554.666666666664)</f>
        <v>39554.66667</v>
      </c>
      <c r="B2084" s="1">
        <f>IFERROR(__xludf.DUMMYFUNCTION("""COMPUTED_VALUE"""),70.68)</f>
        <v>70.68</v>
      </c>
      <c r="C2084" s="1">
        <f>IFERROR(__xludf.DUMMYFUNCTION("""COMPUTED_VALUE"""),70.68)</f>
        <v>70.68</v>
      </c>
      <c r="D2084" s="1">
        <f>IFERROR(__xludf.DUMMYFUNCTION("""COMPUTED_VALUE"""),68.97)</f>
        <v>68.97</v>
      </c>
      <c r="E2084" s="1">
        <f>IFERROR(__xludf.DUMMYFUNCTION("""COMPUTED_VALUE"""),69.27)</f>
        <v>69.27</v>
      </c>
      <c r="F2084" s="1">
        <f>IFERROR(__xludf.DUMMYFUNCTION("""COMPUTED_VALUE"""),1.9498386E7)</f>
        <v>19498386</v>
      </c>
    </row>
    <row r="2085">
      <c r="A2085" s="2">
        <f>IFERROR(__xludf.DUMMYFUNCTION("""COMPUTED_VALUE"""),39555.666666666664)</f>
        <v>39555.66667</v>
      </c>
      <c r="B2085" s="1">
        <f>IFERROR(__xludf.DUMMYFUNCTION("""COMPUTED_VALUE"""),68.72)</f>
        <v>68.72</v>
      </c>
      <c r="C2085" s="1">
        <f>IFERROR(__xludf.DUMMYFUNCTION("""COMPUTED_VALUE"""),68.75)</f>
        <v>68.75</v>
      </c>
      <c r="D2085" s="1">
        <f>IFERROR(__xludf.DUMMYFUNCTION("""COMPUTED_VALUE"""),67.3)</f>
        <v>67.3</v>
      </c>
      <c r="E2085" s="1">
        <f>IFERROR(__xludf.DUMMYFUNCTION("""COMPUTED_VALUE"""),67.56)</f>
        <v>67.56</v>
      </c>
      <c r="F2085" s="1">
        <f>IFERROR(__xludf.DUMMYFUNCTION("""COMPUTED_VALUE"""),2.1014044E7)</f>
        <v>21014044</v>
      </c>
    </row>
    <row r="2086">
      <c r="A2086" s="2">
        <f>IFERROR(__xludf.DUMMYFUNCTION("""COMPUTED_VALUE"""),39556.666666666664)</f>
        <v>39556.66667</v>
      </c>
      <c r="B2086" s="1">
        <f>IFERROR(__xludf.DUMMYFUNCTION("""COMPUTED_VALUE"""),67.94)</f>
        <v>67.94</v>
      </c>
      <c r="C2086" s="1">
        <f>IFERROR(__xludf.DUMMYFUNCTION("""COMPUTED_VALUE"""),68.0)</f>
        <v>68</v>
      </c>
      <c r="D2086" s="1">
        <f>IFERROR(__xludf.DUMMYFUNCTION("""COMPUTED_VALUE"""),66.86)</f>
        <v>66.86</v>
      </c>
      <c r="E2086" s="1">
        <f>IFERROR(__xludf.DUMMYFUNCTION("""COMPUTED_VALUE"""),67.17)</f>
        <v>67.17</v>
      </c>
      <c r="F2086" s="1">
        <f>IFERROR(__xludf.DUMMYFUNCTION("""COMPUTED_VALUE"""),1.834571E7)</f>
        <v>18345710</v>
      </c>
    </row>
    <row r="2087">
      <c r="A2087" s="2">
        <f>IFERROR(__xludf.DUMMYFUNCTION("""COMPUTED_VALUE"""),39559.666666666664)</f>
        <v>39559.66667</v>
      </c>
      <c r="B2087" s="1">
        <f>IFERROR(__xludf.DUMMYFUNCTION("""COMPUTED_VALUE"""),66.91)</f>
        <v>66.91</v>
      </c>
      <c r="C2087" s="1">
        <f>IFERROR(__xludf.DUMMYFUNCTION("""COMPUTED_VALUE"""),68.02)</f>
        <v>68.02</v>
      </c>
      <c r="D2087" s="1">
        <f>IFERROR(__xludf.DUMMYFUNCTION("""COMPUTED_VALUE"""),66.74)</f>
        <v>66.74</v>
      </c>
      <c r="E2087" s="1">
        <f>IFERROR(__xludf.DUMMYFUNCTION("""COMPUTED_VALUE"""),67.8)</f>
        <v>67.8</v>
      </c>
      <c r="F2087" s="1">
        <f>IFERROR(__xludf.DUMMYFUNCTION("""COMPUTED_VALUE"""),1.0496618E7)</f>
        <v>10496618</v>
      </c>
    </row>
    <row r="2088">
      <c r="A2088" s="2">
        <f>IFERROR(__xludf.DUMMYFUNCTION("""COMPUTED_VALUE"""),39560.666666666664)</f>
        <v>39560.66667</v>
      </c>
      <c r="B2088" s="1">
        <f>IFERROR(__xludf.DUMMYFUNCTION("""COMPUTED_VALUE"""),67.51)</f>
        <v>67.51</v>
      </c>
      <c r="C2088" s="1">
        <f>IFERROR(__xludf.DUMMYFUNCTION("""COMPUTED_VALUE"""),67.75)</f>
        <v>67.75</v>
      </c>
      <c r="D2088" s="1">
        <f>IFERROR(__xludf.DUMMYFUNCTION("""COMPUTED_VALUE"""),67.15)</f>
        <v>67.15</v>
      </c>
      <c r="E2088" s="1">
        <f>IFERROR(__xludf.DUMMYFUNCTION("""COMPUTED_VALUE"""),67.47)</f>
        <v>67.47</v>
      </c>
      <c r="F2088" s="1">
        <f>IFERROR(__xludf.DUMMYFUNCTION("""COMPUTED_VALUE"""),1.3148901E7)</f>
        <v>13148901</v>
      </c>
    </row>
    <row r="2089">
      <c r="A2089" s="2">
        <f>IFERROR(__xludf.DUMMYFUNCTION("""COMPUTED_VALUE"""),39561.666666666664)</f>
        <v>39561.66667</v>
      </c>
      <c r="B2089" s="1">
        <f>IFERROR(__xludf.DUMMYFUNCTION("""COMPUTED_VALUE"""),67.87)</f>
        <v>67.87</v>
      </c>
      <c r="C2089" s="1">
        <f>IFERROR(__xludf.DUMMYFUNCTION("""COMPUTED_VALUE"""),67.87)</f>
        <v>67.87</v>
      </c>
      <c r="D2089" s="1">
        <f>IFERROR(__xludf.DUMMYFUNCTION("""COMPUTED_VALUE"""),66.75)</f>
        <v>66.75</v>
      </c>
      <c r="E2089" s="1">
        <f>IFERROR(__xludf.DUMMYFUNCTION("""COMPUTED_VALUE"""),67.17)</f>
        <v>67.17</v>
      </c>
      <c r="F2089" s="1">
        <f>IFERROR(__xludf.DUMMYFUNCTION("""COMPUTED_VALUE"""),1.4185007E7)</f>
        <v>14185007</v>
      </c>
    </row>
    <row r="2090">
      <c r="A2090" s="2">
        <f>IFERROR(__xludf.DUMMYFUNCTION("""COMPUTED_VALUE"""),39562.666666666664)</f>
        <v>39562.66667</v>
      </c>
      <c r="B2090" s="1">
        <f>IFERROR(__xludf.DUMMYFUNCTION("""COMPUTED_VALUE"""),67.05)</f>
        <v>67.05</v>
      </c>
      <c r="C2090" s="1">
        <f>IFERROR(__xludf.DUMMYFUNCTION("""COMPUTED_VALUE"""),67.49)</f>
        <v>67.49</v>
      </c>
      <c r="D2090" s="1">
        <f>IFERROR(__xludf.DUMMYFUNCTION("""COMPUTED_VALUE"""),66.79)</f>
        <v>66.79</v>
      </c>
      <c r="E2090" s="1">
        <f>IFERROR(__xludf.DUMMYFUNCTION("""COMPUTED_VALUE"""),66.83)</f>
        <v>66.83</v>
      </c>
      <c r="F2090" s="1">
        <f>IFERROR(__xludf.DUMMYFUNCTION("""COMPUTED_VALUE"""),1.2617468E7)</f>
        <v>12617468</v>
      </c>
    </row>
    <row r="2091">
      <c r="A2091" s="2">
        <f>IFERROR(__xludf.DUMMYFUNCTION("""COMPUTED_VALUE"""),39563.666666666664)</f>
        <v>39563.66667</v>
      </c>
      <c r="B2091" s="1">
        <f>IFERROR(__xludf.DUMMYFUNCTION("""COMPUTED_VALUE"""),67.27)</f>
        <v>67.27</v>
      </c>
      <c r="C2091" s="1">
        <f>IFERROR(__xludf.DUMMYFUNCTION("""COMPUTED_VALUE"""),67.27)</f>
        <v>67.27</v>
      </c>
      <c r="D2091" s="1">
        <f>IFERROR(__xludf.DUMMYFUNCTION("""COMPUTED_VALUE"""),66.17)</f>
        <v>66.17</v>
      </c>
      <c r="E2091" s="1">
        <f>IFERROR(__xludf.DUMMYFUNCTION("""COMPUTED_VALUE"""),66.55)</f>
        <v>66.55</v>
      </c>
      <c r="F2091" s="1">
        <f>IFERROR(__xludf.DUMMYFUNCTION("""COMPUTED_VALUE"""),1.3680362E7)</f>
        <v>13680362</v>
      </c>
    </row>
    <row r="2092">
      <c r="A2092" s="2">
        <f>IFERROR(__xludf.DUMMYFUNCTION("""COMPUTED_VALUE"""),39566.666666666664)</f>
        <v>39566.66667</v>
      </c>
      <c r="B2092" s="1">
        <f>IFERROR(__xludf.DUMMYFUNCTION("""COMPUTED_VALUE"""),66.62)</f>
        <v>66.62</v>
      </c>
      <c r="C2092" s="1">
        <f>IFERROR(__xludf.DUMMYFUNCTION("""COMPUTED_VALUE"""),66.9)</f>
        <v>66.9</v>
      </c>
      <c r="D2092" s="1">
        <f>IFERROR(__xludf.DUMMYFUNCTION("""COMPUTED_VALUE"""),66.03)</f>
        <v>66.03</v>
      </c>
      <c r="E2092" s="1">
        <f>IFERROR(__xludf.DUMMYFUNCTION("""COMPUTED_VALUE"""),66.21)</f>
        <v>66.21</v>
      </c>
      <c r="F2092" s="1">
        <f>IFERROR(__xludf.DUMMYFUNCTION("""COMPUTED_VALUE"""),1.8167456E7)</f>
        <v>18167456</v>
      </c>
    </row>
    <row r="2093">
      <c r="A2093" s="2">
        <f>IFERROR(__xludf.DUMMYFUNCTION("""COMPUTED_VALUE"""),39567.666666666664)</f>
        <v>39567.66667</v>
      </c>
      <c r="B2093" s="1">
        <f>IFERROR(__xludf.DUMMYFUNCTION("""COMPUTED_VALUE"""),66.21)</f>
        <v>66.21</v>
      </c>
      <c r="C2093" s="1">
        <f>IFERROR(__xludf.DUMMYFUNCTION("""COMPUTED_VALUE"""),66.36)</f>
        <v>66.36</v>
      </c>
      <c r="D2093" s="1">
        <f>IFERROR(__xludf.DUMMYFUNCTION("""COMPUTED_VALUE"""),65.8)</f>
        <v>65.8</v>
      </c>
      <c r="E2093" s="1">
        <f>IFERROR(__xludf.DUMMYFUNCTION("""COMPUTED_VALUE"""),65.9)</f>
        <v>65.9</v>
      </c>
      <c r="F2093" s="1">
        <f>IFERROR(__xludf.DUMMYFUNCTION("""COMPUTED_VALUE"""),1.6567891E7)</f>
        <v>16567891</v>
      </c>
    </row>
    <row r="2094">
      <c r="A2094" s="2">
        <f>IFERROR(__xludf.DUMMYFUNCTION("""COMPUTED_VALUE"""),39568.666666666664)</f>
        <v>39568.66667</v>
      </c>
      <c r="B2094" s="1">
        <f>IFERROR(__xludf.DUMMYFUNCTION("""COMPUTED_VALUE"""),67.05)</f>
        <v>67.05</v>
      </c>
      <c r="C2094" s="1">
        <f>IFERROR(__xludf.DUMMYFUNCTION("""COMPUTED_VALUE"""),68.49)</f>
        <v>68.49</v>
      </c>
      <c r="D2094" s="1">
        <f>IFERROR(__xludf.DUMMYFUNCTION("""COMPUTED_VALUE"""),66.87)</f>
        <v>66.87</v>
      </c>
      <c r="E2094" s="1">
        <f>IFERROR(__xludf.DUMMYFUNCTION("""COMPUTED_VALUE"""),67.05)</f>
        <v>67.05</v>
      </c>
      <c r="F2094" s="1">
        <f>IFERROR(__xludf.DUMMYFUNCTION("""COMPUTED_VALUE"""),2.1864946E7)</f>
        <v>21864946</v>
      </c>
    </row>
    <row r="2095">
      <c r="A2095" s="2">
        <f>IFERROR(__xludf.DUMMYFUNCTION("""COMPUTED_VALUE"""),39569.666666666664)</f>
        <v>39569.66667</v>
      </c>
      <c r="B2095" s="1">
        <f>IFERROR(__xludf.DUMMYFUNCTION("""COMPUTED_VALUE"""),67.03)</f>
        <v>67.03</v>
      </c>
      <c r="C2095" s="1">
        <f>IFERROR(__xludf.DUMMYFUNCTION("""COMPUTED_VALUE"""),67.48)</f>
        <v>67.48</v>
      </c>
      <c r="D2095" s="1">
        <f>IFERROR(__xludf.DUMMYFUNCTION("""COMPUTED_VALUE"""),66.52)</f>
        <v>66.52</v>
      </c>
      <c r="E2095" s="1">
        <f>IFERROR(__xludf.DUMMYFUNCTION("""COMPUTED_VALUE"""),67.03)</f>
        <v>67.03</v>
      </c>
      <c r="F2095" s="1">
        <f>IFERROR(__xludf.DUMMYFUNCTION("""COMPUTED_VALUE"""),1.3493775E7)</f>
        <v>13493775</v>
      </c>
    </row>
    <row r="2096">
      <c r="A2096" s="2">
        <f>IFERROR(__xludf.DUMMYFUNCTION("""COMPUTED_VALUE"""),39570.666666666664)</f>
        <v>39570.66667</v>
      </c>
      <c r="B2096" s="1">
        <f>IFERROR(__xludf.DUMMYFUNCTION("""COMPUTED_VALUE"""),67.1)</f>
        <v>67.1</v>
      </c>
      <c r="C2096" s="1">
        <f>IFERROR(__xludf.DUMMYFUNCTION("""COMPUTED_VALUE"""),67.3)</f>
        <v>67.3</v>
      </c>
      <c r="D2096" s="1">
        <f>IFERROR(__xludf.DUMMYFUNCTION("""COMPUTED_VALUE"""),66.36)</f>
        <v>66.36</v>
      </c>
      <c r="E2096" s="1">
        <f>IFERROR(__xludf.DUMMYFUNCTION("""COMPUTED_VALUE"""),66.8)</f>
        <v>66.8</v>
      </c>
      <c r="F2096" s="1">
        <f>IFERROR(__xludf.DUMMYFUNCTION("""COMPUTED_VALUE"""),1.3290465E7)</f>
        <v>13290465</v>
      </c>
    </row>
    <row r="2097">
      <c r="A2097" s="2">
        <f>IFERROR(__xludf.DUMMYFUNCTION("""COMPUTED_VALUE"""),39573.666666666664)</f>
        <v>39573.66667</v>
      </c>
      <c r="B2097" s="1">
        <f>IFERROR(__xludf.DUMMYFUNCTION("""COMPUTED_VALUE"""),66.7)</f>
        <v>66.7</v>
      </c>
      <c r="C2097" s="1">
        <f>IFERROR(__xludf.DUMMYFUNCTION("""COMPUTED_VALUE"""),66.9)</f>
        <v>66.9</v>
      </c>
      <c r="D2097" s="1">
        <f>IFERROR(__xludf.DUMMYFUNCTION("""COMPUTED_VALUE"""),66.22)</f>
        <v>66.22</v>
      </c>
      <c r="E2097" s="1">
        <f>IFERROR(__xludf.DUMMYFUNCTION("""COMPUTED_VALUE"""),66.65)</f>
        <v>66.65</v>
      </c>
      <c r="F2097" s="1">
        <f>IFERROR(__xludf.DUMMYFUNCTION("""COMPUTED_VALUE"""),1.0193992E7)</f>
        <v>10193992</v>
      </c>
    </row>
    <row r="2098">
      <c r="A2098" s="2">
        <f>IFERROR(__xludf.DUMMYFUNCTION("""COMPUTED_VALUE"""),39574.666666666664)</f>
        <v>39574.66667</v>
      </c>
      <c r="B2098" s="1">
        <f>IFERROR(__xludf.DUMMYFUNCTION("""COMPUTED_VALUE"""),66.21)</f>
        <v>66.21</v>
      </c>
      <c r="C2098" s="1">
        <f>IFERROR(__xludf.DUMMYFUNCTION("""COMPUTED_VALUE"""),66.88)</f>
        <v>66.88</v>
      </c>
      <c r="D2098" s="1">
        <f>IFERROR(__xludf.DUMMYFUNCTION("""COMPUTED_VALUE"""),66.21)</f>
        <v>66.21</v>
      </c>
      <c r="E2098" s="1">
        <f>IFERROR(__xludf.DUMMYFUNCTION("""COMPUTED_VALUE"""),66.65)</f>
        <v>66.65</v>
      </c>
      <c r="F2098" s="1">
        <f>IFERROR(__xludf.DUMMYFUNCTION("""COMPUTED_VALUE"""),9819843.0)</f>
        <v>9819843</v>
      </c>
    </row>
    <row r="2099">
      <c r="A2099" s="2">
        <f>IFERROR(__xludf.DUMMYFUNCTION("""COMPUTED_VALUE"""),39575.666666666664)</f>
        <v>39575.66667</v>
      </c>
      <c r="B2099" s="1">
        <f>IFERROR(__xludf.DUMMYFUNCTION("""COMPUTED_VALUE"""),66.59)</f>
        <v>66.59</v>
      </c>
      <c r="C2099" s="1">
        <f>IFERROR(__xludf.DUMMYFUNCTION("""COMPUTED_VALUE"""),67.03)</f>
        <v>67.03</v>
      </c>
      <c r="D2099" s="1">
        <f>IFERROR(__xludf.DUMMYFUNCTION("""COMPUTED_VALUE"""),65.7)</f>
        <v>65.7</v>
      </c>
      <c r="E2099" s="1">
        <f>IFERROR(__xludf.DUMMYFUNCTION("""COMPUTED_VALUE"""),65.8)</f>
        <v>65.8</v>
      </c>
      <c r="F2099" s="1">
        <f>IFERROR(__xludf.DUMMYFUNCTION("""COMPUTED_VALUE"""),1.3045844E7)</f>
        <v>13045844</v>
      </c>
    </row>
    <row r="2100">
      <c r="A2100" s="2">
        <f>IFERROR(__xludf.DUMMYFUNCTION("""COMPUTED_VALUE"""),39576.666666666664)</f>
        <v>39576.66667</v>
      </c>
      <c r="B2100" s="1">
        <f>IFERROR(__xludf.DUMMYFUNCTION("""COMPUTED_VALUE"""),66.1)</f>
        <v>66.1</v>
      </c>
      <c r="C2100" s="1">
        <f>IFERROR(__xludf.DUMMYFUNCTION("""COMPUTED_VALUE"""),66.26)</f>
        <v>66.26</v>
      </c>
      <c r="D2100" s="1">
        <f>IFERROR(__xludf.DUMMYFUNCTION("""COMPUTED_VALUE"""),65.68)</f>
        <v>65.68</v>
      </c>
      <c r="E2100" s="1">
        <f>IFERROR(__xludf.DUMMYFUNCTION("""COMPUTED_VALUE"""),65.92)</f>
        <v>65.92</v>
      </c>
      <c r="F2100" s="1">
        <f>IFERROR(__xludf.DUMMYFUNCTION("""COMPUTED_VALUE"""),1.0081889E7)</f>
        <v>10081889</v>
      </c>
    </row>
    <row r="2101">
      <c r="A2101" s="2">
        <f>IFERROR(__xludf.DUMMYFUNCTION("""COMPUTED_VALUE"""),39577.666666666664)</f>
        <v>39577.66667</v>
      </c>
      <c r="B2101" s="1">
        <f>IFERROR(__xludf.DUMMYFUNCTION("""COMPUTED_VALUE"""),65.62)</f>
        <v>65.62</v>
      </c>
      <c r="C2101" s="1">
        <f>IFERROR(__xludf.DUMMYFUNCTION("""COMPUTED_VALUE"""),65.79)</f>
        <v>65.79</v>
      </c>
      <c r="D2101" s="1">
        <f>IFERROR(__xludf.DUMMYFUNCTION("""COMPUTED_VALUE"""),65.1)</f>
        <v>65.1</v>
      </c>
      <c r="E2101" s="1">
        <f>IFERROR(__xludf.DUMMYFUNCTION("""COMPUTED_VALUE"""),65.21)</f>
        <v>65.21</v>
      </c>
      <c r="F2101" s="1">
        <f>IFERROR(__xludf.DUMMYFUNCTION("""COMPUTED_VALUE"""),9756679.0)</f>
        <v>9756679</v>
      </c>
    </row>
    <row r="2102">
      <c r="A2102" s="2">
        <f>IFERROR(__xludf.DUMMYFUNCTION("""COMPUTED_VALUE"""),39580.666666666664)</f>
        <v>39580.66667</v>
      </c>
      <c r="B2102" s="1">
        <f>IFERROR(__xludf.DUMMYFUNCTION("""COMPUTED_VALUE"""),65.43)</f>
        <v>65.43</v>
      </c>
      <c r="C2102" s="1">
        <f>IFERROR(__xludf.DUMMYFUNCTION("""COMPUTED_VALUE"""),65.75)</f>
        <v>65.75</v>
      </c>
      <c r="D2102" s="1">
        <f>IFERROR(__xludf.DUMMYFUNCTION("""COMPUTED_VALUE"""),65.0)</f>
        <v>65</v>
      </c>
      <c r="E2102" s="1">
        <f>IFERROR(__xludf.DUMMYFUNCTION("""COMPUTED_VALUE"""),65.35)</f>
        <v>65.35</v>
      </c>
      <c r="F2102" s="1">
        <f>IFERROR(__xludf.DUMMYFUNCTION("""COMPUTED_VALUE"""),1.1162143E7)</f>
        <v>11162143</v>
      </c>
    </row>
    <row r="2103">
      <c r="A2103" s="2">
        <f>IFERROR(__xludf.DUMMYFUNCTION("""COMPUTED_VALUE"""),39581.666666666664)</f>
        <v>39581.66667</v>
      </c>
      <c r="B2103" s="1">
        <f>IFERROR(__xludf.DUMMYFUNCTION("""COMPUTED_VALUE"""),65.5)</f>
        <v>65.5</v>
      </c>
      <c r="C2103" s="1">
        <f>IFERROR(__xludf.DUMMYFUNCTION("""COMPUTED_VALUE"""),66.12)</f>
        <v>66.12</v>
      </c>
      <c r="D2103" s="1">
        <f>IFERROR(__xludf.DUMMYFUNCTION("""COMPUTED_VALUE"""),65.25)</f>
        <v>65.25</v>
      </c>
      <c r="E2103" s="1">
        <f>IFERROR(__xludf.DUMMYFUNCTION("""COMPUTED_VALUE"""),65.73)</f>
        <v>65.73</v>
      </c>
      <c r="F2103" s="1">
        <f>IFERROR(__xludf.DUMMYFUNCTION("""COMPUTED_VALUE"""),1.0942422E7)</f>
        <v>10942422</v>
      </c>
    </row>
    <row r="2104">
      <c r="A2104" s="2">
        <f>IFERROR(__xludf.DUMMYFUNCTION("""COMPUTED_VALUE"""),39582.666666666664)</f>
        <v>39582.66667</v>
      </c>
      <c r="B2104" s="1">
        <f>IFERROR(__xludf.DUMMYFUNCTION("""COMPUTED_VALUE"""),65.93)</f>
        <v>65.93</v>
      </c>
      <c r="C2104" s="1">
        <f>IFERROR(__xludf.DUMMYFUNCTION("""COMPUTED_VALUE"""),66.49)</f>
        <v>66.49</v>
      </c>
      <c r="D2104" s="1">
        <f>IFERROR(__xludf.DUMMYFUNCTION("""COMPUTED_VALUE"""),65.37)</f>
        <v>65.37</v>
      </c>
      <c r="E2104" s="1">
        <f>IFERROR(__xludf.DUMMYFUNCTION("""COMPUTED_VALUE"""),65.5)</f>
        <v>65.5</v>
      </c>
      <c r="F2104" s="1">
        <f>IFERROR(__xludf.DUMMYFUNCTION("""COMPUTED_VALUE"""),1.3205104E7)</f>
        <v>13205104</v>
      </c>
    </row>
    <row r="2105">
      <c r="A2105" s="2">
        <f>IFERROR(__xludf.DUMMYFUNCTION("""COMPUTED_VALUE"""),39583.666666666664)</f>
        <v>39583.66667</v>
      </c>
      <c r="B2105" s="1">
        <f>IFERROR(__xludf.DUMMYFUNCTION("""COMPUTED_VALUE"""),65.28)</f>
        <v>65.28</v>
      </c>
      <c r="C2105" s="1">
        <f>IFERROR(__xludf.DUMMYFUNCTION("""COMPUTED_VALUE"""),66.37)</f>
        <v>66.37</v>
      </c>
      <c r="D2105" s="1">
        <f>IFERROR(__xludf.DUMMYFUNCTION("""COMPUTED_VALUE"""),65.12)</f>
        <v>65.12</v>
      </c>
      <c r="E2105" s="1">
        <f>IFERROR(__xludf.DUMMYFUNCTION("""COMPUTED_VALUE"""),66.36)</f>
        <v>66.36</v>
      </c>
      <c r="F2105" s="1">
        <f>IFERROR(__xludf.DUMMYFUNCTION("""COMPUTED_VALUE"""),1.1877325E7)</f>
        <v>11877325</v>
      </c>
    </row>
    <row r="2106">
      <c r="A2106" s="2">
        <f>IFERROR(__xludf.DUMMYFUNCTION("""COMPUTED_VALUE"""),39584.666666666664)</f>
        <v>39584.66667</v>
      </c>
      <c r="B2106" s="1">
        <f>IFERROR(__xludf.DUMMYFUNCTION("""COMPUTED_VALUE"""),66.44)</f>
        <v>66.44</v>
      </c>
      <c r="C2106" s="1">
        <f>IFERROR(__xludf.DUMMYFUNCTION("""COMPUTED_VALUE"""),66.97)</f>
        <v>66.97</v>
      </c>
      <c r="D2106" s="1">
        <f>IFERROR(__xludf.DUMMYFUNCTION("""COMPUTED_VALUE"""),66.42)</f>
        <v>66.42</v>
      </c>
      <c r="E2106" s="1">
        <f>IFERROR(__xludf.DUMMYFUNCTION("""COMPUTED_VALUE"""),66.75)</f>
        <v>66.75</v>
      </c>
      <c r="F2106" s="1">
        <f>IFERROR(__xludf.DUMMYFUNCTION("""COMPUTED_VALUE"""),1.228616E7)</f>
        <v>12286160</v>
      </c>
    </row>
    <row r="2107">
      <c r="A2107" s="2">
        <f>IFERROR(__xludf.DUMMYFUNCTION("""COMPUTED_VALUE"""),39587.666666666664)</f>
        <v>39587.66667</v>
      </c>
      <c r="B2107" s="1">
        <f>IFERROR(__xludf.DUMMYFUNCTION("""COMPUTED_VALUE"""),66.51)</f>
        <v>66.51</v>
      </c>
      <c r="C2107" s="1">
        <f>IFERROR(__xludf.DUMMYFUNCTION("""COMPUTED_VALUE"""),66.97)</f>
        <v>66.97</v>
      </c>
      <c r="D2107" s="1">
        <f>IFERROR(__xludf.DUMMYFUNCTION("""COMPUTED_VALUE"""),66.4)</f>
        <v>66.4</v>
      </c>
      <c r="E2107" s="1">
        <f>IFERROR(__xludf.DUMMYFUNCTION("""COMPUTED_VALUE"""),66.86)</f>
        <v>66.86</v>
      </c>
      <c r="F2107" s="1">
        <f>IFERROR(__xludf.DUMMYFUNCTION("""COMPUTED_VALUE"""),9182823.0)</f>
        <v>9182823</v>
      </c>
    </row>
    <row r="2108">
      <c r="A2108" s="2">
        <f>IFERROR(__xludf.DUMMYFUNCTION("""COMPUTED_VALUE"""),39588.666666666664)</f>
        <v>39588.66667</v>
      </c>
      <c r="B2108" s="1">
        <f>IFERROR(__xludf.DUMMYFUNCTION("""COMPUTED_VALUE"""),66.63)</f>
        <v>66.63</v>
      </c>
      <c r="C2108" s="1">
        <f>IFERROR(__xludf.DUMMYFUNCTION("""COMPUTED_VALUE"""),66.8)</f>
        <v>66.8</v>
      </c>
      <c r="D2108" s="1">
        <f>IFERROR(__xludf.DUMMYFUNCTION("""COMPUTED_VALUE"""),65.74)</f>
        <v>65.74</v>
      </c>
      <c r="E2108" s="1">
        <f>IFERROR(__xludf.DUMMYFUNCTION("""COMPUTED_VALUE"""),65.86)</f>
        <v>65.86</v>
      </c>
      <c r="F2108" s="1">
        <f>IFERROR(__xludf.DUMMYFUNCTION("""COMPUTED_VALUE"""),1.1931586E7)</f>
        <v>11931586</v>
      </c>
    </row>
    <row r="2109">
      <c r="A2109" s="2">
        <f>IFERROR(__xludf.DUMMYFUNCTION("""COMPUTED_VALUE"""),39589.666666666664)</f>
        <v>39589.66667</v>
      </c>
      <c r="B2109" s="1">
        <f>IFERROR(__xludf.DUMMYFUNCTION("""COMPUTED_VALUE"""),66.08)</f>
        <v>66.08</v>
      </c>
      <c r="C2109" s="1">
        <f>IFERROR(__xludf.DUMMYFUNCTION("""COMPUTED_VALUE"""),66.08)</f>
        <v>66.08</v>
      </c>
      <c r="D2109" s="1">
        <f>IFERROR(__xludf.DUMMYFUNCTION("""COMPUTED_VALUE"""),65.01)</f>
        <v>65.01</v>
      </c>
      <c r="E2109" s="1">
        <f>IFERROR(__xludf.DUMMYFUNCTION("""COMPUTED_VALUE"""),65.17)</f>
        <v>65.17</v>
      </c>
      <c r="F2109" s="1">
        <f>IFERROR(__xludf.DUMMYFUNCTION("""COMPUTED_VALUE"""),1.1650262E7)</f>
        <v>11650262</v>
      </c>
    </row>
    <row r="2110">
      <c r="A2110" s="2">
        <f>IFERROR(__xludf.DUMMYFUNCTION("""COMPUTED_VALUE"""),39590.666666666664)</f>
        <v>39590.66667</v>
      </c>
      <c r="B2110" s="1">
        <f>IFERROR(__xludf.DUMMYFUNCTION("""COMPUTED_VALUE"""),65.32)</f>
        <v>65.32</v>
      </c>
      <c r="C2110" s="1">
        <f>IFERROR(__xludf.DUMMYFUNCTION("""COMPUTED_VALUE"""),65.81)</f>
        <v>65.81</v>
      </c>
      <c r="D2110" s="1">
        <f>IFERROR(__xludf.DUMMYFUNCTION("""COMPUTED_VALUE"""),65.06)</f>
        <v>65.06</v>
      </c>
      <c r="E2110" s="1">
        <f>IFERROR(__xludf.DUMMYFUNCTION("""COMPUTED_VALUE"""),65.62)</f>
        <v>65.62</v>
      </c>
      <c r="F2110" s="1">
        <f>IFERROR(__xludf.DUMMYFUNCTION("""COMPUTED_VALUE"""),8639052.0)</f>
        <v>8639052</v>
      </c>
    </row>
    <row r="2111">
      <c r="A2111" s="2">
        <f>IFERROR(__xludf.DUMMYFUNCTION("""COMPUTED_VALUE"""),39591.666666666664)</f>
        <v>39591.66667</v>
      </c>
      <c r="B2111" s="1">
        <f>IFERROR(__xludf.DUMMYFUNCTION("""COMPUTED_VALUE"""),65.38)</f>
        <v>65.38</v>
      </c>
      <c r="C2111" s="1">
        <f>IFERROR(__xludf.DUMMYFUNCTION("""COMPUTED_VALUE"""),65.75)</f>
        <v>65.75</v>
      </c>
      <c r="D2111" s="1">
        <f>IFERROR(__xludf.DUMMYFUNCTION("""COMPUTED_VALUE"""),65.1)</f>
        <v>65.1</v>
      </c>
      <c r="E2111" s="1">
        <f>IFERROR(__xludf.DUMMYFUNCTION("""COMPUTED_VALUE"""),65.27)</f>
        <v>65.27</v>
      </c>
      <c r="F2111" s="1">
        <f>IFERROR(__xludf.DUMMYFUNCTION("""COMPUTED_VALUE"""),8415233.0)</f>
        <v>8415233</v>
      </c>
    </row>
    <row r="2112">
      <c r="A2112" s="2">
        <f>IFERROR(__xludf.DUMMYFUNCTION("""COMPUTED_VALUE"""),39595.666666666664)</f>
        <v>39595.66667</v>
      </c>
      <c r="B2112" s="1">
        <f>IFERROR(__xludf.DUMMYFUNCTION("""COMPUTED_VALUE"""),65.38)</f>
        <v>65.38</v>
      </c>
      <c r="C2112" s="1">
        <f>IFERROR(__xludf.DUMMYFUNCTION("""COMPUTED_VALUE"""),65.5)</f>
        <v>65.5</v>
      </c>
      <c r="D2112" s="1">
        <f>IFERROR(__xludf.DUMMYFUNCTION("""COMPUTED_VALUE"""),64.91)</f>
        <v>64.91</v>
      </c>
      <c r="E2112" s="1">
        <f>IFERROR(__xludf.DUMMYFUNCTION("""COMPUTED_VALUE"""),65.07)</f>
        <v>65.07</v>
      </c>
      <c r="F2112" s="1">
        <f>IFERROR(__xludf.DUMMYFUNCTION("""COMPUTED_VALUE"""),1.0902456E7)</f>
        <v>10902456</v>
      </c>
    </row>
    <row r="2113">
      <c r="A2113" s="2">
        <f>IFERROR(__xludf.DUMMYFUNCTION("""COMPUTED_VALUE"""),39596.666666666664)</f>
        <v>39596.66667</v>
      </c>
      <c r="B2113" s="1">
        <f>IFERROR(__xludf.DUMMYFUNCTION("""COMPUTED_VALUE"""),65.32)</f>
        <v>65.32</v>
      </c>
      <c r="C2113" s="1">
        <f>IFERROR(__xludf.DUMMYFUNCTION("""COMPUTED_VALUE"""),65.42)</f>
        <v>65.42</v>
      </c>
      <c r="D2113" s="1">
        <f>IFERROR(__xludf.DUMMYFUNCTION("""COMPUTED_VALUE"""),64.76)</f>
        <v>64.76</v>
      </c>
      <c r="E2113" s="1">
        <f>IFERROR(__xludf.DUMMYFUNCTION("""COMPUTED_VALUE"""),64.87)</f>
        <v>64.87</v>
      </c>
      <c r="F2113" s="1">
        <f>IFERROR(__xludf.DUMMYFUNCTION("""COMPUTED_VALUE"""),1.0195748E7)</f>
        <v>10195748</v>
      </c>
    </row>
    <row r="2114">
      <c r="A2114" s="2">
        <f>IFERROR(__xludf.DUMMYFUNCTION("""COMPUTED_VALUE"""),39597.666666666664)</f>
        <v>39597.66667</v>
      </c>
      <c r="B2114" s="1">
        <f>IFERROR(__xludf.DUMMYFUNCTION("""COMPUTED_VALUE"""),64.88)</f>
        <v>64.88</v>
      </c>
      <c r="C2114" s="1">
        <f>IFERROR(__xludf.DUMMYFUNCTION("""COMPUTED_VALUE"""),65.75)</f>
        <v>65.75</v>
      </c>
      <c r="D2114" s="1">
        <f>IFERROR(__xludf.DUMMYFUNCTION("""COMPUTED_VALUE"""),64.75)</f>
        <v>64.75</v>
      </c>
      <c r="E2114" s="1">
        <f>IFERROR(__xludf.DUMMYFUNCTION("""COMPUTED_VALUE"""),65.47)</f>
        <v>65.47</v>
      </c>
      <c r="F2114" s="1">
        <f>IFERROR(__xludf.DUMMYFUNCTION("""COMPUTED_VALUE"""),1.0548761E7)</f>
        <v>10548761</v>
      </c>
    </row>
    <row r="2115">
      <c r="A2115" s="2">
        <f>IFERROR(__xludf.DUMMYFUNCTION("""COMPUTED_VALUE"""),39598.666666666664)</f>
        <v>39598.66667</v>
      </c>
      <c r="B2115" s="1">
        <f>IFERROR(__xludf.DUMMYFUNCTION("""COMPUTED_VALUE"""),65.53)</f>
        <v>65.53</v>
      </c>
      <c r="C2115" s="1">
        <f>IFERROR(__xludf.DUMMYFUNCTION("""COMPUTED_VALUE"""),66.13)</f>
        <v>66.13</v>
      </c>
      <c r="D2115" s="1">
        <f>IFERROR(__xludf.DUMMYFUNCTION("""COMPUTED_VALUE"""),65.32)</f>
        <v>65.32</v>
      </c>
      <c r="E2115" s="1">
        <f>IFERROR(__xludf.DUMMYFUNCTION("""COMPUTED_VALUE"""),66.05)</f>
        <v>66.05</v>
      </c>
      <c r="F2115" s="1">
        <f>IFERROR(__xludf.DUMMYFUNCTION("""COMPUTED_VALUE"""),9761738.0)</f>
        <v>9761738</v>
      </c>
    </row>
    <row r="2116">
      <c r="A2116" s="2">
        <f>IFERROR(__xludf.DUMMYFUNCTION("""COMPUTED_VALUE"""),39601.666666666664)</f>
        <v>39601.66667</v>
      </c>
      <c r="B2116" s="1">
        <f>IFERROR(__xludf.DUMMYFUNCTION("""COMPUTED_VALUE"""),65.92)</f>
        <v>65.92</v>
      </c>
      <c r="C2116" s="1">
        <f>IFERROR(__xludf.DUMMYFUNCTION("""COMPUTED_VALUE"""),65.92)</f>
        <v>65.92</v>
      </c>
      <c r="D2116" s="1">
        <f>IFERROR(__xludf.DUMMYFUNCTION("""COMPUTED_VALUE"""),64.94)</f>
        <v>64.94</v>
      </c>
      <c r="E2116" s="1">
        <f>IFERROR(__xludf.DUMMYFUNCTION("""COMPUTED_VALUE"""),65.36)</f>
        <v>65.36</v>
      </c>
      <c r="F2116" s="1">
        <f>IFERROR(__xludf.DUMMYFUNCTION("""COMPUTED_VALUE"""),9981067.0)</f>
        <v>9981067</v>
      </c>
    </row>
    <row r="2117">
      <c r="A2117" s="2">
        <f>IFERROR(__xludf.DUMMYFUNCTION("""COMPUTED_VALUE"""),39602.666666666664)</f>
        <v>39602.66667</v>
      </c>
      <c r="B2117" s="1">
        <f>IFERROR(__xludf.DUMMYFUNCTION("""COMPUTED_VALUE"""),65.46)</f>
        <v>65.46</v>
      </c>
      <c r="C2117" s="1">
        <f>IFERROR(__xludf.DUMMYFUNCTION("""COMPUTED_VALUE"""),65.64)</f>
        <v>65.64</v>
      </c>
      <c r="D2117" s="1">
        <f>IFERROR(__xludf.DUMMYFUNCTION("""COMPUTED_VALUE"""),64.95)</f>
        <v>64.95</v>
      </c>
      <c r="E2117" s="1">
        <f>IFERROR(__xludf.DUMMYFUNCTION("""COMPUTED_VALUE"""),65.41)</f>
        <v>65.41</v>
      </c>
      <c r="F2117" s="1">
        <f>IFERROR(__xludf.DUMMYFUNCTION("""COMPUTED_VALUE"""),1.1417446E7)</f>
        <v>11417446</v>
      </c>
    </row>
    <row r="2118">
      <c r="A2118" s="2">
        <f>IFERROR(__xludf.DUMMYFUNCTION("""COMPUTED_VALUE"""),39603.666666666664)</f>
        <v>39603.66667</v>
      </c>
      <c r="B2118" s="1">
        <f>IFERROR(__xludf.DUMMYFUNCTION("""COMPUTED_VALUE"""),66.0)</f>
        <v>66</v>
      </c>
      <c r="C2118" s="1">
        <f>IFERROR(__xludf.DUMMYFUNCTION("""COMPUTED_VALUE"""),66.57)</f>
        <v>66.57</v>
      </c>
      <c r="D2118" s="1">
        <f>IFERROR(__xludf.DUMMYFUNCTION("""COMPUTED_VALUE"""),65.6)</f>
        <v>65.6</v>
      </c>
      <c r="E2118" s="1">
        <f>IFERROR(__xludf.DUMMYFUNCTION("""COMPUTED_VALUE"""),66.45)</f>
        <v>66.45</v>
      </c>
      <c r="F2118" s="1">
        <f>IFERROR(__xludf.DUMMYFUNCTION("""COMPUTED_VALUE"""),1.2590882E7)</f>
        <v>12590882</v>
      </c>
    </row>
    <row r="2119">
      <c r="A2119" s="2">
        <f>IFERROR(__xludf.DUMMYFUNCTION("""COMPUTED_VALUE"""),39604.666666666664)</f>
        <v>39604.66667</v>
      </c>
      <c r="B2119" s="1">
        <f>IFERROR(__xludf.DUMMYFUNCTION("""COMPUTED_VALUE"""),66.56)</f>
        <v>66.56</v>
      </c>
      <c r="C2119" s="1">
        <f>IFERROR(__xludf.DUMMYFUNCTION("""COMPUTED_VALUE"""),66.82)</f>
        <v>66.82</v>
      </c>
      <c r="D2119" s="1">
        <f>IFERROR(__xludf.DUMMYFUNCTION("""COMPUTED_VALUE"""),66.1)</f>
        <v>66.1</v>
      </c>
      <c r="E2119" s="1">
        <f>IFERROR(__xludf.DUMMYFUNCTION("""COMPUTED_VALUE"""),66.67)</f>
        <v>66.67</v>
      </c>
      <c r="F2119" s="1">
        <f>IFERROR(__xludf.DUMMYFUNCTION("""COMPUTED_VALUE"""),1.0784707E7)</f>
        <v>10784707</v>
      </c>
    </row>
    <row r="2120">
      <c r="A2120" s="2">
        <f>IFERROR(__xludf.DUMMYFUNCTION("""COMPUTED_VALUE"""),39605.666666666664)</f>
        <v>39605.66667</v>
      </c>
      <c r="B2120" s="1">
        <f>IFERROR(__xludf.DUMMYFUNCTION("""COMPUTED_VALUE"""),66.35)</f>
        <v>66.35</v>
      </c>
      <c r="C2120" s="1">
        <f>IFERROR(__xludf.DUMMYFUNCTION("""COMPUTED_VALUE"""),66.38)</f>
        <v>66.38</v>
      </c>
      <c r="D2120" s="1">
        <f>IFERROR(__xludf.DUMMYFUNCTION("""COMPUTED_VALUE"""),65.26)</f>
        <v>65.26</v>
      </c>
      <c r="E2120" s="1">
        <f>IFERROR(__xludf.DUMMYFUNCTION("""COMPUTED_VALUE"""),65.37)</f>
        <v>65.37</v>
      </c>
      <c r="F2120" s="1">
        <f>IFERROR(__xludf.DUMMYFUNCTION("""COMPUTED_VALUE"""),1.6364709E7)</f>
        <v>16364709</v>
      </c>
    </row>
    <row r="2121">
      <c r="A2121" s="2">
        <f>IFERROR(__xludf.DUMMYFUNCTION("""COMPUTED_VALUE"""),39608.666666666664)</f>
        <v>39608.66667</v>
      </c>
      <c r="B2121" s="1">
        <f>IFERROR(__xludf.DUMMYFUNCTION("""COMPUTED_VALUE"""),65.35)</f>
        <v>65.35</v>
      </c>
      <c r="C2121" s="1">
        <f>IFERROR(__xludf.DUMMYFUNCTION("""COMPUTED_VALUE"""),66.18)</f>
        <v>66.18</v>
      </c>
      <c r="D2121" s="1">
        <f>IFERROR(__xludf.DUMMYFUNCTION("""COMPUTED_VALUE"""),65.22)</f>
        <v>65.22</v>
      </c>
      <c r="E2121" s="1">
        <f>IFERROR(__xludf.DUMMYFUNCTION("""COMPUTED_VALUE"""),66.07)</f>
        <v>66.07</v>
      </c>
      <c r="F2121" s="1">
        <f>IFERROR(__xludf.DUMMYFUNCTION("""COMPUTED_VALUE"""),1.2982961E7)</f>
        <v>12982961</v>
      </c>
    </row>
    <row r="2122">
      <c r="A2122" s="2">
        <f>IFERROR(__xludf.DUMMYFUNCTION("""COMPUTED_VALUE"""),39609.666666666664)</f>
        <v>39609.66667</v>
      </c>
      <c r="B2122" s="1">
        <f>IFERROR(__xludf.DUMMYFUNCTION("""COMPUTED_VALUE"""),65.63)</f>
        <v>65.63</v>
      </c>
      <c r="C2122" s="1">
        <f>IFERROR(__xludf.DUMMYFUNCTION("""COMPUTED_VALUE"""),67.15)</f>
        <v>67.15</v>
      </c>
      <c r="D2122" s="1">
        <f>IFERROR(__xludf.DUMMYFUNCTION("""COMPUTED_VALUE"""),65.63)</f>
        <v>65.63</v>
      </c>
      <c r="E2122" s="1">
        <f>IFERROR(__xludf.DUMMYFUNCTION("""COMPUTED_VALUE"""),66.66)</f>
        <v>66.66</v>
      </c>
      <c r="F2122" s="1">
        <f>IFERROR(__xludf.DUMMYFUNCTION("""COMPUTED_VALUE"""),1.3803341E7)</f>
        <v>13803341</v>
      </c>
    </row>
    <row r="2123">
      <c r="A2123" s="2">
        <f>IFERROR(__xludf.DUMMYFUNCTION("""COMPUTED_VALUE"""),39610.666666666664)</f>
        <v>39610.66667</v>
      </c>
      <c r="B2123" s="1">
        <f>IFERROR(__xludf.DUMMYFUNCTION("""COMPUTED_VALUE"""),66.43)</f>
        <v>66.43</v>
      </c>
      <c r="C2123" s="1">
        <f>IFERROR(__xludf.DUMMYFUNCTION("""COMPUTED_VALUE"""),66.82)</f>
        <v>66.82</v>
      </c>
      <c r="D2123" s="1">
        <f>IFERROR(__xludf.DUMMYFUNCTION("""COMPUTED_VALUE"""),66.02)</f>
        <v>66.02</v>
      </c>
      <c r="E2123" s="1">
        <f>IFERROR(__xludf.DUMMYFUNCTION("""COMPUTED_VALUE"""),66.2)</f>
        <v>66.2</v>
      </c>
      <c r="F2123" s="1">
        <f>IFERROR(__xludf.DUMMYFUNCTION("""COMPUTED_VALUE"""),1.2619551E7)</f>
        <v>12619551</v>
      </c>
    </row>
    <row r="2124">
      <c r="A2124" s="2">
        <f>IFERROR(__xludf.DUMMYFUNCTION("""COMPUTED_VALUE"""),39611.666666666664)</f>
        <v>39611.66667</v>
      </c>
      <c r="B2124" s="1">
        <f>IFERROR(__xludf.DUMMYFUNCTION("""COMPUTED_VALUE"""),66.4)</f>
        <v>66.4</v>
      </c>
      <c r="C2124" s="1">
        <f>IFERROR(__xludf.DUMMYFUNCTION("""COMPUTED_VALUE"""),66.75)</f>
        <v>66.75</v>
      </c>
      <c r="D2124" s="1">
        <f>IFERROR(__xludf.DUMMYFUNCTION("""COMPUTED_VALUE"""),66.06)</f>
        <v>66.06</v>
      </c>
      <c r="E2124" s="1">
        <f>IFERROR(__xludf.DUMMYFUNCTION("""COMPUTED_VALUE"""),66.46)</f>
        <v>66.46</v>
      </c>
      <c r="F2124" s="1">
        <f>IFERROR(__xludf.DUMMYFUNCTION("""COMPUTED_VALUE"""),1.1939431E7)</f>
        <v>11939431</v>
      </c>
    </row>
    <row r="2125">
      <c r="A2125" s="2">
        <f>IFERROR(__xludf.DUMMYFUNCTION("""COMPUTED_VALUE"""),39612.666666666664)</f>
        <v>39612.66667</v>
      </c>
      <c r="B2125" s="1">
        <f>IFERROR(__xludf.DUMMYFUNCTION("""COMPUTED_VALUE"""),66.77)</f>
        <v>66.77</v>
      </c>
      <c r="C2125" s="1">
        <f>IFERROR(__xludf.DUMMYFUNCTION("""COMPUTED_VALUE"""),66.81)</f>
        <v>66.81</v>
      </c>
      <c r="D2125" s="1">
        <f>IFERROR(__xludf.DUMMYFUNCTION("""COMPUTED_VALUE"""),66.08)</f>
        <v>66.08</v>
      </c>
      <c r="E2125" s="1">
        <f>IFERROR(__xludf.DUMMYFUNCTION("""COMPUTED_VALUE"""),66.45)</f>
        <v>66.45</v>
      </c>
      <c r="F2125" s="1">
        <f>IFERROR(__xludf.DUMMYFUNCTION("""COMPUTED_VALUE"""),1.0941438E7)</f>
        <v>10941438</v>
      </c>
    </row>
    <row r="2126">
      <c r="A2126" s="2">
        <f>IFERROR(__xludf.DUMMYFUNCTION("""COMPUTED_VALUE"""),39615.666666666664)</f>
        <v>39615.66667</v>
      </c>
      <c r="B2126" s="1">
        <f>IFERROR(__xludf.DUMMYFUNCTION("""COMPUTED_VALUE"""),66.25)</f>
        <v>66.25</v>
      </c>
      <c r="C2126" s="1">
        <f>IFERROR(__xludf.DUMMYFUNCTION("""COMPUTED_VALUE"""),66.41)</f>
        <v>66.41</v>
      </c>
      <c r="D2126" s="1">
        <f>IFERROR(__xludf.DUMMYFUNCTION("""COMPUTED_VALUE"""),65.77)</f>
        <v>65.77</v>
      </c>
      <c r="E2126" s="1">
        <f>IFERROR(__xludf.DUMMYFUNCTION("""COMPUTED_VALUE"""),65.9)</f>
        <v>65.9</v>
      </c>
      <c r="F2126" s="1">
        <f>IFERROR(__xludf.DUMMYFUNCTION("""COMPUTED_VALUE"""),1.2204646E7)</f>
        <v>12204646</v>
      </c>
    </row>
    <row r="2127">
      <c r="A2127" s="2">
        <f>IFERROR(__xludf.DUMMYFUNCTION("""COMPUTED_VALUE"""),39616.666666666664)</f>
        <v>39616.66667</v>
      </c>
      <c r="B2127" s="1">
        <f>IFERROR(__xludf.DUMMYFUNCTION("""COMPUTED_VALUE"""),65.97)</f>
        <v>65.97</v>
      </c>
      <c r="C2127" s="1">
        <f>IFERROR(__xludf.DUMMYFUNCTION("""COMPUTED_VALUE"""),66.26)</f>
        <v>66.26</v>
      </c>
      <c r="D2127" s="1">
        <f>IFERROR(__xludf.DUMMYFUNCTION("""COMPUTED_VALUE"""),65.74)</f>
        <v>65.74</v>
      </c>
      <c r="E2127" s="1">
        <f>IFERROR(__xludf.DUMMYFUNCTION("""COMPUTED_VALUE"""),65.8)</f>
        <v>65.8</v>
      </c>
      <c r="F2127" s="1">
        <f>IFERROR(__xludf.DUMMYFUNCTION("""COMPUTED_VALUE"""),8220848.0)</f>
        <v>8220848</v>
      </c>
    </row>
    <row r="2128">
      <c r="A2128" s="2">
        <f>IFERROR(__xludf.DUMMYFUNCTION("""COMPUTED_VALUE"""),39617.666666666664)</f>
        <v>39617.66667</v>
      </c>
      <c r="B2128" s="1">
        <f>IFERROR(__xludf.DUMMYFUNCTION("""COMPUTED_VALUE"""),65.59)</f>
        <v>65.59</v>
      </c>
      <c r="C2128" s="1">
        <f>IFERROR(__xludf.DUMMYFUNCTION("""COMPUTED_VALUE"""),65.95)</f>
        <v>65.95</v>
      </c>
      <c r="D2128" s="1">
        <f>IFERROR(__xludf.DUMMYFUNCTION("""COMPUTED_VALUE"""),64.92)</f>
        <v>64.92</v>
      </c>
      <c r="E2128" s="1">
        <f>IFERROR(__xludf.DUMMYFUNCTION("""COMPUTED_VALUE"""),65.0)</f>
        <v>65</v>
      </c>
      <c r="F2128" s="1">
        <f>IFERROR(__xludf.DUMMYFUNCTION("""COMPUTED_VALUE"""),1.1511795E7)</f>
        <v>11511795</v>
      </c>
    </row>
    <row r="2129">
      <c r="A2129" s="2">
        <f>IFERROR(__xludf.DUMMYFUNCTION("""COMPUTED_VALUE"""),39618.666666666664)</f>
        <v>39618.66667</v>
      </c>
      <c r="B2129" s="1">
        <f>IFERROR(__xludf.DUMMYFUNCTION("""COMPUTED_VALUE"""),64.95)</f>
        <v>64.95</v>
      </c>
      <c r="C2129" s="1">
        <f>IFERROR(__xludf.DUMMYFUNCTION("""COMPUTED_VALUE"""),65.57)</f>
        <v>65.57</v>
      </c>
      <c r="D2129" s="1">
        <f>IFERROR(__xludf.DUMMYFUNCTION("""COMPUTED_VALUE"""),64.71)</f>
        <v>64.71</v>
      </c>
      <c r="E2129" s="1">
        <f>IFERROR(__xludf.DUMMYFUNCTION("""COMPUTED_VALUE"""),64.9)</f>
        <v>64.9</v>
      </c>
      <c r="F2129" s="1">
        <f>IFERROR(__xludf.DUMMYFUNCTION("""COMPUTED_VALUE"""),1.154543E7)</f>
        <v>11545430</v>
      </c>
    </row>
    <row r="2130">
      <c r="A2130" s="2">
        <f>IFERROR(__xludf.DUMMYFUNCTION("""COMPUTED_VALUE"""),39619.666666666664)</f>
        <v>39619.66667</v>
      </c>
      <c r="B2130" s="1">
        <f>IFERROR(__xludf.DUMMYFUNCTION("""COMPUTED_VALUE"""),64.65)</f>
        <v>64.65</v>
      </c>
      <c r="C2130" s="1">
        <f>IFERROR(__xludf.DUMMYFUNCTION("""COMPUTED_VALUE"""),65.08)</f>
        <v>65.08</v>
      </c>
      <c r="D2130" s="1">
        <f>IFERROR(__xludf.DUMMYFUNCTION("""COMPUTED_VALUE"""),63.1)</f>
        <v>63.1</v>
      </c>
      <c r="E2130" s="1">
        <f>IFERROR(__xludf.DUMMYFUNCTION("""COMPUTED_VALUE"""),63.16)</f>
        <v>63.16</v>
      </c>
      <c r="F2130" s="1">
        <f>IFERROR(__xludf.DUMMYFUNCTION("""COMPUTED_VALUE"""),2.146204E7)</f>
        <v>21462040</v>
      </c>
    </row>
    <row r="2131">
      <c r="A2131" s="2">
        <f>IFERROR(__xludf.DUMMYFUNCTION("""COMPUTED_VALUE"""),39622.666666666664)</f>
        <v>39622.66667</v>
      </c>
      <c r="B2131" s="1">
        <f>IFERROR(__xludf.DUMMYFUNCTION("""COMPUTED_VALUE"""),63.43)</f>
        <v>63.43</v>
      </c>
      <c r="C2131" s="1">
        <f>IFERROR(__xludf.DUMMYFUNCTION("""COMPUTED_VALUE"""),63.6)</f>
        <v>63.6</v>
      </c>
      <c r="D2131" s="1">
        <f>IFERROR(__xludf.DUMMYFUNCTION("""COMPUTED_VALUE"""),62.74)</f>
        <v>62.74</v>
      </c>
      <c r="E2131" s="1">
        <f>IFERROR(__xludf.DUMMYFUNCTION("""COMPUTED_VALUE"""),62.93)</f>
        <v>62.93</v>
      </c>
      <c r="F2131" s="1">
        <f>IFERROR(__xludf.DUMMYFUNCTION("""COMPUTED_VALUE"""),1.0507315E7)</f>
        <v>10507315</v>
      </c>
    </row>
    <row r="2132">
      <c r="A2132" s="2">
        <f>IFERROR(__xludf.DUMMYFUNCTION("""COMPUTED_VALUE"""),39623.666666666664)</f>
        <v>39623.66667</v>
      </c>
      <c r="B2132" s="1">
        <f>IFERROR(__xludf.DUMMYFUNCTION("""COMPUTED_VALUE"""),62.82)</f>
        <v>62.82</v>
      </c>
      <c r="C2132" s="1">
        <f>IFERROR(__xludf.DUMMYFUNCTION("""COMPUTED_VALUE"""),63.26)</f>
        <v>63.26</v>
      </c>
      <c r="D2132" s="1">
        <f>IFERROR(__xludf.DUMMYFUNCTION("""COMPUTED_VALUE"""),62.42)</f>
        <v>62.42</v>
      </c>
      <c r="E2132" s="1">
        <f>IFERROR(__xludf.DUMMYFUNCTION("""COMPUTED_VALUE"""),62.86)</f>
        <v>62.86</v>
      </c>
      <c r="F2132" s="1">
        <f>IFERROR(__xludf.DUMMYFUNCTION("""COMPUTED_VALUE"""),1.1172145E7)</f>
        <v>11172145</v>
      </c>
    </row>
    <row r="2133">
      <c r="A2133" s="2">
        <f>IFERROR(__xludf.DUMMYFUNCTION("""COMPUTED_VALUE"""),39624.666666666664)</f>
        <v>39624.66667</v>
      </c>
      <c r="B2133" s="1">
        <f>IFERROR(__xludf.DUMMYFUNCTION("""COMPUTED_VALUE"""),63.14)</f>
        <v>63.14</v>
      </c>
      <c r="C2133" s="1">
        <f>IFERROR(__xludf.DUMMYFUNCTION("""COMPUTED_VALUE"""),64.06)</f>
        <v>64.06</v>
      </c>
      <c r="D2133" s="1">
        <f>IFERROR(__xludf.DUMMYFUNCTION("""COMPUTED_VALUE"""),62.83)</f>
        <v>62.83</v>
      </c>
      <c r="E2133" s="1">
        <f>IFERROR(__xludf.DUMMYFUNCTION("""COMPUTED_VALUE"""),63.49)</f>
        <v>63.49</v>
      </c>
      <c r="F2133" s="1">
        <f>IFERROR(__xludf.DUMMYFUNCTION("""COMPUTED_VALUE"""),1.2893659E7)</f>
        <v>12893659</v>
      </c>
    </row>
    <row r="2134">
      <c r="A2134" s="2">
        <f>IFERROR(__xludf.DUMMYFUNCTION("""COMPUTED_VALUE"""),39625.666666666664)</f>
        <v>39625.66667</v>
      </c>
      <c r="B2134" s="1">
        <f>IFERROR(__xludf.DUMMYFUNCTION("""COMPUTED_VALUE"""),63.22)</f>
        <v>63.22</v>
      </c>
      <c r="C2134" s="1">
        <f>IFERROR(__xludf.DUMMYFUNCTION("""COMPUTED_VALUE"""),63.88)</f>
        <v>63.88</v>
      </c>
      <c r="D2134" s="1">
        <f>IFERROR(__xludf.DUMMYFUNCTION("""COMPUTED_VALUE"""),62.23)</f>
        <v>62.23</v>
      </c>
      <c r="E2134" s="1">
        <f>IFERROR(__xludf.DUMMYFUNCTION("""COMPUTED_VALUE"""),62.25)</f>
        <v>62.25</v>
      </c>
      <c r="F2134" s="1">
        <f>IFERROR(__xludf.DUMMYFUNCTION("""COMPUTED_VALUE"""),1.5243973E7)</f>
        <v>15243973</v>
      </c>
    </row>
    <row r="2135">
      <c r="A2135" s="2">
        <f>IFERROR(__xludf.DUMMYFUNCTION("""COMPUTED_VALUE"""),39626.666666666664)</f>
        <v>39626.66667</v>
      </c>
      <c r="B2135" s="1">
        <f>IFERROR(__xludf.DUMMYFUNCTION("""COMPUTED_VALUE"""),62.19)</f>
        <v>62.19</v>
      </c>
      <c r="C2135" s="1">
        <f>IFERROR(__xludf.DUMMYFUNCTION("""COMPUTED_VALUE"""),62.62)</f>
        <v>62.62</v>
      </c>
      <c r="D2135" s="1">
        <f>IFERROR(__xludf.DUMMYFUNCTION("""COMPUTED_VALUE"""),60.49)</f>
        <v>60.49</v>
      </c>
      <c r="E2135" s="1">
        <f>IFERROR(__xludf.DUMMYFUNCTION("""COMPUTED_VALUE"""),60.49)</f>
        <v>60.49</v>
      </c>
      <c r="F2135" s="1">
        <f>IFERROR(__xludf.DUMMYFUNCTION("""COMPUTED_VALUE"""),2.1773356E7)</f>
        <v>21773356</v>
      </c>
    </row>
    <row r="2136">
      <c r="A2136" s="2">
        <f>IFERROR(__xludf.DUMMYFUNCTION("""COMPUTED_VALUE"""),39629.666666666664)</f>
        <v>39629.66667</v>
      </c>
      <c r="B2136" s="1">
        <f>IFERROR(__xludf.DUMMYFUNCTION("""COMPUTED_VALUE"""),60.69)</f>
        <v>60.69</v>
      </c>
      <c r="C2136" s="1">
        <f>IFERROR(__xludf.DUMMYFUNCTION("""COMPUTED_VALUE"""),61.36)</f>
        <v>61.36</v>
      </c>
      <c r="D2136" s="1">
        <f>IFERROR(__xludf.DUMMYFUNCTION("""COMPUTED_VALUE"""),60.44)</f>
        <v>60.44</v>
      </c>
      <c r="E2136" s="1">
        <f>IFERROR(__xludf.DUMMYFUNCTION("""COMPUTED_VALUE"""),60.81)</f>
        <v>60.81</v>
      </c>
      <c r="F2136" s="1">
        <f>IFERROR(__xludf.DUMMYFUNCTION("""COMPUTED_VALUE"""),1.4977663E7)</f>
        <v>14977663</v>
      </c>
    </row>
    <row r="2137">
      <c r="A2137" s="2">
        <f>IFERROR(__xludf.DUMMYFUNCTION("""COMPUTED_VALUE"""),39630.666666666664)</f>
        <v>39630.66667</v>
      </c>
      <c r="B2137" s="1">
        <f>IFERROR(__xludf.DUMMYFUNCTION("""COMPUTED_VALUE"""),60.55)</f>
        <v>60.55</v>
      </c>
      <c r="C2137" s="1">
        <f>IFERROR(__xludf.DUMMYFUNCTION("""COMPUTED_VALUE"""),62.01)</f>
        <v>62.01</v>
      </c>
      <c r="D2137" s="1">
        <f>IFERROR(__xludf.DUMMYFUNCTION("""COMPUTED_VALUE"""),60.05)</f>
        <v>60.05</v>
      </c>
      <c r="E2137" s="1">
        <f>IFERROR(__xludf.DUMMYFUNCTION("""COMPUTED_VALUE"""),61.98)</f>
        <v>61.98</v>
      </c>
      <c r="F2137" s="1">
        <f>IFERROR(__xludf.DUMMYFUNCTION("""COMPUTED_VALUE"""),1.9060376E7)</f>
        <v>19060376</v>
      </c>
    </row>
    <row r="2138">
      <c r="A2138" s="2">
        <f>IFERROR(__xludf.DUMMYFUNCTION("""COMPUTED_VALUE"""),39631.666666666664)</f>
        <v>39631.66667</v>
      </c>
      <c r="B2138" s="1">
        <f>IFERROR(__xludf.DUMMYFUNCTION("""COMPUTED_VALUE"""),61.95)</f>
        <v>61.95</v>
      </c>
      <c r="C2138" s="1">
        <f>IFERROR(__xludf.DUMMYFUNCTION("""COMPUTED_VALUE"""),62.94)</f>
        <v>62.94</v>
      </c>
      <c r="D2138" s="1">
        <f>IFERROR(__xludf.DUMMYFUNCTION("""COMPUTED_VALUE"""),61.65)</f>
        <v>61.65</v>
      </c>
      <c r="E2138" s="1">
        <f>IFERROR(__xludf.DUMMYFUNCTION("""COMPUTED_VALUE"""),62.69)</f>
        <v>62.69</v>
      </c>
      <c r="F2138" s="1">
        <f>IFERROR(__xludf.DUMMYFUNCTION("""COMPUTED_VALUE"""),1.8876492E7)</f>
        <v>18876492</v>
      </c>
    </row>
    <row r="2139">
      <c r="A2139" s="2">
        <f>IFERROR(__xludf.DUMMYFUNCTION("""COMPUTED_VALUE"""),39632.666666666664)</f>
        <v>39632.66667</v>
      </c>
      <c r="B2139" s="1">
        <f>IFERROR(__xludf.DUMMYFUNCTION("""COMPUTED_VALUE"""),62.7)</f>
        <v>62.7</v>
      </c>
      <c r="C2139" s="1">
        <f>IFERROR(__xludf.DUMMYFUNCTION("""COMPUTED_VALUE"""),63.89)</f>
        <v>63.89</v>
      </c>
      <c r="D2139" s="1">
        <f>IFERROR(__xludf.DUMMYFUNCTION("""COMPUTED_VALUE"""),62.69)</f>
        <v>62.69</v>
      </c>
      <c r="E2139" s="1">
        <f>IFERROR(__xludf.DUMMYFUNCTION("""COMPUTED_VALUE"""),63.67)</f>
        <v>63.67</v>
      </c>
      <c r="F2139" s="1">
        <f>IFERROR(__xludf.DUMMYFUNCTION("""COMPUTED_VALUE"""),1.1551694E7)</f>
        <v>11551694</v>
      </c>
    </row>
    <row r="2140">
      <c r="A2140" s="2">
        <f>IFERROR(__xludf.DUMMYFUNCTION("""COMPUTED_VALUE"""),39636.666666666664)</f>
        <v>39636.66667</v>
      </c>
      <c r="B2140" s="1">
        <f>IFERROR(__xludf.DUMMYFUNCTION("""COMPUTED_VALUE"""),63.81)</f>
        <v>63.81</v>
      </c>
      <c r="C2140" s="1">
        <f>IFERROR(__xludf.DUMMYFUNCTION("""COMPUTED_VALUE"""),63.81)</f>
        <v>63.81</v>
      </c>
      <c r="D2140" s="1">
        <f>IFERROR(__xludf.DUMMYFUNCTION("""COMPUTED_VALUE"""),62.6)</f>
        <v>62.6</v>
      </c>
      <c r="E2140" s="1">
        <f>IFERROR(__xludf.DUMMYFUNCTION("""COMPUTED_VALUE"""),62.91)</f>
        <v>62.91</v>
      </c>
      <c r="F2140" s="1">
        <f>IFERROR(__xludf.DUMMYFUNCTION("""COMPUTED_VALUE"""),1.8717186E7)</f>
        <v>18717186</v>
      </c>
    </row>
    <row r="2141">
      <c r="A2141" s="2">
        <f>IFERROR(__xludf.DUMMYFUNCTION("""COMPUTED_VALUE"""),39637.666666666664)</f>
        <v>39637.66667</v>
      </c>
      <c r="B2141" s="1">
        <f>IFERROR(__xludf.DUMMYFUNCTION("""COMPUTED_VALUE"""),62.67)</f>
        <v>62.67</v>
      </c>
      <c r="C2141" s="1">
        <f>IFERROR(__xludf.DUMMYFUNCTION("""COMPUTED_VALUE"""),63.96)</f>
        <v>63.96</v>
      </c>
      <c r="D2141" s="1">
        <f>IFERROR(__xludf.DUMMYFUNCTION("""COMPUTED_VALUE"""),62.67)</f>
        <v>62.67</v>
      </c>
      <c r="E2141" s="1">
        <f>IFERROR(__xludf.DUMMYFUNCTION("""COMPUTED_VALUE"""),63.66)</f>
        <v>63.66</v>
      </c>
      <c r="F2141" s="1">
        <f>IFERROR(__xludf.DUMMYFUNCTION("""COMPUTED_VALUE"""),1.8142852E7)</f>
        <v>18142852</v>
      </c>
    </row>
    <row r="2142">
      <c r="A2142" s="2">
        <f>IFERROR(__xludf.DUMMYFUNCTION("""COMPUTED_VALUE"""),39638.666666666664)</f>
        <v>39638.66667</v>
      </c>
      <c r="B2142" s="1">
        <f>IFERROR(__xludf.DUMMYFUNCTION("""COMPUTED_VALUE"""),63.93)</f>
        <v>63.93</v>
      </c>
      <c r="C2142" s="1">
        <f>IFERROR(__xludf.DUMMYFUNCTION("""COMPUTED_VALUE"""),64.63)</f>
        <v>64.63</v>
      </c>
      <c r="D2142" s="1">
        <f>IFERROR(__xludf.DUMMYFUNCTION("""COMPUTED_VALUE"""),63.41)</f>
        <v>63.41</v>
      </c>
      <c r="E2142" s="1">
        <f>IFERROR(__xludf.DUMMYFUNCTION("""COMPUTED_VALUE"""),63.8)</f>
        <v>63.8</v>
      </c>
      <c r="F2142" s="1">
        <f>IFERROR(__xludf.DUMMYFUNCTION("""COMPUTED_VALUE"""),1.555323E7)</f>
        <v>15553230</v>
      </c>
    </row>
    <row r="2143">
      <c r="A2143" s="2">
        <f>IFERROR(__xludf.DUMMYFUNCTION("""COMPUTED_VALUE"""),39639.666666666664)</f>
        <v>39639.66667</v>
      </c>
      <c r="B2143" s="1">
        <f>IFERROR(__xludf.DUMMYFUNCTION("""COMPUTED_VALUE"""),63.71)</f>
        <v>63.71</v>
      </c>
      <c r="C2143" s="1">
        <f>IFERROR(__xludf.DUMMYFUNCTION("""COMPUTED_VALUE"""),64.32)</f>
        <v>64.32</v>
      </c>
      <c r="D2143" s="1">
        <f>IFERROR(__xludf.DUMMYFUNCTION("""COMPUTED_VALUE"""),63.36)</f>
        <v>63.36</v>
      </c>
      <c r="E2143" s="1">
        <f>IFERROR(__xludf.DUMMYFUNCTION("""COMPUTED_VALUE"""),64.22)</f>
        <v>64.22</v>
      </c>
      <c r="F2143" s="1">
        <f>IFERROR(__xludf.DUMMYFUNCTION("""COMPUTED_VALUE"""),1.775344E7)</f>
        <v>17753440</v>
      </c>
    </row>
    <row r="2144">
      <c r="A2144" s="2">
        <f>IFERROR(__xludf.DUMMYFUNCTION("""COMPUTED_VALUE"""),39640.666666666664)</f>
        <v>39640.66667</v>
      </c>
      <c r="B2144" s="1">
        <f>IFERROR(__xludf.DUMMYFUNCTION("""COMPUTED_VALUE"""),63.93)</f>
        <v>63.93</v>
      </c>
      <c r="C2144" s="1">
        <f>IFERROR(__xludf.DUMMYFUNCTION("""COMPUTED_VALUE"""),64.29)</f>
        <v>64.29</v>
      </c>
      <c r="D2144" s="1">
        <f>IFERROR(__xludf.DUMMYFUNCTION("""COMPUTED_VALUE"""),63.18)</f>
        <v>63.18</v>
      </c>
      <c r="E2144" s="1">
        <f>IFERROR(__xludf.DUMMYFUNCTION("""COMPUTED_VALUE"""),63.45)</f>
        <v>63.45</v>
      </c>
      <c r="F2144" s="1">
        <f>IFERROR(__xludf.DUMMYFUNCTION("""COMPUTED_VALUE"""),2.1849602E7)</f>
        <v>21849602</v>
      </c>
    </row>
    <row r="2145">
      <c r="A2145" s="2">
        <f>IFERROR(__xludf.DUMMYFUNCTION("""COMPUTED_VALUE"""),39643.666666666664)</f>
        <v>39643.66667</v>
      </c>
      <c r="B2145" s="1">
        <f>IFERROR(__xludf.DUMMYFUNCTION("""COMPUTED_VALUE"""),63.9)</f>
        <v>63.9</v>
      </c>
      <c r="C2145" s="1">
        <f>IFERROR(__xludf.DUMMYFUNCTION("""COMPUTED_VALUE"""),64.38)</f>
        <v>64.38</v>
      </c>
      <c r="D2145" s="1">
        <f>IFERROR(__xludf.DUMMYFUNCTION("""COMPUTED_VALUE"""),63.62)</f>
        <v>63.62</v>
      </c>
      <c r="E2145" s="1">
        <f>IFERROR(__xludf.DUMMYFUNCTION("""COMPUTED_VALUE"""),63.93)</f>
        <v>63.93</v>
      </c>
      <c r="F2145" s="1">
        <f>IFERROR(__xludf.DUMMYFUNCTION("""COMPUTED_VALUE"""),1.4939855E7)</f>
        <v>14939855</v>
      </c>
    </row>
    <row r="2146">
      <c r="A2146" s="2">
        <f>IFERROR(__xludf.DUMMYFUNCTION("""COMPUTED_VALUE"""),39644.666666666664)</f>
        <v>39644.66667</v>
      </c>
      <c r="B2146" s="1">
        <f>IFERROR(__xludf.DUMMYFUNCTION("""COMPUTED_VALUE"""),62.35)</f>
        <v>62.35</v>
      </c>
      <c r="C2146" s="1">
        <f>IFERROR(__xludf.DUMMYFUNCTION("""COMPUTED_VALUE"""),65.41)</f>
        <v>65.41</v>
      </c>
      <c r="D2146" s="1">
        <f>IFERROR(__xludf.DUMMYFUNCTION("""COMPUTED_VALUE"""),62.03)</f>
        <v>62.03</v>
      </c>
      <c r="E2146" s="1">
        <f>IFERROR(__xludf.DUMMYFUNCTION("""COMPUTED_VALUE"""),64.35)</f>
        <v>64.35</v>
      </c>
      <c r="F2146" s="1">
        <f>IFERROR(__xludf.DUMMYFUNCTION("""COMPUTED_VALUE"""),2.5356864E7)</f>
        <v>25356864</v>
      </c>
    </row>
    <row r="2147">
      <c r="A2147" s="2">
        <f>IFERROR(__xludf.DUMMYFUNCTION("""COMPUTED_VALUE"""),39645.666666666664)</f>
        <v>39645.66667</v>
      </c>
      <c r="B2147" s="1">
        <f>IFERROR(__xludf.DUMMYFUNCTION("""COMPUTED_VALUE"""),63.73)</f>
        <v>63.73</v>
      </c>
      <c r="C2147" s="1">
        <f>IFERROR(__xludf.DUMMYFUNCTION("""COMPUTED_VALUE"""),64.16)</f>
        <v>64.16</v>
      </c>
      <c r="D2147" s="1">
        <f>IFERROR(__xludf.DUMMYFUNCTION("""COMPUTED_VALUE"""),63.38)</f>
        <v>63.38</v>
      </c>
      <c r="E2147" s="1">
        <f>IFERROR(__xludf.DUMMYFUNCTION("""COMPUTED_VALUE"""),63.89)</f>
        <v>63.89</v>
      </c>
      <c r="F2147" s="1">
        <f>IFERROR(__xludf.DUMMYFUNCTION("""COMPUTED_VALUE"""),1.9482654E7)</f>
        <v>19482654</v>
      </c>
    </row>
    <row r="2148">
      <c r="A2148" s="2">
        <f>IFERROR(__xludf.DUMMYFUNCTION("""COMPUTED_VALUE"""),39646.666666666664)</f>
        <v>39646.66667</v>
      </c>
      <c r="B2148" s="1">
        <f>IFERROR(__xludf.DUMMYFUNCTION("""COMPUTED_VALUE"""),63.97)</f>
        <v>63.97</v>
      </c>
      <c r="C2148" s="1">
        <f>IFERROR(__xludf.DUMMYFUNCTION("""COMPUTED_VALUE"""),64.08)</f>
        <v>64.08</v>
      </c>
      <c r="D2148" s="1">
        <f>IFERROR(__xludf.DUMMYFUNCTION("""COMPUTED_VALUE"""),63.2)</f>
        <v>63.2</v>
      </c>
      <c r="E2148" s="1">
        <f>IFERROR(__xludf.DUMMYFUNCTION("""COMPUTED_VALUE"""),63.89)</f>
        <v>63.89</v>
      </c>
      <c r="F2148" s="1">
        <f>IFERROR(__xludf.DUMMYFUNCTION("""COMPUTED_VALUE"""),1.5878879E7)</f>
        <v>15878879</v>
      </c>
    </row>
    <row r="2149">
      <c r="A2149" s="2">
        <f>IFERROR(__xludf.DUMMYFUNCTION("""COMPUTED_VALUE"""),39647.666666666664)</f>
        <v>39647.66667</v>
      </c>
      <c r="B2149" s="1">
        <f>IFERROR(__xludf.DUMMYFUNCTION("""COMPUTED_VALUE"""),63.97)</f>
        <v>63.97</v>
      </c>
      <c r="C2149" s="1">
        <f>IFERROR(__xludf.DUMMYFUNCTION("""COMPUTED_VALUE"""),63.97)</f>
        <v>63.97</v>
      </c>
      <c r="D2149" s="1">
        <f>IFERROR(__xludf.DUMMYFUNCTION("""COMPUTED_VALUE"""),63.25)</f>
        <v>63.25</v>
      </c>
      <c r="E2149" s="1">
        <f>IFERROR(__xludf.DUMMYFUNCTION("""COMPUTED_VALUE"""),63.67)</f>
        <v>63.67</v>
      </c>
      <c r="F2149" s="1">
        <f>IFERROR(__xludf.DUMMYFUNCTION("""COMPUTED_VALUE"""),1.5478064E7)</f>
        <v>15478064</v>
      </c>
    </row>
    <row r="2150">
      <c r="A2150" s="2">
        <f>IFERROR(__xludf.DUMMYFUNCTION("""COMPUTED_VALUE"""),39650.666666666664)</f>
        <v>39650.66667</v>
      </c>
      <c r="B2150" s="1">
        <f>IFERROR(__xludf.DUMMYFUNCTION("""COMPUTED_VALUE"""),63.93)</f>
        <v>63.93</v>
      </c>
      <c r="C2150" s="1">
        <f>IFERROR(__xludf.DUMMYFUNCTION("""COMPUTED_VALUE"""),63.93)</f>
        <v>63.93</v>
      </c>
      <c r="D2150" s="1">
        <f>IFERROR(__xludf.DUMMYFUNCTION("""COMPUTED_VALUE"""),63.41)</f>
        <v>63.41</v>
      </c>
      <c r="E2150" s="1">
        <f>IFERROR(__xludf.DUMMYFUNCTION("""COMPUTED_VALUE"""),63.64)</f>
        <v>63.64</v>
      </c>
      <c r="F2150" s="1">
        <f>IFERROR(__xludf.DUMMYFUNCTION("""COMPUTED_VALUE"""),9811357.0)</f>
        <v>9811357</v>
      </c>
    </row>
    <row r="2151">
      <c r="A2151" s="2">
        <f>IFERROR(__xludf.DUMMYFUNCTION("""COMPUTED_VALUE"""),39651.666666666664)</f>
        <v>39651.66667</v>
      </c>
      <c r="B2151" s="1">
        <f>IFERROR(__xludf.DUMMYFUNCTION("""COMPUTED_VALUE"""),63.65)</f>
        <v>63.65</v>
      </c>
      <c r="C2151" s="1">
        <f>IFERROR(__xludf.DUMMYFUNCTION("""COMPUTED_VALUE"""),64.7)</f>
        <v>64.7</v>
      </c>
      <c r="D2151" s="1">
        <f>IFERROR(__xludf.DUMMYFUNCTION("""COMPUTED_VALUE"""),63.53)</f>
        <v>63.53</v>
      </c>
      <c r="E2151" s="1">
        <f>IFERROR(__xludf.DUMMYFUNCTION("""COMPUTED_VALUE"""),64.1)</f>
        <v>64.1</v>
      </c>
      <c r="F2151" s="1">
        <f>IFERROR(__xludf.DUMMYFUNCTION("""COMPUTED_VALUE"""),1.3195935E7)</f>
        <v>13195935</v>
      </c>
    </row>
    <row r="2152">
      <c r="A2152" s="2">
        <f>IFERROR(__xludf.DUMMYFUNCTION("""COMPUTED_VALUE"""),39652.666666666664)</f>
        <v>39652.66667</v>
      </c>
      <c r="B2152" s="1">
        <f>IFERROR(__xludf.DUMMYFUNCTION("""COMPUTED_VALUE"""),64.25)</f>
        <v>64.25</v>
      </c>
      <c r="C2152" s="1">
        <f>IFERROR(__xludf.DUMMYFUNCTION("""COMPUTED_VALUE"""),64.94)</f>
        <v>64.94</v>
      </c>
      <c r="D2152" s="1">
        <f>IFERROR(__xludf.DUMMYFUNCTION("""COMPUTED_VALUE"""),63.82)</f>
        <v>63.82</v>
      </c>
      <c r="E2152" s="1">
        <f>IFERROR(__xludf.DUMMYFUNCTION("""COMPUTED_VALUE"""),64.7)</f>
        <v>64.7</v>
      </c>
      <c r="F2152" s="1">
        <f>IFERROR(__xludf.DUMMYFUNCTION("""COMPUTED_VALUE"""),1.1261554E7)</f>
        <v>11261554</v>
      </c>
    </row>
    <row r="2153">
      <c r="A2153" s="2">
        <f>IFERROR(__xludf.DUMMYFUNCTION("""COMPUTED_VALUE"""),39653.666666666664)</f>
        <v>39653.66667</v>
      </c>
      <c r="B2153" s="1">
        <f>IFERROR(__xludf.DUMMYFUNCTION("""COMPUTED_VALUE"""),64.7)</f>
        <v>64.7</v>
      </c>
      <c r="C2153" s="1">
        <f>IFERROR(__xludf.DUMMYFUNCTION("""COMPUTED_VALUE"""),65.17)</f>
        <v>65.17</v>
      </c>
      <c r="D2153" s="1">
        <f>IFERROR(__xludf.DUMMYFUNCTION("""COMPUTED_VALUE"""),64.41)</f>
        <v>64.41</v>
      </c>
      <c r="E2153" s="1">
        <f>IFERROR(__xludf.DUMMYFUNCTION("""COMPUTED_VALUE"""),64.51)</f>
        <v>64.51</v>
      </c>
      <c r="F2153" s="1">
        <f>IFERROR(__xludf.DUMMYFUNCTION("""COMPUTED_VALUE"""),1.1096882E7)</f>
        <v>11096882</v>
      </c>
    </row>
    <row r="2154">
      <c r="A2154" s="2">
        <f>IFERROR(__xludf.DUMMYFUNCTION("""COMPUTED_VALUE"""),39654.666666666664)</f>
        <v>39654.66667</v>
      </c>
      <c r="B2154" s="1">
        <f>IFERROR(__xludf.DUMMYFUNCTION("""COMPUTED_VALUE"""),64.62)</f>
        <v>64.62</v>
      </c>
      <c r="C2154" s="1">
        <f>IFERROR(__xludf.DUMMYFUNCTION("""COMPUTED_VALUE"""),64.97)</f>
        <v>64.97</v>
      </c>
      <c r="D2154" s="1">
        <f>IFERROR(__xludf.DUMMYFUNCTION("""COMPUTED_VALUE"""),64.26)</f>
        <v>64.26</v>
      </c>
      <c r="E2154" s="1">
        <f>IFERROR(__xludf.DUMMYFUNCTION("""COMPUTED_VALUE"""),64.46)</f>
        <v>64.46</v>
      </c>
      <c r="F2154" s="1">
        <f>IFERROR(__xludf.DUMMYFUNCTION("""COMPUTED_VALUE"""),1.100264E7)</f>
        <v>11002640</v>
      </c>
    </row>
    <row r="2155">
      <c r="A2155" s="2">
        <f>IFERROR(__xludf.DUMMYFUNCTION("""COMPUTED_VALUE"""),39657.666666666664)</f>
        <v>39657.66667</v>
      </c>
      <c r="B2155" s="1">
        <f>IFERROR(__xludf.DUMMYFUNCTION("""COMPUTED_VALUE"""),64.39)</f>
        <v>64.39</v>
      </c>
      <c r="C2155" s="1">
        <f>IFERROR(__xludf.DUMMYFUNCTION("""COMPUTED_VALUE"""),64.45)</f>
        <v>64.45</v>
      </c>
      <c r="D2155" s="1">
        <f>IFERROR(__xludf.DUMMYFUNCTION("""COMPUTED_VALUE"""),63.65)</f>
        <v>63.65</v>
      </c>
      <c r="E2155" s="1">
        <f>IFERROR(__xludf.DUMMYFUNCTION("""COMPUTED_VALUE"""),63.83)</f>
        <v>63.83</v>
      </c>
      <c r="F2155" s="1">
        <f>IFERROR(__xludf.DUMMYFUNCTION("""COMPUTED_VALUE"""),1.2599096E7)</f>
        <v>12599096</v>
      </c>
    </row>
    <row r="2156">
      <c r="A2156" s="2">
        <f>IFERROR(__xludf.DUMMYFUNCTION("""COMPUTED_VALUE"""),39658.666666666664)</f>
        <v>39658.66667</v>
      </c>
      <c r="B2156" s="1">
        <f>IFERROR(__xludf.DUMMYFUNCTION("""COMPUTED_VALUE"""),63.95)</f>
        <v>63.95</v>
      </c>
      <c r="C2156" s="1">
        <f>IFERROR(__xludf.DUMMYFUNCTION("""COMPUTED_VALUE"""),65.61)</f>
        <v>65.61</v>
      </c>
      <c r="D2156" s="1">
        <f>IFERROR(__xludf.DUMMYFUNCTION("""COMPUTED_VALUE"""),63.8)</f>
        <v>63.8</v>
      </c>
      <c r="E2156" s="1">
        <f>IFERROR(__xludf.DUMMYFUNCTION("""COMPUTED_VALUE"""),65.54)</f>
        <v>65.54</v>
      </c>
      <c r="F2156" s="1">
        <f>IFERROR(__xludf.DUMMYFUNCTION("""COMPUTED_VALUE"""),1.6520889E7)</f>
        <v>16520889</v>
      </c>
    </row>
    <row r="2157">
      <c r="A2157" s="2">
        <f>IFERROR(__xludf.DUMMYFUNCTION("""COMPUTED_VALUE"""),39659.666666666664)</f>
        <v>39659.66667</v>
      </c>
      <c r="B2157" s="1">
        <f>IFERROR(__xludf.DUMMYFUNCTION("""COMPUTED_VALUE"""),65.43)</f>
        <v>65.43</v>
      </c>
      <c r="C2157" s="1">
        <f>IFERROR(__xludf.DUMMYFUNCTION("""COMPUTED_VALUE"""),66.76)</f>
        <v>66.76</v>
      </c>
      <c r="D2157" s="1">
        <f>IFERROR(__xludf.DUMMYFUNCTION("""COMPUTED_VALUE"""),65.43)</f>
        <v>65.43</v>
      </c>
      <c r="E2157" s="1">
        <f>IFERROR(__xludf.DUMMYFUNCTION("""COMPUTED_VALUE"""),66.57)</f>
        <v>66.57</v>
      </c>
      <c r="F2157" s="1">
        <f>IFERROR(__xludf.DUMMYFUNCTION("""COMPUTED_VALUE"""),1.3648243E7)</f>
        <v>13648243</v>
      </c>
    </row>
    <row r="2158">
      <c r="A2158" s="2">
        <f>IFERROR(__xludf.DUMMYFUNCTION("""COMPUTED_VALUE"""),39660.666666666664)</f>
        <v>39660.66667</v>
      </c>
      <c r="B2158" s="1">
        <f>IFERROR(__xludf.DUMMYFUNCTION("""COMPUTED_VALUE"""),66.02)</f>
        <v>66.02</v>
      </c>
      <c r="C2158" s="1">
        <f>IFERROR(__xludf.DUMMYFUNCTION("""COMPUTED_VALUE"""),66.44)</f>
        <v>66.44</v>
      </c>
      <c r="D2158" s="1">
        <f>IFERROR(__xludf.DUMMYFUNCTION("""COMPUTED_VALUE"""),65.25)</f>
        <v>65.25</v>
      </c>
      <c r="E2158" s="1">
        <f>IFERROR(__xludf.DUMMYFUNCTION("""COMPUTED_VALUE"""),65.48)</f>
        <v>65.48</v>
      </c>
      <c r="F2158" s="1">
        <f>IFERROR(__xludf.DUMMYFUNCTION("""COMPUTED_VALUE"""),1.4043663E7)</f>
        <v>14043663</v>
      </c>
    </row>
    <row r="2159">
      <c r="A2159" s="2">
        <f>IFERROR(__xludf.DUMMYFUNCTION("""COMPUTED_VALUE"""),39661.666666666664)</f>
        <v>39661.66667</v>
      </c>
      <c r="B2159" s="1">
        <f>IFERROR(__xludf.DUMMYFUNCTION("""COMPUTED_VALUE"""),65.73)</f>
        <v>65.73</v>
      </c>
      <c r="C2159" s="1">
        <f>IFERROR(__xludf.DUMMYFUNCTION("""COMPUTED_VALUE"""),65.98)</f>
        <v>65.98</v>
      </c>
      <c r="D2159" s="1">
        <f>IFERROR(__xludf.DUMMYFUNCTION("""COMPUTED_VALUE"""),64.72)</f>
        <v>64.72</v>
      </c>
      <c r="E2159" s="1">
        <f>IFERROR(__xludf.DUMMYFUNCTION("""COMPUTED_VALUE"""),64.95)</f>
        <v>64.95</v>
      </c>
      <c r="F2159" s="1">
        <f>IFERROR(__xludf.DUMMYFUNCTION("""COMPUTED_VALUE"""),1.1147319E7)</f>
        <v>11147319</v>
      </c>
    </row>
    <row r="2160">
      <c r="A2160" s="2">
        <f>IFERROR(__xludf.DUMMYFUNCTION("""COMPUTED_VALUE"""),39664.666666666664)</f>
        <v>39664.66667</v>
      </c>
      <c r="B2160" s="1">
        <f>IFERROR(__xludf.DUMMYFUNCTION("""COMPUTED_VALUE"""),65.12)</f>
        <v>65.12</v>
      </c>
      <c r="C2160" s="1">
        <f>IFERROR(__xludf.DUMMYFUNCTION("""COMPUTED_VALUE"""),66.5)</f>
        <v>66.5</v>
      </c>
      <c r="D2160" s="1">
        <f>IFERROR(__xludf.DUMMYFUNCTION("""COMPUTED_VALUE"""),64.9)</f>
        <v>64.9</v>
      </c>
      <c r="E2160" s="1">
        <f>IFERROR(__xludf.DUMMYFUNCTION("""COMPUTED_VALUE"""),65.82)</f>
        <v>65.82</v>
      </c>
      <c r="F2160" s="1">
        <f>IFERROR(__xludf.DUMMYFUNCTION("""COMPUTED_VALUE"""),1.265765E7)</f>
        <v>12657650</v>
      </c>
    </row>
    <row r="2161">
      <c r="A2161" s="2">
        <f>IFERROR(__xludf.DUMMYFUNCTION("""COMPUTED_VALUE"""),39665.666666666664)</f>
        <v>39665.66667</v>
      </c>
      <c r="B2161" s="1">
        <f>IFERROR(__xludf.DUMMYFUNCTION("""COMPUTED_VALUE"""),66.21)</f>
        <v>66.21</v>
      </c>
      <c r="C2161" s="1">
        <f>IFERROR(__xludf.DUMMYFUNCTION("""COMPUTED_VALUE"""),68.1)</f>
        <v>68.1</v>
      </c>
      <c r="D2161" s="1">
        <f>IFERROR(__xludf.DUMMYFUNCTION("""COMPUTED_VALUE"""),65.82)</f>
        <v>65.82</v>
      </c>
      <c r="E2161" s="1">
        <f>IFERROR(__xludf.DUMMYFUNCTION("""COMPUTED_VALUE"""),67.97)</f>
        <v>67.97</v>
      </c>
      <c r="F2161" s="1">
        <f>IFERROR(__xludf.DUMMYFUNCTION("""COMPUTED_VALUE"""),2.0383426E7)</f>
        <v>20383426</v>
      </c>
    </row>
    <row r="2162">
      <c r="A2162" s="2">
        <f>IFERROR(__xludf.DUMMYFUNCTION("""COMPUTED_VALUE"""),39666.666666666664)</f>
        <v>39666.66667</v>
      </c>
      <c r="B2162" s="1">
        <f>IFERROR(__xludf.DUMMYFUNCTION("""COMPUTED_VALUE"""),67.95)</f>
        <v>67.95</v>
      </c>
      <c r="C2162" s="1">
        <f>IFERROR(__xludf.DUMMYFUNCTION("""COMPUTED_VALUE"""),68.12)</f>
        <v>68.12</v>
      </c>
      <c r="D2162" s="1">
        <f>IFERROR(__xludf.DUMMYFUNCTION("""COMPUTED_VALUE"""),67.29)</f>
        <v>67.29</v>
      </c>
      <c r="E2162" s="1">
        <f>IFERROR(__xludf.DUMMYFUNCTION("""COMPUTED_VALUE"""),67.77)</f>
        <v>67.77</v>
      </c>
      <c r="F2162" s="1">
        <f>IFERROR(__xludf.DUMMYFUNCTION("""COMPUTED_VALUE"""),1.3002141E7)</f>
        <v>13002141</v>
      </c>
    </row>
    <row r="2163">
      <c r="A2163" s="2">
        <f>IFERROR(__xludf.DUMMYFUNCTION("""COMPUTED_VALUE"""),39667.666666666664)</f>
        <v>39667.66667</v>
      </c>
      <c r="B2163" s="1">
        <f>IFERROR(__xludf.DUMMYFUNCTION("""COMPUTED_VALUE"""),67.83)</f>
        <v>67.83</v>
      </c>
      <c r="C2163" s="1">
        <f>IFERROR(__xludf.DUMMYFUNCTION("""COMPUTED_VALUE"""),68.2)</f>
        <v>68.2</v>
      </c>
      <c r="D2163" s="1">
        <f>IFERROR(__xludf.DUMMYFUNCTION("""COMPUTED_VALUE"""),67.07)</f>
        <v>67.07</v>
      </c>
      <c r="E2163" s="1">
        <f>IFERROR(__xludf.DUMMYFUNCTION("""COMPUTED_VALUE"""),67.48)</f>
        <v>67.48</v>
      </c>
      <c r="F2163" s="1">
        <f>IFERROR(__xludf.DUMMYFUNCTION("""COMPUTED_VALUE"""),1.0964545E7)</f>
        <v>10964545</v>
      </c>
    </row>
    <row r="2164">
      <c r="A2164" s="2">
        <f>IFERROR(__xludf.DUMMYFUNCTION("""COMPUTED_VALUE"""),39668.666666666664)</f>
        <v>39668.66667</v>
      </c>
      <c r="B2164" s="1">
        <f>IFERROR(__xludf.DUMMYFUNCTION("""COMPUTED_VALUE"""),67.01)</f>
        <v>67.01</v>
      </c>
      <c r="C2164" s="1">
        <f>IFERROR(__xludf.DUMMYFUNCTION("""COMPUTED_VALUE"""),69.88)</f>
        <v>69.88</v>
      </c>
      <c r="D2164" s="1">
        <f>IFERROR(__xludf.DUMMYFUNCTION("""COMPUTED_VALUE"""),66.8)</f>
        <v>66.8</v>
      </c>
      <c r="E2164" s="1">
        <f>IFERROR(__xludf.DUMMYFUNCTION("""COMPUTED_VALUE"""),69.63)</f>
        <v>69.63</v>
      </c>
      <c r="F2164" s="1">
        <f>IFERROR(__xludf.DUMMYFUNCTION("""COMPUTED_VALUE"""),1.5116438E7)</f>
        <v>15116438</v>
      </c>
    </row>
    <row r="2165">
      <c r="A2165" s="2">
        <f>IFERROR(__xludf.DUMMYFUNCTION("""COMPUTED_VALUE"""),39671.666666666664)</f>
        <v>39671.66667</v>
      </c>
      <c r="B2165" s="1">
        <f>IFERROR(__xludf.DUMMYFUNCTION("""COMPUTED_VALUE"""),69.62)</f>
        <v>69.62</v>
      </c>
      <c r="C2165" s="1">
        <f>IFERROR(__xludf.DUMMYFUNCTION("""COMPUTED_VALUE"""),69.89)</f>
        <v>69.89</v>
      </c>
      <c r="D2165" s="1">
        <f>IFERROR(__xludf.DUMMYFUNCTION("""COMPUTED_VALUE"""),67.07)</f>
        <v>67.07</v>
      </c>
      <c r="E2165" s="1">
        <f>IFERROR(__xludf.DUMMYFUNCTION("""COMPUTED_VALUE"""),69.43)</f>
        <v>69.43</v>
      </c>
      <c r="F2165" s="1">
        <f>IFERROR(__xludf.DUMMYFUNCTION("""COMPUTED_VALUE"""),1.0843417E7)</f>
        <v>10843417</v>
      </c>
    </row>
    <row r="2166">
      <c r="A2166" s="2">
        <f>IFERROR(__xludf.DUMMYFUNCTION("""COMPUTED_VALUE"""),39672.666666666664)</f>
        <v>39672.66667</v>
      </c>
      <c r="B2166" s="1">
        <f>IFERROR(__xludf.DUMMYFUNCTION("""COMPUTED_VALUE"""),69.22)</f>
        <v>69.22</v>
      </c>
      <c r="C2166" s="1">
        <f>IFERROR(__xludf.DUMMYFUNCTION("""COMPUTED_VALUE"""),70.53)</f>
        <v>70.53</v>
      </c>
      <c r="D2166" s="1">
        <f>IFERROR(__xludf.DUMMYFUNCTION("""COMPUTED_VALUE"""),69.1)</f>
        <v>69.1</v>
      </c>
      <c r="E2166" s="1">
        <f>IFERROR(__xludf.DUMMYFUNCTION("""COMPUTED_VALUE"""),70.34)</f>
        <v>70.34</v>
      </c>
      <c r="F2166" s="1">
        <f>IFERROR(__xludf.DUMMYFUNCTION("""COMPUTED_VALUE"""),1.4374903E7)</f>
        <v>14374903</v>
      </c>
    </row>
    <row r="2167">
      <c r="A2167" s="2">
        <f>IFERROR(__xludf.DUMMYFUNCTION("""COMPUTED_VALUE"""),39673.666666666664)</f>
        <v>39673.66667</v>
      </c>
      <c r="B2167" s="1">
        <f>IFERROR(__xludf.DUMMYFUNCTION("""COMPUTED_VALUE"""),70.22)</f>
        <v>70.22</v>
      </c>
      <c r="C2167" s="1">
        <f>IFERROR(__xludf.DUMMYFUNCTION("""COMPUTED_VALUE"""),70.24)</f>
        <v>70.24</v>
      </c>
      <c r="D2167" s="1">
        <f>IFERROR(__xludf.DUMMYFUNCTION("""COMPUTED_VALUE"""),69.2)</f>
        <v>69.2</v>
      </c>
      <c r="E2167" s="1">
        <f>IFERROR(__xludf.DUMMYFUNCTION("""COMPUTED_VALUE"""),69.6)</f>
        <v>69.6</v>
      </c>
      <c r="F2167" s="1">
        <f>IFERROR(__xludf.DUMMYFUNCTION("""COMPUTED_VALUE"""),1.0701059E7)</f>
        <v>10701059</v>
      </c>
    </row>
    <row r="2168">
      <c r="A2168" s="2">
        <f>IFERROR(__xludf.DUMMYFUNCTION("""COMPUTED_VALUE"""),39674.666666666664)</f>
        <v>39674.66667</v>
      </c>
      <c r="B2168" s="1">
        <f>IFERROR(__xludf.DUMMYFUNCTION("""COMPUTED_VALUE"""),69.55)</f>
        <v>69.55</v>
      </c>
      <c r="C2168" s="1">
        <f>IFERROR(__xludf.DUMMYFUNCTION("""COMPUTED_VALUE"""),70.48)</f>
        <v>70.48</v>
      </c>
      <c r="D2168" s="1">
        <f>IFERROR(__xludf.DUMMYFUNCTION("""COMPUTED_VALUE"""),69.11)</f>
        <v>69.11</v>
      </c>
      <c r="E2168" s="1">
        <f>IFERROR(__xludf.DUMMYFUNCTION("""COMPUTED_VALUE"""),69.71)</f>
        <v>69.71</v>
      </c>
      <c r="F2168" s="1">
        <f>IFERROR(__xludf.DUMMYFUNCTION("""COMPUTED_VALUE"""),9447324.0)</f>
        <v>9447324</v>
      </c>
    </row>
    <row r="2169">
      <c r="A2169" s="2">
        <f>IFERROR(__xludf.DUMMYFUNCTION("""COMPUTED_VALUE"""),39675.666666666664)</f>
        <v>39675.66667</v>
      </c>
      <c r="B2169" s="1">
        <f>IFERROR(__xludf.DUMMYFUNCTION("""COMPUTED_VALUE"""),70.49)</f>
        <v>70.49</v>
      </c>
      <c r="C2169" s="1">
        <f>IFERROR(__xludf.DUMMYFUNCTION("""COMPUTED_VALUE"""),71.98)</f>
        <v>71.98</v>
      </c>
      <c r="D2169" s="1">
        <f>IFERROR(__xludf.DUMMYFUNCTION("""COMPUTED_VALUE"""),69.71)</f>
        <v>69.71</v>
      </c>
      <c r="E2169" s="1">
        <f>IFERROR(__xludf.DUMMYFUNCTION("""COMPUTED_VALUE"""),71.6)</f>
        <v>71.6</v>
      </c>
      <c r="F2169" s="1">
        <f>IFERROR(__xludf.DUMMYFUNCTION("""COMPUTED_VALUE"""),1.761535E7)</f>
        <v>17615350</v>
      </c>
    </row>
    <row r="2170">
      <c r="A2170" s="2">
        <f>IFERROR(__xludf.DUMMYFUNCTION("""COMPUTED_VALUE"""),39678.666666666664)</f>
        <v>39678.66667</v>
      </c>
      <c r="B2170" s="1">
        <f>IFERROR(__xludf.DUMMYFUNCTION("""COMPUTED_VALUE"""),71.32)</f>
        <v>71.32</v>
      </c>
      <c r="C2170" s="1">
        <f>IFERROR(__xludf.DUMMYFUNCTION("""COMPUTED_VALUE"""),72.0)</f>
        <v>72</v>
      </c>
      <c r="D2170" s="1">
        <f>IFERROR(__xludf.DUMMYFUNCTION("""COMPUTED_VALUE"""),71.03)</f>
        <v>71.03</v>
      </c>
      <c r="E2170" s="1">
        <f>IFERROR(__xludf.DUMMYFUNCTION("""COMPUTED_VALUE"""),71.27)</f>
        <v>71.27</v>
      </c>
      <c r="F2170" s="1">
        <f>IFERROR(__xludf.DUMMYFUNCTION("""COMPUTED_VALUE"""),1.2509076E7)</f>
        <v>12509076</v>
      </c>
    </row>
    <row r="2171">
      <c r="A2171" s="2">
        <f>IFERROR(__xludf.DUMMYFUNCTION("""COMPUTED_VALUE"""),39679.666666666664)</f>
        <v>39679.66667</v>
      </c>
      <c r="B2171" s="1">
        <f>IFERROR(__xludf.DUMMYFUNCTION("""COMPUTED_VALUE"""),71.02)</f>
        <v>71.02</v>
      </c>
      <c r="C2171" s="1">
        <f>IFERROR(__xludf.DUMMYFUNCTION("""COMPUTED_VALUE"""),71.72)</f>
        <v>71.72</v>
      </c>
      <c r="D2171" s="1">
        <f>IFERROR(__xludf.DUMMYFUNCTION("""COMPUTED_VALUE"""),70.65)</f>
        <v>70.65</v>
      </c>
      <c r="E2171" s="1">
        <f>IFERROR(__xludf.DUMMYFUNCTION("""COMPUTED_VALUE"""),70.72)</f>
        <v>70.72</v>
      </c>
      <c r="F2171" s="1">
        <f>IFERROR(__xludf.DUMMYFUNCTION("""COMPUTED_VALUE"""),1.2332806E7)</f>
        <v>12332806</v>
      </c>
    </row>
    <row r="2172">
      <c r="A2172" s="2">
        <f>IFERROR(__xludf.DUMMYFUNCTION("""COMPUTED_VALUE"""),39680.666666666664)</f>
        <v>39680.66667</v>
      </c>
      <c r="B2172" s="1">
        <f>IFERROR(__xludf.DUMMYFUNCTION("""COMPUTED_VALUE"""),70.68)</f>
        <v>70.68</v>
      </c>
      <c r="C2172" s="1">
        <f>IFERROR(__xludf.DUMMYFUNCTION("""COMPUTED_VALUE"""),70.76)</f>
        <v>70.76</v>
      </c>
      <c r="D2172" s="1">
        <f>IFERROR(__xludf.DUMMYFUNCTION("""COMPUTED_VALUE"""),69.68)</f>
        <v>69.68</v>
      </c>
      <c r="E2172" s="1">
        <f>IFERROR(__xludf.DUMMYFUNCTION("""COMPUTED_VALUE"""),70.3)</f>
        <v>70.3</v>
      </c>
      <c r="F2172" s="1">
        <f>IFERROR(__xludf.DUMMYFUNCTION("""COMPUTED_VALUE"""),1.0980926E7)</f>
        <v>10980926</v>
      </c>
    </row>
    <row r="2173">
      <c r="A2173" s="2">
        <f>IFERROR(__xludf.DUMMYFUNCTION("""COMPUTED_VALUE"""),39681.666666666664)</f>
        <v>39681.66667</v>
      </c>
      <c r="B2173" s="1">
        <f>IFERROR(__xludf.DUMMYFUNCTION("""COMPUTED_VALUE"""),69.83)</f>
        <v>69.83</v>
      </c>
      <c r="C2173" s="1">
        <f>IFERROR(__xludf.DUMMYFUNCTION("""COMPUTED_VALUE"""),70.11)</f>
        <v>70.11</v>
      </c>
      <c r="D2173" s="1">
        <f>IFERROR(__xludf.DUMMYFUNCTION("""COMPUTED_VALUE"""),69.29)</f>
        <v>69.29</v>
      </c>
      <c r="E2173" s="1">
        <f>IFERROR(__xludf.DUMMYFUNCTION("""COMPUTED_VALUE"""),69.9)</f>
        <v>69.9</v>
      </c>
      <c r="F2173" s="1">
        <f>IFERROR(__xludf.DUMMYFUNCTION("""COMPUTED_VALUE"""),9722484.0)</f>
        <v>9722484</v>
      </c>
    </row>
    <row r="2174">
      <c r="A2174" s="2">
        <f>IFERROR(__xludf.DUMMYFUNCTION("""COMPUTED_VALUE"""),39682.666666666664)</f>
        <v>39682.66667</v>
      </c>
      <c r="B2174" s="1">
        <f>IFERROR(__xludf.DUMMYFUNCTION("""COMPUTED_VALUE"""),70.07)</f>
        <v>70.07</v>
      </c>
      <c r="C2174" s="1">
        <f>IFERROR(__xludf.DUMMYFUNCTION("""COMPUTED_VALUE"""),71.8)</f>
        <v>71.8</v>
      </c>
      <c r="D2174" s="1">
        <f>IFERROR(__xludf.DUMMYFUNCTION("""COMPUTED_VALUE"""),70.07)</f>
        <v>70.07</v>
      </c>
      <c r="E2174" s="1">
        <f>IFERROR(__xludf.DUMMYFUNCTION("""COMPUTED_VALUE"""),71.61)</f>
        <v>71.61</v>
      </c>
      <c r="F2174" s="1">
        <f>IFERROR(__xludf.DUMMYFUNCTION("""COMPUTED_VALUE"""),1.1870317E7)</f>
        <v>11870317</v>
      </c>
    </row>
    <row r="2175">
      <c r="A2175" s="2">
        <f>IFERROR(__xludf.DUMMYFUNCTION("""COMPUTED_VALUE"""),39685.666666666664)</f>
        <v>39685.66667</v>
      </c>
      <c r="B2175" s="1">
        <f>IFERROR(__xludf.DUMMYFUNCTION("""COMPUTED_VALUE"""),71.33)</f>
        <v>71.33</v>
      </c>
      <c r="C2175" s="1">
        <f>IFERROR(__xludf.DUMMYFUNCTION("""COMPUTED_VALUE"""),71.43)</f>
        <v>71.43</v>
      </c>
      <c r="D2175" s="1">
        <f>IFERROR(__xludf.DUMMYFUNCTION("""COMPUTED_VALUE"""),69.92)</f>
        <v>69.92</v>
      </c>
      <c r="E2175" s="1">
        <f>IFERROR(__xludf.DUMMYFUNCTION("""COMPUTED_VALUE"""),70.13)</f>
        <v>70.13</v>
      </c>
      <c r="F2175" s="1">
        <f>IFERROR(__xludf.DUMMYFUNCTION("""COMPUTED_VALUE"""),9493629.0)</f>
        <v>9493629</v>
      </c>
    </row>
    <row r="2176">
      <c r="A2176" s="2">
        <f>IFERROR(__xludf.DUMMYFUNCTION("""COMPUTED_VALUE"""),39686.666666666664)</f>
        <v>39686.66667</v>
      </c>
      <c r="B2176" s="1">
        <f>IFERROR(__xludf.DUMMYFUNCTION("""COMPUTED_VALUE"""),70.03)</f>
        <v>70.03</v>
      </c>
      <c r="C2176" s="1">
        <f>IFERROR(__xludf.DUMMYFUNCTION("""COMPUTED_VALUE"""),70.36)</f>
        <v>70.36</v>
      </c>
      <c r="D2176" s="1">
        <f>IFERROR(__xludf.DUMMYFUNCTION("""COMPUTED_VALUE"""),69.58)</f>
        <v>69.58</v>
      </c>
      <c r="E2176" s="1">
        <f>IFERROR(__xludf.DUMMYFUNCTION("""COMPUTED_VALUE"""),69.84)</f>
        <v>69.84</v>
      </c>
      <c r="F2176" s="1">
        <f>IFERROR(__xludf.DUMMYFUNCTION("""COMPUTED_VALUE"""),8432898.0)</f>
        <v>8432898</v>
      </c>
    </row>
    <row r="2177">
      <c r="A2177" s="2">
        <f>IFERROR(__xludf.DUMMYFUNCTION("""COMPUTED_VALUE"""),39687.666666666664)</f>
        <v>39687.66667</v>
      </c>
      <c r="B2177" s="1">
        <f>IFERROR(__xludf.DUMMYFUNCTION("""COMPUTED_VALUE"""),69.68)</f>
        <v>69.68</v>
      </c>
      <c r="C2177" s="1">
        <f>IFERROR(__xludf.DUMMYFUNCTION("""COMPUTED_VALUE"""),70.24)</f>
        <v>70.24</v>
      </c>
      <c r="D2177" s="1">
        <f>IFERROR(__xludf.DUMMYFUNCTION("""COMPUTED_VALUE"""),69.38)</f>
        <v>69.38</v>
      </c>
      <c r="E2177" s="1">
        <f>IFERROR(__xludf.DUMMYFUNCTION("""COMPUTED_VALUE"""),70.06)</f>
        <v>70.06</v>
      </c>
      <c r="F2177" s="1">
        <f>IFERROR(__xludf.DUMMYFUNCTION("""COMPUTED_VALUE"""),8307753.0)</f>
        <v>8307753</v>
      </c>
    </row>
    <row r="2178">
      <c r="A2178" s="2">
        <f>IFERROR(__xludf.DUMMYFUNCTION("""COMPUTED_VALUE"""),39688.666666666664)</f>
        <v>39688.66667</v>
      </c>
      <c r="B2178" s="1">
        <f>IFERROR(__xludf.DUMMYFUNCTION("""COMPUTED_VALUE"""),70.35)</f>
        <v>70.35</v>
      </c>
      <c r="C2178" s="1">
        <f>IFERROR(__xludf.DUMMYFUNCTION("""COMPUTED_VALUE"""),71.2)</f>
        <v>71.2</v>
      </c>
      <c r="D2178" s="1">
        <f>IFERROR(__xludf.DUMMYFUNCTION("""COMPUTED_VALUE"""),69.81)</f>
        <v>69.81</v>
      </c>
      <c r="E2178" s="1">
        <f>IFERROR(__xludf.DUMMYFUNCTION("""COMPUTED_VALUE"""),71.01)</f>
        <v>71.01</v>
      </c>
      <c r="F2178" s="1">
        <f>IFERROR(__xludf.DUMMYFUNCTION("""COMPUTED_VALUE"""),8106690.0)</f>
        <v>8106690</v>
      </c>
    </row>
    <row r="2179">
      <c r="A2179" s="2">
        <f>IFERROR(__xludf.DUMMYFUNCTION("""COMPUTED_VALUE"""),39689.666666666664)</f>
        <v>39689.66667</v>
      </c>
      <c r="B2179" s="1">
        <f>IFERROR(__xludf.DUMMYFUNCTION("""COMPUTED_VALUE"""),70.71)</f>
        <v>70.71</v>
      </c>
      <c r="C2179" s="1">
        <f>IFERROR(__xludf.DUMMYFUNCTION("""COMPUTED_VALUE"""),71.08)</f>
        <v>71.08</v>
      </c>
      <c r="D2179" s="1">
        <f>IFERROR(__xludf.DUMMYFUNCTION("""COMPUTED_VALUE"""),69.74)</f>
        <v>69.74</v>
      </c>
      <c r="E2179" s="1">
        <f>IFERROR(__xludf.DUMMYFUNCTION("""COMPUTED_VALUE"""),69.77)</f>
        <v>69.77</v>
      </c>
      <c r="F2179" s="1">
        <f>IFERROR(__xludf.DUMMYFUNCTION("""COMPUTED_VALUE"""),9569389.0)</f>
        <v>9569389</v>
      </c>
    </row>
    <row r="2180">
      <c r="A2180" s="2">
        <f>IFERROR(__xludf.DUMMYFUNCTION("""COMPUTED_VALUE"""),39693.666666666664)</f>
        <v>39693.66667</v>
      </c>
      <c r="B2180" s="1">
        <f>IFERROR(__xludf.DUMMYFUNCTION("""COMPUTED_VALUE"""),70.35)</f>
        <v>70.35</v>
      </c>
      <c r="C2180" s="1">
        <f>IFERROR(__xludf.DUMMYFUNCTION("""COMPUTED_VALUE"""),71.43)</f>
        <v>71.43</v>
      </c>
      <c r="D2180" s="1">
        <f>IFERROR(__xludf.DUMMYFUNCTION("""COMPUTED_VALUE"""),70.15)</f>
        <v>70.15</v>
      </c>
      <c r="E2180" s="1">
        <f>IFERROR(__xludf.DUMMYFUNCTION("""COMPUTED_VALUE"""),70.47)</f>
        <v>70.47</v>
      </c>
      <c r="F2180" s="1">
        <f>IFERROR(__xludf.DUMMYFUNCTION("""COMPUTED_VALUE"""),1.1294003E7)</f>
        <v>11294003</v>
      </c>
    </row>
    <row r="2181">
      <c r="A2181" s="2">
        <f>IFERROR(__xludf.DUMMYFUNCTION("""COMPUTED_VALUE"""),39694.666666666664)</f>
        <v>39694.66667</v>
      </c>
      <c r="B2181" s="1">
        <f>IFERROR(__xludf.DUMMYFUNCTION("""COMPUTED_VALUE"""),70.42)</f>
        <v>70.42</v>
      </c>
      <c r="C2181" s="1">
        <f>IFERROR(__xludf.DUMMYFUNCTION("""COMPUTED_VALUE"""),71.5)</f>
        <v>71.5</v>
      </c>
      <c r="D2181" s="1">
        <f>IFERROR(__xludf.DUMMYFUNCTION("""COMPUTED_VALUE"""),70.18)</f>
        <v>70.18</v>
      </c>
      <c r="E2181" s="1">
        <f>IFERROR(__xludf.DUMMYFUNCTION("""COMPUTED_VALUE"""),71.42)</f>
        <v>71.42</v>
      </c>
      <c r="F2181" s="1">
        <f>IFERROR(__xludf.DUMMYFUNCTION("""COMPUTED_VALUE"""),1.0434039E7)</f>
        <v>10434039</v>
      </c>
    </row>
    <row r="2182">
      <c r="A2182" s="2">
        <f>IFERROR(__xludf.DUMMYFUNCTION("""COMPUTED_VALUE"""),39695.666666666664)</f>
        <v>39695.66667</v>
      </c>
      <c r="B2182" s="1">
        <f>IFERROR(__xludf.DUMMYFUNCTION("""COMPUTED_VALUE"""),71.16)</f>
        <v>71.16</v>
      </c>
      <c r="C2182" s="1">
        <f>IFERROR(__xludf.DUMMYFUNCTION("""COMPUTED_VALUE"""),71.52)</f>
        <v>71.52</v>
      </c>
      <c r="D2182" s="1">
        <f>IFERROR(__xludf.DUMMYFUNCTION("""COMPUTED_VALUE"""),70.37)</f>
        <v>70.37</v>
      </c>
      <c r="E2182" s="1">
        <f>IFERROR(__xludf.DUMMYFUNCTION("""COMPUTED_VALUE"""),70.44)</f>
        <v>70.44</v>
      </c>
      <c r="F2182" s="1">
        <f>IFERROR(__xludf.DUMMYFUNCTION("""COMPUTED_VALUE"""),1.2299099E7)</f>
        <v>12299099</v>
      </c>
    </row>
    <row r="2183">
      <c r="A2183" s="2">
        <f>IFERROR(__xludf.DUMMYFUNCTION("""COMPUTED_VALUE"""),39696.666666666664)</f>
        <v>39696.66667</v>
      </c>
      <c r="B2183" s="1">
        <f>IFERROR(__xludf.DUMMYFUNCTION("""COMPUTED_VALUE"""),70.39)</f>
        <v>70.39</v>
      </c>
      <c r="C2183" s="1">
        <f>IFERROR(__xludf.DUMMYFUNCTION("""COMPUTED_VALUE"""),71.07)</f>
        <v>71.07</v>
      </c>
      <c r="D2183" s="1">
        <f>IFERROR(__xludf.DUMMYFUNCTION("""COMPUTED_VALUE"""),69.73)</f>
        <v>69.73</v>
      </c>
      <c r="E2183" s="1">
        <f>IFERROR(__xludf.DUMMYFUNCTION("""COMPUTED_VALUE"""),70.78)</f>
        <v>70.78</v>
      </c>
      <c r="F2183" s="1">
        <f>IFERROR(__xludf.DUMMYFUNCTION("""COMPUTED_VALUE"""),1.1579383E7)</f>
        <v>11579383</v>
      </c>
    </row>
    <row r="2184">
      <c r="A2184" s="2">
        <f>IFERROR(__xludf.DUMMYFUNCTION("""COMPUTED_VALUE"""),39699.666666666664)</f>
        <v>39699.66667</v>
      </c>
      <c r="B2184" s="1">
        <f>IFERROR(__xludf.DUMMYFUNCTION("""COMPUTED_VALUE"""),71.33)</f>
        <v>71.33</v>
      </c>
      <c r="C2184" s="1">
        <f>IFERROR(__xludf.DUMMYFUNCTION("""COMPUTED_VALUE"""),72.48)</f>
        <v>72.48</v>
      </c>
      <c r="D2184" s="1">
        <f>IFERROR(__xludf.DUMMYFUNCTION("""COMPUTED_VALUE"""),71.31)</f>
        <v>71.31</v>
      </c>
      <c r="E2184" s="1">
        <f>IFERROR(__xludf.DUMMYFUNCTION("""COMPUTED_VALUE"""),72.37)</f>
        <v>72.37</v>
      </c>
      <c r="F2184" s="1">
        <f>IFERROR(__xludf.DUMMYFUNCTION("""COMPUTED_VALUE"""),1.6521711E7)</f>
        <v>16521711</v>
      </c>
    </row>
    <row r="2185">
      <c r="A2185" s="2">
        <f>IFERROR(__xludf.DUMMYFUNCTION("""COMPUTED_VALUE"""),39700.666666666664)</f>
        <v>39700.66667</v>
      </c>
      <c r="B2185" s="1">
        <f>IFERROR(__xludf.DUMMYFUNCTION("""COMPUTED_VALUE"""),71.66)</f>
        <v>71.66</v>
      </c>
      <c r="C2185" s="1">
        <f>IFERROR(__xludf.DUMMYFUNCTION("""COMPUTED_VALUE"""),72.46)</f>
        <v>72.46</v>
      </c>
      <c r="D2185" s="1">
        <f>IFERROR(__xludf.DUMMYFUNCTION("""COMPUTED_VALUE"""),71.47)</f>
        <v>71.47</v>
      </c>
      <c r="E2185" s="1">
        <f>IFERROR(__xludf.DUMMYFUNCTION("""COMPUTED_VALUE"""),71.89)</f>
        <v>71.89</v>
      </c>
      <c r="F2185" s="1">
        <f>IFERROR(__xludf.DUMMYFUNCTION("""COMPUTED_VALUE"""),1.8542132E7)</f>
        <v>18542132</v>
      </c>
    </row>
    <row r="2186">
      <c r="A2186" s="2">
        <f>IFERROR(__xludf.DUMMYFUNCTION("""COMPUTED_VALUE"""),39701.666666666664)</f>
        <v>39701.66667</v>
      </c>
      <c r="B2186" s="1">
        <f>IFERROR(__xludf.DUMMYFUNCTION("""COMPUTED_VALUE"""),71.85)</f>
        <v>71.85</v>
      </c>
      <c r="C2186" s="1">
        <f>IFERROR(__xludf.DUMMYFUNCTION("""COMPUTED_VALUE"""),73.54)</f>
        <v>73.54</v>
      </c>
      <c r="D2186" s="1">
        <f>IFERROR(__xludf.DUMMYFUNCTION("""COMPUTED_VALUE"""),71.81)</f>
        <v>71.81</v>
      </c>
      <c r="E2186" s="1">
        <f>IFERROR(__xludf.DUMMYFUNCTION("""COMPUTED_VALUE"""),72.39)</f>
        <v>72.39</v>
      </c>
      <c r="F2186" s="1">
        <f>IFERROR(__xludf.DUMMYFUNCTION("""COMPUTED_VALUE"""),1.9055934E7)</f>
        <v>19055934</v>
      </c>
    </row>
    <row r="2187">
      <c r="A2187" s="2">
        <f>IFERROR(__xludf.DUMMYFUNCTION("""COMPUTED_VALUE"""),39702.666666666664)</f>
        <v>39702.66667</v>
      </c>
      <c r="B2187" s="1">
        <f>IFERROR(__xludf.DUMMYFUNCTION("""COMPUTED_VALUE"""),71.8)</f>
        <v>71.8</v>
      </c>
      <c r="C2187" s="1">
        <f>IFERROR(__xludf.DUMMYFUNCTION("""COMPUTED_VALUE"""),73.16)</f>
        <v>73.16</v>
      </c>
      <c r="D2187" s="1">
        <f>IFERROR(__xludf.DUMMYFUNCTION("""COMPUTED_VALUE"""),71.58)</f>
        <v>71.58</v>
      </c>
      <c r="E2187" s="1">
        <f>IFERROR(__xludf.DUMMYFUNCTION("""COMPUTED_VALUE"""),73.08)</f>
        <v>73.08</v>
      </c>
      <c r="F2187" s="1">
        <f>IFERROR(__xludf.DUMMYFUNCTION("""COMPUTED_VALUE"""),1.620033E7)</f>
        <v>16200330</v>
      </c>
    </row>
    <row r="2188">
      <c r="A2188" s="2">
        <f>IFERROR(__xludf.DUMMYFUNCTION("""COMPUTED_VALUE"""),39703.666666666664)</f>
        <v>39703.66667</v>
      </c>
      <c r="B2188" s="1">
        <f>IFERROR(__xludf.DUMMYFUNCTION("""COMPUTED_VALUE"""),72.33)</f>
        <v>72.33</v>
      </c>
      <c r="C2188" s="1">
        <f>IFERROR(__xludf.DUMMYFUNCTION("""COMPUTED_VALUE"""),73.25)</f>
        <v>73.25</v>
      </c>
      <c r="D2188" s="1">
        <f>IFERROR(__xludf.DUMMYFUNCTION("""COMPUTED_VALUE"""),72.33)</f>
        <v>72.33</v>
      </c>
      <c r="E2188" s="1">
        <f>IFERROR(__xludf.DUMMYFUNCTION("""COMPUTED_VALUE"""),73.15)</f>
        <v>73.15</v>
      </c>
      <c r="F2188" s="1">
        <f>IFERROR(__xludf.DUMMYFUNCTION("""COMPUTED_VALUE"""),1.1378773E7)</f>
        <v>11378773</v>
      </c>
    </row>
    <row r="2189">
      <c r="A2189" s="2">
        <f>IFERROR(__xludf.DUMMYFUNCTION("""COMPUTED_VALUE"""),39706.666666666664)</f>
        <v>39706.66667</v>
      </c>
      <c r="B2189" s="1">
        <f>IFERROR(__xludf.DUMMYFUNCTION("""COMPUTED_VALUE"""),72.34)</f>
        <v>72.34</v>
      </c>
      <c r="C2189" s="1">
        <f>IFERROR(__xludf.DUMMYFUNCTION("""COMPUTED_VALUE"""),73.57)</f>
        <v>73.57</v>
      </c>
      <c r="D2189" s="1">
        <f>IFERROR(__xludf.DUMMYFUNCTION("""COMPUTED_VALUE"""),72.14)</f>
        <v>72.14</v>
      </c>
      <c r="E2189" s="1">
        <f>IFERROR(__xludf.DUMMYFUNCTION("""COMPUTED_VALUE"""),72.14)</f>
        <v>72.14</v>
      </c>
      <c r="F2189" s="1">
        <f>IFERROR(__xludf.DUMMYFUNCTION("""COMPUTED_VALUE"""),1.9749376E7)</f>
        <v>19749376</v>
      </c>
    </row>
    <row r="2190">
      <c r="A2190" s="2">
        <f>IFERROR(__xludf.DUMMYFUNCTION("""COMPUTED_VALUE"""),39707.666666666664)</f>
        <v>39707.66667</v>
      </c>
      <c r="B2190" s="1">
        <f>IFERROR(__xludf.DUMMYFUNCTION("""COMPUTED_VALUE"""),71.52)</f>
        <v>71.52</v>
      </c>
      <c r="C2190" s="1">
        <f>IFERROR(__xludf.DUMMYFUNCTION("""COMPUTED_VALUE"""),73.0)</f>
        <v>73</v>
      </c>
      <c r="D2190" s="1">
        <f>IFERROR(__xludf.DUMMYFUNCTION("""COMPUTED_VALUE"""),71.3)</f>
        <v>71.3</v>
      </c>
      <c r="E2190" s="1">
        <f>IFERROR(__xludf.DUMMYFUNCTION("""COMPUTED_VALUE"""),72.0)</f>
        <v>72</v>
      </c>
      <c r="F2190" s="1">
        <f>IFERROR(__xludf.DUMMYFUNCTION("""COMPUTED_VALUE"""),2.14258E7)</f>
        <v>21425800</v>
      </c>
    </row>
    <row r="2191">
      <c r="A2191" s="2">
        <f>IFERROR(__xludf.DUMMYFUNCTION("""COMPUTED_VALUE"""),39708.666666666664)</f>
        <v>39708.66667</v>
      </c>
      <c r="B2191" s="1">
        <f>IFERROR(__xludf.DUMMYFUNCTION("""COMPUTED_VALUE"""),71.68)</f>
        <v>71.68</v>
      </c>
      <c r="C2191" s="1">
        <f>IFERROR(__xludf.DUMMYFUNCTION("""COMPUTED_VALUE"""),72.02)</f>
        <v>72.02</v>
      </c>
      <c r="D2191" s="1">
        <f>IFERROR(__xludf.DUMMYFUNCTION("""COMPUTED_VALUE"""),70.84)</f>
        <v>70.84</v>
      </c>
      <c r="E2191" s="1">
        <f>IFERROR(__xludf.DUMMYFUNCTION("""COMPUTED_VALUE"""),70.94)</f>
        <v>70.94</v>
      </c>
      <c r="F2191" s="1">
        <f>IFERROR(__xludf.DUMMYFUNCTION("""COMPUTED_VALUE"""),2.5324104E7)</f>
        <v>25324104</v>
      </c>
    </row>
    <row r="2192">
      <c r="A2192" s="2">
        <f>IFERROR(__xludf.DUMMYFUNCTION("""COMPUTED_VALUE"""),39709.666666666664)</f>
        <v>39709.66667</v>
      </c>
      <c r="B2192" s="1">
        <f>IFERROR(__xludf.DUMMYFUNCTION("""COMPUTED_VALUE"""),71.22)</f>
        <v>71.22</v>
      </c>
      <c r="C2192" s="1">
        <f>IFERROR(__xludf.DUMMYFUNCTION("""COMPUTED_VALUE"""),72.96)</f>
        <v>72.96</v>
      </c>
      <c r="D2192" s="1">
        <f>IFERROR(__xludf.DUMMYFUNCTION("""COMPUTED_VALUE"""),70.4)</f>
        <v>70.4</v>
      </c>
      <c r="E2192" s="1">
        <f>IFERROR(__xludf.DUMMYFUNCTION("""COMPUTED_VALUE"""),71.31)</f>
        <v>71.31</v>
      </c>
      <c r="F2192" s="1">
        <f>IFERROR(__xludf.DUMMYFUNCTION("""COMPUTED_VALUE"""),2.8179732E7)</f>
        <v>28179732</v>
      </c>
    </row>
    <row r="2193">
      <c r="A2193" s="2">
        <f>IFERROR(__xludf.DUMMYFUNCTION("""COMPUTED_VALUE"""),39710.666666666664)</f>
        <v>39710.66667</v>
      </c>
      <c r="B2193" s="1">
        <f>IFERROR(__xludf.DUMMYFUNCTION("""COMPUTED_VALUE"""),72.56)</f>
        <v>72.56</v>
      </c>
      <c r="C2193" s="1">
        <f>IFERROR(__xludf.DUMMYFUNCTION("""COMPUTED_VALUE"""),72.75)</f>
        <v>72.75</v>
      </c>
      <c r="D2193" s="1">
        <f>IFERROR(__xludf.DUMMYFUNCTION("""COMPUTED_VALUE"""),68.15)</f>
        <v>68.15</v>
      </c>
      <c r="E2193" s="1">
        <f>IFERROR(__xludf.DUMMYFUNCTION("""COMPUTED_VALUE"""),70.36)</f>
        <v>70.36</v>
      </c>
      <c r="F2193" s="1">
        <f>IFERROR(__xludf.DUMMYFUNCTION("""COMPUTED_VALUE"""),2.8608496E7)</f>
        <v>28608496</v>
      </c>
    </row>
    <row r="2194">
      <c r="A2194" s="2">
        <f>IFERROR(__xludf.DUMMYFUNCTION("""COMPUTED_VALUE"""),39713.666666666664)</f>
        <v>39713.66667</v>
      </c>
      <c r="B2194" s="1">
        <f>IFERROR(__xludf.DUMMYFUNCTION("""COMPUTED_VALUE"""),70.01)</f>
        <v>70.01</v>
      </c>
      <c r="C2194" s="1">
        <f>IFERROR(__xludf.DUMMYFUNCTION("""COMPUTED_VALUE"""),70.4)</f>
        <v>70.4</v>
      </c>
      <c r="D2194" s="1">
        <f>IFERROR(__xludf.DUMMYFUNCTION("""COMPUTED_VALUE"""),67.76)</f>
        <v>67.76</v>
      </c>
      <c r="E2194" s="1">
        <f>IFERROR(__xludf.DUMMYFUNCTION("""COMPUTED_VALUE"""),68.04)</f>
        <v>68.04</v>
      </c>
      <c r="F2194" s="1">
        <f>IFERROR(__xludf.DUMMYFUNCTION("""COMPUTED_VALUE"""),1.4998656E7)</f>
        <v>14998656</v>
      </c>
    </row>
    <row r="2195">
      <c r="A2195" s="2">
        <f>IFERROR(__xludf.DUMMYFUNCTION("""COMPUTED_VALUE"""),39714.666666666664)</f>
        <v>39714.66667</v>
      </c>
      <c r="B2195" s="1">
        <f>IFERROR(__xludf.DUMMYFUNCTION("""COMPUTED_VALUE"""),68.14)</f>
        <v>68.14</v>
      </c>
      <c r="C2195" s="1">
        <f>IFERROR(__xludf.DUMMYFUNCTION("""COMPUTED_VALUE"""),69.64)</f>
        <v>69.64</v>
      </c>
      <c r="D2195" s="1">
        <f>IFERROR(__xludf.DUMMYFUNCTION("""COMPUTED_VALUE"""),67.07)</f>
        <v>67.07</v>
      </c>
      <c r="E2195" s="1">
        <f>IFERROR(__xludf.DUMMYFUNCTION("""COMPUTED_VALUE"""),67.28)</f>
        <v>67.28</v>
      </c>
      <c r="F2195" s="1">
        <f>IFERROR(__xludf.DUMMYFUNCTION("""COMPUTED_VALUE"""),1.5134503E7)</f>
        <v>15134503</v>
      </c>
    </row>
    <row r="2196">
      <c r="A2196" s="2">
        <f>IFERROR(__xludf.DUMMYFUNCTION("""COMPUTED_VALUE"""),39715.666666666664)</f>
        <v>39715.66667</v>
      </c>
      <c r="B2196" s="1">
        <f>IFERROR(__xludf.DUMMYFUNCTION("""COMPUTED_VALUE"""),67.43)</f>
        <v>67.43</v>
      </c>
      <c r="C2196" s="1">
        <f>IFERROR(__xludf.DUMMYFUNCTION("""COMPUTED_VALUE"""),68.87)</f>
        <v>68.87</v>
      </c>
      <c r="D2196" s="1">
        <f>IFERROR(__xludf.DUMMYFUNCTION("""COMPUTED_VALUE"""),67.21)</f>
        <v>67.21</v>
      </c>
      <c r="E2196" s="1">
        <f>IFERROR(__xludf.DUMMYFUNCTION("""COMPUTED_VALUE"""),68.74)</f>
        <v>68.74</v>
      </c>
      <c r="F2196" s="1">
        <f>IFERROR(__xludf.DUMMYFUNCTION("""COMPUTED_VALUE"""),1.3053715E7)</f>
        <v>13053715</v>
      </c>
    </row>
    <row r="2197">
      <c r="A2197" s="2">
        <f>IFERROR(__xludf.DUMMYFUNCTION("""COMPUTED_VALUE"""),39716.666666666664)</f>
        <v>39716.66667</v>
      </c>
      <c r="B2197" s="1">
        <f>IFERROR(__xludf.DUMMYFUNCTION("""COMPUTED_VALUE"""),69.02)</f>
        <v>69.02</v>
      </c>
      <c r="C2197" s="1">
        <f>IFERROR(__xludf.DUMMYFUNCTION("""COMPUTED_VALUE"""),70.2)</f>
        <v>70.2</v>
      </c>
      <c r="D2197" s="1">
        <f>IFERROR(__xludf.DUMMYFUNCTION("""COMPUTED_VALUE"""),68.04)</f>
        <v>68.04</v>
      </c>
      <c r="E2197" s="1">
        <f>IFERROR(__xludf.DUMMYFUNCTION("""COMPUTED_VALUE"""),68.51)</f>
        <v>68.51</v>
      </c>
      <c r="F2197" s="1">
        <f>IFERROR(__xludf.DUMMYFUNCTION("""COMPUTED_VALUE"""),1.7513152E7)</f>
        <v>17513152</v>
      </c>
    </row>
    <row r="2198">
      <c r="A2198" s="2">
        <f>IFERROR(__xludf.DUMMYFUNCTION("""COMPUTED_VALUE"""),39717.666666666664)</f>
        <v>39717.66667</v>
      </c>
      <c r="B2198" s="1">
        <f>IFERROR(__xludf.DUMMYFUNCTION("""COMPUTED_VALUE"""),67.82)</f>
        <v>67.82</v>
      </c>
      <c r="C2198" s="1">
        <f>IFERROR(__xludf.DUMMYFUNCTION("""COMPUTED_VALUE"""),69.42)</f>
        <v>69.42</v>
      </c>
      <c r="D2198" s="1">
        <f>IFERROR(__xludf.DUMMYFUNCTION("""COMPUTED_VALUE"""),67.82)</f>
        <v>67.82</v>
      </c>
      <c r="E2198" s="1">
        <f>IFERROR(__xludf.DUMMYFUNCTION("""COMPUTED_VALUE"""),68.84)</f>
        <v>68.84</v>
      </c>
      <c r="F2198" s="1">
        <f>IFERROR(__xludf.DUMMYFUNCTION("""COMPUTED_VALUE"""),1.3417619E7)</f>
        <v>13417619</v>
      </c>
    </row>
    <row r="2199">
      <c r="A2199" s="2">
        <f>IFERROR(__xludf.DUMMYFUNCTION("""COMPUTED_VALUE"""),39720.666666666664)</f>
        <v>39720.66667</v>
      </c>
      <c r="B2199" s="1">
        <f>IFERROR(__xludf.DUMMYFUNCTION("""COMPUTED_VALUE"""),68.15)</f>
        <v>68.15</v>
      </c>
      <c r="C2199" s="1">
        <f>IFERROR(__xludf.DUMMYFUNCTION("""COMPUTED_VALUE"""),69.5)</f>
        <v>69.5</v>
      </c>
      <c r="D2199" s="1">
        <f>IFERROR(__xludf.DUMMYFUNCTION("""COMPUTED_VALUE"""),66.0)</f>
        <v>66</v>
      </c>
      <c r="E2199" s="1">
        <f>IFERROR(__xludf.DUMMYFUNCTION("""COMPUTED_VALUE"""),66.75)</f>
        <v>66.75</v>
      </c>
      <c r="F2199" s="1">
        <f>IFERROR(__xludf.DUMMYFUNCTION("""COMPUTED_VALUE"""),2.3388492E7)</f>
        <v>23388492</v>
      </c>
    </row>
    <row r="2200">
      <c r="A2200" s="2">
        <f>IFERROR(__xludf.DUMMYFUNCTION("""COMPUTED_VALUE"""),39721.666666666664)</f>
        <v>39721.66667</v>
      </c>
      <c r="B2200" s="1">
        <f>IFERROR(__xludf.DUMMYFUNCTION("""COMPUTED_VALUE"""),67.19)</f>
        <v>67.19</v>
      </c>
      <c r="C2200" s="1">
        <f>IFERROR(__xludf.DUMMYFUNCTION("""COMPUTED_VALUE"""),69.92)</f>
        <v>69.92</v>
      </c>
      <c r="D2200" s="1">
        <f>IFERROR(__xludf.DUMMYFUNCTION("""COMPUTED_VALUE"""),67.05)</f>
        <v>67.05</v>
      </c>
      <c r="E2200" s="1">
        <f>IFERROR(__xludf.DUMMYFUNCTION("""COMPUTED_VALUE"""),69.69)</f>
        <v>69.69</v>
      </c>
      <c r="F2200" s="1">
        <f>IFERROR(__xludf.DUMMYFUNCTION("""COMPUTED_VALUE"""),2.3103172E7)</f>
        <v>23103172</v>
      </c>
    </row>
    <row r="2201">
      <c r="A2201" s="2">
        <f>IFERROR(__xludf.DUMMYFUNCTION("""COMPUTED_VALUE"""),39722.666666666664)</f>
        <v>39722.66667</v>
      </c>
      <c r="B2201" s="1">
        <f>IFERROR(__xludf.DUMMYFUNCTION("""COMPUTED_VALUE"""),69.34)</f>
        <v>69.34</v>
      </c>
      <c r="C2201" s="1">
        <f>IFERROR(__xludf.DUMMYFUNCTION("""COMPUTED_VALUE"""),71.44)</f>
        <v>71.44</v>
      </c>
      <c r="D2201" s="1">
        <f>IFERROR(__xludf.DUMMYFUNCTION("""COMPUTED_VALUE"""),69.34)</f>
        <v>69.34</v>
      </c>
      <c r="E2201" s="1">
        <f>IFERROR(__xludf.DUMMYFUNCTION("""COMPUTED_VALUE"""),71.27)</f>
        <v>71.27</v>
      </c>
      <c r="F2201" s="1">
        <f>IFERROR(__xludf.DUMMYFUNCTION("""COMPUTED_VALUE"""),1.7760902E7)</f>
        <v>17760902</v>
      </c>
    </row>
    <row r="2202">
      <c r="A2202" s="2">
        <f>IFERROR(__xludf.DUMMYFUNCTION("""COMPUTED_VALUE"""),39723.666666666664)</f>
        <v>39723.66667</v>
      </c>
      <c r="B2202" s="1">
        <f>IFERROR(__xludf.DUMMYFUNCTION("""COMPUTED_VALUE"""),70.91)</f>
        <v>70.91</v>
      </c>
      <c r="C2202" s="1">
        <f>IFERROR(__xludf.DUMMYFUNCTION("""COMPUTED_VALUE"""),71.94)</f>
        <v>71.94</v>
      </c>
      <c r="D2202" s="1">
        <f>IFERROR(__xludf.DUMMYFUNCTION("""COMPUTED_VALUE"""),70.52)</f>
        <v>70.52</v>
      </c>
      <c r="E2202" s="1">
        <f>IFERROR(__xludf.DUMMYFUNCTION("""COMPUTED_VALUE"""),71.44)</f>
        <v>71.44</v>
      </c>
      <c r="F2202" s="1">
        <f>IFERROR(__xludf.DUMMYFUNCTION("""COMPUTED_VALUE"""),2.1834288E7)</f>
        <v>21834288</v>
      </c>
    </row>
    <row r="2203">
      <c r="A2203" s="2">
        <f>IFERROR(__xludf.DUMMYFUNCTION("""COMPUTED_VALUE"""),39724.666666666664)</f>
        <v>39724.66667</v>
      </c>
      <c r="B2203" s="1">
        <f>IFERROR(__xludf.DUMMYFUNCTION("""COMPUTED_VALUE"""),71.02)</f>
        <v>71.02</v>
      </c>
      <c r="C2203" s="1">
        <f>IFERROR(__xludf.DUMMYFUNCTION("""COMPUTED_VALUE"""),71.8)</f>
        <v>71.8</v>
      </c>
      <c r="D2203" s="1">
        <f>IFERROR(__xludf.DUMMYFUNCTION("""COMPUTED_VALUE"""),70.07)</f>
        <v>70.07</v>
      </c>
      <c r="E2203" s="1">
        <f>IFERROR(__xludf.DUMMYFUNCTION("""COMPUTED_VALUE"""),71.02)</f>
        <v>71.02</v>
      </c>
      <c r="F2203" s="1">
        <f>IFERROR(__xludf.DUMMYFUNCTION("""COMPUTED_VALUE"""),2.2952604E7)</f>
        <v>22952604</v>
      </c>
    </row>
    <row r="2204">
      <c r="A2204" s="2">
        <f>IFERROR(__xludf.DUMMYFUNCTION("""COMPUTED_VALUE"""),39727.666666666664)</f>
        <v>39727.66667</v>
      </c>
      <c r="B2204" s="1">
        <f>IFERROR(__xludf.DUMMYFUNCTION("""COMPUTED_VALUE"""),69.77)</f>
        <v>69.77</v>
      </c>
      <c r="C2204" s="1">
        <f>IFERROR(__xludf.DUMMYFUNCTION("""COMPUTED_VALUE"""),70.46)</f>
        <v>70.46</v>
      </c>
      <c r="D2204" s="1">
        <f>IFERROR(__xludf.DUMMYFUNCTION("""COMPUTED_VALUE"""),67.02)</f>
        <v>67.02</v>
      </c>
      <c r="E2204" s="1">
        <f>IFERROR(__xludf.DUMMYFUNCTION("""COMPUTED_VALUE"""),68.58)</f>
        <v>68.58</v>
      </c>
      <c r="F2204" s="1">
        <f>IFERROR(__xludf.DUMMYFUNCTION("""COMPUTED_VALUE"""),2.5914736E7)</f>
        <v>25914736</v>
      </c>
    </row>
    <row r="2205">
      <c r="A2205" s="2">
        <f>IFERROR(__xludf.DUMMYFUNCTION("""COMPUTED_VALUE"""),39728.666666666664)</f>
        <v>39728.66667</v>
      </c>
      <c r="B2205" s="1">
        <f>IFERROR(__xludf.DUMMYFUNCTION("""COMPUTED_VALUE"""),69.03)</f>
        <v>69.03</v>
      </c>
      <c r="C2205" s="1">
        <f>IFERROR(__xludf.DUMMYFUNCTION("""COMPUTED_VALUE"""),69.69)</f>
        <v>69.69</v>
      </c>
      <c r="D2205" s="1">
        <f>IFERROR(__xludf.DUMMYFUNCTION("""COMPUTED_VALUE"""),66.08)</f>
        <v>66.08</v>
      </c>
      <c r="E2205" s="1">
        <f>IFERROR(__xludf.DUMMYFUNCTION("""COMPUTED_VALUE"""),66.25)</f>
        <v>66.25</v>
      </c>
      <c r="F2205" s="1">
        <f>IFERROR(__xludf.DUMMYFUNCTION("""COMPUTED_VALUE"""),2.385937E7)</f>
        <v>23859370</v>
      </c>
    </row>
    <row r="2206">
      <c r="A2206" s="2">
        <f>IFERROR(__xludf.DUMMYFUNCTION("""COMPUTED_VALUE"""),39729.666666666664)</f>
        <v>39729.66667</v>
      </c>
      <c r="B2206" s="1">
        <f>IFERROR(__xludf.DUMMYFUNCTION("""COMPUTED_VALUE"""),65.78)</f>
        <v>65.78</v>
      </c>
      <c r="C2206" s="1">
        <f>IFERROR(__xludf.DUMMYFUNCTION("""COMPUTED_VALUE"""),69.01)</f>
        <v>69.01</v>
      </c>
      <c r="D2206" s="1">
        <f>IFERROR(__xludf.DUMMYFUNCTION("""COMPUTED_VALUE"""),64.46)</f>
        <v>64.46</v>
      </c>
      <c r="E2206" s="1">
        <f>IFERROR(__xludf.DUMMYFUNCTION("""COMPUTED_VALUE"""),66.1)</f>
        <v>66.1</v>
      </c>
      <c r="F2206" s="1">
        <f>IFERROR(__xludf.DUMMYFUNCTION("""COMPUTED_VALUE"""),3.7290824E7)</f>
        <v>37290824</v>
      </c>
    </row>
    <row r="2207">
      <c r="A2207" s="2">
        <f>IFERROR(__xludf.DUMMYFUNCTION("""COMPUTED_VALUE"""),39730.666666666664)</f>
        <v>39730.66667</v>
      </c>
      <c r="B2207" s="1">
        <f>IFERROR(__xludf.DUMMYFUNCTION("""COMPUTED_VALUE"""),66.14)</f>
        <v>66.14</v>
      </c>
      <c r="C2207" s="1">
        <f>IFERROR(__xludf.DUMMYFUNCTION("""COMPUTED_VALUE"""),66.58)</f>
        <v>66.58</v>
      </c>
      <c r="D2207" s="1">
        <f>IFERROR(__xludf.DUMMYFUNCTION("""COMPUTED_VALUE"""),60.69)</f>
        <v>60.69</v>
      </c>
      <c r="E2207" s="1">
        <f>IFERROR(__xludf.DUMMYFUNCTION("""COMPUTED_VALUE"""),60.88)</f>
        <v>60.88</v>
      </c>
      <c r="F2207" s="1">
        <f>IFERROR(__xludf.DUMMYFUNCTION("""COMPUTED_VALUE"""),3.009352E7)</f>
        <v>30093520</v>
      </c>
    </row>
    <row r="2208">
      <c r="A2208" s="2">
        <f>IFERROR(__xludf.DUMMYFUNCTION("""COMPUTED_VALUE"""),39731.666666666664)</f>
        <v>39731.66667</v>
      </c>
      <c r="B2208" s="1">
        <f>IFERROR(__xludf.DUMMYFUNCTION("""COMPUTED_VALUE"""),58.77)</f>
        <v>58.77</v>
      </c>
      <c r="C2208" s="1">
        <f>IFERROR(__xludf.DUMMYFUNCTION("""COMPUTED_VALUE"""),63.0)</f>
        <v>63</v>
      </c>
      <c r="D2208" s="1">
        <f>IFERROR(__xludf.DUMMYFUNCTION("""COMPUTED_VALUE"""),54.92)</f>
        <v>54.92</v>
      </c>
      <c r="E2208" s="1">
        <f>IFERROR(__xludf.DUMMYFUNCTION("""COMPUTED_VALUE"""),59.56)</f>
        <v>59.56</v>
      </c>
      <c r="F2208" s="1">
        <f>IFERROR(__xludf.DUMMYFUNCTION("""COMPUTED_VALUE"""),4.7114832E7)</f>
        <v>47114832</v>
      </c>
    </row>
    <row r="2209">
      <c r="A2209" s="2">
        <f>IFERROR(__xludf.DUMMYFUNCTION("""COMPUTED_VALUE"""),39734.666666666664)</f>
        <v>39734.66667</v>
      </c>
      <c r="B2209" s="1">
        <f>IFERROR(__xludf.DUMMYFUNCTION("""COMPUTED_VALUE"""),61.67)</f>
        <v>61.67</v>
      </c>
      <c r="C2209" s="1">
        <f>IFERROR(__xludf.DUMMYFUNCTION("""COMPUTED_VALUE"""),63.93)</f>
        <v>63.93</v>
      </c>
      <c r="D2209" s="1">
        <f>IFERROR(__xludf.DUMMYFUNCTION("""COMPUTED_VALUE"""),61.0)</f>
        <v>61</v>
      </c>
      <c r="E2209" s="1">
        <f>IFERROR(__xludf.DUMMYFUNCTION("""COMPUTED_VALUE"""),63.29)</f>
        <v>63.29</v>
      </c>
      <c r="F2209" s="1">
        <f>IFERROR(__xludf.DUMMYFUNCTION("""COMPUTED_VALUE"""),2.5023222E7)</f>
        <v>25023222</v>
      </c>
    </row>
    <row r="2210">
      <c r="A2210" s="2">
        <f>IFERROR(__xludf.DUMMYFUNCTION("""COMPUTED_VALUE"""),39735.666666666664)</f>
        <v>39735.66667</v>
      </c>
      <c r="B2210" s="1">
        <f>IFERROR(__xludf.DUMMYFUNCTION("""COMPUTED_VALUE"""),65.55)</f>
        <v>65.55</v>
      </c>
      <c r="C2210" s="1">
        <f>IFERROR(__xludf.DUMMYFUNCTION("""COMPUTED_VALUE"""),65.88)</f>
        <v>65.88</v>
      </c>
      <c r="D2210" s="1">
        <f>IFERROR(__xludf.DUMMYFUNCTION("""COMPUTED_VALUE"""),62.56)</f>
        <v>62.56</v>
      </c>
      <c r="E2210" s="1">
        <f>IFERROR(__xludf.DUMMYFUNCTION("""COMPUTED_VALUE"""),64.1)</f>
        <v>64.1</v>
      </c>
      <c r="F2210" s="1">
        <f>IFERROR(__xludf.DUMMYFUNCTION("""COMPUTED_VALUE"""),2.9456564E7)</f>
        <v>29456564</v>
      </c>
    </row>
    <row r="2211">
      <c r="A2211" s="2">
        <f>IFERROR(__xludf.DUMMYFUNCTION("""COMPUTED_VALUE"""),39736.666666666664)</f>
        <v>39736.66667</v>
      </c>
      <c r="B2211" s="1">
        <f>IFERROR(__xludf.DUMMYFUNCTION("""COMPUTED_VALUE"""),63.28)</f>
        <v>63.28</v>
      </c>
      <c r="C2211" s="1">
        <f>IFERROR(__xludf.DUMMYFUNCTION("""COMPUTED_VALUE"""),63.89)</f>
        <v>63.89</v>
      </c>
      <c r="D2211" s="1">
        <f>IFERROR(__xludf.DUMMYFUNCTION("""COMPUTED_VALUE"""),58.63)</f>
        <v>58.63</v>
      </c>
      <c r="E2211" s="1">
        <f>IFERROR(__xludf.DUMMYFUNCTION("""COMPUTED_VALUE"""),59.82)</f>
        <v>59.82</v>
      </c>
      <c r="F2211" s="1">
        <f>IFERROR(__xludf.DUMMYFUNCTION("""COMPUTED_VALUE"""),2.360808E7)</f>
        <v>23608080</v>
      </c>
    </row>
    <row r="2212">
      <c r="A2212" s="2">
        <f>IFERROR(__xludf.DUMMYFUNCTION("""COMPUTED_VALUE"""),39737.666666666664)</f>
        <v>39737.66667</v>
      </c>
      <c r="B2212" s="1">
        <f>IFERROR(__xludf.DUMMYFUNCTION("""COMPUTED_VALUE"""),59.91)</f>
        <v>59.91</v>
      </c>
      <c r="C2212" s="1">
        <f>IFERROR(__xludf.DUMMYFUNCTION("""COMPUTED_VALUE"""),62.25)</f>
        <v>62.25</v>
      </c>
      <c r="D2212" s="1">
        <f>IFERROR(__xludf.DUMMYFUNCTION("""COMPUTED_VALUE"""),57.12)</f>
        <v>57.12</v>
      </c>
      <c r="E2212" s="1">
        <f>IFERROR(__xludf.DUMMYFUNCTION("""COMPUTED_VALUE"""),61.77)</f>
        <v>61.77</v>
      </c>
      <c r="F2212" s="1">
        <f>IFERROR(__xludf.DUMMYFUNCTION("""COMPUTED_VALUE"""),2.7623196E7)</f>
        <v>27623196</v>
      </c>
    </row>
    <row r="2213">
      <c r="A2213" s="2">
        <f>IFERROR(__xludf.DUMMYFUNCTION("""COMPUTED_VALUE"""),39738.666666666664)</f>
        <v>39738.66667</v>
      </c>
      <c r="B2213" s="1">
        <f>IFERROR(__xludf.DUMMYFUNCTION("""COMPUTED_VALUE"""),60.65)</f>
        <v>60.65</v>
      </c>
      <c r="C2213" s="1">
        <f>IFERROR(__xludf.DUMMYFUNCTION("""COMPUTED_VALUE"""),63.79)</f>
        <v>63.79</v>
      </c>
      <c r="D2213" s="1">
        <f>IFERROR(__xludf.DUMMYFUNCTION("""COMPUTED_VALUE"""),59.83)</f>
        <v>59.83</v>
      </c>
      <c r="E2213" s="1">
        <f>IFERROR(__xludf.DUMMYFUNCTION("""COMPUTED_VALUE"""),61.74)</f>
        <v>61.74</v>
      </c>
      <c r="F2213" s="1">
        <f>IFERROR(__xludf.DUMMYFUNCTION("""COMPUTED_VALUE"""),1.9589948E7)</f>
        <v>19589948</v>
      </c>
    </row>
    <row r="2214">
      <c r="A2214" s="2">
        <f>IFERROR(__xludf.DUMMYFUNCTION("""COMPUTED_VALUE"""),39741.666666666664)</f>
        <v>39741.66667</v>
      </c>
      <c r="B2214" s="1">
        <f>IFERROR(__xludf.DUMMYFUNCTION("""COMPUTED_VALUE"""),62.54)</f>
        <v>62.54</v>
      </c>
      <c r="C2214" s="1">
        <f>IFERROR(__xludf.DUMMYFUNCTION("""COMPUTED_VALUE"""),64.12)</f>
        <v>64.12</v>
      </c>
      <c r="D2214" s="1">
        <f>IFERROR(__xludf.DUMMYFUNCTION("""COMPUTED_VALUE"""),61.1)</f>
        <v>61.1</v>
      </c>
      <c r="E2214" s="1">
        <f>IFERROR(__xludf.DUMMYFUNCTION("""COMPUTED_VALUE"""),63.91)</f>
        <v>63.91</v>
      </c>
      <c r="F2214" s="1">
        <f>IFERROR(__xludf.DUMMYFUNCTION("""COMPUTED_VALUE"""),1.6636362E7)</f>
        <v>16636362</v>
      </c>
    </row>
    <row r="2215">
      <c r="A2215" s="2">
        <f>IFERROR(__xludf.DUMMYFUNCTION("""COMPUTED_VALUE"""),39742.666666666664)</f>
        <v>39742.66667</v>
      </c>
      <c r="B2215" s="1">
        <f>IFERROR(__xludf.DUMMYFUNCTION("""COMPUTED_VALUE"""),63.47)</f>
        <v>63.47</v>
      </c>
      <c r="C2215" s="1">
        <f>IFERROR(__xludf.DUMMYFUNCTION("""COMPUTED_VALUE"""),64.29)</f>
        <v>64.29</v>
      </c>
      <c r="D2215" s="1">
        <f>IFERROR(__xludf.DUMMYFUNCTION("""COMPUTED_VALUE"""),62.64)</f>
        <v>62.64</v>
      </c>
      <c r="E2215" s="1">
        <f>IFERROR(__xludf.DUMMYFUNCTION("""COMPUTED_VALUE"""),62.96)</f>
        <v>62.96</v>
      </c>
      <c r="F2215" s="1">
        <f>IFERROR(__xludf.DUMMYFUNCTION("""COMPUTED_VALUE"""),1.2739472E7)</f>
        <v>12739472</v>
      </c>
    </row>
    <row r="2216">
      <c r="A2216" s="2">
        <f>IFERROR(__xludf.DUMMYFUNCTION("""COMPUTED_VALUE"""),39743.666666666664)</f>
        <v>39743.66667</v>
      </c>
      <c r="B2216" s="1">
        <f>IFERROR(__xludf.DUMMYFUNCTION("""COMPUTED_VALUE"""),61.39)</f>
        <v>61.39</v>
      </c>
      <c r="C2216" s="1">
        <f>IFERROR(__xludf.DUMMYFUNCTION("""COMPUTED_VALUE"""),61.54)</f>
        <v>61.54</v>
      </c>
      <c r="D2216" s="1">
        <f>IFERROR(__xludf.DUMMYFUNCTION("""COMPUTED_VALUE"""),58.35)</f>
        <v>58.35</v>
      </c>
      <c r="E2216" s="1">
        <f>IFERROR(__xludf.DUMMYFUNCTION("""COMPUTED_VALUE"""),58.76)</f>
        <v>58.76</v>
      </c>
      <c r="F2216" s="1">
        <f>IFERROR(__xludf.DUMMYFUNCTION("""COMPUTED_VALUE"""),3.4940812E7)</f>
        <v>34940812</v>
      </c>
    </row>
    <row r="2217">
      <c r="A2217" s="2">
        <f>IFERROR(__xludf.DUMMYFUNCTION("""COMPUTED_VALUE"""),39744.666666666664)</f>
        <v>39744.66667</v>
      </c>
      <c r="B2217" s="1">
        <f>IFERROR(__xludf.DUMMYFUNCTION("""COMPUTED_VALUE"""),59.13)</f>
        <v>59.13</v>
      </c>
      <c r="C2217" s="1">
        <f>IFERROR(__xludf.DUMMYFUNCTION("""COMPUTED_VALUE"""),61.3)</f>
        <v>61.3</v>
      </c>
      <c r="D2217" s="1">
        <f>IFERROR(__xludf.DUMMYFUNCTION("""COMPUTED_VALUE"""),57.22)</f>
        <v>57.22</v>
      </c>
      <c r="E2217" s="1">
        <f>IFERROR(__xludf.DUMMYFUNCTION("""COMPUTED_VALUE"""),60.57)</f>
        <v>60.57</v>
      </c>
      <c r="F2217" s="1">
        <f>IFERROR(__xludf.DUMMYFUNCTION("""COMPUTED_VALUE"""),2.5830452E7)</f>
        <v>25830452</v>
      </c>
    </row>
    <row r="2218">
      <c r="A2218" s="2">
        <f>IFERROR(__xludf.DUMMYFUNCTION("""COMPUTED_VALUE"""),39745.666666666664)</f>
        <v>39745.66667</v>
      </c>
      <c r="B2218" s="1">
        <f>IFERROR(__xludf.DUMMYFUNCTION("""COMPUTED_VALUE"""),56.9)</f>
        <v>56.9</v>
      </c>
      <c r="C2218" s="1">
        <f>IFERROR(__xludf.DUMMYFUNCTION("""COMPUTED_VALUE"""),60.34)</f>
        <v>60.34</v>
      </c>
      <c r="D2218" s="1">
        <f>IFERROR(__xludf.DUMMYFUNCTION("""COMPUTED_VALUE"""),56.62)</f>
        <v>56.62</v>
      </c>
      <c r="E2218" s="1">
        <f>IFERROR(__xludf.DUMMYFUNCTION("""COMPUTED_VALUE"""),58.87)</f>
        <v>58.87</v>
      </c>
      <c r="F2218" s="1">
        <f>IFERROR(__xludf.DUMMYFUNCTION("""COMPUTED_VALUE"""),2.6572438E7)</f>
        <v>26572438</v>
      </c>
    </row>
    <row r="2219">
      <c r="A2219" s="2">
        <f>IFERROR(__xludf.DUMMYFUNCTION("""COMPUTED_VALUE"""),39748.666666666664)</f>
        <v>39748.66667</v>
      </c>
      <c r="B2219" s="1">
        <f>IFERROR(__xludf.DUMMYFUNCTION("""COMPUTED_VALUE"""),58.03)</f>
        <v>58.03</v>
      </c>
      <c r="C2219" s="1">
        <f>IFERROR(__xludf.DUMMYFUNCTION("""COMPUTED_VALUE"""),60.5)</f>
        <v>60.5</v>
      </c>
      <c r="D2219" s="1">
        <f>IFERROR(__xludf.DUMMYFUNCTION("""COMPUTED_VALUE"""),57.0)</f>
        <v>57</v>
      </c>
      <c r="E2219" s="1">
        <f>IFERROR(__xludf.DUMMYFUNCTION("""COMPUTED_VALUE"""),57.37)</f>
        <v>57.37</v>
      </c>
      <c r="F2219" s="1">
        <f>IFERROR(__xludf.DUMMYFUNCTION("""COMPUTED_VALUE"""),2.348784E7)</f>
        <v>23487840</v>
      </c>
    </row>
    <row r="2220">
      <c r="A2220" s="2">
        <f>IFERROR(__xludf.DUMMYFUNCTION("""COMPUTED_VALUE"""),39749.666666666664)</f>
        <v>39749.66667</v>
      </c>
      <c r="B2220" s="1">
        <f>IFERROR(__xludf.DUMMYFUNCTION("""COMPUTED_VALUE"""),58.4)</f>
        <v>58.4</v>
      </c>
      <c r="C2220" s="1">
        <f>IFERROR(__xludf.DUMMYFUNCTION("""COMPUTED_VALUE"""),63.49)</f>
        <v>63.49</v>
      </c>
      <c r="D2220" s="1">
        <f>IFERROR(__xludf.DUMMYFUNCTION("""COMPUTED_VALUE"""),57.07)</f>
        <v>57.07</v>
      </c>
      <c r="E2220" s="1">
        <f>IFERROR(__xludf.DUMMYFUNCTION("""COMPUTED_VALUE"""),63.23)</f>
        <v>63.23</v>
      </c>
      <c r="F2220" s="1">
        <f>IFERROR(__xludf.DUMMYFUNCTION("""COMPUTED_VALUE"""),3.5618876E7)</f>
        <v>35618876</v>
      </c>
    </row>
    <row r="2221">
      <c r="A2221" s="2">
        <f>IFERROR(__xludf.DUMMYFUNCTION("""COMPUTED_VALUE"""),39750.666666666664)</f>
        <v>39750.66667</v>
      </c>
      <c r="B2221" s="1">
        <f>IFERROR(__xludf.DUMMYFUNCTION("""COMPUTED_VALUE"""),63.01)</f>
        <v>63.01</v>
      </c>
      <c r="C2221" s="1">
        <f>IFERROR(__xludf.DUMMYFUNCTION("""COMPUTED_VALUE"""),63.98)</f>
        <v>63.98</v>
      </c>
      <c r="D2221" s="1">
        <f>IFERROR(__xludf.DUMMYFUNCTION("""COMPUTED_VALUE"""),59.41)</f>
        <v>59.41</v>
      </c>
      <c r="E2221" s="1">
        <f>IFERROR(__xludf.DUMMYFUNCTION("""COMPUTED_VALUE"""),61.33)</f>
        <v>61.33</v>
      </c>
      <c r="F2221" s="1">
        <f>IFERROR(__xludf.DUMMYFUNCTION("""COMPUTED_VALUE"""),3.1023784E7)</f>
        <v>31023784</v>
      </c>
    </row>
    <row r="2222">
      <c r="A2222" s="2">
        <f>IFERROR(__xludf.DUMMYFUNCTION("""COMPUTED_VALUE"""),39751.666666666664)</f>
        <v>39751.66667</v>
      </c>
      <c r="B2222" s="1">
        <f>IFERROR(__xludf.DUMMYFUNCTION("""COMPUTED_VALUE"""),62.33)</f>
        <v>62.33</v>
      </c>
      <c r="C2222" s="1">
        <f>IFERROR(__xludf.DUMMYFUNCTION("""COMPUTED_VALUE"""),63.5)</f>
        <v>63.5</v>
      </c>
      <c r="D2222" s="1">
        <f>IFERROR(__xludf.DUMMYFUNCTION("""COMPUTED_VALUE"""),61.44)</f>
        <v>61.44</v>
      </c>
      <c r="E2222" s="1">
        <f>IFERROR(__xludf.DUMMYFUNCTION("""COMPUTED_VALUE"""),63.08)</f>
        <v>63.08</v>
      </c>
      <c r="F2222" s="1">
        <f>IFERROR(__xludf.DUMMYFUNCTION("""COMPUTED_VALUE"""),3.6500376E7)</f>
        <v>36500376</v>
      </c>
    </row>
    <row r="2223">
      <c r="A2223" s="2">
        <f>IFERROR(__xludf.DUMMYFUNCTION("""COMPUTED_VALUE"""),39752.666666666664)</f>
        <v>39752.66667</v>
      </c>
      <c r="B2223" s="1">
        <f>IFERROR(__xludf.DUMMYFUNCTION("""COMPUTED_VALUE"""),62.96)</f>
        <v>62.96</v>
      </c>
      <c r="C2223" s="1">
        <f>IFERROR(__xludf.DUMMYFUNCTION("""COMPUTED_VALUE"""),64.93)</f>
        <v>64.93</v>
      </c>
      <c r="D2223" s="1">
        <f>IFERROR(__xludf.DUMMYFUNCTION("""COMPUTED_VALUE"""),62.76)</f>
        <v>62.76</v>
      </c>
      <c r="E2223" s="1">
        <f>IFERROR(__xludf.DUMMYFUNCTION("""COMPUTED_VALUE"""),64.54)</f>
        <v>64.54</v>
      </c>
      <c r="F2223" s="1">
        <f>IFERROR(__xludf.DUMMYFUNCTION("""COMPUTED_VALUE"""),4.2624164E7)</f>
        <v>42624164</v>
      </c>
    </row>
    <row r="2224">
      <c r="A2224" s="2">
        <f>IFERROR(__xludf.DUMMYFUNCTION("""COMPUTED_VALUE"""),39755.666666666664)</f>
        <v>39755.66667</v>
      </c>
      <c r="B2224" s="1">
        <f>IFERROR(__xludf.DUMMYFUNCTION("""COMPUTED_VALUE"""),64.72)</f>
        <v>64.72</v>
      </c>
      <c r="C2224" s="1">
        <f>IFERROR(__xludf.DUMMYFUNCTION("""COMPUTED_VALUE"""),65.25)</f>
        <v>65.25</v>
      </c>
      <c r="D2224" s="1">
        <f>IFERROR(__xludf.DUMMYFUNCTION("""COMPUTED_VALUE"""),64.07)</f>
        <v>64.07</v>
      </c>
      <c r="E2224" s="1">
        <f>IFERROR(__xludf.DUMMYFUNCTION("""COMPUTED_VALUE"""),64.4)</f>
        <v>64.4</v>
      </c>
      <c r="F2224" s="1">
        <f>IFERROR(__xludf.DUMMYFUNCTION("""COMPUTED_VALUE"""),5.0502584E7)</f>
        <v>50502584</v>
      </c>
    </row>
    <row r="2225">
      <c r="A2225" s="2">
        <f>IFERROR(__xludf.DUMMYFUNCTION("""COMPUTED_VALUE"""),39756.666666666664)</f>
        <v>39756.66667</v>
      </c>
      <c r="B2225" s="1">
        <f>IFERROR(__xludf.DUMMYFUNCTION("""COMPUTED_VALUE"""),65.3)</f>
        <v>65.3</v>
      </c>
      <c r="C2225" s="1">
        <f>IFERROR(__xludf.DUMMYFUNCTION("""COMPUTED_VALUE"""),66.48)</f>
        <v>66.48</v>
      </c>
      <c r="D2225" s="1">
        <f>IFERROR(__xludf.DUMMYFUNCTION("""COMPUTED_VALUE"""),65.1)</f>
        <v>65.1</v>
      </c>
      <c r="E2225" s="1">
        <f>IFERROR(__xludf.DUMMYFUNCTION("""COMPUTED_VALUE"""),66.07)</f>
        <v>66.07</v>
      </c>
      <c r="F2225" s="1">
        <f>IFERROR(__xludf.DUMMYFUNCTION("""COMPUTED_VALUE"""),4.6697768E7)</f>
        <v>46697768</v>
      </c>
    </row>
    <row r="2226">
      <c r="A2226" s="2">
        <f>IFERROR(__xludf.DUMMYFUNCTION("""COMPUTED_VALUE"""),39757.666666666664)</f>
        <v>39757.66667</v>
      </c>
      <c r="B2226" s="1">
        <f>IFERROR(__xludf.DUMMYFUNCTION("""COMPUTED_VALUE"""),65.41)</f>
        <v>65.41</v>
      </c>
      <c r="C2226" s="1">
        <f>IFERROR(__xludf.DUMMYFUNCTION("""COMPUTED_VALUE"""),66.13)</f>
        <v>66.13</v>
      </c>
      <c r="D2226" s="1">
        <f>IFERROR(__xludf.DUMMYFUNCTION("""COMPUTED_VALUE"""),63.81)</f>
        <v>63.81</v>
      </c>
      <c r="E2226" s="1">
        <f>IFERROR(__xludf.DUMMYFUNCTION("""COMPUTED_VALUE"""),63.81)</f>
        <v>63.81</v>
      </c>
      <c r="F2226" s="1">
        <f>IFERROR(__xludf.DUMMYFUNCTION("""COMPUTED_VALUE"""),7.1835224E7)</f>
        <v>71835224</v>
      </c>
    </row>
    <row r="2227">
      <c r="A2227" s="2">
        <f>IFERROR(__xludf.DUMMYFUNCTION("""COMPUTED_VALUE"""),39758.666666666664)</f>
        <v>39758.66667</v>
      </c>
      <c r="B2227" s="1">
        <f>IFERROR(__xludf.DUMMYFUNCTION("""COMPUTED_VALUE"""),64.05)</f>
        <v>64.05</v>
      </c>
      <c r="C2227" s="1">
        <f>IFERROR(__xludf.DUMMYFUNCTION("""COMPUTED_VALUE"""),65.47)</f>
        <v>65.47</v>
      </c>
      <c r="D2227" s="1">
        <f>IFERROR(__xludf.DUMMYFUNCTION("""COMPUTED_VALUE"""),62.54)</f>
        <v>62.54</v>
      </c>
      <c r="E2227" s="1">
        <f>IFERROR(__xludf.DUMMYFUNCTION("""COMPUTED_VALUE"""),63.35)</f>
        <v>63.35</v>
      </c>
      <c r="F2227" s="1">
        <f>IFERROR(__xludf.DUMMYFUNCTION("""COMPUTED_VALUE"""),4.944496E7)</f>
        <v>49444960</v>
      </c>
    </row>
    <row r="2228">
      <c r="A2228" s="2">
        <f>IFERROR(__xludf.DUMMYFUNCTION("""COMPUTED_VALUE"""),39759.666666666664)</f>
        <v>39759.66667</v>
      </c>
      <c r="B2228" s="1">
        <f>IFERROR(__xludf.DUMMYFUNCTION("""COMPUTED_VALUE"""),63.7)</f>
        <v>63.7</v>
      </c>
      <c r="C2228" s="1">
        <f>IFERROR(__xludf.DUMMYFUNCTION("""COMPUTED_VALUE"""),64.83)</f>
        <v>64.83</v>
      </c>
      <c r="D2228" s="1">
        <f>IFERROR(__xludf.DUMMYFUNCTION("""COMPUTED_VALUE"""),63.43)</f>
        <v>63.43</v>
      </c>
      <c r="E2228" s="1">
        <f>IFERROR(__xludf.DUMMYFUNCTION("""COMPUTED_VALUE"""),64.49)</f>
        <v>64.49</v>
      </c>
      <c r="F2228" s="1">
        <f>IFERROR(__xludf.DUMMYFUNCTION("""COMPUTED_VALUE"""),1.9003346E7)</f>
        <v>19003346</v>
      </c>
    </row>
    <row r="2229">
      <c r="A2229" s="2">
        <f>IFERROR(__xludf.DUMMYFUNCTION("""COMPUTED_VALUE"""),39762.666666666664)</f>
        <v>39762.66667</v>
      </c>
      <c r="B2229" s="1">
        <f>IFERROR(__xludf.DUMMYFUNCTION("""COMPUTED_VALUE"""),65.46)</f>
        <v>65.46</v>
      </c>
      <c r="C2229" s="1">
        <f>IFERROR(__xludf.DUMMYFUNCTION("""COMPUTED_VALUE"""),65.78)</f>
        <v>65.78</v>
      </c>
      <c r="D2229" s="1">
        <f>IFERROR(__xludf.DUMMYFUNCTION("""COMPUTED_VALUE"""),64.03)</f>
        <v>64.03</v>
      </c>
      <c r="E2229" s="1">
        <f>IFERROR(__xludf.DUMMYFUNCTION("""COMPUTED_VALUE"""),64.95)</f>
        <v>64.95</v>
      </c>
      <c r="F2229" s="1">
        <f>IFERROR(__xludf.DUMMYFUNCTION("""COMPUTED_VALUE"""),1.6518136E7)</f>
        <v>16518136</v>
      </c>
    </row>
    <row r="2230">
      <c r="A2230" s="2">
        <f>IFERROR(__xludf.DUMMYFUNCTION("""COMPUTED_VALUE"""),39763.666666666664)</f>
        <v>39763.66667</v>
      </c>
      <c r="B2230" s="1">
        <f>IFERROR(__xludf.DUMMYFUNCTION("""COMPUTED_VALUE"""),64.65)</f>
        <v>64.65</v>
      </c>
      <c r="C2230" s="1">
        <f>IFERROR(__xludf.DUMMYFUNCTION("""COMPUTED_VALUE"""),64.88)</f>
        <v>64.88</v>
      </c>
      <c r="D2230" s="1">
        <f>IFERROR(__xludf.DUMMYFUNCTION("""COMPUTED_VALUE"""),63.23)</f>
        <v>63.23</v>
      </c>
      <c r="E2230" s="1">
        <f>IFERROR(__xludf.DUMMYFUNCTION("""COMPUTED_VALUE"""),63.82)</f>
        <v>63.82</v>
      </c>
      <c r="F2230" s="1">
        <f>IFERROR(__xludf.DUMMYFUNCTION("""COMPUTED_VALUE"""),1.6272524E7)</f>
        <v>16272524</v>
      </c>
    </row>
    <row r="2231">
      <c r="A2231" s="2">
        <f>IFERROR(__xludf.DUMMYFUNCTION("""COMPUTED_VALUE"""),39764.666666666664)</f>
        <v>39764.66667</v>
      </c>
      <c r="B2231" s="1">
        <f>IFERROR(__xludf.DUMMYFUNCTION("""COMPUTED_VALUE"""),63.5)</f>
        <v>63.5</v>
      </c>
      <c r="C2231" s="1">
        <f>IFERROR(__xludf.DUMMYFUNCTION("""COMPUTED_VALUE"""),63.5)</f>
        <v>63.5</v>
      </c>
      <c r="D2231" s="1">
        <f>IFERROR(__xludf.DUMMYFUNCTION("""COMPUTED_VALUE"""),61.5)</f>
        <v>61.5</v>
      </c>
      <c r="E2231" s="1">
        <f>IFERROR(__xludf.DUMMYFUNCTION("""COMPUTED_VALUE"""),61.85)</f>
        <v>61.85</v>
      </c>
      <c r="F2231" s="1">
        <f>IFERROR(__xludf.DUMMYFUNCTION("""COMPUTED_VALUE"""),2.60128E7)</f>
        <v>26012800</v>
      </c>
    </row>
    <row r="2232">
      <c r="A2232" s="2">
        <f>IFERROR(__xludf.DUMMYFUNCTION("""COMPUTED_VALUE"""),39765.666666666664)</f>
        <v>39765.66667</v>
      </c>
      <c r="B2232" s="1">
        <f>IFERROR(__xludf.DUMMYFUNCTION("""COMPUTED_VALUE"""),61.71)</f>
        <v>61.71</v>
      </c>
      <c r="C2232" s="1">
        <f>IFERROR(__xludf.DUMMYFUNCTION("""COMPUTED_VALUE"""),66.82)</f>
        <v>66.82</v>
      </c>
      <c r="D2232" s="1">
        <f>IFERROR(__xludf.DUMMYFUNCTION("""COMPUTED_VALUE"""),60.87)</f>
        <v>60.87</v>
      </c>
      <c r="E2232" s="1">
        <f>IFERROR(__xludf.DUMMYFUNCTION("""COMPUTED_VALUE"""),65.05)</f>
        <v>65.05</v>
      </c>
      <c r="F2232" s="1">
        <f>IFERROR(__xludf.DUMMYFUNCTION("""COMPUTED_VALUE"""),4.4886552E7)</f>
        <v>44886552</v>
      </c>
    </row>
    <row r="2233">
      <c r="A2233" s="2">
        <f>IFERROR(__xludf.DUMMYFUNCTION("""COMPUTED_VALUE"""),39766.666666666664)</f>
        <v>39766.66667</v>
      </c>
      <c r="B2233" s="1">
        <f>IFERROR(__xludf.DUMMYFUNCTION("""COMPUTED_VALUE"""),64.87)</f>
        <v>64.87</v>
      </c>
      <c r="C2233" s="1">
        <f>IFERROR(__xludf.DUMMYFUNCTION("""COMPUTED_VALUE"""),66.0)</f>
        <v>66</v>
      </c>
      <c r="D2233" s="1">
        <f>IFERROR(__xludf.DUMMYFUNCTION("""COMPUTED_VALUE"""),61.96)</f>
        <v>61.96</v>
      </c>
      <c r="E2233" s="1">
        <f>IFERROR(__xludf.DUMMYFUNCTION("""COMPUTED_VALUE"""),63.11)</f>
        <v>63.11</v>
      </c>
      <c r="F2233" s="1">
        <f>IFERROR(__xludf.DUMMYFUNCTION("""COMPUTED_VALUE"""),4.2262688E7)</f>
        <v>42262688</v>
      </c>
    </row>
    <row r="2234">
      <c r="A2234" s="2">
        <f>IFERROR(__xludf.DUMMYFUNCTION("""COMPUTED_VALUE"""),39769.666666666664)</f>
        <v>39769.66667</v>
      </c>
      <c r="B2234" s="1">
        <f>IFERROR(__xludf.DUMMYFUNCTION("""COMPUTED_VALUE"""),63.0)</f>
        <v>63</v>
      </c>
      <c r="C2234" s="1">
        <f>IFERROR(__xludf.DUMMYFUNCTION("""COMPUTED_VALUE"""),64.54)</f>
        <v>64.54</v>
      </c>
      <c r="D2234" s="1">
        <f>IFERROR(__xludf.DUMMYFUNCTION("""COMPUTED_VALUE"""),61.41)</f>
        <v>61.41</v>
      </c>
      <c r="E2234" s="1">
        <f>IFERROR(__xludf.DUMMYFUNCTION("""COMPUTED_VALUE"""),62.51)</f>
        <v>62.51</v>
      </c>
      <c r="F2234" s="1">
        <f>IFERROR(__xludf.DUMMYFUNCTION("""COMPUTED_VALUE"""),2.308107E7)</f>
        <v>23081070</v>
      </c>
    </row>
    <row r="2235">
      <c r="A2235" s="2">
        <f>IFERROR(__xludf.DUMMYFUNCTION("""COMPUTED_VALUE"""),39770.666666666664)</f>
        <v>39770.66667</v>
      </c>
      <c r="B2235" s="1">
        <f>IFERROR(__xludf.DUMMYFUNCTION("""COMPUTED_VALUE"""),62.24)</f>
        <v>62.24</v>
      </c>
      <c r="C2235" s="1">
        <f>IFERROR(__xludf.DUMMYFUNCTION("""COMPUTED_VALUE"""),64.49)</f>
        <v>64.49</v>
      </c>
      <c r="D2235" s="1">
        <f>IFERROR(__xludf.DUMMYFUNCTION("""COMPUTED_VALUE"""),60.76)</f>
        <v>60.76</v>
      </c>
      <c r="E2235" s="1">
        <f>IFERROR(__xludf.DUMMYFUNCTION("""COMPUTED_VALUE"""),64.25)</f>
        <v>64.25</v>
      </c>
      <c r="F2235" s="1">
        <f>IFERROR(__xludf.DUMMYFUNCTION("""COMPUTED_VALUE"""),3.5519372E7)</f>
        <v>35519372</v>
      </c>
    </row>
    <row r="2236">
      <c r="A2236" s="2">
        <f>IFERROR(__xludf.DUMMYFUNCTION("""COMPUTED_VALUE"""),39771.666666666664)</f>
        <v>39771.66667</v>
      </c>
      <c r="B2236" s="1">
        <f>IFERROR(__xludf.DUMMYFUNCTION("""COMPUTED_VALUE"""),63.88)</f>
        <v>63.88</v>
      </c>
      <c r="C2236" s="1">
        <f>IFERROR(__xludf.DUMMYFUNCTION("""COMPUTED_VALUE"""),64.66)</f>
        <v>64.66</v>
      </c>
      <c r="D2236" s="1">
        <f>IFERROR(__xludf.DUMMYFUNCTION("""COMPUTED_VALUE"""),62.11)</f>
        <v>62.11</v>
      </c>
      <c r="E2236" s="1">
        <f>IFERROR(__xludf.DUMMYFUNCTION("""COMPUTED_VALUE"""),62.27)</f>
        <v>62.27</v>
      </c>
      <c r="F2236" s="1">
        <f>IFERROR(__xludf.DUMMYFUNCTION("""COMPUTED_VALUE"""),2.3345324E7)</f>
        <v>23345324</v>
      </c>
    </row>
    <row r="2237">
      <c r="A2237" s="2">
        <f>IFERROR(__xludf.DUMMYFUNCTION("""COMPUTED_VALUE"""),39772.666666666664)</f>
        <v>39772.66667</v>
      </c>
      <c r="B2237" s="1">
        <f>IFERROR(__xludf.DUMMYFUNCTION("""COMPUTED_VALUE"""),61.67)</f>
        <v>61.67</v>
      </c>
      <c r="C2237" s="1">
        <f>IFERROR(__xludf.DUMMYFUNCTION("""COMPUTED_VALUE"""),63.42)</f>
        <v>63.42</v>
      </c>
      <c r="D2237" s="1">
        <f>IFERROR(__xludf.DUMMYFUNCTION("""COMPUTED_VALUE"""),59.0)</f>
        <v>59</v>
      </c>
      <c r="E2237" s="1">
        <f>IFERROR(__xludf.DUMMYFUNCTION("""COMPUTED_VALUE"""),59.33)</f>
        <v>59.33</v>
      </c>
      <c r="F2237" s="1">
        <f>IFERROR(__xludf.DUMMYFUNCTION("""COMPUTED_VALUE"""),3.1313854E7)</f>
        <v>31313854</v>
      </c>
    </row>
    <row r="2238">
      <c r="A2238" s="2">
        <f>IFERROR(__xludf.DUMMYFUNCTION("""COMPUTED_VALUE"""),39773.666666666664)</f>
        <v>39773.66667</v>
      </c>
      <c r="B2238" s="1">
        <f>IFERROR(__xludf.DUMMYFUNCTION("""COMPUTED_VALUE"""),60.05)</f>
        <v>60.05</v>
      </c>
      <c r="C2238" s="1">
        <f>IFERROR(__xludf.DUMMYFUNCTION("""COMPUTED_VALUE"""),63.33)</f>
        <v>63.33</v>
      </c>
      <c r="D2238" s="1">
        <f>IFERROR(__xludf.DUMMYFUNCTION("""COMPUTED_VALUE"""),58.29)</f>
        <v>58.29</v>
      </c>
      <c r="E2238" s="1">
        <f>IFERROR(__xludf.DUMMYFUNCTION("""COMPUTED_VALUE"""),63.09)</f>
        <v>63.09</v>
      </c>
      <c r="F2238" s="1">
        <f>IFERROR(__xludf.DUMMYFUNCTION("""COMPUTED_VALUE"""),3.4196152E7)</f>
        <v>34196152</v>
      </c>
    </row>
    <row r="2239">
      <c r="A2239" s="2">
        <f>IFERROR(__xludf.DUMMYFUNCTION("""COMPUTED_VALUE"""),39776.666666666664)</f>
        <v>39776.66667</v>
      </c>
      <c r="B2239" s="1">
        <f>IFERROR(__xludf.DUMMYFUNCTION("""COMPUTED_VALUE"""),63.44)</f>
        <v>63.44</v>
      </c>
      <c r="C2239" s="1">
        <f>IFERROR(__xludf.DUMMYFUNCTION("""COMPUTED_VALUE"""),65.0)</f>
        <v>65</v>
      </c>
      <c r="D2239" s="1">
        <f>IFERROR(__xludf.DUMMYFUNCTION("""COMPUTED_VALUE"""),62.68)</f>
        <v>62.68</v>
      </c>
      <c r="E2239" s="1">
        <f>IFERROR(__xludf.DUMMYFUNCTION("""COMPUTED_VALUE"""),64.68)</f>
        <v>64.68</v>
      </c>
      <c r="F2239" s="1">
        <f>IFERROR(__xludf.DUMMYFUNCTION("""COMPUTED_VALUE"""),2.6077284E7)</f>
        <v>26077284</v>
      </c>
    </row>
    <row r="2240">
      <c r="A2240" s="2">
        <f>IFERROR(__xludf.DUMMYFUNCTION("""COMPUTED_VALUE"""),39777.666666666664)</f>
        <v>39777.66667</v>
      </c>
      <c r="B2240" s="1">
        <f>IFERROR(__xludf.DUMMYFUNCTION("""COMPUTED_VALUE"""),64.54)</f>
        <v>64.54</v>
      </c>
      <c r="C2240" s="1">
        <f>IFERROR(__xludf.DUMMYFUNCTION("""COMPUTED_VALUE"""),65.45)</f>
        <v>65.45</v>
      </c>
      <c r="D2240" s="1">
        <f>IFERROR(__xludf.DUMMYFUNCTION("""COMPUTED_VALUE"""),63.18)</f>
        <v>63.18</v>
      </c>
      <c r="E2240" s="1">
        <f>IFERROR(__xludf.DUMMYFUNCTION("""COMPUTED_VALUE"""),63.18)</f>
        <v>63.18</v>
      </c>
      <c r="F2240" s="1">
        <f>IFERROR(__xludf.DUMMYFUNCTION("""COMPUTED_VALUE"""),2.284414E7)</f>
        <v>22844140</v>
      </c>
    </row>
    <row r="2241">
      <c r="A2241" s="2">
        <f>IFERROR(__xludf.DUMMYFUNCTION("""COMPUTED_VALUE"""),39778.666666666664)</f>
        <v>39778.66667</v>
      </c>
      <c r="B2241" s="1">
        <f>IFERROR(__xludf.DUMMYFUNCTION("""COMPUTED_VALUE"""),61.77)</f>
        <v>61.77</v>
      </c>
      <c r="C2241" s="1">
        <f>IFERROR(__xludf.DUMMYFUNCTION("""COMPUTED_VALUE"""),63.19)</f>
        <v>63.19</v>
      </c>
      <c r="D2241" s="1">
        <f>IFERROR(__xludf.DUMMYFUNCTION("""COMPUTED_VALUE"""),61.4)</f>
        <v>61.4</v>
      </c>
      <c r="E2241" s="1">
        <f>IFERROR(__xludf.DUMMYFUNCTION("""COMPUTED_VALUE"""),63.16)</f>
        <v>63.16</v>
      </c>
      <c r="F2241" s="1">
        <f>IFERROR(__xludf.DUMMYFUNCTION("""COMPUTED_VALUE"""),1.5151591E7)</f>
        <v>15151591</v>
      </c>
    </row>
    <row r="2242">
      <c r="A2242" s="2">
        <f>IFERROR(__xludf.DUMMYFUNCTION("""COMPUTED_VALUE"""),39780.666666666664)</f>
        <v>39780.66667</v>
      </c>
      <c r="B2242" s="1">
        <f>IFERROR(__xludf.DUMMYFUNCTION("""COMPUTED_VALUE"""),63.04)</f>
        <v>63.04</v>
      </c>
      <c r="C2242" s="1">
        <f>IFERROR(__xludf.DUMMYFUNCTION("""COMPUTED_VALUE"""),64.55)</f>
        <v>64.55</v>
      </c>
      <c r="D2242" s="1">
        <f>IFERROR(__xludf.DUMMYFUNCTION("""COMPUTED_VALUE"""),63.04)</f>
        <v>63.04</v>
      </c>
      <c r="E2242" s="1">
        <f>IFERROR(__xludf.DUMMYFUNCTION("""COMPUTED_VALUE"""),64.35)</f>
        <v>64.35</v>
      </c>
      <c r="F2242" s="1">
        <f>IFERROR(__xludf.DUMMYFUNCTION("""COMPUTED_VALUE"""),7768636.0)</f>
        <v>7768636</v>
      </c>
    </row>
    <row r="2243">
      <c r="A2243" s="2">
        <f>IFERROR(__xludf.DUMMYFUNCTION("""COMPUTED_VALUE"""),39783.666666666664)</f>
        <v>39783.66667</v>
      </c>
      <c r="B2243" s="1">
        <f>IFERROR(__xludf.DUMMYFUNCTION("""COMPUTED_VALUE"""),63.73)</f>
        <v>63.73</v>
      </c>
      <c r="C2243" s="1">
        <f>IFERROR(__xludf.DUMMYFUNCTION("""COMPUTED_VALUE"""),63.8)</f>
        <v>63.8</v>
      </c>
      <c r="D2243" s="1">
        <f>IFERROR(__xludf.DUMMYFUNCTION("""COMPUTED_VALUE"""),60.35)</f>
        <v>60.35</v>
      </c>
      <c r="E2243" s="1">
        <f>IFERROR(__xludf.DUMMYFUNCTION("""COMPUTED_VALUE"""),60.49)</f>
        <v>60.49</v>
      </c>
      <c r="F2243" s="1">
        <f>IFERROR(__xludf.DUMMYFUNCTION("""COMPUTED_VALUE"""),2.0435322E7)</f>
        <v>20435322</v>
      </c>
    </row>
    <row r="2244">
      <c r="A2244" s="2">
        <f>IFERROR(__xludf.DUMMYFUNCTION("""COMPUTED_VALUE"""),39784.666666666664)</f>
        <v>39784.66667</v>
      </c>
      <c r="B2244" s="1">
        <f>IFERROR(__xludf.DUMMYFUNCTION("""COMPUTED_VALUE"""),61.6)</f>
        <v>61.6</v>
      </c>
      <c r="C2244" s="1">
        <f>IFERROR(__xludf.DUMMYFUNCTION("""COMPUTED_VALUE"""),61.65)</f>
        <v>61.65</v>
      </c>
      <c r="D2244" s="1">
        <f>IFERROR(__xludf.DUMMYFUNCTION("""COMPUTED_VALUE"""),59.35)</f>
        <v>59.35</v>
      </c>
      <c r="E2244" s="1">
        <f>IFERROR(__xludf.DUMMYFUNCTION("""COMPUTED_VALUE"""),61.44)</f>
        <v>61.44</v>
      </c>
      <c r="F2244" s="1">
        <f>IFERROR(__xludf.DUMMYFUNCTION("""COMPUTED_VALUE"""),2.0242344E7)</f>
        <v>20242344</v>
      </c>
    </row>
    <row r="2245">
      <c r="A2245" s="2">
        <f>IFERROR(__xludf.DUMMYFUNCTION("""COMPUTED_VALUE"""),39785.666666666664)</f>
        <v>39785.66667</v>
      </c>
      <c r="B2245" s="1">
        <f>IFERROR(__xludf.DUMMYFUNCTION("""COMPUTED_VALUE"""),60.52)</f>
        <v>60.52</v>
      </c>
      <c r="C2245" s="1">
        <f>IFERROR(__xludf.DUMMYFUNCTION("""COMPUTED_VALUE"""),63.13)</f>
        <v>63.13</v>
      </c>
      <c r="D2245" s="1">
        <f>IFERROR(__xludf.DUMMYFUNCTION("""COMPUTED_VALUE"""),60.5)</f>
        <v>60.5</v>
      </c>
      <c r="E2245" s="1">
        <f>IFERROR(__xludf.DUMMYFUNCTION("""COMPUTED_VALUE"""),62.88)</f>
        <v>62.88</v>
      </c>
      <c r="F2245" s="1">
        <f>IFERROR(__xludf.DUMMYFUNCTION("""COMPUTED_VALUE"""),1.9967588E7)</f>
        <v>19967588</v>
      </c>
    </row>
    <row r="2246">
      <c r="A2246" s="2">
        <f>IFERROR(__xludf.DUMMYFUNCTION("""COMPUTED_VALUE"""),39786.666666666664)</f>
        <v>39786.66667</v>
      </c>
      <c r="B2246" s="1">
        <f>IFERROR(__xludf.DUMMYFUNCTION("""COMPUTED_VALUE"""),62.28)</f>
        <v>62.28</v>
      </c>
      <c r="C2246" s="1">
        <f>IFERROR(__xludf.DUMMYFUNCTION("""COMPUTED_VALUE"""),62.93)</f>
        <v>62.93</v>
      </c>
      <c r="D2246" s="1">
        <f>IFERROR(__xludf.DUMMYFUNCTION("""COMPUTED_VALUE"""),60.58)</f>
        <v>60.58</v>
      </c>
      <c r="E2246" s="1">
        <f>IFERROR(__xludf.DUMMYFUNCTION("""COMPUTED_VALUE"""),61.25)</f>
        <v>61.25</v>
      </c>
      <c r="F2246" s="1">
        <f>IFERROR(__xludf.DUMMYFUNCTION("""COMPUTED_VALUE"""),1.791976E7)</f>
        <v>17919760</v>
      </c>
    </row>
    <row r="2247">
      <c r="A2247" s="2">
        <f>IFERROR(__xludf.DUMMYFUNCTION("""COMPUTED_VALUE"""),39787.666666666664)</f>
        <v>39787.66667</v>
      </c>
      <c r="B2247" s="1">
        <f>IFERROR(__xludf.DUMMYFUNCTION("""COMPUTED_VALUE"""),60.81)</f>
        <v>60.81</v>
      </c>
      <c r="C2247" s="1">
        <f>IFERROR(__xludf.DUMMYFUNCTION("""COMPUTED_VALUE"""),62.93)</f>
        <v>62.93</v>
      </c>
      <c r="D2247" s="1">
        <f>IFERROR(__xludf.DUMMYFUNCTION("""COMPUTED_VALUE"""),59.4)</f>
        <v>59.4</v>
      </c>
      <c r="E2247" s="1">
        <f>IFERROR(__xludf.DUMMYFUNCTION("""COMPUTED_VALUE"""),62.63)</f>
        <v>62.63</v>
      </c>
      <c r="F2247" s="1">
        <f>IFERROR(__xludf.DUMMYFUNCTION("""COMPUTED_VALUE"""),2.208738E7)</f>
        <v>22087380</v>
      </c>
    </row>
    <row r="2248">
      <c r="A2248" s="2">
        <f>IFERROR(__xludf.DUMMYFUNCTION("""COMPUTED_VALUE"""),39790.666666666664)</f>
        <v>39790.66667</v>
      </c>
      <c r="B2248" s="1">
        <f>IFERROR(__xludf.DUMMYFUNCTION("""COMPUTED_VALUE"""),63.01)</f>
        <v>63.01</v>
      </c>
      <c r="C2248" s="1">
        <f>IFERROR(__xludf.DUMMYFUNCTION("""COMPUTED_VALUE"""),64.0)</f>
        <v>64</v>
      </c>
      <c r="D2248" s="1">
        <f>IFERROR(__xludf.DUMMYFUNCTION("""COMPUTED_VALUE"""),62.02)</f>
        <v>62.02</v>
      </c>
      <c r="E2248" s="1">
        <f>IFERROR(__xludf.DUMMYFUNCTION("""COMPUTED_VALUE"""),62.49)</f>
        <v>62.49</v>
      </c>
      <c r="F2248" s="1">
        <f>IFERROR(__xludf.DUMMYFUNCTION("""COMPUTED_VALUE"""),2.0894506E7)</f>
        <v>20894506</v>
      </c>
    </row>
    <row r="2249">
      <c r="A2249" s="2">
        <f>IFERROR(__xludf.DUMMYFUNCTION("""COMPUTED_VALUE"""),39791.666666666664)</f>
        <v>39791.66667</v>
      </c>
      <c r="B2249" s="1">
        <f>IFERROR(__xludf.DUMMYFUNCTION("""COMPUTED_VALUE"""),61.97)</f>
        <v>61.97</v>
      </c>
      <c r="C2249" s="1">
        <f>IFERROR(__xludf.DUMMYFUNCTION("""COMPUTED_VALUE"""),62.25)</f>
        <v>62.25</v>
      </c>
      <c r="D2249" s="1">
        <f>IFERROR(__xludf.DUMMYFUNCTION("""COMPUTED_VALUE"""),59.36)</f>
        <v>59.36</v>
      </c>
      <c r="E2249" s="1">
        <f>IFERROR(__xludf.DUMMYFUNCTION("""COMPUTED_VALUE"""),59.79)</f>
        <v>59.79</v>
      </c>
      <c r="F2249" s="1">
        <f>IFERROR(__xludf.DUMMYFUNCTION("""COMPUTED_VALUE"""),2.1441488E7)</f>
        <v>21441488</v>
      </c>
    </row>
    <row r="2250">
      <c r="A2250" s="2">
        <f>IFERROR(__xludf.DUMMYFUNCTION("""COMPUTED_VALUE"""),39792.666666666664)</f>
        <v>39792.66667</v>
      </c>
      <c r="B2250" s="1">
        <f>IFERROR(__xludf.DUMMYFUNCTION("""COMPUTED_VALUE"""),60.27)</f>
        <v>60.27</v>
      </c>
      <c r="C2250" s="1">
        <f>IFERROR(__xludf.DUMMYFUNCTION("""COMPUTED_VALUE"""),60.66)</f>
        <v>60.66</v>
      </c>
      <c r="D2250" s="1">
        <f>IFERROR(__xludf.DUMMYFUNCTION("""COMPUTED_VALUE"""),58.51)</f>
        <v>58.51</v>
      </c>
      <c r="E2250" s="1">
        <f>IFERROR(__xludf.DUMMYFUNCTION("""COMPUTED_VALUE"""),59.12)</f>
        <v>59.12</v>
      </c>
      <c r="F2250" s="1">
        <f>IFERROR(__xludf.DUMMYFUNCTION("""COMPUTED_VALUE"""),1.4783412E7)</f>
        <v>14783412</v>
      </c>
    </row>
    <row r="2251">
      <c r="A2251" s="2">
        <f>IFERROR(__xludf.DUMMYFUNCTION("""COMPUTED_VALUE"""),39793.666666666664)</f>
        <v>39793.66667</v>
      </c>
      <c r="B2251" s="1">
        <f>IFERROR(__xludf.DUMMYFUNCTION("""COMPUTED_VALUE"""),57.77)</f>
        <v>57.77</v>
      </c>
      <c r="C2251" s="1">
        <f>IFERROR(__xludf.DUMMYFUNCTION("""COMPUTED_VALUE"""),59.86)</f>
        <v>59.86</v>
      </c>
      <c r="D2251" s="1">
        <f>IFERROR(__xludf.DUMMYFUNCTION("""COMPUTED_VALUE"""),57.5)</f>
        <v>57.5</v>
      </c>
      <c r="E2251" s="1">
        <f>IFERROR(__xludf.DUMMYFUNCTION("""COMPUTED_VALUE"""),58.58)</f>
        <v>58.58</v>
      </c>
      <c r="F2251" s="1">
        <f>IFERROR(__xludf.DUMMYFUNCTION("""COMPUTED_VALUE"""),1.8861404E7)</f>
        <v>18861404</v>
      </c>
    </row>
    <row r="2252">
      <c r="A2252" s="2">
        <f>IFERROR(__xludf.DUMMYFUNCTION("""COMPUTED_VALUE"""),39794.666666666664)</f>
        <v>39794.66667</v>
      </c>
      <c r="B2252" s="1">
        <f>IFERROR(__xludf.DUMMYFUNCTION("""COMPUTED_VALUE"""),58.33)</f>
        <v>58.33</v>
      </c>
      <c r="C2252" s="1">
        <f>IFERROR(__xludf.DUMMYFUNCTION("""COMPUTED_VALUE"""),59.23)</f>
        <v>59.23</v>
      </c>
      <c r="D2252" s="1">
        <f>IFERROR(__xludf.DUMMYFUNCTION("""COMPUTED_VALUE"""),57.05)</f>
        <v>57.05</v>
      </c>
      <c r="E2252" s="1">
        <f>IFERROR(__xludf.DUMMYFUNCTION("""COMPUTED_VALUE"""),58.94)</f>
        <v>58.94</v>
      </c>
      <c r="F2252" s="1">
        <f>IFERROR(__xludf.DUMMYFUNCTION("""COMPUTED_VALUE"""),1.6819E7)</f>
        <v>16819000</v>
      </c>
    </row>
    <row r="2253">
      <c r="A2253" s="2">
        <f>IFERROR(__xludf.DUMMYFUNCTION("""COMPUTED_VALUE"""),39797.666666666664)</f>
        <v>39797.66667</v>
      </c>
      <c r="B2253" s="1">
        <f>IFERROR(__xludf.DUMMYFUNCTION("""COMPUTED_VALUE"""),58.15)</f>
        <v>58.15</v>
      </c>
      <c r="C2253" s="1">
        <f>IFERROR(__xludf.DUMMYFUNCTION("""COMPUTED_VALUE"""),59.85)</f>
        <v>59.85</v>
      </c>
      <c r="D2253" s="1">
        <f>IFERROR(__xludf.DUMMYFUNCTION("""COMPUTED_VALUE"""),58.15)</f>
        <v>58.15</v>
      </c>
      <c r="E2253" s="1">
        <f>IFERROR(__xludf.DUMMYFUNCTION("""COMPUTED_VALUE"""),59.36)</f>
        <v>59.36</v>
      </c>
      <c r="F2253" s="1">
        <f>IFERROR(__xludf.DUMMYFUNCTION("""COMPUTED_VALUE"""),1.223088E7)</f>
        <v>12230880</v>
      </c>
    </row>
    <row r="2254">
      <c r="A2254" s="2">
        <f>IFERROR(__xludf.DUMMYFUNCTION("""COMPUTED_VALUE"""),39798.666666666664)</f>
        <v>39798.66667</v>
      </c>
      <c r="B2254" s="1">
        <f>IFERROR(__xludf.DUMMYFUNCTION("""COMPUTED_VALUE"""),59.9)</f>
        <v>59.9</v>
      </c>
      <c r="C2254" s="1">
        <f>IFERROR(__xludf.DUMMYFUNCTION("""COMPUTED_VALUE"""),61.75)</f>
        <v>61.75</v>
      </c>
      <c r="D2254" s="1">
        <f>IFERROR(__xludf.DUMMYFUNCTION("""COMPUTED_VALUE"""),59.58)</f>
        <v>59.58</v>
      </c>
      <c r="E2254" s="1">
        <f>IFERROR(__xludf.DUMMYFUNCTION("""COMPUTED_VALUE"""),61.62)</f>
        <v>61.62</v>
      </c>
      <c r="F2254" s="1">
        <f>IFERROR(__xludf.DUMMYFUNCTION("""COMPUTED_VALUE"""),1.7789466E7)</f>
        <v>17789466</v>
      </c>
    </row>
    <row r="2255">
      <c r="A2255" s="2">
        <f>IFERROR(__xludf.DUMMYFUNCTION("""COMPUTED_VALUE"""),39799.666666666664)</f>
        <v>39799.66667</v>
      </c>
      <c r="B2255" s="1">
        <f>IFERROR(__xludf.DUMMYFUNCTION("""COMPUTED_VALUE"""),60.99)</f>
        <v>60.99</v>
      </c>
      <c r="C2255" s="1">
        <f>IFERROR(__xludf.DUMMYFUNCTION("""COMPUTED_VALUE"""),61.39)</f>
        <v>61.39</v>
      </c>
      <c r="D2255" s="1">
        <f>IFERROR(__xludf.DUMMYFUNCTION("""COMPUTED_VALUE"""),60.01)</f>
        <v>60.01</v>
      </c>
      <c r="E2255" s="1">
        <f>IFERROR(__xludf.DUMMYFUNCTION("""COMPUTED_VALUE"""),60.7)</f>
        <v>60.7</v>
      </c>
      <c r="F2255" s="1">
        <f>IFERROR(__xludf.DUMMYFUNCTION("""COMPUTED_VALUE"""),1.6369665E7)</f>
        <v>16369665</v>
      </c>
    </row>
    <row r="2256">
      <c r="A2256" s="2">
        <f>IFERROR(__xludf.DUMMYFUNCTION("""COMPUTED_VALUE"""),39800.666666666664)</f>
        <v>39800.66667</v>
      </c>
      <c r="B2256" s="1">
        <f>IFERROR(__xludf.DUMMYFUNCTION("""COMPUTED_VALUE"""),61.0)</f>
        <v>61</v>
      </c>
      <c r="C2256" s="1">
        <f>IFERROR(__xludf.DUMMYFUNCTION("""COMPUTED_VALUE"""),62.17)</f>
        <v>62.17</v>
      </c>
      <c r="D2256" s="1">
        <f>IFERROR(__xludf.DUMMYFUNCTION("""COMPUTED_VALUE"""),59.5)</f>
        <v>59.5</v>
      </c>
      <c r="E2256" s="1">
        <f>IFERROR(__xludf.DUMMYFUNCTION("""COMPUTED_VALUE"""),60.31)</f>
        <v>60.31</v>
      </c>
      <c r="F2256" s="1">
        <f>IFERROR(__xludf.DUMMYFUNCTION("""COMPUTED_VALUE"""),1.719608E7)</f>
        <v>17196080</v>
      </c>
    </row>
    <row r="2257">
      <c r="A2257" s="2">
        <f>IFERROR(__xludf.DUMMYFUNCTION("""COMPUTED_VALUE"""),39801.666666666664)</f>
        <v>39801.66667</v>
      </c>
      <c r="B2257" s="1">
        <f>IFERROR(__xludf.DUMMYFUNCTION("""COMPUTED_VALUE"""),60.8)</f>
        <v>60.8</v>
      </c>
      <c r="C2257" s="1">
        <f>IFERROR(__xludf.DUMMYFUNCTION("""COMPUTED_VALUE"""),61.98)</f>
        <v>61.98</v>
      </c>
      <c r="D2257" s="1">
        <f>IFERROR(__xludf.DUMMYFUNCTION("""COMPUTED_VALUE"""),59.75)</f>
        <v>59.75</v>
      </c>
      <c r="E2257" s="1">
        <f>IFERROR(__xludf.DUMMYFUNCTION("""COMPUTED_VALUE"""),60.18)</f>
        <v>60.18</v>
      </c>
      <c r="F2257" s="1">
        <f>IFERROR(__xludf.DUMMYFUNCTION("""COMPUTED_VALUE"""),2.324734E7)</f>
        <v>23247340</v>
      </c>
    </row>
    <row r="2258">
      <c r="A2258" s="2">
        <f>IFERROR(__xludf.DUMMYFUNCTION("""COMPUTED_VALUE"""),39804.666666666664)</f>
        <v>39804.66667</v>
      </c>
      <c r="B2258" s="1">
        <f>IFERROR(__xludf.DUMMYFUNCTION("""COMPUTED_VALUE"""),60.89)</f>
        <v>60.89</v>
      </c>
      <c r="C2258" s="1">
        <f>IFERROR(__xludf.DUMMYFUNCTION("""COMPUTED_VALUE"""),60.89)</f>
        <v>60.89</v>
      </c>
      <c r="D2258" s="1">
        <f>IFERROR(__xludf.DUMMYFUNCTION("""COMPUTED_VALUE"""),59.25)</f>
        <v>59.25</v>
      </c>
      <c r="E2258" s="1">
        <f>IFERROR(__xludf.DUMMYFUNCTION("""COMPUTED_VALUE"""),60.46)</f>
        <v>60.46</v>
      </c>
      <c r="F2258" s="1">
        <f>IFERROR(__xludf.DUMMYFUNCTION("""COMPUTED_VALUE"""),1.1407058E7)</f>
        <v>11407058</v>
      </c>
    </row>
    <row r="2259">
      <c r="A2259" s="2">
        <f>IFERROR(__xludf.DUMMYFUNCTION("""COMPUTED_VALUE"""),39805.666666666664)</f>
        <v>39805.66667</v>
      </c>
      <c r="B2259" s="1">
        <f>IFERROR(__xludf.DUMMYFUNCTION("""COMPUTED_VALUE"""),60.57)</f>
        <v>60.57</v>
      </c>
      <c r="C2259" s="1">
        <f>IFERROR(__xludf.DUMMYFUNCTION("""COMPUTED_VALUE"""),61.0)</f>
        <v>61</v>
      </c>
      <c r="D2259" s="1">
        <f>IFERROR(__xludf.DUMMYFUNCTION("""COMPUTED_VALUE"""),59.67)</f>
        <v>59.67</v>
      </c>
      <c r="E2259" s="1">
        <f>IFERROR(__xludf.DUMMYFUNCTION("""COMPUTED_VALUE"""),59.83)</f>
        <v>59.83</v>
      </c>
      <c r="F2259" s="1">
        <f>IFERROR(__xludf.DUMMYFUNCTION("""COMPUTED_VALUE"""),1.0654414E7)</f>
        <v>10654414</v>
      </c>
    </row>
    <row r="2260">
      <c r="A2260" s="2">
        <f>IFERROR(__xludf.DUMMYFUNCTION("""COMPUTED_VALUE"""),39806.666666666664)</f>
        <v>39806.66667</v>
      </c>
      <c r="B2260" s="1">
        <f>IFERROR(__xludf.DUMMYFUNCTION("""COMPUTED_VALUE"""),59.95)</f>
        <v>59.95</v>
      </c>
      <c r="C2260" s="1">
        <f>IFERROR(__xludf.DUMMYFUNCTION("""COMPUTED_VALUE"""),60.7)</f>
        <v>60.7</v>
      </c>
      <c r="D2260" s="1">
        <f>IFERROR(__xludf.DUMMYFUNCTION("""COMPUTED_VALUE"""),59.88)</f>
        <v>59.88</v>
      </c>
      <c r="E2260" s="1">
        <f>IFERROR(__xludf.DUMMYFUNCTION("""COMPUTED_VALUE"""),60.39)</f>
        <v>60.39</v>
      </c>
      <c r="F2260" s="1">
        <f>IFERROR(__xludf.DUMMYFUNCTION("""COMPUTED_VALUE"""),4040951.0)</f>
        <v>4040951</v>
      </c>
    </row>
    <row r="2261">
      <c r="A2261" s="2">
        <f>IFERROR(__xludf.DUMMYFUNCTION("""COMPUTED_VALUE"""),39808.666666666664)</f>
        <v>39808.66667</v>
      </c>
      <c r="B2261" s="1">
        <f>IFERROR(__xludf.DUMMYFUNCTION("""COMPUTED_VALUE"""),60.6)</f>
        <v>60.6</v>
      </c>
      <c r="C2261" s="1">
        <f>IFERROR(__xludf.DUMMYFUNCTION("""COMPUTED_VALUE"""),61.0)</f>
        <v>61</v>
      </c>
      <c r="D2261" s="1">
        <f>IFERROR(__xludf.DUMMYFUNCTION("""COMPUTED_VALUE"""),60.09)</f>
        <v>60.09</v>
      </c>
      <c r="E2261" s="1">
        <f>IFERROR(__xludf.DUMMYFUNCTION("""COMPUTED_VALUE"""),60.53)</f>
        <v>60.53</v>
      </c>
      <c r="F2261" s="1">
        <f>IFERROR(__xludf.DUMMYFUNCTION("""COMPUTED_VALUE"""),4455552.0)</f>
        <v>4455552</v>
      </c>
    </row>
    <row r="2262">
      <c r="A2262" s="2">
        <f>IFERROR(__xludf.DUMMYFUNCTION("""COMPUTED_VALUE"""),39811.666666666664)</f>
        <v>39811.66667</v>
      </c>
      <c r="B2262" s="1">
        <f>IFERROR(__xludf.DUMMYFUNCTION("""COMPUTED_VALUE"""),60.78)</f>
        <v>60.78</v>
      </c>
      <c r="C2262" s="1">
        <f>IFERROR(__xludf.DUMMYFUNCTION("""COMPUTED_VALUE"""),60.78)</f>
        <v>60.78</v>
      </c>
      <c r="D2262" s="1">
        <f>IFERROR(__xludf.DUMMYFUNCTION("""COMPUTED_VALUE"""),59.43)</f>
        <v>59.43</v>
      </c>
      <c r="E2262" s="1">
        <f>IFERROR(__xludf.DUMMYFUNCTION("""COMPUTED_VALUE"""),60.2)</f>
        <v>60.2</v>
      </c>
      <c r="F2262" s="1">
        <f>IFERROR(__xludf.DUMMYFUNCTION("""COMPUTED_VALUE"""),8600817.0)</f>
        <v>8600817</v>
      </c>
    </row>
    <row r="2263">
      <c r="A2263" s="2">
        <f>IFERROR(__xludf.DUMMYFUNCTION("""COMPUTED_VALUE"""),39812.666666666664)</f>
        <v>39812.66667</v>
      </c>
      <c r="B2263" s="1">
        <f>IFERROR(__xludf.DUMMYFUNCTION("""COMPUTED_VALUE"""),60.5)</f>
        <v>60.5</v>
      </c>
      <c r="C2263" s="1">
        <f>IFERROR(__xludf.DUMMYFUNCTION("""COMPUTED_VALUE"""),61.47)</f>
        <v>61.47</v>
      </c>
      <c r="D2263" s="1">
        <f>IFERROR(__xludf.DUMMYFUNCTION("""COMPUTED_VALUE"""),60.42)</f>
        <v>60.42</v>
      </c>
      <c r="E2263" s="1">
        <f>IFERROR(__xludf.DUMMYFUNCTION("""COMPUTED_VALUE"""),61.12)</f>
        <v>61.12</v>
      </c>
      <c r="F2263" s="1">
        <f>IFERROR(__xludf.DUMMYFUNCTION("""COMPUTED_VALUE"""),1.0008201E7)</f>
        <v>10008201</v>
      </c>
    </row>
    <row r="2264">
      <c r="A2264" s="2">
        <f>IFERROR(__xludf.DUMMYFUNCTION("""COMPUTED_VALUE"""),39813.666666666664)</f>
        <v>39813.66667</v>
      </c>
      <c r="B2264" s="1">
        <f>IFERROR(__xludf.DUMMYFUNCTION("""COMPUTED_VALUE"""),61.35)</f>
        <v>61.35</v>
      </c>
      <c r="C2264" s="1">
        <f>IFERROR(__xludf.DUMMYFUNCTION("""COMPUTED_VALUE"""),62.2)</f>
        <v>62.2</v>
      </c>
      <c r="D2264" s="1">
        <f>IFERROR(__xludf.DUMMYFUNCTION("""COMPUTED_VALUE"""),61.07)</f>
        <v>61.07</v>
      </c>
      <c r="E2264" s="1">
        <f>IFERROR(__xludf.DUMMYFUNCTION("""COMPUTED_VALUE"""),61.82)</f>
        <v>61.82</v>
      </c>
      <c r="F2264" s="1">
        <f>IFERROR(__xludf.DUMMYFUNCTION("""COMPUTED_VALUE"""),1.0844788E7)</f>
        <v>10844788</v>
      </c>
    </row>
    <row r="2265">
      <c r="A2265" s="2">
        <f>IFERROR(__xludf.DUMMYFUNCTION("""COMPUTED_VALUE"""),39815.666666666664)</f>
        <v>39815.66667</v>
      </c>
      <c r="B2265" s="1">
        <f>IFERROR(__xludf.DUMMYFUNCTION("""COMPUTED_VALUE"""),61.69)</f>
        <v>61.69</v>
      </c>
      <c r="C2265" s="1">
        <f>IFERROR(__xludf.DUMMYFUNCTION("""COMPUTED_VALUE"""),62.97)</f>
        <v>62.97</v>
      </c>
      <c r="D2265" s="1">
        <f>IFERROR(__xludf.DUMMYFUNCTION("""COMPUTED_VALUE"""),61.06)</f>
        <v>61.06</v>
      </c>
      <c r="E2265" s="1">
        <f>IFERROR(__xludf.DUMMYFUNCTION("""COMPUTED_VALUE"""),62.8)</f>
        <v>62.8</v>
      </c>
      <c r="F2265" s="1">
        <f>IFERROR(__xludf.DUMMYFUNCTION("""COMPUTED_VALUE"""),1.1139086E7)</f>
        <v>11139086</v>
      </c>
    </row>
    <row r="2266">
      <c r="A2266" s="2">
        <f>IFERROR(__xludf.DUMMYFUNCTION("""COMPUTED_VALUE"""),39818.666666666664)</f>
        <v>39818.66667</v>
      </c>
      <c r="B2266" s="1">
        <f>IFERROR(__xludf.DUMMYFUNCTION("""COMPUTED_VALUE"""),62.32)</f>
        <v>62.32</v>
      </c>
      <c r="C2266" s="1">
        <f>IFERROR(__xludf.DUMMYFUNCTION("""COMPUTED_VALUE"""),62.44)</f>
        <v>62.44</v>
      </c>
      <c r="D2266" s="1">
        <f>IFERROR(__xludf.DUMMYFUNCTION("""COMPUTED_VALUE"""),61.59)</f>
        <v>61.59</v>
      </c>
      <c r="E2266" s="1">
        <f>IFERROR(__xludf.DUMMYFUNCTION("""COMPUTED_VALUE"""),62.35)</f>
        <v>62.35</v>
      </c>
      <c r="F2266" s="1">
        <f>IFERROR(__xludf.DUMMYFUNCTION("""COMPUTED_VALUE"""),1.4322752E7)</f>
        <v>14322752</v>
      </c>
    </row>
    <row r="2267">
      <c r="A2267" s="2">
        <f>IFERROR(__xludf.DUMMYFUNCTION("""COMPUTED_VALUE"""),39819.666666666664)</f>
        <v>39819.66667</v>
      </c>
      <c r="B2267" s="1">
        <f>IFERROR(__xludf.DUMMYFUNCTION("""COMPUTED_VALUE"""),62.5)</f>
        <v>62.5</v>
      </c>
      <c r="C2267" s="1">
        <f>IFERROR(__xludf.DUMMYFUNCTION("""COMPUTED_VALUE"""),62.95)</f>
        <v>62.95</v>
      </c>
      <c r="D2267" s="1">
        <f>IFERROR(__xludf.DUMMYFUNCTION("""COMPUTED_VALUE"""),61.51)</f>
        <v>61.51</v>
      </c>
      <c r="E2267" s="1">
        <f>IFERROR(__xludf.DUMMYFUNCTION("""COMPUTED_VALUE"""),62.17)</f>
        <v>62.17</v>
      </c>
      <c r="F2267" s="1">
        <f>IFERROR(__xludf.DUMMYFUNCTION("""COMPUTED_VALUE"""),1.3402511E7)</f>
        <v>13402511</v>
      </c>
    </row>
    <row r="2268">
      <c r="A2268" s="2">
        <f>IFERROR(__xludf.DUMMYFUNCTION("""COMPUTED_VALUE"""),39820.666666666664)</f>
        <v>39820.66667</v>
      </c>
      <c r="B2268" s="1">
        <f>IFERROR(__xludf.DUMMYFUNCTION("""COMPUTED_VALUE"""),61.33)</f>
        <v>61.33</v>
      </c>
      <c r="C2268" s="1">
        <f>IFERROR(__xludf.DUMMYFUNCTION("""COMPUTED_VALUE"""),61.66)</f>
        <v>61.66</v>
      </c>
      <c r="D2268" s="1">
        <f>IFERROR(__xludf.DUMMYFUNCTION("""COMPUTED_VALUE"""),60.64)</f>
        <v>60.64</v>
      </c>
      <c r="E2268" s="1">
        <f>IFERROR(__xludf.DUMMYFUNCTION("""COMPUTED_VALUE"""),61.08)</f>
        <v>61.08</v>
      </c>
      <c r="F2268" s="1">
        <f>IFERROR(__xludf.DUMMYFUNCTION("""COMPUTED_VALUE"""),1.2419881E7)</f>
        <v>12419881</v>
      </c>
    </row>
    <row r="2269">
      <c r="A2269" s="2">
        <f>IFERROR(__xludf.DUMMYFUNCTION("""COMPUTED_VALUE"""),39821.666666666664)</f>
        <v>39821.66667</v>
      </c>
      <c r="B2269" s="1">
        <f>IFERROR(__xludf.DUMMYFUNCTION("""COMPUTED_VALUE"""),60.91)</f>
        <v>60.91</v>
      </c>
      <c r="C2269" s="1">
        <f>IFERROR(__xludf.DUMMYFUNCTION("""COMPUTED_VALUE"""),61.25)</f>
        <v>61.25</v>
      </c>
      <c r="D2269" s="1">
        <f>IFERROR(__xludf.DUMMYFUNCTION("""COMPUTED_VALUE"""),60.0)</f>
        <v>60</v>
      </c>
      <c r="E2269" s="1">
        <f>IFERROR(__xludf.DUMMYFUNCTION("""COMPUTED_VALUE"""),60.41)</f>
        <v>60.41</v>
      </c>
      <c r="F2269" s="1">
        <f>IFERROR(__xludf.DUMMYFUNCTION("""COMPUTED_VALUE"""),1.150828E7)</f>
        <v>11508280</v>
      </c>
    </row>
    <row r="2270">
      <c r="A2270" s="2">
        <f>IFERROR(__xludf.DUMMYFUNCTION("""COMPUTED_VALUE"""),39822.666666666664)</f>
        <v>39822.66667</v>
      </c>
      <c r="B2270" s="1">
        <f>IFERROR(__xludf.DUMMYFUNCTION("""COMPUTED_VALUE"""),60.64)</f>
        <v>60.64</v>
      </c>
      <c r="C2270" s="1">
        <f>IFERROR(__xludf.DUMMYFUNCTION("""COMPUTED_VALUE"""),60.8)</f>
        <v>60.8</v>
      </c>
      <c r="D2270" s="1">
        <f>IFERROR(__xludf.DUMMYFUNCTION("""COMPUTED_VALUE"""),59.75)</f>
        <v>59.75</v>
      </c>
      <c r="E2270" s="1">
        <f>IFERROR(__xludf.DUMMYFUNCTION("""COMPUTED_VALUE"""),59.86)</f>
        <v>59.86</v>
      </c>
      <c r="F2270" s="1">
        <f>IFERROR(__xludf.DUMMYFUNCTION("""COMPUTED_VALUE"""),1.084313E7)</f>
        <v>10843130</v>
      </c>
    </row>
    <row r="2271">
      <c r="A2271" s="2">
        <f>IFERROR(__xludf.DUMMYFUNCTION("""COMPUTED_VALUE"""),39825.666666666664)</f>
        <v>39825.66667</v>
      </c>
      <c r="B2271" s="1">
        <f>IFERROR(__xludf.DUMMYFUNCTION("""COMPUTED_VALUE"""),59.75)</f>
        <v>59.75</v>
      </c>
      <c r="C2271" s="1">
        <f>IFERROR(__xludf.DUMMYFUNCTION("""COMPUTED_VALUE"""),60.42)</f>
        <v>60.42</v>
      </c>
      <c r="D2271" s="1">
        <f>IFERROR(__xludf.DUMMYFUNCTION("""COMPUTED_VALUE"""),59.69)</f>
        <v>59.69</v>
      </c>
      <c r="E2271" s="1">
        <f>IFERROR(__xludf.DUMMYFUNCTION("""COMPUTED_VALUE"""),59.94)</f>
        <v>59.94</v>
      </c>
      <c r="F2271" s="1">
        <f>IFERROR(__xludf.DUMMYFUNCTION("""COMPUTED_VALUE"""),1.1373109E7)</f>
        <v>11373109</v>
      </c>
    </row>
    <row r="2272">
      <c r="A2272" s="2">
        <f>IFERROR(__xludf.DUMMYFUNCTION("""COMPUTED_VALUE"""),39826.666666666664)</f>
        <v>39826.66667</v>
      </c>
      <c r="B2272" s="1">
        <f>IFERROR(__xludf.DUMMYFUNCTION("""COMPUTED_VALUE"""),59.96)</f>
        <v>59.96</v>
      </c>
      <c r="C2272" s="1">
        <f>IFERROR(__xludf.DUMMYFUNCTION("""COMPUTED_VALUE"""),60.29)</f>
        <v>60.29</v>
      </c>
      <c r="D2272" s="1">
        <f>IFERROR(__xludf.DUMMYFUNCTION("""COMPUTED_VALUE"""),59.02)</f>
        <v>59.02</v>
      </c>
      <c r="E2272" s="1">
        <f>IFERROR(__xludf.DUMMYFUNCTION("""COMPUTED_VALUE"""),59.47)</f>
        <v>59.47</v>
      </c>
      <c r="F2272" s="1">
        <f>IFERROR(__xludf.DUMMYFUNCTION("""COMPUTED_VALUE"""),1.5791844E7)</f>
        <v>15791844</v>
      </c>
    </row>
    <row r="2273">
      <c r="A2273" s="2">
        <f>IFERROR(__xludf.DUMMYFUNCTION("""COMPUTED_VALUE"""),39827.666666666664)</f>
        <v>39827.66667</v>
      </c>
      <c r="B2273" s="1">
        <f>IFERROR(__xludf.DUMMYFUNCTION("""COMPUTED_VALUE"""),59.05)</f>
        <v>59.05</v>
      </c>
      <c r="C2273" s="1">
        <f>IFERROR(__xludf.DUMMYFUNCTION("""COMPUTED_VALUE"""),59.18)</f>
        <v>59.18</v>
      </c>
      <c r="D2273" s="1">
        <f>IFERROR(__xludf.DUMMYFUNCTION("""COMPUTED_VALUE"""),57.22)</f>
        <v>57.22</v>
      </c>
      <c r="E2273" s="1">
        <f>IFERROR(__xludf.DUMMYFUNCTION("""COMPUTED_VALUE"""),57.86)</f>
        <v>57.86</v>
      </c>
      <c r="F2273" s="1">
        <f>IFERROR(__xludf.DUMMYFUNCTION("""COMPUTED_VALUE"""),1.6125204E7)</f>
        <v>16125204</v>
      </c>
    </row>
    <row r="2274">
      <c r="A2274" s="2">
        <f>IFERROR(__xludf.DUMMYFUNCTION("""COMPUTED_VALUE"""),39828.666666666664)</f>
        <v>39828.66667</v>
      </c>
      <c r="B2274" s="1">
        <f>IFERROR(__xludf.DUMMYFUNCTION("""COMPUTED_VALUE"""),57.09)</f>
        <v>57.09</v>
      </c>
      <c r="C2274" s="1">
        <f>IFERROR(__xludf.DUMMYFUNCTION("""COMPUTED_VALUE"""),57.48)</f>
        <v>57.48</v>
      </c>
      <c r="D2274" s="1">
        <f>IFERROR(__xludf.DUMMYFUNCTION("""COMPUTED_VALUE"""),56.55)</f>
        <v>56.55</v>
      </c>
      <c r="E2274" s="1">
        <f>IFERROR(__xludf.DUMMYFUNCTION("""COMPUTED_VALUE"""),57.46)</f>
        <v>57.46</v>
      </c>
      <c r="F2274" s="1">
        <f>IFERROR(__xludf.DUMMYFUNCTION("""COMPUTED_VALUE"""),1.8808248E7)</f>
        <v>18808248</v>
      </c>
    </row>
    <row r="2275">
      <c r="A2275" s="2">
        <f>IFERROR(__xludf.DUMMYFUNCTION("""COMPUTED_VALUE"""),39829.666666666664)</f>
        <v>39829.66667</v>
      </c>
      <c r="B2275" s="1">
        <f>IFERROR(__xludf.DUMMYFUNCTION("""COMPUTED_VALUE"""),58.08)</f>
        <v>58.08</v>
      </c>
      <c r="C2275" s="1">
        <f>IFERROR(__xludf.DUMMYFUNCTION("""COMPUTED_VALUE"""),58.25)</f>
        <v>58.25</v>
      </c>
      <c r="D2275" s="1">
        <f>IFERROR(__xludf.DUMMYFUNCTION("""COMPUTED_VALUE"""),57.12)</f>
        <v>57.12</v>
      </c>
      <c r="E2275" s="1">
        <f>IFERROR(__xludf.DUMMYFUNCTION("""COMPUTED_VALUE"""),57.73)</f>
        <v>57.73</v>
      </c>
      <c r="F2275" s="1">
        <f>IFERROR(__xludf.DUMMYFUNCTION("""COMPUTED_VALUE"""),1.8904788E7)</f>
        <v>18904788</v>
      </c>
    </row>
    <row r="2276">
      <c r="A2276" s="2">
        <f>IFERROR(__xludf.DUMMYFUNCTION("""COMPUTED_VALUE"""),39833.666666666664)</f>
        <v>39833.66667</v>
      </c>
      <c r="B2276" s="1">
        <f>IFERROR(__xludf.DUMMYFUNCTION("""COMPUTED_VALUE"""),57.77)</f>
        <v>57.77</v>
      </c>
      <c r="C2276" s="1">
        <f>IFERROR(__xludf.DUMMYFUNCTION("""COMPUTED_VALUE"""),58.45)</f>
        <v>58.45</v>
      </c>
      <c r="D2276" s="1">
        <f>IFERROR(__xludf.DUMMYFUNCTION("""COMPUTED_VALUE"""),57.23)</f>
        <v>57.23</v>
      </c>
      <c r="E2276" s="1">
        <f>IFERROR(__xludf.DUMMYFUNCTION("""COMPUTED_VALUE"""),57.43)</f>
        <v>57.43</v>
      </c>
      <c r="F2276" s="1">
        <f>IFERROR(__xludf.DUMMYFUNCTION("""COMPUTED_VALUE"""),1.799942E7)</f>
        <v>17999420</v>
      </c>
    </row>
    <row r="2277">
      <c r="A2277" s="2">
        <f>IFERROR(__xludf.DUMMYFUNCTION("""COMPUTED_VALUE"""),39834.666666666664)</f>
        <v>39834.66667</v>
      </c>
      <c r="B2277" s="1">
        <f>IFERROR(__xludf.DUMMYFUNCTION("""COMPUTED_VALUE"""),58.2)</f>
        <v>58.2</v>
      </c>
      <c r="C2277" s="1">
        <f>IFERROR(__xludf.DUMMYFUNCTION("""COMPUTED_VALUE"""),58.2)</f>
        <v>58.2</v>
      </c>
      <c r="D2277" s="1">
        <f>IFERROR(__xludf.DUMMYFUNCTION("""COMPUTED_VALUE"""),56.49)</f>
        <v>56.49</v>
      </c>
      <c r="E2277" s="1">
        <f>IFERROR(__xludf.DUMMYFUNCTION("""COMPUTED_VALUE"""),57.57)</f>
        <v>57.57</v>
      </c>
      <c r="F2277" s="1">
        <f>IFERROR(__xludf.DUMMYFUNCTION("""COMPUTED_VALUE"""),1.820617E7)</f>
        <v>18206170</v>
      </c>
    </row>
    <row r="2278">
      <c r="A2278" s="2">
        <f>IFERROR(__xludf.DUMMYFUNCTION("""COMPUTED_VALUE"""),39835.666666666664)</f>
        <v>39835.66667</v>
      </c>
      <c r="B2278" s="1">
        <f>IFERROR(__xludf.DUMMYFUNCTION("""COMPUTED_VALUE"""),57.38)</f>
        <v>57.38</v>
      </c>
      <c r="C2278" s="1">
        <f>IFERROR(__xludf.DUMMYFUNCTION("""COMPUTED_VALUE"""),57.56)</f>
        <v>57.56</v>
      </c>
      <c r="D2278" s="1">
        <f>IFERROR(__xludf.DUMMYFUNCTION("""COMPUTED_VALUE"""),56.27)</f>
        <v>56.27</v>
      </c>
      <c r="E2278" s="1">
        <f>IFERROR(__xludf.DUMMYFUNCTION("""COMPUTED_VALUE"""),56.96)</f>
        <v>56.96</v>
      </c>
      <c r="F2278" s="1">
        <f>IFERROR(__xludf.DUMMYFUNCTION("""COMPUTED_VALUE"""),1.9133672E7)</f>
        <v>19133672</v>
      </c>
    </row>
    <row r="2279">
      <c r="A2279" s="2">
        <f>IFERROR(__xludf.DUMMYFUNCTION("""COMPUTED_VALUE"""),39836.666666666664)</f>
        <v>39836.66667</v>
      </c>
      <c r="B2279" s="1">
        <f>IFERROR(__xludf.DUMMYFUNCTION("""COMPUTED_VALUE"""),56.54)</f>
        <v>56.54</v>
      </c>
      <c r="C2279" s="1">
        <f>IFERROR(__xludf.DUMMYFUNCTION("""COMPUTED_VALUE"""),56.61)</f>
        <v>56.61</v>
      </c>
      <c r="D2279" s="1">
        <f>IFERROR(__xludf.DUMMYFUNCTION("""COMPUTED_VALUE"""),55.59)</f>
        <v>55.59</v>
      </c>
      <c r="E2279" s="1">
        <f>IFERROR(__xludf.DUMMYFUNCTION("""COMPUTED_VALUE"""),56.0)</f>
        <v>56</v>
      </c>
      <c r="F2279" s="1">
        <f>IFERROR(__xludf.DUMMYFUNCTION("""COMPUTED_VALUE"""),2.1073612E7)</f>
        <v>21073612</v>
      </c>
    </row>
    <row r="2280">
      <c r="A2280" s="2">
        <f>IFERROR(__xludf.DUMMYFUNCTION("""COMPUTED_VALUE"""),39839.666666666664)</f>
        <v>39839.66667</v>
      </c>
      <c r="B2280" s="1">
        <f>IFERROR(__xludf.DUMMYFUNCTION("""COMPUTED_VALUE"""),55.95)</f>
        <v>55.95</v>
      </c>
      <c r="C2280" s="1">
        <f>IFERROR(__xludf.DUMMYFUNCTION("""COMPUTED_VALUE"""),56.92)</f>
        <v>56.92</v>
      </c>
      <c r="D2280" s="1">
        <f>IFERROR(__xludf.DUMMYFUNCTION("""COMPUTED_VALUE"""),55.61)</f>
        <v>55.61</v>
      </c>
      <c r="E2280" s="1">
        <f>IFERROR(__xludf.DUMMYFUNCTION("""COMPUTED_VALUE"""),56.37)</f>
        <v>56.37</v>
      </c>
      <c r="F2280" s="1">
        <f>IFERROR(__xludf.DUMMYFUNCTION("""COMPUTED_VALUE"""),1.7034484E7)</f>
        <v>17034484</v>
      </c>
    </row>
    <row r="2281">
      <c r="A2281" s="2">
        <f>IFERROR(__xludf.DUMMYFUNCTION("""COMPUTED_VALUE"""),39840.666666666664)</f>
        <v>39840.66667</v>
      </c>
      <c r="B2281" s="1">
        <f>IFERROR(__xludf.DUMMYFUNCTION("""COMPUTED_VALUE"""),56.48)</f>
        <v>56.48</v>
      </c>
      <c r="C2281" s="1">
        <f>IFERROR(__xludf.DUMMYFUNCTION("""COMPUTED_VALUE"""),57.39)</f>
        <v>57.39</v>
      </c>
      <c r="D2281" s="1">
        <f>IFERROR(__xludf.DUMMYFUNCTION("""COMPUTED_VALUE"""),56.2)</f>
        <v>56.2</v>
      </c>
      <c r="E2281" s="1">
        <f>IFERROR(__xludf.DUMMYFUNCTION("""COMPUTED_VALUE"""),56.7)</f>
        <v>56.7</v>
      </c>
      <c r="F2281" s="1">
        <f>IFERROR(__xludf.DUMMYFUNCTION("""COMPUTED_VALUE"""),1.1962825E7)</f>
        <v>11962825</v>
      </c>
    </row>
    <row r="2282">
      <c r="A2282" s="2">
        <f>IFERROR(__xludf.DUMMYFUNCTION("""COMPUTED_VALUE"""),39841.666666666664)</f>
        <v>39841.66667</v>
      </c>
      <c r="B2282" s="1">
        <f>IFERROR(__xludf.DUMMYFUNCTION("""COMPUTED_VALUE"""),57.5)</f>
        <v>57.5</v>
      </c>
      <c r="C2282" s="1">
        <f>IFERROR(__xludf.DUMMYFUNCTION("""COMPUTED_VALUE"""),58.38)</f>
        <v>58.38</v>
      </c>
      <c r="D2282" s="1">
        <f>IFERROR(__xludf.DUMMYFUNCTION("""COMPUTED_VALUE"""),56.9)</f>
        <v>56.9</v>
      </c>
      <c r="E2282" s="1">
        <f>IFERROR(__xludf.DUMMYFUNCTION("""COMPUTED_VALUE"""),58.18)</f>
        <v>58.18</v>
      </c>
      <c r="F2282" s="1">
        <f>IFERROR(__xludf.DUMMYFUNCTION("""COMPUTED_VALUE"""),1.7846908E7)</f>
        <v>17846908</v>
      </c>
    </row>
    <row r="2283">
      <c r="A2283" s="2">
        <f>IFERROR(__xludf.DUMMYFUNCTION("""COMPUTED_VALUE"""),39842.666666666664)</f>
        <v>39842.66667</v>
      </c>
      <c r="B2283" s="1">
        <f>IFERROR(__xludf.DUMMYFUNCTION("""COMPUTED_VALUE"""),57.79)</f>
        <v>57.79</v>
      </c>
      <c r="C2283" s="1">
        <f>IFERROR(__xludf.DUMMYFUNCTION("""COMPUTED_VALUE"""),59.0)</f>
        <v>59</v>
      </c>
      <c r="D2283" s="1">
        <f>IFERROR(__xludf.DUMMYFUNCTION("""COMPUTED_VALUE"""),57.56)</f>
        <v>57.56</v>
      </c>
      <c r="E2283" s="1">
        <f>IFERROR(__xludf.DUMMYFUNCTION("""COMPUTED_VALUE"""),58.22)</f>
        <v>58.22</v>
      </c>
      <c r="F2283" s="1">
        <f>IFERROR(__xludf.DUMMYFUNCTION("""COMPUTED_VALUE"""),1.4732471E7)</f>
        <v>14732471</v>
      </c>
    </row>
    <row r="2284">
      <c r="A2284" s="2">
        <f>IFERROR(__xludf.DUMMYFUNCTION("""COMPUTED_VALUE"""),39843.666666666664)</f>
        <v>39843.66667</v>
      </c>
      <c r="B2284" s="1">
        <f>IFERROR(__xludf.DUMMYFUNCTION("""COMPUTED_VALUE"""),56.5)</f>
        <v>56.5</v>
      </c>
      <c r="C2284" s="1">
        <f>IFERROR(__xludf.DUMMYFUNCTION("""COMPUTED_VALUE"""),56.84)</f>
        <v>56.84</v>
      </c>
      <c r="D2284" s="1">
        <f>IFERROR(__xludf.DUMMYFUNCTION("""COMPUTED_VALUE"""),54.24)</f>
        <v>54.24</v>
      </c>
      <c r="E2284" s="1">
        <f>IFERROR(__xludf.DUMMYFUNCTION("""COMPUTED_VALUE"""),54.5)</f>
        <v>54.5</v>
      </c>
      <c r="F2284" s="1">
        <f>IFERROR(__xludf.DUMMYFUNCTION("""COMPUTED_VALUE"""),3.5111096E7)</f>
        <v>35111096</v>
      </c>
    </row>
    <row r="2285">
      <c r="A2285" s="2">
        <f>IFERROR(__xludf.DUMMYFUNCTION("""COMPUTED_VALUE"""),39846.666666666664)</f>
        <v>39846.66667</v>
      </c>
      <c r="B2285" s="1">
        <f>IFERROR(__xludf.DUMMYFUNCTION("""COMPUTED_VALUE"""),54.0)</f>
        <v>54</v>
      </c>
      <c r="C2285" s="1">
        <f>IFERROR(__xludf.DUMMYFUNCTION("""COMPUTED_VALUE"""),54.38)</f>
        <v>54.38</v>
      </c>
      <c r="D2285" s="1">
        <f>IFERROR(__xludf.DUMMYFUNCTION("""COMPUTED_VALUE"""),52.21)</f>
        <v>52.21</v>
      </c>
      <c r="E2285" s="1">
        <f>IFERROR(__xludf.DUMMYFUNCTION("""COMPUTED_VALUE"""),53.05)</f>
        <v>53.05</v>
      </c>
      <c r="F2285" s="1">
        <f>IFERROR(__xludf.DUMMYFUNCTION("""COMPUTED_VALUE"""),1.9427976E7)</f>
        <v>19427976</v>
      </c>
    </row>
    <row r="2286">
      <c r="A2286" s="2">
        <f>IFERROR(__xludf.DUMMYFUNCTION("""COMPUTED_VALUE"""),39847.666666666664)</f>
        <v>39847.66667</v>
      </c>
      <c r="B2286" s="1">
        <f>IFERROR(__xludf.DUMMYFUNCTION("""COMPUTED_VALUE"""),53.49)</f>
        <v>53.49</v>
      </c>
      <c r="C2286" s="1">
        <f>IFERROR(__xludf.DUMMYFUNCTION("""COMPUTED_VALUE"""),54.09)</f>
        <v>54.09</v>
      </c>
      <c r="D2286" s="1">
        <f>IFERROR(__xludf.DUMMYFUNCTION("""COMPUTED_VALUE"""),52.54)</f>
        <v>52.54</v>
      </c>
      <c r="E2286" s="1">
        <f>IFERROR(__xludf.DUMMYFUNCTION("""COMPUTED_VALUE"""),53.91)</f>
        <v>53.91</v>
      </c>
      <c r="F2286" s="1">
        <f>IFERROR(__xludf.DUMMYFUNCTION("""COMPUTED_VALUE"""),1.4899254E7)</f>
        <v>14899254</v>
      </c>
    </row>
    <row r="2287">
      <c r="A2287" s="2">
        <f>IFERROR(__xludf.DUMMYFUNCTION("""COMPUTED_VALUE"""),39848.666666666664)</f>
        <v>39848.66667</v>
      </c>
      <c r="B2287" s="1">
        <f>IFERROR(__xludf.DUMMYFUNCTION("""COMPUTED_VALUE"""),54.33)</f>
        <v>54.33</v>
      </c>
      <c r="C2287" s="1">
        <f>IFERROR(__xludf.DUMMYFUNCTION("""COMPUTED_VALUE"""),54.45)</f>
        <v>54.45</v>
      </c>
      <c r="D2287" s="1">
        <f>IFERROR(__xludf.DUMMYFUNCTION("""COMPUTED_VALUE"""),52.21)</f>
        <v>52.21</v>
      </c>
      <c r="E2287" s="1">
        <f>IFERROR(__xludf.DUMMYFUNCTION("""COMPUTED_VALUE"""),52.52)</f>
        <v>52.52</v>
      </c>
      <c r="F2287" s="1">
        <f>IFERROR(__xludf.DUMMYFUNCTION("""COMPUTED_VALUE"""),1.476143E7)</f>
        <v>14761430</v>
      </c>
    </row>
    <row r="2288">
      <c r="A2288" s="2">
        <f>IFERROR(__xludf.DUMMYFUNCTION("""COMPUTED_VALUE"""),39849.666666666664)</f>
        <v>39849.66667</v>
      </c>
      <c r="B2288" s="1">
        <f>IFERROR(__xludf.DUMMYFUNCTION("""COMPUTED_VALUE"""),52.29)</f>
        <v>52.29</v>
      </c>
      <c r="C2288" s="1">
        <f>IFERROR(__xludf.DUMMYFUNCTION("""COMPUTED_VALUE"""),53.6)</f>
        <v>53.6</v>
      </c>
      <c r="D2288" s="1">
        <f>IFERROR(__xludf.DUMMYFUNCTION("""COMPUTED_VALUE"""),52.13)</f>
        <v>52.13</v>
      </c>
      <c r="E2288" s="1">
        <f>IFERROR(__xludf.DUMMYFUNCTION("""COMPUTED_VALUE"""),53.32)</f>
        <v>53.32</v>
      </c>
      <c r="F2288" s="1">
        <f>IFERROR(__xludf.DUMMYFUNCTION("""COMPUTED_VALUE"""),1.77275E7)</f>
        <v>17727500</v>
      </c>
    </row>
    <row r="2289">
      <c r="A2289" s="2">
        <f>IFERROR(__xludf.DUMMYFUNCTION("""COMPUTED_VALUE"""),39850.666666666664)</f>
        <v>39850.66667</v>
      </c>
      <c r="B2289" s="1">
        <f>IFERROR(__xludf.DUMMYFUNCTION("""COMPUTED_VALUE"""),53.42)</f>
        <v>53.42</v>
      </c>
      <c r="C2289" s="1">
        <f>IFERROR(__xludf.DUMMYFUNCTION("""COMPUTED_VALUE"""),54.46)</f>
        <v>54.46</v>
      </c>
      <c r="D2289" s="1">
        <f>IFERROR(__xludf.DUMMYFUNCTION("""COMPUTED_VALUE"""),53.06)</f>
        <v>53.06</v>
      </c>
      <c r="E2289" s="1">
        <f>IFERROR(__xludf.DUMMYFUNCTION("""COMPUTED_VALUE"""),54.0)</f>
        <v>54</v>
      </c>
      <c r="F2289" s="1">
        <f>IFERROR(__xludf.DUMMYFUNCTION("""COMPUTED_VALUE"""),1.5338489E7)</f>
        <v>15338489</v>
      </c>
    </row>
    <row r="2290">
      <c r="A2290" s="2">
        <f>IFERROR(__xludf.DUMMYFUNCTION("""COMPUTED_VALUE"""),39853.666666666664)</f>
        <v>39853.66667</v>
      </c>
      <c r="B2290" s="1">
        <f>IFERROR(__xludf.DUMMYFUNCTION("""COMPUTED_VALUE"""),53.89)</f>
        <v>53.89</v>
      </c>
      <c r="C2290" s="1">
        <f>IFERROR(__xludf.DUMMYFUNCTION("""COMPUTED_VALUE"""),53.98)</f>
        <v>53.98</v>
      </c>
      <c r="D2290" s="1">
        <f>IFERROR(__xludf.DUMMYFUNCTION("""COMPUTED_VALUE"""),52.67)</f>
        <v>52.67</v>
      </c>
      <c r="E2290" s="1">
        <f>IFERROR(__xludf.DUMMYFUNCTION("""COMPUTED_VALUE"""),52.94)</f>
        <v>52.94</v>
      </c>
      <c r="F2290" s="1">
        <f>IFERROR(__xludf.DUMMYFUNCTION("""COMPUTED_VALUE"""),1.3424353E7)</f>
        <v>13424353</v>
      </c>
    </row>
    <row r="2291">
      <c r="A2291" s="2">
        <f>IFERROR(__xludf.DUMMYFUNCTION("""COMPUTED_VALUE"""),39854.666666666664)</f>
        <v>39854.66667</v>
      </c>
      <c r="B2291" s="1">
        <f>IFERROR(__xludf.DUMMYFUNCTION("""COMPUTED_VALUE"""),52.74)</f>
        <v>52.74</v>
      </c>
      <c r="C2291" s="1">
        <f>IFERROR(__xludf.DUMMYFUNCTION("""COMPUTED_VALUE"""),53.46)</f>
        <v>53.46</v>
      </c>
      <c r="D2291" s="1">
        <f>IFERROR(__xludf.DUMMYFUNCTION("""COMPUTED_VALUE"""),50.97)</f>
        <v>50.97</v>
      </c>
      <c r="E2291" s="1">
        <f>IFERROR(__xludf.DUMMYFUNCTION("""COMPUTED_VALUE"""),51.45)</f>
        <v>51.45</v>
      </c>
      <c r="F2291" s="1">
        <f>IFERROR(__xludf.DUMMYFUNCTION("""COMPUTED_VALUE"""),2.2524866E7)</f>
        <v>22524866</v>
      </c>
    </row>
    <row r="2292">
      <c r="A2292" s="2">
        <f>IFERROR(__xludf.DUMMYFUNCTION("""COMPUTED_VALUE"""),39855.666666666664)</f>
        <v>39855.66667</v>
      </c>
      <c r="B2292" s="1">
        <f>IFERROR(__xludf.DUMMYFUNCTION("""COMPUTED_VALUE"""),51.8)</f>
        <v>51.8</v>
      </c>
      <c r="C2292" s="1">
        <f>IFERROR(__xludf.DUMMYFUNCTION("""COMPUTED_VALUE"""),51.91)</f>
        <v>51.91</v>
      </c>
      <c r="D2292" s="1">
        <f>IFERROR(__xludf.DUMMYFUNCTION("""COMPUTED_VALUE"""),50.86)</f>
        <v>50.86</v>
      </c>
      <c r="E2292" s="1">
        <f>IFERROR(__xludf.DUMMYFUNCTION("""COMPUTED_VALUE"""),51.16)</f>
        <v>51.16</v>
      </c>
      <c r="F2292" s="1">
        <f>IFERROR(__xludf.DUMMYFUNCTION("""COMPUTED_VALUE"""),1.6404933E7)</f>
        <v>16404933</v>
      </c>
    </row>
    <row r="2293">
      <c r="A2293" s="2">
        <f>IFERROR(__xludf.DUMMYFUNCTION("""COMPUTED_VALUE"""),39856.666666666664)</f>
        <v>39856.66667</v>
      </c>
      <c r="B2293" s="1">
        <f>IFERROR(__xludf.DUMMYFUNCTION("""COMPUTED_VALUE"""),50.93)</f>
        <v>50.93</v>
      </c>
      <c r="C2293" s="1">
        <f>IFERROR(__xludf.DUMMYFUNCTION("""COMPUTED_VALUE"""),51.4)</f>
        <v>51.4</v>
      </c>
      <c r="D2293" s="1">
        <f>IFERROR(__xludf.DUMMYFUNCTION("""COMPUTED_VALUE"""),49.95)</f>
        <v>49.95</v>
      </c>
      <c r="E2293" s="1">
        <f>IFERROR(__xludf.DUMMYFUNCTION("""COMPUTED_VALUE"""),51.28)</f>
        <v>51.28</v>
      </c>
      <c r="F2293" s="1">
        <f>IFERROR(__xludf.DUMMYFUNCTION("""COMPUTED_VALUE"""),1.8021248E7)</f>
        <v>18021248</v>
      </c>
    </row>
    <row r="2294">
      <c r="A2294" s="2">
        <f>IFERROR(__xludf.DUMMYFUNCTION("""COMPUTED_VALUE"""),39857.666666666664)</f>
        <v>39857.66667</v>
      </c>
      <c r="B2294" s="1">
        <f>IFERROR(__xludf.DUMMYFUNCTION("""COMPUTED_VALUE"""),51.37)</f>
        <v>51.37</v>
      </c>
      <c r="C2294" s="1">
        <f>IFERROR(__xludf.DUMMYFUNCTION("""COMPUTED_VALUE"""),51.68)</f>
        <v>51.68</v>
      </c>
      <c r="D2294" s="1">
        <f>IFERROR(__xludf.DUMMYFUNCTION("""COMPUTED_VALUE"""),50.73)</f>
        <v>50.73</v>
      </c>
      <c r="E2294" s="1">
        <f>IFERROR(__xludf.DUMMYFUNCTION("""COMPUTED_VALUE"""),51.09)</f>
        <v>51.09</v>
      </c>
      <c r="F2294" s="1">
        <f>IFERROR(__xludf.DUMMYFUNCTION("""COMPUTED_VALUE"""),1.1644706E7)</f>
        <v>11644706</v>
      </c>
    </row>
    <row r="2295">
      <c r="A2295" s="2">
        <f>IFERROR(__xludf.DUMMYFUNCTION("""COMPUTED_VALUE"""),39861.666666666664)</f>
        <v>39861.66667</v>
      </c>
      <c r="B2295" s="1">
        <f>IFERROR(__xludf.DUMMYFUNCTION("""COMPUTED_VALUE"""),50.0)</f>
        <v>50</v>
      </c>
      <c r="C2295" s="1">
        <f>IFERROR(__xludf.DUMMYFUNCTION("""COMPUTED_VALUE"""),50.94)</f>
        <v>50.94</v>
      </c>
      <c r="D2295" s="1">
        <f>IFERROR(__xludf.DUMMYFUNCTION("""COMPUTED_VALUE"""),49.28)</f>
        <v>49.28</v>
      </c>
      <c r="E2295" s="1">
        <f>IFERROR(__xludf.DUMMYFUNCTION("""COMPUTED_VALUE"""),50.11)</f>
        <v>50.11</v>
      </c>
      <c r="F2295" s="1">
        <f>IFERROR(__xludf.DUMMYFUNCTION("""COMPUTED_VALUE"""),2.0833842E7)</f>
        <v>20833842</v>
      </c>
    </row>
    <row r="2296">
      <c r="A2296" s="2">
        <f>IFERROR(__xludf.DUMMYFUNCTION("""COMPUTED_VALUE"""),39862.666666666664)</f>
        <v>39862.66667</v>
      </c>
      <c r="B2296" s="1">
        <f>IFERROR(__xludf.DUMMYFUNCTION("""COMPUTED_VALUE"""),49.84)</f>
        <v>49.84</v>
      </c>
      <c r="C2296" s="1">
        <f>IFERROR(__xludf.DUMMYFUNCTION("""COMPUTED_VALUE"""),51.17)</f>
        <v>51.17</v>
      </c>
      <c r="D2296" s="1">
        <f>IFERROR(__xludf.DUMMYFUNCTION("""COMPUTED_VALUE"""),49.75)</f>
        <v>49.75</v>
      </c>
      <c r="E2296" s="1">
        <f>IFERROR(__xludf.DUMMYFUNCTION("""COMPUTED_VALUE"""),50.95)</f>
        <v>50.95</v>
      </c>
      <c r="F2296" s="1">
        <f>IFERROR(__xludf.DUMMYFUNCTION("""COMPUTED_VALUE"""),1.6755091E7)</f>
        <v>16755091</v>
      </c>
    </row>
    <row r="2297">
      <c r="A2297" s="2">
        <f>IFERROR(__xludf.DUMMYFUNCTION("""COMPUTED_VALUE"""),39863.666666666664)</f>
        <v>39863.66667</v>
      </c>
      <c r="B2297" s="1">
        <f>IFERROR(__xludf.DUMMYFUNCTION("""COMPUTED_VALUE"""),51.5)</f>
        <v>51.5</v>
      </c>
      <c r="C2297" s="1">
        <f>IFERROR(__xludf.DUMMYFUNCTION("""COMPUTED_VALUE"""),52.05)</f>
        <v>52.05</v>
      </c>
      <c r="D2297" s="1">
        <f>IFERROR(__xludf.DUMMYFUNCTION("""COMPUTED_VALUE"""),51.03)</f>
        <v>51.03</v>
      </c>
      <c r="E2297" s="1">
        <f>IFERROR(__xludf.DUMMYFUNCTION("""COMPUTED_VALUE"""),51.13)</f>
        <v>51.13</v>
      </c>
      <c r="F2297" s="1">
        <f>IFERROR(__xludf.DUMMYFUNCTION("""COMPUTED_VALUE"""),1.3504748E7)</f>
        <v>13504748</v>
      </c>
    </row>
    <row r="2298">
      <c r="A2298" s="2">
        <f>IFERROR(__xludf.DUMMYFUNCTION("""COMPUTED_VALUE"""),39864.666666666664)</f>
        <v>39864.66667</v>
      </c>
      <c r="B2298" s="1">
        <f>IFERROR(__xludf.DUMMYFUNCTION("""COMPUTED_VALUE"""),50.24)</f>
        <v>50.24</v>
      </c>
      <c r="C2298" s="1">
        <f>IFERROR(__xludf.DUMMYFUNCTION("""COMPUTED_VALUE"""),51.36)</f>
        <v>51.36</v>
      </c>
      <c r="D2298" s="1">
        <f>IFERROR(__xludf.DUMMYFUNCTION("""COMPUTED_VALUE"""),49.8)</f>
        <v>49.8</v>
      </c>
      <c r="E2298" s="1">
        <f>IFERROR(__xludf.DUMMYFUNCTION("""COMPUTED_VALUE"""),50.25)</f>
        <v>50.25</v>
      </c>
      <c r="F2298" s="1">
        <f>IFERROR(__xludf.DUMMYFUNCTION("""COMPUTED_VALUE"""),1.9555932E7)</f>
        <v>19555932</v>
      </c>
    </row>
    <row r="2299">
      <c r="A2299" s="2">
        <f>IFERROR(__xludf.DUMMYFUNCTION("""COMPUTED_VALUE"""),39867.666666666664)</f>
        <v>39867.66667</v>
      </c>
      <c r="B2299" s="1">
        <f>IFERROR(__xludf.DUMMYFUNCTION("""COMPUTED_VALUE"""),50.49)</f>
        <v>50.49</v>
      </c>
      <c r="C2299" s="1">
        <f>IFERROR(__xludf.DUMMYFUNCTION("""COMPUTED_VALUE"""),50.49)</f>
        <v>50.49</v>
      </c>
      <c r="D2299" s="1">
        <f>IFERROR(__xludf.DUMMYFUNCTION("""COMPUTED_VALUE"""),48.79)</f>
        <v>48.79</v>
      </c>
      <c r="E2299" s="1">
        <f>IFERROR(__xludf.DUMMYFUNCTION("""COMPUTED_VALUE"""),48.9)</f>
        <v>48.9</v>
      </c>
      <c r="F2299" s="1">
        <f>IFERROR(__xludf.DUMMYFUNCTION("""COMPUTED_VALUE"""),1.5131026E7)</f>
        <v>15131026</v>
      </c>
    </row>
    <row r="2300">
      <c r="A2300" s="2">
        <f>IFERROR(__xludf.DUMMYFUNCTION("""COMPUTED_VALUE"""),39868.666666666664)</f>
        <v>39868.66667</v>
      </c>
      <c r="B2300" s="1">
        <f>IFERROR(__xludf.DUMMYFUNCTION("""COMPUTED_VALUE"""),52.46)</f>
        <v>52.46</v>
      </c>
      <c r="C2300" s="1">
        <f>IFERROR(__xludf.DUMMYFUNCTION("""COMPUTED_VALUE"""),52.46)</f>
        <v>52.46</v>
      </c>
      <c r="D2300" s="1">
        <f>IFERROR(__xludf.DUMMYFUNCTION("""COMPUTED_VALUE"""),48.97)</f>
        <v>48.97</v>
      </c>
      <c r="E2300" s="1">
        <f>IFERROR(__xludf.DUMMYFUNCTION("""COMPUTED_VALUE"""),49.77)</f>
        <v>49.77</v>
      </c>
      <c r="F2300" s="1">
        <f>IFERROR(__xludf.DUMMYFUNCTION("""COMPUTED_VALUE"""),1.4983406E7)</f>
        <v>14983406</v>
      </c>
    </row>
    <row r="2301">
      <c r="A2301" s="2">
        <f>IFERROR(__xludf.DUMMYFUNCTION("""COMPUTED_VALUE"""),39869.666666666664)</f>
        <v>39869.66667</v>
      </c>
      <c r="B2301" s="1">
        <f>IFERROR(__xludf.DUMMYFUNCTION("""COMPUTED_VALUE"""),49.59)</f>
        <v>49.59</v>
      </c>
      <c r="C2301" s="1">
        <f>IFERROR(__xludf.DUMMYFUNCTION("""COMPUTED_VALUE"""),50.48)</f>
        <v>50.48</v>
      </c>
      <c r="D2301" s="1">
        <f>IFERROR(__xludf.DUMMYFUNCTION("""COMPUTED_VALUE"""),49.22)</f>
        <v>49.22</v>
      </c>
      <c r="E2301" s="1">
        <f>IFERROR(__xludf.DUMMYFUNCTION("""COMPUTED_VALUE"""),49.92)</f>
        <v>49.92</v>
      </c>
      <c r="F2301" s="1">
        <f>IFERROR(__xludf.DUMMYFUNCTION("""COMPUTED_VALUE"""),1.7412024E7)</f>
        <v>17412024</v>
      </c>
    </row>
    <row r="2302">
      <c r="A2302" s="2">
        <f>IFERROR(__xludf.DUMMYFUNCTION("""COMPUTED_VALUE"""),39870.666666666664)</f>
        <v>39870.66667</v>
      </c>
      <c r="B2302" s="1">
        <f>IFERROR(__xludf.DUMMYFUNCTION("""COMPUTED_VALUE"""),50.1)</f>
        <v>50.1</v>
      </c>
      <c r="C2302" s="1">
        <f>IFERROR(__xludf.DUMMYFUNCTION("""COMPUTED_VALUE"""),50.2)</f>
        <v>50.2</v>
      </c>
      <c r="D2302" s="1">
        <f>IFERROR(__xludf.DUMMYFUNCTION("""COMPUTED_VALUE"""),48.9)</f>
        <v>48.9</v>
      </c>
      <c r="E2302" s="1">
        <f>IFERROR(__xludf.DUMMYFUNCTION("""COMPUTED_VALUE"""),48.97)</f>
        <v>48.97</v>
      </c>
      <c r="F2302" s="1">
        <f>IFERROR(__xludf.DUMMYFUNCTION("""COMPUTED_VALUE"""),1.3607015E7)</f>
        <v>13607015</v>
      </c>
    </row>
    <row r="2303">
      <c r="A2303" s="2">
        <f>IFERROR(__xludf.DUMMYFUNCTION("""COMPUTED_VALUE"""),39871.666666666664)</f>
        <v>39871.66667</v>
      </c>
      <c r="B2303" s="1">
        <f>IFERROR(__xludf.DUMMYFUNCTION("""COMPUTED_VALUE"""),48.66)</f>
        <v>48.66</v>
      </c>
      <c r="C2303" s="1">
        <f>IFERROR(__xludf.DUMMYFUNCTION("""COMPUTED_VALUE"""),49.11)</f>
        <v>49.11</v>
      </c>
      <c r="D2303" s="1">
        <f>IFERROR(__xludf.DUMMYFUNCTION("""COMPUTED_VALUE"""),47.76)</f>
        <v>47.76</v>
      </c>
      <c r="E2303" s="1">
        <f>IFERROR(__xludf.DUMMYFUNCTION("""COMPUTED_VALUE"""),48.17)</f>
        <v>48.17</v>
      </c>
      <c r="F2303" s="1">
        <f>IFERROR(__xludf.DUMMYFUNCTION("""COMPUTED_VALUE"""),2.0751552E7)</f>
        <v>20751552</v>
      </c>
    </row>
    <row r="2304">
      <c r="A2304" s="2">
        <f>IFERROR(__xludf.DUMMYFUNCTION("""COMPUTED_VALUE"""),39874.666666666664)</f>
        <v>39874.66667</v>
      </c>
      <c r="B2304" s="1">
        <f>IFERROR(__xludf.DUMMYFUNCTION("""COMPUTED_VALUE"""),47.32)</f>
        <v>47.32</v>
      </c>
      <c r="C2304" s="1">
        <f>IFERROR(__xludf.DUMMYFUNCTION("""COMPUTED_VALUE"""),47.93)</f>
        <v>47.93</v>
      </c>
      <c r="D2304" s="1">
        <f>IFERROR(__xludf.DUMMYFUNCTION("""COMPUTED_VALUE"""),46.8)</f>
        <v>46.8</v>
      </c>
      <c r="E2304" s="1">
        <f>IFERROR(__xludf.DUMMYFUNCTION("""COMPUTED_VALUE"""),46.87)</f>
        <v>46.87</v>
      </c>
      <c r="F2304" s="1">
        <f>IFERROR(__xludf.DUMMYFUNCTION("""COMPUTED_VALUE"""),1.9033188E7)</f>
        <v>19033188</v>
      </c>
    </row>
    <row r="2305">
      <c r="A2305" s="2">
        <f>IFERROR(__xludf.DUMMYFUNCTION("""COMPUTED_VALUE"""),39875.666666666664)</f>
        <v>39875.66667</v>
      </c>
      <c r="B2305" s="1">
        <f>IFERROR(__xludf.DUMMYFUNCTION("""COMPUTED_VALUE"""),47.33)</f>
        <v>47.33</v>
      </c>
      <c r="C2305" s="1">
        <f>IFERROR(__xludf.DUMMYFUNCTION("""COMPUTED_VALUE"""),47.88)</f>
        <v>47.88</v>
      </c>
      <c r="D2305" s="1">
        <f>IFERROR(__xludf.DUMMYFUNCTION("""COMPUTED_VALUE"""),46.38)</f>
        <v>46.38</v>
      </c>
      <c r="E2305" s="1">
        <f>IFERROR(__xludf.DUMMYFUNCTION("""COMPUTED_VALUE"""),46.63)</f>
        <v>46.63</v>
      </c>
      <c r="F2305" s="1">
        <f>IFERROR(__xludf.DUMMYFUNCTION("""COMPUTED_VALUE"""),1.9532328E7)</f>
        <v>19532328</v>
      </c>
    </row>
    <row r="2306">
      <c r="A2306" s="2">
        <f>IFERROR(__xludf.DUMMYFUNCTION("""COMPUTED_VALUE"""),39876.666666666664)</f>
        <v>39876.66667</v>
      </c>
      <c r="B2306" s="1">
        <f>IFERROR(__xludf.DUMMYFUNCTION("""COMPUTED_VALUE"""),47.33)</f>
        <v>47.33</v>
      </c>
      <c r="C2306" s="1">
        <f>IFERROR(__xludf.DUMMYFUNCTION("""COMPUTED_VALUE"""),48.0)</f>
        <v>48</v>
      </c>
      <c r="D2306" s="1">
        <f>IFERROR(__xludf.DUMMYFUNCTION("""COMPUTED_VALUE"""),46.67)</f>
        <v>46.67</v>
      </c>
      <c r="E2306" s="1">
        <f>IFERROR(__xludf.DUMMYFUNCTION("""COMPUTED_VALUE"""),47.31)</f>
        <v>47.31</v>
      </c>
      <c r="F2306" s="1">
        <f>IFERROR(__xludf.DUMMYFUNCTION("""COMPUTED_VALUE"""),1.5701049E7)</f>
        <v>15701049</v>
      </c>
    </row>
    <row r="2307">
      <c r="A2307" s="2">
        <f>IFERROR(__xludf.DUMMYFUNCTION("""COMPUTED_VALUE"""),39877.666666666664)</f>
        <v>39877.66667</v>
      </c>
      <c r="B2307" s="1">
        <f>IFERROR(__xludf.DUMMYFUNCTION("""COMPUTED_VALUE"""),46.45)</f>
        <v>46.45</v>
      </c>
      <c r="C2307" s="1">
        <f>IFERROR(__xludf.DUMMYFUNCTION("""COMPUTED_VALUE"""),46.81)</f>
        <v>46.81</v>
      </c>
      <c r="D2307" s="1">
        <f>IFERROR(__xludf.DUMMYFUNCTION("""COMPUTED_VALUE"""),44.93)</f>
        <v>44.93</v>
      </c>
      <c r="E2307" s="1">
        <f>IFERROR(__xludf.DUMMYFUNCTION("""COMPUTED_VALUE"""),45.4)</f>
        <v>45.4</v>
      </c>
      <c r="F2307" s="1">
        <f>IFERROR(__xludf.DUMMYFUNCTION("""COMPUTED_VALUE"""),1.9468908E7)</f>
        <v>19468908</v>
      </c>
    </row>
    <row r="2308">
      <c r="A2308" s="2">
        <f>IFERROR(__xludf.DUMMYFUNCTION("""COMPUTED_VALUE"""),39878.666666666664)</f>
        <v>39878.66667</v>
      </c>
      <c r="B2308" s="1">
        <f>IFERROR(__xludf.DUMMYFUNCTION("""COMPUTED_VALUE"""),45.87)</f>
        <v>45.87</v>
      </c>
      <c r="C2308" s="1">
        <f>IFERROR(__xludf.DUMMYFUNCTION("""COMPUTED_VALUE"""),46.59)</f>
        <v>46.59</v>
      </c>
      <c r="D2308" s="1">
        <f>IFERROR(__xludf.DUMMYFUNCTION("""COMPUTED_VALUE"""),44.63)</f>
        <v>44.63</v>
      </c>
      <c r="E2308" s="1">
        <f>IFERROR(__xludf.DUMMYFUNCTION("""COMPUTED_VALUE"""),45.71)</f>
        <v>45.71</v>
      </c>
      <c r="F2308" s="1">
        <f>IFERROR(__xludf.DUMMYFUNCTION("""COMPUTED_VALUE"""),1.9553944E7)</f>
        <v>19553944</v>
      </c>
    </row>
    <row r="2309">
      <c r="A2309" s="2">
        <f>IFERROR(__xludf.DUMMYFUNCTION("""COMPUTED_VALUE"""),39881.666666666664)</f>
        <v>39881.66667</v>
      </c>
      <c r="B2309" s="1">
        <f>IFERROR(__xludf.DUMMYFUNCTION("""COMPUTED_VALUE"""),45.3)</f>
        <v>45.3</v>
      </c>
      <c r="C2309" s="1">
        <f>IFERROR(__xludf.DUMMYFUNCTION("""COMPUTED_VALUE"""),45.6)</f>
        <v>45.6</v>
      </c>
      <c r="D2309" s="1">
        <f>IFERROR(__xludf.DUMMYFUNCTION("""COMPUTED_VALUE"""),43.93)</f>
        <v>43.93</v>
      </c>
      <c r="E2309" s="1">
        <f>IFERROR(__xludf.DUMMYFUNCTION("""COMPUTED_VALUE"""),44.18)</f>
        <v>44.18</v>
      </c>
      <c r="F2309" s="1">
        <f>IFERROR(__xludf.DUMMYFUNCTION("""COMPUTED_VALUE"""),1.69299E7)</f>
        <v>16929900</v>
      </c>
    </row>
    <row r="2310">
      <c r="A2310" s="2">
        <f>IFERROR(__xludf.DUMMYFUNCTION("""COMPUTED_VALUE"""),39882.666666666664)</f>
        <v>39882.66667</v>
      </c>
      <c r="B2310" s="1">
        <f>IFERROR(__xludf.DUMMYFUNCTION("""COMPUTED_VALUE"""),44.51)</f>
        <v>44.51</v>
      </c>
      <c r="C2310" s="1">
        <f>IFERROR(__xludf.DUMMYFUNCTION("""COMPUTED_VALUE"""),45.19)</f>
        <v>45.19</v>
      </c>
      <c r="D2310" s="1">
        <f>IFERROR(__xludf.DUMMYFUNCTION("""COMPUTED_VALUE"""),44.37)</f>
        <v>44.37</v>
      </c>
      <c r="E2310" s="1">
        <f>IFERROR(__xludf.DUMMYFUNCTION("""COMPUTED_VALUE"""),45.17)</f>
        <v>45.17</v>
      </c>
      <c r="F2310" s="1">
        <f>IFERROR(__xludf.DUMMYFUNCTION("""COMPUTED_VALUE"""),2.06358E7)</f>
        <v>20635800</v>
      </c>
    </row>
    <row r="2311">
      <c r="A2311" s="2">
        <f>IFERROR(__xludf.DUMMYFUNCTION("""COMPUTED_VALUE"""),39883.666666666664)</f>
        <v>39883.66667</v>
      </c>
      <c r="B2311" s="1">
        <f>IFERROR(__xludf.DUMMYFUNCTION("""COMPUTED_VALUE"""),45.59)</f>
        <v>45.59</v>
      </c>
      <c r="C2311" s="1">
        <f>IFERROR(__xludf.DUMMYFUNCTION("""COMPUTED_VALUE"""),45.74)</f>
        <v>45.74</v>
      </c>
      <c r="D2311" s="1">
        <f>IFERROR(__xludf.DUMMYFUNCTION("""COMPUTED_VALUE"""),44.76)</f>
        <v>44.76</v>
      </c>
      <c r="E2311" s="1">
        <f>IFERROR(__xludf.DUMMYFUNCTION("""COMPUTED_VALUE"""),45.07)</f>
        <v>45.07</v>
      </c>
      <c r="F2311" s="1">
        <f>IFERROR(__xludf.DUMMYFUNCTION("""COMPUTED_VALUE"""),1.3396055E7)</f>
        <v>13396055</v>
      </c>
    </row>
    <row r="2312">
      <c r="A2312" s="2">
        <f>IFERROR(__xludf.DUMMYFUNCTION("""COMPUTED_VALUE"""),39884.666666666664)</f>
        <v>39884.66667</v>
      </c>
      <c r="B2312" s="1">
        <f>IFERROR(__xludf.DUMMYFUNCTION("""COMPUTED_VALUE"""),44.89)</f>
        <v>44.89</v>
      </c>
      <c r="C2312" s="1">
        <f>IFERROR(__xludf.DUMMYFUNCTION("""COMPUTED_VALUE"""),45.9)</f>
        <v>45.9</v>
      </c>
      <c r="D2312" s="1">
        <f>IFERROR(__xludf.DUMMYFUNCTION("""COMPUTED_VALUE"""),44.52)</f>
        <v>44.52</v>
      </c>
      <c r="E2312" s="1">
        <f>IFERROR(__xludf.DUMMYFUNCTION("""COMPUTED_VALUE"""),45.78)</f>
        <v>45.78</v>
      </c>
      <c r="F2312" s="1">
        <f>IFERROR(__xludf.DUMMYFUNCTION("""COMPUTED_VALUE"""),1.3715698E7)</f>
        <v>13715698</v>
      </c>
    </row>
    <row r="2313">
      <c r="A2313" s="2">
        <f>IFERROR(__xludf.DUMMYFUNCTION("""COMPUTED_VALUE"""),39885.666666666664)</f>
        <v>39885.66667</v>
      </c>
      <c r="B2313" s="1">
        <f>IFERROR(__xludf.DUMMYFUNCTION("""COMPUTED_VALUE"""),46.1)</f>
        <v>46.1</v>
      </c>
      <c r="C2313" s="1">
        <f>IFERROR(__xludf.DUMMYFUNCTION("""COMPUTED_VALUE"""),47.08)</f>
        <v>47.08</v>
      </c>
      <c r="D2313" s="1">
        <f>IFERROR(__xludf.DUMMYFUNCTION("""COMPUTED_VALUE"""),45.66)</f>
        <v>45.66</v>
      </c>
      <c r="E2313" s="1">
        <f>IFERROR(__xludf.DUMMYFUNCTION("""COMPUTED_VALUE"""),46.95)</f>
        <v>46.95</v>
      </c>
      <c r="F2313" s="1">
        <f>IFERROR(__xludf.DUMMYFUNCTION("""COMPUTED_VALUE"""),1.3905518E7)</f>
        <v>13905518</v>
      </c>
    </row>
    <row r="2314">
      <c r="A2314" s="2">
        <f>IFERROR(__xludf.DUMMYFUNCTION("""COMPUTED_VALUE"""),39888.666666666664)</f>
        <v>39888.66667</v>
      </c>
      <c r="B2314" s="1">
        <f>IFERROR(__xludf.DUMMYFUNCTION("""COMPUTED_VALUE"""),47.37)</f>
        <v>47.37</v>
      </c>
      <c r="C2314" s="1">
        <f>IFERROR(__xludf.DUMMYFUNCTION("""COMPUTED_VALUE"""),48.41)</f>
        <v>48.41</v>
      </c>
      <c r="D2314" s="1">
        <f>IFERROR(__xludf.DUMMYFUNCTION("""COMPUTED_VALUE"""),47.17)</f>
        <v>47.17</v>
      </c>
      <c r="E2314" s="1">
        <f>IFERROR(__xludf.DUMMYFUNCTION("""COMPUTED_VALUE"""),47.82)</f>
        <v>47.82</v>
      </c>
      <c r="F2314" s="1">
        <f>IFERROR(__xludf.DUMMYFUNCTION("""COMPUTED_VALUE"""),1.5182347E7)</f>
        <v>15182347</v>
      </c>
    </row>
    <row r="2315">
      <c r="A2315" s="2">
        <f>IFERROR(__xludf.DUMMYFUNCTION("""COMPUTED_VALUE"""),39889.666666666664)</f>
        <v>39889.66667</v>
      </c>
      <c r="B2315" s="1">
        <f>IFERROR(__xludf.DUMMYFUNCTION("""COMPUTED_VALUE"""),47.95)</f>
        <v>47.95</v>
      </c>
      <c r="C2315" s="1">
        <f>IFERROR(__xludf.DUMMYFUNCTION("""COMPUTED_VALUE"""),48.14)</f>
        <v>48.14</v>
      </c>
      <c r="D2315" s="1">
        <f>IFERROR(__xludf.DUMMYFUNCTION("""COMPUTED_VALUE"""),47.41)</f>
        <v>47.41</v>
      </c>
      <c r="E2315" s="1">
        <f>IFERROR(__xludf.DUMMYFUNCTION("""COMPUTED_VALUE"""),47.98)</f>
        <v>47.98</v>
      </c>
      <c r="F2315" s="1">
        <f>IFERROR(__xludf.DUMMYFUNCTION("""COMPUTED_VALUE"""),1.148191E7)</f>
        <v>11481910</v>
      </c>
    </row>
    <row r="2316">
      <c r="A2316" s="2">
        <f>IFERROR(__xludf.DUMMYFUNCTION("""COMPUTED_VALUE"""),39890.666666666664)</f>
        <v>39890.66667</v>
      </c>
      <c r="B2316" s="1">
        <f>IFERROR(__xludf.DUMMYFUNCTION("""COMPUTED_VALUE"""),47.75)</f>
        <v>47.75</v>
      </c>
      <c r="C2316" s="1">
        <f>IFERROR(__xludf.DUMMYFUNCTION("""COMPUTED_VALUE"""),48.75)</f>
        <v>48.75</v>
      </c>
      <c r="D2316" s="1">
        <f>IFERROR(__xludf.DUMMYFUNCTION("""COMPUTED_VALUE"""),46.99)</f>
        <v>46.99</v>
      </c>
      <c r="E2316" s="1">
        <f>IFERROR(__xludf.DUMMYFUNCTION("""COMPUTED_VALUE"""),48.02)</f>
        <v>48.02</v>
      </c>
      <c r="F2316" s="1">
        <f>IFERROR(__xludf.DUMMYFUNCTION("""COMPUTED_VALUE"""),1.6686787E7)</f>
        <v>16686787</v>
      </c>
    </row>
    <row r="2317">
      <c r="A2317" s="2">
        <f>IFERROR(__xludf.DUMMYFUNCTION("""COMPUTED_VALUE"""),39891.666666666664)</f>
        <v>39891.66667</v>
      </c>
      <c r="B2317" s="1">
        <f>IFERROR(__xludf.DUMMYFUNCTION("""COMPUTED_VALUE"""),48.24)</f>
        <v>48.24</v>
      </c>
      <c r="C2317" s="1">
        <f>IFERROR(__xludf.DUMMYFUNCTION("""COMPUTED_VALUE"""),48.42)</f>
        <v>48.42</v>
      </c>
      <c r="D2317" s="1">
        <f>IFERROR(__xludf.DUMMYFUNCTION("""COMPUTED_VALUE"""),46.2)</f>
        <v>46.2</v>
      </c>
      <c r="E2317" s="1">
        <f>IFERROR(__xludf.DUMMYFUNCTION("""COMPUTED_VALUE"""),46.31)</f>
        <v>46.31</v>
      </c>
      <c r="F2317" s="1">
        <f>IFERROR(__xludf.DUMMYFUNCTION("""COMPUTED_VALUE"""),1.6169974E7)</f>
        <v>16169974</v>
      </c>
    </row>
    <row r="2318">
      <c r="A2318" s="2">
        <f>IFERROR(__xludf.DUMMYFUNCTION("""COMPUTED_VALUE"""),39892.666666666664)</f>
        <v>39892.66667</v>
      </c>
      <c r="B2318" s="1">
        <f>IFERROR(__xludf.DUMMYFUNCTION("""COMPUTED_VALUE"""),46.55)</f>
        <v>46.55</v>
      </c>
      <c r="C2318" s="1">
        <f>IFERROR(__xludf.DUMMYFUNCTION("""COMPUTED_VALUE"""),46.94)</f>
        <v>46.94</v>
      </c>
      <c r="D2318" s="1">
        <f>IFERROR(__xludf.DUMMYFUNCTION("""COMPUTED_VALUE"""),45.52)</f>
        <v>45.52</v>
      </c>
      <c r="E2318" s="1">
        <f>IFERROR(__xludf.DUMMYFUNCTION("""COMPUTED_VALUE"""),45.59)</f>
        <v>45.59</v>
      </c>
      <c r="F2318" s="1">
        <f>IFERROR(__xludf.DUMMYFUNCTION("""COMPUTED_VALUE"""),2.5561114E7)</f>
        <v>25561114</v>
      </c>
    </row>
    <row r="2319">
      <c r="A2319" s="2">
        <f>IFERROR(__xludf.DUMMYFUNCTION("""COMPUTED_VALUE"""),39895.666666666664)</f>
        <v>39895.66667</v>
      </c>
      <c r="B2319" s="1">
        <f>IFERROR(__xludf.DUMMYFUNCTION("""COMPUTED_VALUE"""),46.11)</f>
        <v>46.11</v>
      </c>
      <c r="C2319" s="1">
        <f>IFERROR(__xludf.DUMMYFUNCTION("""COMPUTED_VALUE"""),47.8)</f>
        <v>47.8</v>
      </c>
      <c r="D2319" s="1">
        <f>IFERROR(__xludf.DUMMYFUNCTION("""COMPUTED_VALUE"""),46.0)</f>
        <v>46</v>
      </c>
      <c r="E2319" s="1">
        <f>IFERROR(__xludf.DUMMYFUNCTION("""COMPUTED_VALUE"""),47.74)</f>
        <v>47.74</v>
      </c>
      <c r="F2319" s="1">
        <f>IFERROR(__xludf.DUMMYFUNCTION("""COMPUTED_VALUE"""),1.6279679E7)</f>
        <v>16279679</v>
      </c>
    </row>
    <row r="2320">
      <c r="A2320" s="2">
        <f>IFERROR(__xludf.DUMMYFUNCTION("""COMPUTED_VALUE"""),39896.666666666664)</f>
        <v>39896.66667</v>
      </c>
      <c r="B2320" s="1">
        <f>IFERROR(__xludf.DUMMYFUNCTION("""COMPUTED_VALUE"""),47.42)</f>
        <v>47.42</v>
      </c>
      <c r="C2320" s="1">
        <f>IFERROR(__xludf.DUMMYFUNCTION("""COMPUTED_VALUE"""),48.21)</f>
        <v>48.21</v>
      </c>
      <c r="D2320" s="1">
        <f>IFERROR(__xludf.DUMMYFUNCTION("""COMPUTED_VALUE"""),46.89)</f>
        <v>46.89</v>
      </c>
      <c r="E2320" s="1">
        <f>IFERROR(__xludf.DUMMYFUNCTION("""COMPUTED_VALUE"""),47.07)</f>
        <v>47.07</v>
      </c>
      <c r="F2320" s="1">
        <f>IFERROR(__xludf.DUMMYFUNCTION("""COMPUTED_VALUE"""),1.2176833E7)</f>
        <v>12176833</v>
      </c>
    </row>
    <row r="2321">
      <c r="A2321" s="2">
        <f>IFERROR(__xludf.DUMMYFUNCTION("""COMPUTED_VALUE"""),39897.666666666664)</f>
        <v>39897.66667</v>
      </c>
      <c r="B2321" s="1">
        <f>IFERROR(__xludf.DUMMYFUNCTION("""COMPUTED_VALUE"""),47.7)</f>
        <v>47.7</v>
      </c>
      <c r="C2321" s="1">
        <f>IFERROR(__xludf.DUMMYFUNCTION("""COMPUTED_VALUE"""),48.6)</f>
        <v>48.6</v>
      </c>
      <c r="D2321" s="1">
        <f>IFERROR(__xludf.DUMMYFUNCTION("""COMPUTED_VALUE"""),47.2)</f>
        <v>47.2</v>
      </c>
      <c r="E2321" s="1">
        <f>IFERROR(__xludf.DUMMYFUNCTION("""COMPUTED_VALUE"""),48.06)</f>
        <v>48.06</v>
      </c>
      <c r="F2321" s="1">
        <f>IFERROR(__xludf.DUMMYFUNCTION("""COMPUTED_VALUE"""),1.5276196E7)</f>
        <v>15276196</v>
      </c>
    </row>
    <row r="2322">
      <c r="A2322" s="2">
        <f>IFERROR(__xludf.DUMMYFUNCTION("""COMPUTED_VALUE"""),39898.666666666664)</f>
        <v>39898.66667</v>
      </c>
      <c r="B2322" s="1">
        <f>IFERROR(__xludf.DUMMYFUNCTION("""COMPUTED_VALUE"""),48.27)</f>
        <v>48.27</v>
      </c>
      <c r="C2322" s="1">
        <f>IFERROR(__xludf.DUMMYFUNCTION("""COMPUTED_VALUE"""),48.82)</f>
        <v>48.82</v>
      </c>
      <c r="D2322" s="1">
        <f>IFERROR(__xludf.DUMMYFUNCTION("""COMPUTED_VALUE"""),47.51)</f>
        <v>47.51</v>
      </c>
      <c r="E2322" s="1">
        <f>IFERROR(__xludf.DUMMYFUNCTION("""COMPUTED_VALUE"""),48.76)</f>
        <v>48.76</v>
      </c>
      <c r="F2322" s="1">
        <f>IFERROR(__xludf.DUMMYFUNCTION("""COMPUTED_VALUE"""),1.6257895E7)</f>
        <v>16257895</v>
      </c>
    </row>
    <row r="2323">
      <c r="A2323" s="2">
        <f>IFERROR(__xludf.DUMMYFUNCTION("""COMPUTED_VALUE"""),39899.666666666664)</f>
        <v>39899.66667</v>
      </c>
      <c r="B2323" s="1">
        <f>IFERROR(__xludf.DUMMYFUNCTION("""COMPUTED_VALUE"""),48.21)</f>
        <v>48.21</v>
      </c>
      <c r="C2323" s="1">
        <f>IFERROR(__xludf.DUMMYFUNCTION("""COMPUTED_VALUE"""),49.03)</f>
        <v>49.03</v>
      </c>
      <c r="D2323" s="1">
        <f>IFERROR(__xludf.DUMMYFUNCTION("""COMPUTED_VALUE"""),48.13)</f>
        <v>48.13</v>
      </c>
      <c r="E2323" s="1">
        <f>IFERROR(__xludf.DUMMYFUNCTION("""COMPUTED_VALUE"""),48.57)</f>
        <v>48.57</v>
      </c>
      <c r="F2323" s="1">
        <f>IFERROR(__xludf.DUMMYFUNCTION("""COMPUTED_VALUE"""),1.0402321E7)</f>
        <v>10402321</v>
      </c>
    </row>
    <row r="2324">
      <c r="A2324" s="2">
        <f>IFERROR(__xludf.DUMMYFUNCTION("""COMPUTED_VALUE"""),39902.666666666664)</f>
        <v>39902.66667</v>
      </c>
      <c r="B2324" s="1">
        <f>IFERROR(__xludf.DUMMYFUNCTION("""COMPUTED_VALUE"""),48.04)</f>
        <v>48.04</v>
      </c>
      <c r="C2324" s="1">
        <f>IFERROR(__xludf.DUMMYFUNCTION("""COMPUTED_VALUE"""),48.1)</f>
        <v>48.1</v>
      </c>
      <c r="D2324" s="1">
        <f>IFERROR(__xludf.DUMMYFUNCTION("""COMPUTED_VALUE"""),46.57)</f>
        <v>46.57</v>
      </c>
      <c r="E2324" s="1">
        <f>IFERROR(__xludf.DUMMYFUNCTION("""COMPUTED_VALUE"""),47.28)</f>
        <v>47.28</v>
      </c>
      <c r="F2324" s="1">
        <f>IFERROR(__xludf.DUMMYFUNCTION("""COMPUTED_VALUE"""),1.2747896E7)</f>
        <v>12747896</v>
      </c>
    </row>
    <row r="2325">
      <c r="A2325" s="2">
        <f>IFERROR(__xludf.DUMMYFUNCTION("""COMPUTED_VALUE"""),39903.666666666664)</f>
        <v>39903.66667</v>
      </c>
      <c r="B2325" s="1">
        <f>IFERROR(__xludf.DUMMYFUNCTION("""COMPUTED_VALUE"""),47.56)</f>
        <v>47.56</v>
      </c>
      <c r="C2325" s="1">
        <f>IFERROR(__xludf.DUMMYFUNCTION("""COMPUTED_VALUE"""),47.83)</f>
        <v>47.83</v>
      </c>
      <c r="D2325" s="1">
        <f>IFERROR(__xludf.DUMMYFUNCTION("""COMPUTED_VALUE"""),46.95)</f>
        <v>46.95</v>
      </c>
      <c r="E2325" s="1">
        <f>IFERROR(__xludf.DUMMYFUNCTION("""COMPUTED_VALUE"""),47.09)</f>
        <v>47.09</v>
      </c>
      <c r="F2325" s="1">
        <f>IFERROR(__xludf.DUMMYFUNCTION("""COMPUTED_VALUE"""),1.3848778E7)</f>
        <v>13848778</v>
      </c>
    </row>
    <row r="2326">
      <c r="A2326" s="2">
        <f>IFERROR(__xludf.DUMMYFUNCTION("""COMPUTED_VALUE"""),39904.666666666664)</f>
        <v>39904.66667</v>
      </c>
      <c r="B2326" s="1">
        <f>IFERROR(__xludf.DUMMYFUNCTION("""COMPUTED_VALUE"""),46.75)</f>
        <v>46.75</v>
      </c>
      <c r="C2326" s="1">
        <f>IFERROR(__xludf.DUMMYFUNCTION("""COMPUTED_VALUE"""),48.48)</f>
        <v>48.48</v>
      </c>
      <c r="D2326" s="1">
        <f>IFERROR(__xludf.DUMMYFUNCTION("""COMPUTED_VALUE"""),46.29)</f>
        <v>46.29</v>
      </c>
      <c r="E2326" s="1">
        <f>IFERROR(__xludf.DUMMYFUNCTION("""COMPUTED_VALUE"""),48.21)</f>
        <v>48.21</v>
      </c>
      <c r="F2326" s="1">
        <f>IFERROR(__xludf.DUMMYFUNCTION("""COMPUTED_VALUE"""),1.7104352E7)</f>
        <v>17104352</v>
      </c>
    </row>
    <row r="2327">
      <c r="A2327" s="2">
        <f>IFERROR(__xludf.DUMMYFUNCTION("""COMPUTED_VALUE"""),39905.666666666664)</f>
        <v>39905.66667</v>
      </c>
      <c r="B2327" s="1">
        <f>IFERROR(__xludf.DUMMYFUNCTION("""COMPUTED_VALUE"""),48.72)</f>
        <v>48.72</v>
      </c>
      <c r="C2327" s="1">
        <f>IFERROR(__xludf.DUMMYFUNCTION("""COMPUTED_VALUE"""),50.29)</f>
        <v>50.29</v>
      </c>
      <c r="D2327" s="1">
        <f>IFERROR(__xludf.DUMMYFUNCTION("""COMPUTED_VALUE"""),48.72)</f>
        <v>48.72</v>
      </c>
      <c r="E2327" s="1">
        <f>IFERROR(__xludf.DUMMYFUNCTION("""COMPUTED_VALUE"""),49.42)</f>
        <v>49.42</v>
      </c>
      <c r="F2327" s="1">
        <f>IFERROR(__xludf.DUMMYFUNCTION("""COMPUTED_VALUE"""),1.8320656E7)</f>
        <v>18320656</v>
      </c>
    </row>
    <row r="2328">
      <c r="A2328" s="2">
        <f>IFERROR(__xludf.DUMMYFUNCTION("""COMPUTED_VALUE"""),39906.666666666664)</f>
        <v>39906.66667</v>
      </c>
      <c r="B2328" s="1">
        <f>IFERROR(__xludf.DUMMYFUNCTION("""COMPUTED_VALUE"""),49.54)</f>
        <v>49.54</v>
      </c>
      <c r="C2328" s="1">
        <f>IFERROR(__xludf.DUMMYFUNCTION("""COMPUTED_VALUE"""),49.75)</f>
        <v>49.75</v>
      </c>
      <c r="D2328" s="1">
        <f>IFERROR(__xludf.DUMMYFUNCTION("""COMPUTED_VALUE"""),48.72)</f>
        <v>48.72</v>
      </c>
      <c r="E2328" s="1">
        <f>IFERROR(__xludf.DUMMYFUNCTION("""COMPUTED_VALUE"""),49.63)</f>
        <v>49.63</v>
      </c>
      <c r="F2328" s="1">
        <f>IFERROR(__xludf.DUMMYFUNCTION("""COMPUTED_VALUE"""),1.4800187E7)</f>
        <v>14800187</v>
      </c>
    </row>
    <row r="2329">
      <c r="A2329" s="2">
        <f>IFERROR(__xludf.DUMMYFUNCTION("""COMPUTED_VALUE"""),39909.666666666664)</f>
        <v>39909.66667</v>
      </c>
      <c r="B2329" s="1">
        <f>IFERROR(__xludf.DUMMYFUNCTION("""COMPUTED_VALUE"""),49.46)</f>
        <v>49.46</v>
      </c>
      <c r="C2329" s="1">
        <f>IFERROR(__xludf.DUMMYFUNCTION("""COMPUTED_VALUE"""),49.97)</f>
        <v>49.97</v>
      </c>
      <c r="D2329" s="1">
        <f>IFERROR(__xludf.DUMMYFUNCTION("""COMPUTED_VALUE"""),48.91)</f>
        <v>48.91</v>
      </c>
      <c r="E2329" s="1">
        <f>IFERROR(__xludf.DUMMYFUNCTION("""COMPUTED_VALUE"""),49.65)</f>
        <v>49.65</v>
      </c>
      <c r="F2329" s="1">
        <f>IFERROR(__xludf.DUMMYFUNCTION("""COMPUTED_VALUE"""),1.0345398E7)</f>
        <v>10345398</v>
      </c>
    </row>
    <row r="2330">
      <c r="A2330" s="2">
        <f>IFERROR(__xludf.DUMMYFUNCTION("""COMPUTED_VALUE"""),39910.666666666664)</f>
        <v>39910.66667</v>
      </c>
      <c r="B2330" s="1">
        <f>IFERROR(__xludf.DUMMYFUNCTION("""COMPUTED_VALUE"""),49.42)</f>
        <v>49.42</v>
      </c>
      <c r="C2330" s="1">
        <f>IFERROR(__xludf.DUMMYFUNCTION("""COMPUTED_VALUE"""),49.42)</f>
        <v>49.42</v>
      </c>
      <c r="D2330" s="1">
        <f>IFERROR(__xludf.DUMMYFUNCTION("""COMPUTED_VALUE"""),48.53)</f>
        <v>48.53</v>
      </c>
      <c r="E2330" s="1">
        <f>IFERROR(__xludf.DUMMYFUNCTION("""COMPUTED_VALUE"""),48.68)</f>
        <v>48.68</v>
      </c>
      <c r="F2330" s="1">
        <f>IFERROR(__xludf.DUMMYFUNCTION("""COMPUTED_VALUE"""),9802054.0)</f>
        <v>9802054</v>
      </c>
    </row>
    <row r="2331">
      <c r="A2331" s="2">
        <f>IFERROR(__xludf.DUMMYFUNCTION("""COMPUTED_VALUE"""),39911.666666666664)</f>
        <v>39911.66667</v>
      </c>
      <c r="B2331" s="1">
        <f>IFERROR(__xludf.DUMMYFUNCTION("""COMPUTED_VALUE"""),48.8)</f>
        <v>48.8</v>
      </c>
      <c r="C2331" s="1">
        <f>IFERROR(__xludf.DUMMYFUNCTION("""COMPUTED_VALUE"""),49.0)</f>
        <v>49</v>
      </c>
      <c r="D2331" s="1">
        <f>IFERROR(__xludf.DUMMYFUNCTION("""COMPUTED_VALUE"""),47.88)</f>
        <v>47.88</v>
      </c>
      <c r="E2331" s="1">
        <f>IFERROR(__xludf.DUMMYFUNCTION("""COMPUTED_VALUE"""),48.47)</f>
        <v>48.47</v>
      </c>
      <c r="F2331" s="1">
        <f>IFERROR(__xludf.DUMMYFUNCTION("""COMPUTED_VALUE"""),9434402.0)</f>
        <v>9434402</v>
      </c>
    </row>
    <row r="2332">
      <c r="A2332" s="2">
        <f>IFERROR(__xludf.DUMMYFUNCTION("""COMPUTED_VALUE"""),39912.666666666664)</f>
        <v>39912.66667</v>
      </c>
      <c r="B2332" s="1">
        <f>IFERROR(__xludf.DUMMYFUNCTION("""COMPUTED_VALUE"""),49.17)</f>
        <v>49.17</v>
      </c>
      <c r="C2332" s="1">
        <f>IFERROR(__xludf.DUMMYFUNCTION("""COMPUTED_VALUE"""),49.29)</f>
        <v>49.29</v>
      </c>
      <c r="D2332" s="1">
        <f>IFERROR(__xludf.DUMMYFUNCTION("""COMPUTED_VALUE"""),48.37)</f>
        <v>48.37</v>
      </c>
      <c r="E2332" s="1">
        <f>IFERROR(__xludf.DUMMYFUNCTION("""COMPUTED_VALUE"""),49.19)</f>
        <v>49.19</v>
      </c>
      <c r="F2332" s="1">
        <f>IFERROR(__xludf.DUMMYFUNCTION("""COMPUTED_VALUE"""),1.4766398E7)</f>
        <v>14766398</v>
      </c>
    </row>
    <row r="2333">
      <c r="A2333" s="2">
        <f>IFERROR(__xludf.DUMMYFUNCTION("""COMPUTED_VALUE"""),39916.666666666664)</f>
        <v>39916.66667</v>
      </c>
      <c r="B2333" s="1">
        <f>IFERROR(__xludf.DUMMYFUNCTION("""COMPUTED_VALUE"""),48.88)</f>
        <v>48.88</v>
      </c>
      <c r="C2333" s="1">
        <f>IFERROR(__xludf.DUMMYFUNCTION("""COMPUTED_VALUE"""),49.03)</f>
        <v>49.03</v>
      </c>
      <c r="D2333" s="1">
        <f>IFERROR(__xludf.DUMMYFUNCTION("""COMPUTED_VALUE"""),47.95)</f>
        <v>47.95</v>
      </c>
      <c r="E2333" s="1">
        <f>IFERROR(__xludf.DUMMYFUNCTION("""COMPUTED_VALUE"""),48.04)</f>
        <v>48.04</v>
      </c>
      <c r="F2333" s="1">
        <f>IFERROR(__xludf.DUMMYFUNCTION("""COMPUTED_VALUE"""),1.290988E7)</f>
        <v>12909880</v>
      </c>
    </row>
    <row r="2334">
      <c r="A2334" s="2">
        <f>IFERROR(__xludf.DUMMYFUNCTION("""COMPUTED_VALUE"""),39917.666666666664)</f>
        <v>39917.66667</v>
      </c>
      <c r="B2334" s="1">
        <f>IFERROR(__xludf.DUMMYFUNCTION("""COMPUTED_VALUE"""),47.98)</f>
        <v>47.98</v>
      </c>
      <c r="C2334" s="1">
        <f>IFERROR(__xludf.DUMMYFUNCTION("""COMPUTED_VALUE"""),48.03)</f>
        <v>48.03</v>
      </c>
      <c r="D2334" s="1">
        <f>IFERROR(__xludf.DUMMYFUNCTION("""COMPUTED_VALUE"""),46.98)</f>
        <v>46.98</v>
      </c>
      <c r="E2334" s="1">
        <f>IFERROR(__xludf.DUMMYFUNCTION("""COMPUTED_VALUE"""),47.25)</f>
        <v>47.25</v>
      </c>
      <c r="F2334" s="1">
        <f>IFERROR(__xludf.DUMMYFUNCTION("""COMPUTED_VALUE"""),1.5098538E7)</f>
        <v>15098538</v>
      </c>
    </row>
    <row r="2335">
      <c r="A2335" s="2">
        <f>IFERROR(__xludf.DUMMYFUNCTION("""COMPUTED_VALUE"""),39918.666666666664)</f>
        <v>39918.66667</v>
      </c>
      <c r="B2335" s="1">
        <f>IFERROR(__xludf.DUMMYFUNCTION("""COMPUTED_VALUE"""),47.68)</f>
        <v>47.68</v>
      </c>
      <c r="C2335" s="1">
        <f>IFERROR(__xludf.DUMMYFUNCTION("""COMPUTED_VALUE"""),48.86)</f>
        <v>48.86</v>
      </c>
      <c r="D2335" s="1">
        <f>IFERROR(__xludf.DUMMYFUNCTION("""COMPUTED_VALUE"""),47.65)</f>
        <v>47.65</v>
      </c>
      <c r="E2335" s="1">
        <f>IFERROR(__xludf.DUMMYFUNCTION("""COMPUTED_VALUE"""),48.75)</f>
        <v>48.75</v>
      </c>
      <c r="F2335" s="1">
        <f>IFERROR(__xludf.DUMMYFUNCTION("""COMPUTED_VALUE"""),1.4181602E7)</f>
        <v>14181602</v>
      </c>
    </row>
    <row r="2336">
      <c r="A2336" s="2">
        <f>IFERROR(__xludf.DUMMYFUNCTION("""COMPUTED_VALUE"""),39919.666666666664)</f>
        <v>39919.66667</v>
      </c>
      <c r="B2336" s="1">
        <f>IFERROR(__xludf.DUMMYFUNCTION("""COMPUTED_VALUE"""),49.2)</f>
        <v>49.2</v>
      </c>
      <c r="C2336" s="1">
        <f>IFERROR(__xludf.DUMMYFUNCTION("""COMPUTED_VALUE"""),50.74)</f>
        <v>50.74</v>
      </c>
      <c r="D2336" s="1">
        <f>IFERROR(__xludf.DUMMYFUNCTION("""COMPUTED_VALUE"""),49.11)</f>
        <v>49.11</v>
      </c>
      <c r="E2336" s="1">
        <f>IFERROR(__xludf.DUMMYFUNCTION("""COMPUTED_VALUE"""),50.43)</f>
        <v>50.43</v>
      </c>
      <c r="F2336" s="1">
        <f>IFERROR(__xludf.DUMMYFUNCTION("""COMPUTED_VALUE"""),1.6333428E7)</f>
        <v>16333428</v>
      </c>
    </row>
    <row r="2337">
      <c r="A2337" s="2">
        <f>IFERROR(__xludf.DUMMYFUNCTION("""COMPUTED_VALUE"""),39920.666666666664)</f>
        <v>39920.66667</v>
      </c>
      <c r="B2337" s="1">
        <f>IFERROR(__xludf.DUMMYFUNCTION("""COMPUTED_VALUE"""),51.15)</f>
        <v>51.15</v>
      </c>
      <c r="C2337" s="1">
        <f>IFERROR(__xludf.DUMMYFUNCTION("""COMPUTED_VALUE"""),51.96)</f>
        <v>51.96</v>
      </c>
      <c r="D2337" s="1">
        <f>IFERROR(__xludf.DUMMYFUNCTION("""COMPUTED_VALUE"""),50.82)</f>
        <v>50.82</v>
      </c>
      <c r="E2337" s="1">
        <f>IFERROR(__xludf.DUMMYFUNCTION("""COMPUTED_VALUE"""),51.66)</f>
        <v>51.66</v>
      </c>
      <c r="F2337" s="1">
        <f>IFERROR(__xludf.DUMMYFUNCTION("""COMPUTED_VALUE"""),2.1662434E7)</f>
        <v>21662434</v>
      </c>
    </row>
    <row r="2338">
      <c r="A2338" s="2">
        <f>IFERROR(__xludf.DUMMYFUNCTION("""COMPUTED_VALUE"""),39923.666666666664)</f>
        <v>39923.66667</v>
      </c>
      <c r="B2338" s="1">
        <f>IFERROR(__xludf.DUMMYFUNCTION("""COMPUTED_VALUE"""),51.57)</f>
        <v>51.57</v>
      </c>
      <c r="C2338" s="1">
        <f>IFERROR(__xludf.DUMMYFUNCTION("""COMPUTED_VALUE"""),51.97)</f>
        <v>51.97</v>
      </c>
      <c r="D2338" s="1">
        <f>IFERROR(__xludf.DUMMYFUNCTION("""COMPUTED_VALUE"""),50.62)</f>
        <v>50.62</v>
      </c>
      <c r="E2338" s="1">
        <f>IFERROR(__xludf.DUMMYFUNCTION("""COMPUTED_VALUE"""),50.73)</f>
        <v>50.73</v>
      </c>
      <c r="F2338" s="1">
        <f>IFERROR(__xludf.DUMMYFUNCTION("""COMPUTED_VALUE"""),1.544485E7)</f>
        <v>15444850</v>
      </c>
    </row>
    <row r="2339">
      <c r="A2339" s="2">
        <f>IFERROR(__xludf.DUMMYFUNCTION("""COMPUTED_VALUE"""),39924.666666666664)</f>
        <v>39924.66667</v>
      </c>
      <c r="B2339" s="1">
        <f>IFERROR(__xludf.DUMMYFUNCTION("""COMPUTED_VALUE"""),50.82)</f>
        <v>50.82</v>
      </c>
      <c r="C2339" s="1">
        <f>IFERROR(__xludf.DUMMYFUNCTION("""COMPUTED_VALUE"""),51.67)</f>
        <v>51.67</v>
      </c>
      <c r="D2339" s="1">
        <f>IFERROR(__xludf.DUMMYFUNCTION("""COMPUTED_VALUE"""),49.5)</f>
        <v>49.5</v>
      </c>
      <c r="E2339" s="1">
        <f>IFERROR(__xludf.DUMMYFUNCTION("""COMPUTED_VALUE"""),51.37)</f>
        <v>51.37</v>
      </c>
      <c r="F2339" s="1">
        <f>IFERROR(__xludf.DUMMYFUNCTION("""COMPUTED_VALUE"""),1.2604246E7)</f>
        <v>12604246</v>
      </c>
    </row>
    <row r="2340">
      <c r="A2340" s="2">
        <f>IFERROR(__xludf.DUMMYFUNCTION("""COMPUTED_VALUE"""),39925.666666666664)</f>
        <v>39925.66667</v>
      </c>
      <c r="B2340" s="1">
        <f>IFERROR(__xludf.DUMMYFUNCTION("""COMPUTED_VALUE"""),50.96)</f>
        <v>50.96</v>
      </c>
      <c r="C2340" s="1">
        <f>IFERROR(__xludf.DUMMYFUNCTION("""COMPUTED_VALUE"""),50.96)</f>
        <v>50.96</v>
      </c>
      <c r="D2340" s="1">
        <f>IFERROR(__xludf.DUMMYFUNCTION("""COMPUTED_VALUE"""),49.54)</f>
        <v>49.54</v>
      </c>
      <c r="E2340" s="1">
        <f>IFERROR(__xludf.DUMMYFUNCTION("""COMPUTED_VALUE"""),49.6)</f>
        <v>49.6</v>
      </c>
      <c r="F2340" s="1">
        <f>IFERROR(__xludf.DUMMYFUNCTION("""COMPUTED_VALUE"""),1.3385973E7)</f>
        <v>13385973</v>
      </c>
    </row>
    <row r="2341">
      <c r="A2341" s="2">
        <f>IFERROR(__xludf.DUMMYFUNCTION("""COMPUTED_VALUE"""),39926.666666666664)</f>
        <v>39926.66667</v>
      </c>
      <c r="B2341" s="1">
        <f>IFERROR(__xludf.DUMMYFUNCTION("""COMPUTED_VALUE"""),49.84)</f>
        <v>49.84</v>
      </c>
      <c r="C2341" s="1">
        <f>IFERROR(__xludf.DUMMYFUNCTION("""COMPUTED_VALUE"""),49.84)</f>
        <v>49.84</v>
      </c>
      <c r="D2341" s="1">
        <f>IFERROR(__xludf.DUMMYFUNCTION("""COMPUTED_VALUE"""),48.75)</f>
        <v>48.75</v>
      </c>
      <c r="E2341" s="1">
        <f>IFERROR(__xludf.DUMMYFUNCTION("""COMPUTED_VALUE"""),49.32)</f>
        <v>49.32</v>
      </c>
      <c r="F2341" s="1">
        <f>IFERROR(__xludf.DUMMYFUNCTION("""COMPUTED_VALUE"""),1.1863399E7)</f>
        <v>11863399</v>
      </c>
    </row>
    <row r="2342">
      <c r="A2342" s="2">
        <f>IFERROR(__xludf.DUMMYFUNCTION("""COMPUTED_VALUE"""),39927.666666666664)</f>
        <v>39927.66667</v>
      </c>
      <c r="B2342" s="1">
        <f>IFERROR(__xludf.DUMMYFUNCTION("""COMPUTED_VALUE"""),49.5)</f>
        <v>49.5</v>
      </c>
      <c r="C2342" s="1">
        <f>IFERROR(__xludf.DUMMYFUNCTION("""COMPUTED_VALUE"""),49.89)</f>
        <v>49.89</v>
      </c>
      <c r="D2342" s="1">
        <f>IFERROR(__xludf.DUMMYFUNCTION("""COMPUTED_VALUE"""),49.02)</f>
        <v>49.02</v>
      </c>
      <c r="E2342" s="1">
        <f>IFERROR(__xludf.DUMMYFUNCTION("""COMPUTED_VALUE"""),49.51)</f>
        <v>49.51</v>
      </c>
      <c r="F2342" s="1">
        <f>IFERROR(__xludf.DUMMYFUNCTION("""COMPUTED_VALUE"""),1.1324188E7)</f>
        <v>11324188</v>
      </c>
    </row>
    <row r="2343">
      <c r="A2343" s="2">
        <f>IFERROR(__xludf.DUMMYFUNCTION("""COMPUTED_VALUE"""),39930.666666666664)</f>
        <v>39930.66667</v>
      </c>
      <c r="B2343" s="1">
        <f>IFERROR(__xludf.DUMMYFUNCTION("""COMPUTED_VALUE"""),49.07)</f>
        <v>49.07</v>
      </c>
      <c r="C2343" s="1">
        <f>IFERROR(__xludf.DUMMYFUNCTION("""COMPUTED_VALUE"""),50.41)</f>
        <v>50.41</v>
      </c>
      <c r="D2343" s="1">
        <f>IFERROR(__xludf.DUMMYFUNCTION("""COMPUTED_VALUE"""),49.07)</f>
        <v>49.07</v>
      </c>
      <c r="E2343" s="1">
        <f>IFERROR(__xludf.DUMMYFUNCTION("""COMPUTED_VALUE"""),49.97)</f>
        <v>49.97</v>
      </c>
      <c r="F2343" s="1">
        <f>IFERROR(__xludf.DUMMYFUNCTION("""COMPUTED_VALUE"""),9603548.0)</f>
        <v>9603548</v>
      </c>
    </row>
    <row r="2344">
      <c r="A2344" s="2">
        <f>IFERROR(__xludf.DUMMYFUNCTION("""COMPUTED_VALUE"""),39931.666666666664)</f>
        <v>39931.66667</v>
      </c>
      <c r="B2344" s="1">
        <f>IFERROR(__xludf.DUMMYFUNCTION("""COMPUTED_VALUE"""),49.75)</f>
        <v>49.75</v>
      </c>
      <c r="C2344" s="1">
        <f>IFERROR(__xludf.DUMMYFUNCTION("""COMPUTED_VALUE"""),50.18)</f>
        <v>50.18</v>
      </c>
      <c r="D2344" s="1">
        <f>IFERROR(__xludf.DUMMYFUNCTION("""COMPUTED_VALUE"""),49.25)</f>
        <v>49.25</v>
      </c>
      <c r="E2344" s="1">
        <f>IFERROR(__xludf.DUMMYFUNCTION("""COMPUTED_VALUE"""),49.69)</f>
        <v>49.69</v>
      </c>
      <c r="F2344" s="1">
        <f>IFERROR(__xludf.DUMMYFUNCTION("""COMPUTED_VALUE"""),9004830.0)</f>
        <v>9004830</v>
      </c>
    </row>
    <row r="2345">
      <c r="A2345" s="2">
        <f>IFERROR(__xludf.DUMMYFUNCTION("""COMPUTED_VALUE"""),39932.666666666664)</f>
        <v>39932.66667</v>
      </c>
      <c r="B2345" s="1">
        <f>IFERROR(__xludf.DUMMYFUNCTION("""COMPUTED_VALUE"""),49.91)</f>
        <v>49.91</v>
      </c>
      <c r="C2345" s="1">
        <f>IFERROR(__xludf.DUMMYFUNCTION("""COMPUTED_VALUE"""),50.97)</f>
        <v>50.97</v>
      </c>
      <c r="D2345" s="1">
        <f>IFERROR(__xludf.DUMMYFUNCTION("""COMPUTED_VALUE"""),49.82)</f>
        <v>49.82</v>
      </c>
      <c r="E2345" s="1">
        <f>IFERROR(__xludf.DUMMYFUNCTION("""COMPUTED_VALUE"""),50.42)</f>
        <v>50.42</v>
      </c>
      <c r="F2345" s="1">
        <f>IFERROR(__xludf.DUMMYFUNCTION("""COMPUTED_VALUE"""),1.1400421E7)</f>
        <v>11400421</v>
      </c>
    </row>
    <row r="2346">
      <c r="A2346" s="2">
        <f>IFERROR(__xludf.DUMMYFUNCTION("""COMPUTED_VALUE"""),39933.666666666664)</f>
        <v>39933.66667</v>
      </c>
      <c r="B2346" s="1">
        <f>IFERROR(__xludf.DUMMYFUNCTION("""COMPUTED_VALUE"""),50.23)</f>
        <v>50.23</v>
      </c>
      <c r="C2346" s="1">
        <f>IFERROR(__xludf.DUMMYFUNCTION("""COMPUTED_VALUE"""),50.23)</f>
        <v>50.23</v>
      </c>
      <c r="D2346" s="1">
        <f>IFERROR(__xludf.DUMMYFUNCTION("""COMPUTED_VALUE"""),48.25)</f>
        <v>48.25</v>
      </c>
      <c r="E2346" s="1">
        <f>IFERROR(__xludf.DUMMYFUNCTION("""COMPUTED_VALUE"""),49.44)</f>
        <v>49.44</v>
      </c>
      <c r="F2346" s="1">
        <f>IFERROR(__xludf.DUMMYFUNCTION("""COMPUTED_VALUE"""),2.4582176E7)</f>
        <v>24582176</v>
      </c>
    </row>
    <row r="2347">
      <c r="A2347" s="2">
        <f>IFERROR(__xludf.DUMMYFUNCTION("""COMPUTED_VALUE"""),39934.666666666664)</f>
        <v>39934.66667</v>
      </c>
      <c r="B2347" s="1">
        <f>IFERROR(__xludf.DUMMYFUNCTION("""COMPUTED_VALUE"""),49.6)</f>
        <v>49.6</v>
      </c>
      <c r="C2347" s="1">
        <f>IFERROR(__xludf.DUMMYFUNCTION("""COMPUTED_VALUE"""),49.75)</f>
        <v>49.75</v>
      </c>
      <c r="D2347" s="1">
        <f>IFERROR(__xludf.DUMMYFUNCTION("""COMPUTED_VALUE"""),48.55)</f>
        <v>48.55</v>
      </c>
      <c r="E2347" s="1">
        <f>IFERROR(__xludf.DUMMYFUNCTION("""COMPUTED_VALUE"""),49.5)</f>
        <v>49.5</v>
      </c>
      <c r="F2347" s="1">
        <f>IFERROR(__xludf.DUMMYFUNCTION("""COMPUTED_VALUE"""),1.1888565E7)</f>
        <v>11888565</v>
      </c>
    </row>
    <row r="2348">
      <c r="A2348" s="2">
        <f>IFERROR(__xludf.DUMMYFUNCTION("""COMPUTED_VALUE"""),39937.666666666664)</f>
        <v>39937.66667</v>
      </c>
      <c r="B2348" s="1">
        <f>IFERROR(__xludf.DUMMYFUNCTION("""COMPUTED_VALUE"""),49.97)</f>
        <v>49.97</v>
      </c>
      <c r="C2348" s="1">
        <f>IFERROR(__xludf.DUMMYFUNCTION("""COMPUTED_VALUE"""),51.03)</f>
        <v>51.03</v>
      </c>
      <c r="D2348" s="1">
        <f>IFERROR(__xludf.DUMMYFUNCTION("""COMPUTED_VALUE"""),49.69)</f>
        <v>49.69</v>
      </c>
      <c r="E2348" s="1">
        <f>IFERROR(__xludf.DUMMYFUNCTION("""COMPUTED_VALUE"""),50.99)</f>
        <v>50.99</v>
      </c>
      <c r="F2348" s="1">
        <f>IFERROR(__xludf.DUMMYFUNCTION("""COMPUTED_VALUE"""),1.2625773E7)</f>
        <v>12625773</v>
      </c>
    </row>
    <row r="2349">
      <c r="A2349" s="2">
        <f>IFERROR(__xludf.DUMMYFUNCTION("""COMPUTED_VALUE"""),39938.666666666664)</f>
        <v>39938.66667</v>
      </c>
      <c r="B2349" s="1">
        <f>IFERROR(__xludf.DUMMYFUNCTION("""COMPUTED_VALUE"""),50.76)</f>
        <v>50.76</v>
      </c>
      <c r="C2349" s="1">
        <f>IFERROR(__xludf.DUMMYFUNCTION("""COMPUTED_VALUE"""),50.99)</f>
        <v>50.99</v>
      </c>
      <c r="D2349" s="1">
        <f>IFERROR(__xludf.DUMMYFUNCTION("""COMPUTED_VALUE"""),49.51)</f>
        <v>49.51</v>
      </c>
      <c r="E2349" s="1">
        <f>IFERROR(__xludf.DUMMYFUNCTION("""COMPUTED_VALUE"""),49.79)</f>
        <v>49.79</v>
      </c>
      <c r="F2349" s="1">
        <f>IFERROR(__xludf.DUMMYFUNCTION("""COMPUTED_VALUE"""),1.2300785E7)</f>
        <v>12300785</v>
      </c>
    </row>
    <row r="2350">
      <c r="A2350" s="2">
        <f>IFERROR(__xludf.DUMMYFUNCTION("""COMPUTED_VALUE"""),39939.666666666664)</f>
        <v>39939.66667</v>
      </c>
      <c r="B2350" s="1">
        <f>IFERROR(__xludf.DUMMYFUNCTION("""COMPUTED_VALUE"""),50.0)</f>
        <v>50</v>
      </c>
      <c r="C2350" s="1">
        <f>IFERROR(__xludf.DUMMYFUNCTION("""COMPUTED_VALUE"""),50.86)</f>
        <v>50.86</v>
      </c>
      <c r="D2350" s="1">
        <f>IFERROR(__xludf.DUMMYFUNCTION("""COMPUTED_VALUE"""),49.9)</f>
        <v>49.9</v>
      </c>
      <c r="E2350" s="1">
        <f>IFERROR(__xludf.DUMMYFUNCTION("""COMPUTED_VALUE"""),50.84)</f>
        <v>50.84</v>
      </c>
      <c r="F2350" s="1">
        <f>IFERROR(__xludf.DUMMYFUNCTION("""COMPUTED_VALUE"""),1.4933088E7)</f>
        <v>14933088</v>
      </c>
    </row>
    <row r="2351">
      <c r="A2351" s="2">
        <f>IFERROR(__xludf.DUMMYFUNCTION("""COMPUTED_VALUE"""),39940.666666666664)</f>
        <v>39940.66667</v>
      </c>
      <c r="B2351" s="1">
        <f>IFERROR(__xludf.DUMMYFUNCTION("""COMPUTED_VALUE"""),51.0)</f>
        <v>51</v>
      </c>
      <c r="C2351" s="1">
        <f>IFERROR(__xludf.DUMMYFUNCTION("""COMPUTED_VALUE"""),52.19)</f>
        <v>52.19</v>
      </c>
      <c r="D2351" s="1">
        <f>IFERROR(__xludf.DUMMYFUNCTION("""COMPUTED_VALUE"""),50.62)</f>
        <v>50.62</v>
      </c>
      <c r="E2351" s="1">
        <f>IFERROR(__xludf.DUMMYFUNCTION("""COMPUTED_VALUE"""),51.34)</f>
        <v>51.34</v>
      </c>
      <c r="F2351" s="1">
        <f>IFERROR(__xludf.DUMMYFUNCTION("""COMPUTED_VALUE"""),1.3719948E7)</f>
        <v>13719948</v>
      </c>
    </row>
    <row r="2352">
      <c r="A2352" s="2">
        <f>IFERROR(__xludf.DUMMYFUNCTION("""COMPUTED_VALUE"""),39941.666666666664)</f>
        <v>39941.66667</v>
      </c>
      <c r="B2352" s="1">
        <f>IFERROR(__xludf.DUMMYFUNCTION("""COMPUTED_VALUE"""),52.0)</f>
        <v>52</v>
      </c>
      <c r="C2352" s="1">
        <f>IFERROR(__xludf.DUMMYFUNCTION("""COMPUTED_VALUE"""),52.19)</f>
        <v>52.19</v>
      </c>
      <c r="D2352" s="1">
        <f>IFERROR(__xludf.DUMMYFUNCTION("""COMPUTED_VALUE"""),51.19)</f>
        <v>51.19</v>
      </c>
      <c r="E2352" s="1">
        <f>IFERROR(__xludf.DUMMYFUNCTION("""COMPUTED_VALUE"""),51.57)</f>
        <v>51.57</v>
      </c>
      <c r="F2352" s="1">
        <f>IFERROR(__xludf.DUMMYFUNCTION("""COMPUTED_VALUE"""),1.3417007E7)</f>
        <v>13417007</v>
      </c>
    </row>
    <row r="2353">
      <c r="A2353" s="2">
        <f>IFERROR(__xludf.DUMMYFUNCTION("""COMPUTED_VALUE"""),39944.666666666664)</f>
        <v>39944.66667</v>
      </c>
      <c r="B2353" s="1">
        <f>IFERROR(__xludf.DUMMYFUNCTION("""COMPUTED_VALUE"""),51.42)</f>
        <v>51.42</v>
      </c>
      <c r="C2353" s="1">
        <f>IFERROR(__xludf.DUMMYFUNCTION("""COMPUTED_VALUE"""),51.55)</f>
        <v>51.55</v>
      </c>
      <c r="D2353" s="1">
        <f>IFERROR(__xludf.DUMMYFUNCTION("""COMPUTED_VALUE"""),50.23)</f>
        <v>50.23</v>
      </c>
      <c r="E2353" s="1">
        <f>IFERROR(__xludf.DUMMYFUNCTION("""COMPUTED_VALUE"""),50.37)</f>
        <v>50.37</v>
      </c>
      <c r="F2353" s="1">
        <f>IFERROR(__xludf.DUMMYFUNCTION("""COMPUTED_VALUE"""),1.3896876E7)</f>
        <v>13896876</v>
      </c>
    </row>
    <row r="2354">
      <c r="A2354" s="2">
        <f>IFERROR(__xludf.DUMMYFUNCTION("""COMPUTED_VALUE"""),39945.666666666664)</f>
        <v>39945.66667</v>
      </c>
      <c r="B2354" s="1">
        <f>IFERROR(__xludf.DUMMYFUNCTION("""COMPUTED_VALUE"""),50.4)</f>
        <v>50.4</v>
      </c>
      <c r="C2354" s="1">
        <f>IFERROR(__xludf.DUMMYFUNCTION("""COMPUTED_VALUE"""),51.35)</f>
        <v>51.35</v>
      </c>
      <c r="D2354" s="1">
        <f>IFERROR(__xludf.DUMMYFUNCTION("""COMPUTED_VALUE"""),50.0)</f>
        <v>50</v>
      </c>
      <c r="E2354" s="1">
        <f>IFERROR(__xludf.DUMMYFUNCTION("""COMPUTED_VALUE"""),50.94)</f>
        <v>50.94</v>
      </c>
      <c r="F2354" s="1">
        <f>IFERROR(__xludf.DUMMYFUNCTION("""COMPUTED_VALUE"""),1.3778918E7)</f>
        <v>13778918</v>
      </c>
    </row>
    <row r="2355">
      <c r="A2355" s="2">
        <f>IFERROR(__xludf.DUMMYFUNCTION("""COMPUTED_VALUE"""),39946.666666666664)</f>
        <v>39946.66667</v>
      </c>
      <c r="B2355" s="1">
        <f>IFERROR(__xludf.DUMMYFUNCTION("""COMPUTED_VALUE"""),50.53)</f>
        <v>50.53</v>
      </c>
      <c r="C2355" s="1">
        <f>IFERROR(__xludf.DUMMYFUNCTION("""COMPUTED_VALUE"""),51.21)</f>
        <v>51.21</v>
      </c>
      <c r="D2355" s="1">
        <f>IFERROR(__xludf.DUMMYFUNCTION("""COMPUTED_VALUE"""),50.11)</f>
        <v>50.11</v>
      </c>
      <c r="E2355" s="1">
        <f>IFERROR(__xludf.DUMMYFUNCTION("""COMPUTED_VALUE"""),50.96)</f>
        <v>50.96</v>
      </c>
      <c r="F2355" s="1">
        <f>IFERROR(__xludf.DUMMYFUNCTION("""COMPUTED_VALUE"""),1.1238991E7)</f>
        <v>11238991</v>
      </c>
    </row>
    <row r="2356">
      <c r="A2356" s="2">
        <f>IFERROR(__xludf.DUMMYFUNCTION("""COMPUTED_VALUE"""),39947.666666666664)</f>
        <v>39947.66667</v>
      </c>
      <c r="B2356" s="1">
        <f>IFERROR(__xludf.DUMMYFUNCTION("""COMPUTED_VALUE"""),51.02)</f>
        <v>51.02</v>
      </c>
      <c r="C2356" s="1">
        <f>IFERROR(__xludf.DUMMYFUNCTION("""COMPUTED_VALUE"""),51.64)</f>
        <v>51.64</v>
      </c>
      <c r="D2356" s="1">
        <f>IFERROR(__xludf.DUMMYFUNCTION("""COMPUTED_VALUE"""),50.75)</f>
        <v>50.75</v>
      </c>
      <c r="E2356" s="1">
        <f>IFERROR(__xludf.DUMMYFUNCTION("""COMPUTED_VALUE"""),50.8)</f>
        <v>50.8</v>
      </c>
      <c r="F2356" s="1">
        <f>IFERROR(__xludf.DUMMYFUNCTION("""COMPUTED_VALUE"""),1.1105756E7)</f>
        <v>11105756</v>
      </c>
    </row>
    <row r="2357">
      <c r="A2357" s="2">
        <f>IFERROR(__xludf.DUMMYFUNCTION("""COMPUTED_VALUE"""),39948.666666666664)</f>
        <v>39948.66667</v>
      </c>
      <c r="B2357" s="1">
        <f>IFERROR(__xludf.DUMMYFUNCTION("""COMPUTED_VALUE"""),51.43)</f>
        <v>51.43</v>
      </c>
      <c r="C2357" s="1">
        <f>IFERROR(__xludf.DUMMYFUNCTION("""COMPUTED_VALUE"""),51.43)</f>
        <v>51.43</v>
      </c>
      <c r="D2357" s="1">
        <f>IFERROR(__xludf.DUMMYFUNCTION("""COMPUTED_VALUE"""),50.37)</f>
        <v>50.37</v>
      </c>
      <c r="E2357" s="1">
        <f>IFERROR(__xludf.DUMMYFUNCTION("""COMPUTED_VALUE"""),50.67)</f>
        <v>50.67</v>
      </c>
      <c r="F2357" s="1">
        <f>IFERROR(__xludf.DUMMYFUNCTION("""COMPUTED_VALUE"""),1.4120257E7)</f>
        <v>14120257</v>
      </c>
    </row>
    <row r="2358">
      <c r="A2358" s="2">
        <f>IFERROR(__xludf.DUMMYFUNCTION("""COMPUTED_VALUE"""),39951.666666666664)</f>
        <v>39951.66667</v>
      </c>
      <c r="B2358" s="1">
        <f>IFERROR(__xludf.DUMMYFUNCTION("""COMPUTED_VALUE"""),50.98)</f>
        <v>50.98</v>
      </c>
      <c r="C2358" s="1">
        <f>IFERROR(__xludf.DUMMYFUNCTION("""COMPUTED_VALUE"""),52.61)</f>
        <v>52.61</v>
      </c>
      <c r="D2358" s="1">
        <f>IFERROR(__xludf.DUMMYFUNCTION("""COMPUTED_VALUE"""),50.92)</f>
        <v>50.92</v>
      </c>
      <c r="E2358" s="1">
        <f>IFERROR(__xludf.DUMMYFUNCTION("""COMPUTED_VALUE"""),52.52)</f>
        <v>52.52</v>
      </c>
      <c r="F2358" s="1">
        <f>IFERROR(__xludf.DUMMYFUNCTION("""COMPUTED_VALUE"""),1.4071294E7)</f>
        <v>14071294</v>
      </c>
    </row>
    <row r="2359">
      <c r="A2359" s="2">
        <f>IFERROR(__xludf.DUMMYFUNCTION("""COMPUTED_VALUE"""),39952.666666666664)</f>
        <v>39952.66667</v>
      </c>
      <c r="B2359" s="1">
        <f>IFERROR(__xludf.DUMMYFUNCTION("""COMPUTED_VALUE"""),52.57)</f>
        <v>52.57</v>
      </c>
      <c r="C2359" s="1">
        <f>IFERROR(__xludf.DUMMYFUNCTION("""COMPUTED_VALUE"""),53.51)</f>
        <v>53.51</v>
      </c>
      <c r="D2359" s="1">
        <f>IFERROR(__xludf.DUMMYFUNCTION("""COMPUTED_VALUE"""),52.27)</f>
        <v>52.27</v>
      </c>
      <c r="E2359" s="1">
        <f>IFERROR(__xludf.DUMMYFUNCTION("""COMPUTED_VALUE"""),52.95)</f>
        <v>52.95</v>
      </c>
      <c r="F2359" s="1">
        <f>IFERROR(__xludf.DUMMYFUNCTION("""COMPUTED_VALUE"""),1.5215505E7)</f>
        <v>15215505</v>
      </c>
    </row>
    <row r="2360">
      <c r="A2360" s="2">
        <f>IFERROR(__xludf.DUMMYFUNCTION("""COMPUTED_VALUE"""),39953.666666666664)</f>
        <v>39953.66667</v>
      </c>
      <c r="B2360" s="1">
        <f>IFERROR(__xludf.DUMMYFUNCTION("""COMPUTED_VALUE"""),53.74)</f>
        <v>53.74</v>
      </c>
      <c r="C2360" s="1">
        <f>IFERROR(__xludf.DUMMYFUNCTION("""COMPUTED_VALUE"""),54.77)</f>
        <v>54.77</v>
      </c>
      <c r="D2360" s="1">
        <f>IFERROR(__xludf.DUMMYFUNCTION("""COMPUTED_VALUE"""),53.56)</f>
        <v>53.56</v>
      </c>
      <c r="E2360" s="1">
        <f>IFERROR(__xludf.DUMMYFUNCTION("""COMPUTED_VALUE"""),54.02)</f>
        <v>54.02</v>
      </c>
      <c r="F2360" s="1">
        <f>IFERROR(__xludf.DUMMYFUNCTION("""COMPUTED_VALUE"""),1.5964164E7)</f>
        <v>15964164</v>
      </c>
    </row>
    <row r="2361">
      <c r="A2361" s="2">
        <f>IFERROR(__xludf.DUMMYFUNCTION("""COMPUTED_VALUE"""),39954.666666666664)</f>
        <v>39954.66667</v>
      </c>
      <c r="B2361" s="1">
        <f>IFERROR(__xludf.DUMMYFUNCTION("""COMPUTED_VALUE"""),53.48)</f>
        <v>53.48</v>
      </c>
      <c r="C2361" s="1">
        <f>IFERROR(__xludf.DUMMYFUNCTION("""COMPUTED_VALUE"""),53.48)</f>
        <v>53.48</v>
      </c>
      <c r="D2361" s="1">
        <f>IFERROR(__xludf.DUMMYFUNCTION("""COMPUTED_VALUE"""),52.51)</f>
        <v>52.51</v>
      </c>
      <c r="E2361" s="1">
        <f>IFERROR(__xludf.DUMMYFUNCTION("""COMPUTED_VALUE"""),53.02)</f>
        <v>53.02</v>
      </c>
      <c r="F2361" s="1">
        <f>IFERROR(__xludf.DUMMYFUNCTION("""COMPUTED_VALUE"""),1.1228651E7)</f>
        <v>11228651</v>
      </c>
    </row>
    <row r="2362">
      <c r="A2362" s="2">
        <f>IFERROR(__xludf.DUMMYFUNCTION("""COMPUTED_VALUE"""),39955.666666666664)</f>
        <v>39955.66667</v>
      </c>
      <c r="B2362" s="1">
        <f>IFERROR(__xludf.DUMMYFUNCTION("""COMPUTED_VALUE"""),53.07)</f>
        <v>53.07</v>
      </c>
      <c r="C2362" s="1">
        <f>IFERROR(__xludf.DUMMYFUNCTION("""COMPUTED_VALUE"""),53.74)</f>
        <v>53.74</v>
      </c>
      <c r="D2362" s="1">
        <f>IFERROR(__xludf.DUMMYFUNCTION("""COMPUTED_VALUE"""),52.96)</f>
        <v>52.96</v>
      </c>
      <c r="E2362" s="1">
        <f>IFERROR(__xludf.DUMMYFUNCTION("""COMPUTED_VALUE"""),53.03)</f>
        <v>53.03</v>
      </c>
      <c r="F2362" s="1">
        <f>IFERROR(__xludf.DUMMYFUNCTION("""COMPUTED_VALUE"""),6764998.0)</f>
        <v>6764998</v>
      </c>
    </row>
    <row r="2363">
      <c r="A2363" s="2">
        <f>IFERROR(__xludf.DUMMYFUNCTION("""COMPUTED_VALUE"""),39959.666666666664)</f>
        <v>39959.66667</v>
      </c>
      <c r="B2363" s="1">
        <f>IFERROR(__xludf.DUMMYFUNCTION("""COMPUTED_VALUE"""),52.94)</f>
        <v>52.94</v>
      </c>
      <c r="C2363" s="1">
        <f>IFERROR(__xludf.DUMMYFUNCTION("""COMPUTED_VALUE"""),54.1)</f>
        <v>54.1</v>
      </c>
      <c r="D2363" s="1">
        <f>IFERROR(__xludf.DUMMYFUNCTION("""COMPUTED_VALUE"""),52.67)</f>
        <v>52.67</v>
      </c>
      <c r="E2363" s="1">
        <f>IFERROR(__xludf.DUMMYFUNCTION("""COMPUTED_VALUE"""),53.78)</f>
        <v>53.78</v>
      </c>
      <c r="F2363" s="1">
        <f>IFERROR(__xludf.DUMMYFUNCTION("""COMPUTED_VALUE"""),1.0918834E7)</f>
        <v>10918834</v>
      </c>
    </row>
    <row r="2364">
      <c r="A2364" s="2">
        <f>IFERROR(__xludf.DUMMYFUNCTION("""COMPUTED_VALUE"""),39960.666666666664)</f>
        <v>39960.66667</v>
      </c>
      <c r="B2364" s="1">
        <f>IFERROR(__xludf.DUMMYFUNCTION("""COMPUTED_VALUE"""),53.72)</f>
        <v>53.72</v>
      </c>
      <c r="C2364" s="1">
        <f>IFERROR(__xludf.DUMMYFUNCTION("""COMPUTED_VALUE"""),53.78)</f>
        <v>53.78</v>
      </c>
      <c r="D2364" s="1">
        <f>IFERROR(__xludf.DUMMYFUNCTION("""COMPUTED_VALUE"""),51.58)</f>
        <v>51.58</v>
      </c>
      <c r="E2364" s="1">
        <f>IFERROR(__xludf.DUMMYFUNCTION("""COMPUTED_VALUE"""),51.78)</f>
        <v>51.78</v>
      </c>
      <c r="F2364" s="1">
        <f>IFERROR(__xludf.DUMMYFUNCTION("""COMPUTED_VALUE"""),1.4497826E7)</f>
        <v>14497826</v>
      </c>
    </row>
    <row r="2365">
      <c r="A2365" s="2">
        <f>IFERROR(__xludf.DUMMYFUNCTION("""COMPUTED_VALUE"""),39961.666666666664)</f>
        <v>39961.66667</v>
      </c>
      <c r="B2365" s="1">
        <f>IFERROR(__xludf.DUMMYFUNCTION("""COMPUTED_VALUE"""),52.26)</f>
        <v>52.26</v>
      </c>
      <c r="C2365" s="1">
        <f>IFERROR(__xludf.DUMMYFUNCTION("""COMPUTED_VALUE"""),52.67)</f>
        <v>52.67</v>
      </c>
      <c r="D2365" s="1">
        <f>IFERROR(__xludf.DUMMYFUNCTION("""COMPUTED_VALUE"""),51.11)</f>
        <v>51.11</v>
      </c>
      <c r="E2365" s="1">
        <f>IFERROR(__xludf.DUMMYFUNCTION("""COMPUTED_VALUE"""),52.59)</f>
        <v>52.59</v>
      </c>
      <c r="F2365" s="1">
        <f>IFERROR(__xludf.DUMMYFUNCTION("""COMPUTED_VALUE"""),1.6611303E7)</f>
        <v>16611303</v>
      </c>
    </row>
    <row r="2366">
      <c r="A2366" s="2">
        <f>IFERROR(__xludf.DUMMYFUNCTION("""COMPUTED_VALUE"""),39962.666666666664)</f>
        <v>39962.66667</v>
      </c>
      <c r="B2366" s="1">
        <f>IFERROR(__xludf.DUMMYFUNCTION("""COMPUTED_VALUE"""),52.62)</f>
        <v>52.62</v>
      </c>
      <c r="C2366" s="1">
        <f>IFERROR(__xludf.DUMMYFUNCTION("""COMPUTED_VALUE"""),52.68)</f>
        <v>52.68</v>
      </c>
      <c r="D2366" s="1">
        <f>IFERROR(__xludf.DUMMYFUNCTION("""COMPUTED_VALUE"""),51.5)</f>
        <v>51.5</v>
      </c>
      <c r="E2366" s="1">
        <f>IFERROR(__xludf.DUMMYFUNCTION("""COMPUTED_VALUE"""),51.94)</f>
        <v>51.94</v>
      </c>
      <c r="F2366" s="1">
        <f>IFERROR(__xludf.DUMMYFUNCTION("""COMPUTED_VALUE"""),1.5133681E7)</f>
        <v>15133681</v>
      </c>
    </row>
    <row r="2367">
      <c r="A2367" s="2">
        <f>IFERROR(__xludf.DUMMYFUNCTION("""COMPUTED_VALUE"""),39965.666666666664)</f>
        <v>39965.66667</v>
      </c>
      <c r="B2367" s="1">
        <f>IFERROR(__xludf.DUMMYFUNCTION("""COMPUTED_VALUE"""),52.55)</f>
        <v>52.55</v>
      </c>
      <c r="C2367" s="1">
        <f>IFERROR(__xludf.DUMMYFUNCTION("""COMPUTED_VALUE"""),53.65)</f>
        <v>53.65</v>
      </c>
      <c r="D2367" s="1">
        <f>IFERROR(__xludf.DUMMYFUNCTION("""COMPUTED_VALUE"""),52.36)</f>
        <v>52.36</v>
      </c>
      <c r="E2367" s="1">
        <f>IFERROR(__xludf.DUMMYFUNCTION("""COMPUTED_VALUE"""),53.36)</f>
        <v>53.36</v>
      </c>
      <c r="F2367" s="1">
        <f>IFERROR(__xludf.DUMMYFUNCTION("""COMPUTED_VALUE"""),1.2487212E7)</f>
        <v>12487212</v>
      </c>
    </row>
    <row r="2368">
      <c r="A2368" s="2">
        <f>IFERROR(__xludf.DUMMYFUNCTION("""COMPUTED_VALUE"""),39966.666666666664)</f>
        <v>39966.66667</v>
      </c>
      <c r="B2368" s="1">
        <f>IFERROR(__xludf.DUMMYFUNCTION("""COMPUTED_VALUE"""),53.23)</f>
        <v>53.23</v>
      </c>
      <c r="C2368" s="1">
        <f>IFERROR(__xludf.DUMMYFUNCTION("""COMPUTED_VALUE"""),54.13)</f>
        <v>54.13</v>
      </c>
      <c r="D2368" s="1">
        <f>IFERROR(__xludf.DUMMYFUNCTION("""COMPUTED_VALUE"""),53.16)</f>
        <v>53.16</v>
      </c>
      <c r="E2368" s="1">
        <f>IFERROR(__xludf.DUMMYFUNCTION("""COMPUTED_VALUE"""),53.71)</f>
        <v>53.71</v>
      </c>
      <c r="F2368" s="1">
        <f>IFERROR(__xludf.DUMMYFUNCTION("""COMPUTED_VALUE"""),1.1923394E7)</f>
        <v>11923394</v>
      </c>
    </row>
    <row r="2369">
      <c r="A2369" s="2">
        <f>IFERROR(__xludf.DUMMYFUNCTION("""COMPUTED_VALUE"""),39967.666666666664)</f>
        <v>39967.66667</v>
      </c>
      <c r="B2369" s="1">
        <f>IFERROR(__xludf.DUMMYFUNCTION("""COMPUTED_VALUE"""),53.38)</f>
        <v>53.38</v>
      </c>
      <c r="C2369" s="1">
        <f>IFERROR(__xludf.DUMMYFUNCTION("""COMPUTED_VALUE"""),53.84)</f>
        <v>53.84</v>
      </c>
      <c r="D2369" s="1">
        <f>IFERROR(__xludf.DUMMYFUNCTION("""COMPUTED_VALUE"""),52.9)</f>
        <v>52.9</v>
      </c>
      <c r="E2369" s="1">
        <f>IFERROR(__xludf.DUMMYFUNCTION("""COMPUTED_VALUE"""),53.81)</f>
        <v>53.81</v>
      </c>
      <c r="F2369" s="1">
        <f>IFERROR(__xludf.DUMMYFUNCTION("""COMPUTED_VALUE"""),1.2644874E7)</f>
        <v>12644874</v>
      </c>
    </row>
    <row r="2370">
      <c r="A2370" s="2">
        <f>IFERROR(__xludf.DUMMYFUNCTION("""COMPUTED_VALUE"""),39968.666666666664)</f>
        <v>39968.66667</v>
      </c>
      <c r="B2370" s="1">
        <f>IFERROR(__xludf.DUMMYFUNCTION("""COMPUTED_VALUE"""),53.76)</f>
        <v>53.76</v>
      </c>
      <c r="C2370" s="1">
        <f>IFERROR(__xludf.DUMMYFUNCTION("""COMPUTED_VALUE"""),53.86)</f>
        <v>53.86</v>
      </c>
      <c r="D2370" s="1">
        <f>IFERROR(__xludf.DUMMYFUNCTION("""COMPUTED_VALUE"""),52.97)</f>
        <v>52.97</v>
      </c>
      <c r="E2370" s="1">
        <f>IFERROR(__xludf.DUMMYFUNCTION("""COMPUTED_VALUE"""),53.35)</f>
        <v>53.35</v>
      </c>
      <c r="F2370" s="1">
        <f>IFERROR(__xludf.DUMMYFUNCTION("""COMPUTED_VALUE"""),9986963.0)</f>
        <v>9986963</v>
      </c>
    </row>
    <row r="2371">
      <c r="A2371" s="2">
        <f>IFERROR(__xludf.DUMMYFUNCTION("""COMPUTED_VALUE"""),39969.666666666664)</f>
        <v>39969.66667</v>
      </c>
      <c r="B2371" s="1">
        <f>IFERROR(__xludf.DUMMYFUNCTION("""COMPUTED_VALUE"""),53.56)</f>
        <v>53.56</v>
      </c>
      <c r="C2371" s="1">
        <f>IFERROR(__xludf.DUMMYFUNCTION("""COMPUTED_VALUE"""),53.95)</f>
        <v>53.95</v>
      </c>
      <c r="D2371" s="1">
        <f>IFERROR(__xludf.DUMMYFUNCTION("""COMPUTED_VALUE"""),52.92)</f>
        <v>52.92</v>
      </c>
      <c r="E2371" s="1">
        <f>IFERROR(__xludf.DUMMYFUNCTION("""COMPUTED_VALUE"""),53.18)</f>
        <v>53.18</v>
      </c>
      <c r="F2371" s="1">
        <f>IFERROR(__xludf.DUMMYFUNCTION("""COMPUTED_VALUE"""),1.055093E7)</f>
        <v>10550930</v>
      </c>
    </row>
    <row r="2372">
      <c r="A2372" s="2">
        <f>IFERROR(__xludf.DUMMYFUNCTION("""COMPUTED_VALUE"""),39972.666666666664)</f>
        <v>39972.66667</v>
      </c>
      <c r="B2372" s="1">
        <f>IFERROR(__xludf.DUMMYFUNCTION("""COMPUTED_VALUE"""),52.93)</f>
        <v>52.93</v>
      </c>
      <c r="C2372" s="1">
        <f>IFERROR(__xludf.DUMMYFUNCTION("""COMPUTED_VALUE"""),53.58)</f>
        <v>53.58</v>
      </c>
      <c r="D2372" s="1">
        <f>IFERROR(__xludf.DUMMYFUNCTION("""COMPUTED_VALUE"""),52.59)</f>
        <v>52.59</v>
      </c>
      <c r="E2372" s="1">
        <f>IFERROR(__xludf.DUMMYFUNCTION("""COMPUTED_VALUE"""),53.14)</f>
        <v>53.14</v>
      </c>
      <c r="F2372" s="1">
        <f>IFERROR(__xludf.DUMMYFUNCTION("""COMPUTED_VALUE"""),1.0651795E7)</f>
        <v>10651795</v>
      </c>
    </row>
    <row r="2373">
      <c r="A2373" s="2">
        <f>IFERROR(__xludf.DUMMYFUNCTION("""COMPUTED_VALUE"""),39973.666666666664)</f>
        <v>39973.66667</v>
      </c>
      <c r="B2373" s="1">
        <f>IFERROR(__xludf.DUMMYFUNCTION("""COMPUTED_VALUE"""),52.84)</f>
        <v>52.84</v>
      </c>
      <c r="C2373" s="1">
        <f>IFERROR(__xludf.DUMMYFUNCTION("""COMPUTED_VALUE"""),52.9)</f>
        <v>52.9</v>
      </c>
      <c r="D2373" s="1">
        <f>IFERROR(__xludf.DUMMYFUNCTION("""COMPUTED_VALUE"""),52.25)</f>
        <v>52.25</v>
      </c>
      <c r="E2373" s="1">
        <f>IFERROR(__xludf.DUMMYFUNCTION("""COMPUTED_VALUE"""),52.41)</f>
        <v>52.41</v>
      </c>
      <c r="F2373" s="1">
        <f>IFERROR(__xludf.DUMMYFUNCTION("""COMPUTED_VALUE"""),1.1605906E7)</f>
        <v>11605906</v>
      </c>
    </row>
    <row r="2374">
      <c r="A2374" s="2">
        <f>IFERROR(__xludf.DUMMYFUNCTION("""COMPUTED_VALUE"""),39974.666666666664)</f>
        <v>39974.66667</v>
      </c>
      <c r="B2374" s="1">
        <f>IFERROR(__xludf.DUMMYFUNCTION("""COMPUTED_VALUE"""),52.69)</f>
        <v>52.69</v>
      </c>
      <c r="C2374" s="1">
        <f>IFERROR(__xludf.DUMMYFUNCTION("""COMPUTED_VALUE"""),52.93)</f>
        <v>52.93</v>
      </c>
      <c r="D2374" s="1">
        <f>IFERROR(__xludf.DUMMYFUNCTION("""COMPUTED_VALUE"""),51.57)</f>
        <v>51.57</v>
      </c>
      <c r="E2374" s="1">
        <f>IFERROR(__xludf.DUMMYFUNCTION("""COMPUTED_VALUE"""),52.08)</f>
        <v>52.08</v>
      </c>
      <c r="F2374" s="1">
        <f>IFERROR(__xludf.DUMMYFUNCTION("""COMPUTED_VALUE"""),1.3082494E7)</f>
        <v>13082494</v>
      </c>
    </row>
    <row r="2375">
      <c r="A2375" s="2">
        <f>IFERROR(__xludf.DUMMYFUNCTION("""COMPUTED_VALUE"""),39975.666666666664)</f>
        <v>39975.66667</v>
      </c>
      <c r="B2375" s="1">
        <f>IFERROR(__xludf.DUMMYFUNCTION("""COMPUTED_VALUE"""),52.05)</f>
        <v>52.05</v>
      </c>
      <c r="C2375" s="1">
        <f>IFERROR(__xludf.DUMMYFUNCTION("""COMPUTED_VALUE"""),52.74)</f>
        <v>52.74</v>
      </c>
      <c r="D2375" s="1">
        <f>IFERROR(__xludf.DUMMYFUNCTION("""COMPUTED_VALUE"""),51.95)</f>
        <v>51.95</v>
      </c>
      <c r="E2375" s="1">
        <f>IFERROR(__xludf.DUMMYFUNCTION("""COMPUTED_VALUE"""),52.01)</f>
        <v>52.01</v>
      </c>
      <c r="F2375" s="1">
        <f>IFERROR(__xludf.DUMMYFUNCTION("""COMPUTED_VALUE"""),1.0867561E7)</f>
        <v>10867561</v>
      </c>
    </row>
    <row r="2376">
      <c r="A2376" s="2">
        <f>IFERROR(__xludf.DUMMYFUNCTION("""COMPUTED_VALUE"""),39976.666666666664)</f>
        <v>39976.66667</v>
      </c>
      <c r="B2376" s="1">
        <f>IFERROR(__xludf.DUMMYFUNCTION("""COMPUTED_VALUE"""),51.88)</f>
        <v>51.88</v>
      </c>
      <c r="C2376" s="1">
        <f>IFERROR(__xludf.DUMMYFUNCTION("""COMPUTED_VALUE"""),52.77)</f>
        <v>52.77</v>
      </c>
      <c r="D2376" s="1">
        <f>IFERROR(__xludf.DUMMYFUNCTION("""COMPUTED_VALUE"""),51.73)</f>
        <v>51.73</v>
      </c>
      <c r="E2376" s="1">
        <f>IFERROR(__xludf.DUMMYFUNCTION("""COMPUTED_VALUE"""),52.55)</f>
        <v>52.55</v>
      </c>
      <c r="F2376" s="1">
        <f>IFERROR(__xludf.DUMMYFUNCTION("""COMPUTED_VALUE"""),1.0352651E7)</f>
        <v>10352651</v>
      </c>
    </row>
    <row r="2377">
      <c r="A2377" s="2">
        <f>IFERROR(__xludf.DUMMYFUNCTION("""COMPUTED_VALUE"""),39979.666666666664)</f>
        <v>39979.66667</v>
      </c>
      <c r="B2377" s="1">
        <f>IFERROR(__xludf.DUMMYFUNCTION("""COMPUTED_VALUE"""),52.38)</f>
        <v>52.38</v>
      </c>
      <c r="C2377" s="1">
        <f>IFERROR(__xludf.DUMMYFUNCTION("""COMPUTED_VALUE"""),52.38)</f>
        <v>52.38</v>
      </c>
      <c r="D2377" s="1">
        <f>IFERROR(__xludf.DUMMYFUNCTION("""COMPUTED_VALUE"""),51.07)</f>
        <v>51.07</v>
      </c>
      <c r="E2377" s="1">
        <f>IFERROR(__xludf.DUMMYFUNCTION("""COMPUTED_VALUE"""),51.33)</f>
        <v>51.33</v>
      </c>
      <c r="F2377" s="1">
        <f>IFERROR(__xludf.DUMMYFUNCTION("""COMPUTED_VALUE"""),1.2158059E7)</f>
        <v>12158059</v>
      </c>
    </row>
    <row r="2378">
      <c r="A2378" s="2">
        <f>IFERROR(__xludf.DUMMYFUNCTION("""COMPUTED_VALUE"""),39980.666666666664)</f>
        <v>39980.66667</v>
      </c>
      <c r="B2378" s="1">
        <f>IFERROR(__xludf.DUMMYFUNCTION("""COMPUTED_VALUE"""),51.61)</f>
        <v>51.61</v>
      </c>
      <c r="C2378" s="1">
        <f>IFERROR(__xludf.DUMMYFUNCTION("""COMPUTED_VALUE"""),51.61)</f>
        <v>51.61</v>
      </c>
      <c r="D2378" s="1">
        <f>IFERROR(__xludf.DUMMYFUNCTION("""COMPUTED_VALUE"""),50.03)</f>
        <v>50.03</v>
      </c>
      <c r="E2378" s="1">
        <f>IFERROR(__xludf.DUMMYFUNCTION("""COMPUTED_VALUE"""),50.1)</f>
        <v>50.1</v>
      </c>
      <c r="F2378" s="1">
        <f>IFERROR(__xludf.DUMMYFUNCTION("""COMPUTED_VALUE"""),1.5722515E7)</f>
        <v>15722515</v>
      </c>
    </row>
    <row r="2379">
      <c r="A2379" s="2">
        <f>IFERROR(__xludf.DUMMYFUNCTION("""COMPUTED_VALUE"""),39981.666666666664)</f>
        <v>39981.66667</v>
      </c>
      <c r="B2379" s="1">
        <f>IFERROR(__xludf.DUMMYFUNCTION("""COMPUTED_VALUE"""),50.13)</f>
        <v>50.13</v>
      </c>
      <c r="C2379" s="1">
        <f>IFERROR(__xludf.DUMMYFUNCTION("""COMPUTED_VALUE"""),50.75)</f>
        <v>50.75</v>
      </c>
      <c r="D2379" s="1">
        <f>IFERROR(__xludf.DUMMYFUNCTION("""COMPUTED_VALUE"""),50.0)</f>
        <v>50</v>
      </c>
      <c r="E2379" s="1">
        <f>IFERROR(__xludf.DUMMYFUNCTION("""COMPUTED_VALUE"""),50.01)</f>
        <v>50.01</v>
      </c>
      <c r="F2379" s="1">
        <f>IFERROR(__xludf.DUMMYFUNCTION("""COMPUTED_VALUE"""),1.2711993E7)</f>
        <v>12711993</v>
      </c>
    </row>
    <row r="2380">
      <c r="A2380" s="2">
        <f>IFERROR(__xludf.DUMMYFUNCTION("""COMPUTED_VALUE"""),39982.666666666664)</f>
        <v>39982.66667</v>
      </c>
      <c r="B2380" s="1">
        <f>IFERROR(__xludf.DUMMYFUNCTION("""COMPUTED_VALUE"""),50.07)</f>
        <v>50.07</v>
      </c>
      <c r="C2380" s="1">
        <f>IFERROR(__xludf.DUMMYFUNCTION("""COMPUTED_VALUE"""),51.36)</f>
        <v>51.36</v>
      </c>
      <c r="D2380" s="1">
        <f>IFERROR(__xludf.DUMMYFUNCTION("""COMPUTED_VALUE"""),50.01)</f>
        <v>50.01</v>
      </c>
      <c r="E2380" s="1">
        <f>IFERROR(__xludf.DUMMYFUNCTION("""COMPUTED_VALUE"""),51.17)</f>
        <v>51.17</v>
      </c>
      <c r="F2380" s="1">
        <f>IFERROR(__xludf.DUMMYFUNCTION("""COMPUTED_VALUE"""),1.2999798E7)</f>
        <v>12999798</v>
      </c>
    </row>
    <row r="2381">
      <c r="A2381" s="2">
        <f>IFERROR(__xludf.DUMMYFUNCTION("""COMPUTED_VALUE"""),39983.666666666664)</f>
        <v>39983.66667</v>
      </c>
      <c r="B2381" s="1">
        <f>IFERROR(__xludf.DUMMYFUNCTION("""COMPUTED_VALUE"""),51.28)</f>
        <v>51.28</v>
      </c>
      <c r="C2381" s="1">
        <f>IFERROR(__xludf.DUMMYFUNCTION("""COMPUTED_VALUE"""),51.47)</f>
        <v>51.47</v>
      </c>
      <c r="D2381" s="1">
        <f>IFERROR(__xludf.DUMMYFUNCTION("""COMPUTED_VALUE"""),50.24)</f>
        <v>50.24</v>
      </c>
      <c r="E2381" s="1">
        <f>IFERROR(__xludf.DUMMYFUNCTION("""COMPUTED_VALUE"""),50.64)</f>
        <v>50.64</v>
      </c>
      <c r="F2381" s="1">
        <f>IFERROR(__xludf.DUMMYFUNCTION("""COMPUTED_VALUE"""),1.9541888E7)</f>
        <v>19541888</v>
      </c>
    </row>
    <row r="2382">
      <c r="A2382" s="2">
        <f>IFERROR(__xludf.DUMMYFUNCTION("""COMPUTED_VALUE"""),39986.666666666664)</f>
        <v>39986.66667</v>
      </c>
      <c r="B2382" s="1">
        <f>IFERROR(__xludf.DUMMYFUNCTION("""COMPUTED_VALUE"""),50.33)</f>
        <v>50.33</v>
      </c>
      <c r="C2382" s="1">
        <f>IFERROR(__xludf.DUMMYFUNCTION("""COMPUTED_VALUE"""),50.87)</f>
        <v>50.87</v>
      </c>
      <c r="D2382" s="1">
        <f>IFERROR(__xludf.DUMMYFUNCTION("""COMPUTED_VALUE"""),50.33)</f>
        <v>50.33</v>
      </c>
      <c r="E2382" s="1">
        <f>IFERROR(__xludf.DUMMYFUNCTION("""COMPUTED_VALUE"""),50.56)</f>
        <v>50.56</v>
      </c>
      <c r="F2382" s="1">
        <f>IFERROR(__xludf.DUMMYFUNCTION("""COMPUTED_VALUE"""),1.2992256E7)</f>
        <v>12992256</v>
      </c>
    </row>
    <row r="2383">
      <c r="A2383" s="2">
        <f>IFERROR(__xludf.DUMMYFUNCTION("""COMPUTED_VALUE"""),39987.666666666664)</f>
        <v>39987.66667</v>
      </c>
      <c r="B2383" s="1">
        <f>IFERROR(__xludf.DUMMYFUNCTION("""COMPUTED_VALUE"""),50.52)</f>
        <v>50.52</v>
      </c>
      <c r="C2383" s="1">
        <f>IFERROR(__xludf.DUMMYFUNCTION("""COMPUTED_VALUE"""),50.82)</f>
        <v>50.82</v>
      </c>
      <c r="D2383" s="1">
        <f>IFERROR(__xludf.DUMMYFUNCTION("""COMPUTED_VALUE"""),50.39)</f>
        <v>50.39</v>
      </c>
      <c r="E2383" s="1">
        <f>IFERROR(__xludf.DUMMYFUNCTION("""COMPUTED_VALUE"""),50.55)</f>
        <v>50.55</v>
      </c>
      <c r="F2383" s="1">
        <f>IFERROR(__xludf.DUMMYFUNCTION("""COMPUTED_VALUE"""),1.0611787E7)</f>
        <v>10611787</v>
      </c>
    </row>
    <row r="2384">
      <c r="A2384" s="2">
        <f>IFERROR(__xludf.DUMMYFUNCTION("""COMPUTED_VALUE"""),39988.666666666664)</f>
        <v>39988.66667</v>
      </c>
      <c r="B2384" s="1">
        <f>IFERROR(__xludf.DUMMYFUNCTION("""COMPUTED_VALUE"""),50.58)</f>
        <v>50.58</v>
      </c>
      <c r="C2384" s="1">
        <f>IFERROR(__xludf.DUMMYFUNCTION("""COMPUTED_VALUE"""),50.98)</f>
        <v>50.98</v>
      </c>
      <c r="D2384" s="1">
        <f>IFERROR(__xludf.DUMMYFUNCTION("""COMPUTED_VALUE"""),50.06)</f>
        <v>50.06</v>
      </c>
      <c r="E2384" s="1">
        <f>IFERROR(__xludf.DUMMYFUNCTION("""COMPUTED_VALUE"""),50.55)</f>
        <v>50.55</v>
      </c>
      <c r="F2384" s="1">
        <f>IFERROR(__xludf.DUMMYFUNCTION("""COMPUTED_VALUE"""),1.2398967E7)</f>
        <v>12398967</v>
      </c>
    </row>
    <row r="2385">
      <c r="A2385" s="2">
        <f>IFERROR(__xludf.DUMMYFUNCTION("""COMPUTED_VALUE"""),39989.666666666664)</f>
        <v>39989.66667</v>
      </c>
      <c r="B2385" s="1">
        <f>IFERROR(__xludf.DUMMYFUNCTION("""COMPUTED_VALUE"""),50.43)</f>
        <v>50.43</v>
      </c>
      <c r="C2385" s="1">
        <f>IFERROR(__xludf.DUMMYFUNCTION("""COMPUTED_VALUE"""),52.03)</f>
        <v>52.03</v>
      </c>
      <c r="D2385" s="1">
        <f>IFERROR(__xludf.DUMMYFUNCTION("""COMPUTED_VALUE"""),50.12)</f>
        <v>50.12</v>
      </c>
      <c r="E2385" s="1">
        <f>IFERROR(__xludf.DUMMYFUNCTION("""COMPUTED_VALUE"""),51.68)</f>
        <v>51.68</v>
      </c>
      <c r="F2385" s="1">
        <f>IFERROR(__xludf.DUMMYFUNCTION("""COMPUTED_VALUE"""),1.3723342E7)</f>
        <v>13723342</v>
      </c>
    </row>
    <row r="2386">
      <c r="A2386" s="2">
        <f>IFERROR(__xludf.DUMMYFUNCTION("""COMPUTED_VALUE"""),39990.666666666664)</f>
        <v>39990.66667</v>
      </c>
      <c r="B2386" s="1">
        <f>IFERROR(__xludf.DUMMYFUNCTION("""COMPUTED_VALUE"""),51.46)</f>
        <v>51.46</v>
      </c>
      <c r="C2386" s="1">
        <f>IFERROR(__xludf.DUMMYFUNCTION("""COMPUTED_VALUE"""),52.03)</f>
        <v>52.03</v>
      </c>
      <c r="D2386" s="1">
        <f>IFERROR(__xludf.DUMMYFUNCTION("""COMPUTED_VALUE"""),51.05)</f>
        <v>51.05</v>
      </c>
      <c r="E2386" s="1">
        <f>IFERROR(__xludf.DUMMYFUNCTION("""COMPUTED_VALUE"""),51.75)</f>
        <v>51.75</v>
      </c>
      <c r="F2386" s="1">
        <f>IFERROR(__xludf.DUMMYFUNCTION("""COMPUTED_VALUE"""),2.5129268E7)</f>
        <v>25129268</v>
      </c>
    </row>
    <row r="2387">
      <c r="A2387" s="2">
        <f>IFERROR(__xludf.DUMMYFUNCTION("""COMPUTED_VALUE"""),39993.666666666664)</f>
        <v>39993.66667</v>
      </c>
      <c r="B2387" s="1">
        <f>IFERROR(__xludf.DUMMYFUNCTION("""COMPUTED_VALUE"""),51.92)</f>
        <v>51.92</v>
      </c>
      <c r="C2387" s="1">
        <f>IFERROR(__xludf.DUMMYFUNCTION("""COMPUTED_VALUE"""),52.4)</f>
        <v>52.4</v>
      </c>
      <c r="D2387" s="1">
        <f>IFERROR(__xludf.DUMMYFUNCTION("""COMPUTED_VALUE"""),51.6)</f>
        <v>51.6</v>
      </c>
      <c r="E2387" s="1">
        <f>IFERROR(__xludf.DUMMYFUNCTION("""COMPUTED_VALUE"""),52.23)</f>
        <v>52.23</v>
      </c>
      <c r="F2387" s="1">
        <f>IFERROR(__xludf.DUMMYFUNCTION("""COMPUTED_VALUE"""),8899844.0)</f>
        <v>8899844</v>
      </c>
    </row>
    <row r="2388">
      <c r="A2388" s="2">
        <f>IFERROR(__xludf.DUMMYFUNCTION("""COMPUTED_VALUE"""),39994.666666666664)</f>
        <v>39994.66667</v>
      </c>
      <c r="B2388" s="1">
        <f>IFERROR(__xludf.DUMMYFUNCTION("""COMPUTED_VALUE"""),52.23)</f>
        <v>52.23</v>
      </c>
      <c r="C2388" s="1">
        <f>IFERROR(__xludf.DUMMYFUNCTION("""COMPUTED_VALUE"""),52.23)</f>
        <v>52.23</v>
      </c>
      <c r="D2388" s="1">
        <f>IFERROR(__xludf.DUMMYFUNCTION("""COMPUTED_VALUE"""),50.75)</f>
        <v>50.75</v>
      </c>
      <c r="E2388" s="1">
        <f>IFERROR(__xludf.DUMMYFUNCTION("""COMPUTED_VALUE"""),51.1)</f>
        <v>51.1</v>
      </c>
      <c r="F2388" s="1">
        <f>IFERROR(__xludf.DUMMYFUNCTION("""COMPUTED_VALUE"""),1.4394305E7)</f>
        <v>14394305</v>
      </c>
    </row>
    <row r="2389">
      <c r="A2389" s="2">
        <f>IFERROR(__xludf.DUMMYFUNCTION("""COMPUTED_VALUE"""),39995.666666666664)</f>
        <v>39995.66667</v>
      </c>
      <c r="B2389" s="1">
        <f>IFERROR(__xludf.DUMMYFUNCTION("""COMPUTED_VALUE"""),51.47)</f>
        <v>51.47</v>
      </c>
      <c r="C2389" s="1">
        <f>IFERROR(__xludf.DUMMYFUNCTION("""COMPUTED_VALUE"""),52.53)</f>
        <v>52.53</v>
      </c>
      <c r="D2389" s="1">
        <f>IFERROR(__xludf.DUMMYFUNCTION("""COMPUTED_VALUE"""),51.28)</f>
        <v>51.28</v>
      </c>
      <c r="E2389" s="1">
        <f>IFERROR(__xludf.DUMMYFUNCTION("""COMPUTED_VALUE"""),52.0)</f>
        <v>52</v>
      </c>
      <c r="F2389" s="1">
        <f>IFERROR(__xludf.DUMMYFUNCTION("""COMPUTED_VALUE"""),1.4314246E7)</f>
        <v>14314246</v>
      </c>
    </row>
    <row r="2390">
      <c r="A2390" s="2">
        <f>IFERROR(__xludf.DUMMYFUNCTION("""COMPUTED_VALUE"""),39996.666666666664)</f>
        <v>39996.66667</v>
      </c>
      <c r="B2390" s="1">
        <f>IFERROR(__xludf.DUMMYFUNCTION("""COMPUTED_VALUE"""),51.79)</f>
        <v>51.79</v>
      </c>
      <c r="C2390" s="1">
        <f>IFERROR(__xludf.DUMMYFUNCTION("""COMPUTED_VALUE"""),51.83)</f>
        <v>51.83</v>
      </c>
      <c r="D2390" s="1">
        <f>IFERROR(__xludf.DUMMYFUNCTION("""COMPUTED_VALUE"""),50.74)</f>
        <v>50.74</v>
      </c>
      <c r="E2390" s="1">
        <f>IFERROR(__xludf.DUMMYFUNCTION("""COMPUTED_VALUE"""),51.11)</f>
        <v>51.11</v>
      </c>
      <c r="F2390" s="1">
        <f>IFERROR(__xludf.DUMMYFUNCTION("""COMPUTED_VALUE"""),1.5213406E7)</f>
        <v>15213406</v>
      </c>
    </row>
    <row r="2391">
      <c r="A2391" s="2">
        <f>IFERROR(__xludf.DUMMYFUNCTION("""COMPUTED_VALUE"""),39997.666666666664)</f>
        <v>39997.66667</v>
      </c>
      <c r="B2391" s="1">
        <f>IFERROR(__xludf.DUMMYFUNCTION("""COMPUTED_VALUE"""),51.79)</f>
        <v>51.79</v>
      </c>
      <c r="C2391" s="1">
        <f>IFERROR(__xludf.DUMMYFUNCTION("""COMPUTED_VALUE"""),51.83)</f>
        <v>51.83</v>
      </c>
      <c r="D2391" s="1">
        <f>IFERROR(__xludf.DUMMYFUNCTION("""COMPUTED_VALUE"""),50.74)</f>
        <v>50.74</v>
      </c>
      <c r="E2391" s="1">
        <f>IFERROR(__xludf.DUMMYFUNCTION("""COMPUTED_VALUE"""),51.11)</f>
        <v>51.11</v>
      </c>
      <c r="F2391" s="1">
        <f>IFERROR(__xludf.DUMMYFUNCTION("""COMPUTED_VALUE"""),1.5213406E7)</f>
        <v>15213406</v>
      </c>
    </row>
    <row r="2392">
      <c r="A2392" s="2">
        <f>IFERROR(__xludf.DUMMYFUNCTION("""COMPUTED_VALUE"""),40000.666666666664)</f>
        <v>40000.66667</v>
      </c>
      <c r="B2392" s="1">
        <f>IFERROR(__xludf.DUMMYFUNCTION("""COMPUTED_VALUE"""),50.75)</f>
        <v>50.75</v>
      </c>
      <c r="C2392" s="1">
        <f>IFERROR(__xludf.DUMMYFUNCTION("""COMPUTED_VALUE"""),52.42)</f>
        <v>52.42</v>
      </c>
      <c r="D2392" s="1">
        <f>IFERROR(__xludf.DUMMYFUNCTION("""COMPUTED_VALUE"""),50.52)</f>
        <v>50.52</v>
      </c>
      <c r="E2392" s="1">
        <f>IFERROR(__xludf.DUMMYFUNCTION("""COMPUTED_VALUE"""),52.17)</f>
        <v>52.17</v>
      </c>
      <c r="F2392" s="1">
        <f>IFERROR(__xludf.DUMMYFUNCTION("""COMPUTED_VALUE"""),1.6040821E7)</f>
        <v>16040821</v>
      </c>
    </row>
    <row r="2393">
      <c r="A2393" s="2">
        <f>IFERROR(__xludf.DUMMYFUNCTION("""COMPUTED_VALUE"""),40001.666666666664)</f>
        <v>40001.66667</v>
      </c>
      <c r="B2393" s="1">
        <f>IFERROR(__xludf.DUMMYFUNCTION("""COMPUTED_VALUE"""),51.99)</f>
        <v>51.99</v>
      </c>
      <c r="C2393" s="1">
        <f>IFERROR(__xludf.DUMMYFUNCTION("""COMPUTED_VALUE"""),52.44)</f>
        <v>52.44</v>
      </c>
      <c r="D2393" s="1">
        <f>IFERROR(__xludf.DUMMYFUNCTION("""COMPUTED_VALUE"""),51.63)</f>
        <v>51.63</v>
      </c>
      <c r="E2393" s="1">
        <f>IFERROR(__xludf.DUMMYFUNCTION("""COMPUTED_VALUE"""),51.91)</f>
        <v>51.91</v>
      </c>
      <c r="F2393" s="1">
        <f>IFERROR(__xludf.DUMMYFUNCTION("""COMPUTED_VALUE"""),1.3430496E7)</f>
        <v>13430496</v>
      </c>
    </row>
    <row r="2394">
      <c r="A2394" s="2">
        <f>IFERROR(__xludf.DUMMYFUNCTION("""COMPUTED_VALUE"""),40002.666666666664)</f>
        <v>40002.66667</v>
      </c>
      <c r="B2394" s="1">
        <f>IFERROR(__xludf.DUMMYFUNCTION("""COMPUTED_VALUE"""),52.02)</f>
        <v>52.02</v>
      </c>
      <c r="C2394" s="1">
        <f>IFERROR(__xludf.DUMMYFUNCTION("""COMPUTED_VALUE"""),52.81)</f>
        <v>52.81</v>
      </c>
      <c r="D2394" s="1">
        <f>IFERROR(__xludf.DUMMYFUNCTION("""COMPUTED_VALUE"""),51.54)</f>
        <v>51.54</v>
      </c>
      <c r="E2394" s="1">
        <f>IFERROR(__xludf.DUMMYFUNCTION("""COMPUTED_VALUE"""),52.64)</f>
        <v>52.64</v>
      </c>
      <c r="F2394" s="1">
        <f>IFERROR(__xludf.DUMMYFUNCTION("""COMPUTED_VALUE"""),1.6899452E7)</f>
        <v>16899452</v>
      </c>
    </row>
    <row r="2395">
      <c r="A2395" s="2">
        <f>IFERROR(__xludf.DUMMYFUNCTION("""COMPUTED_VALUE"""),40003.666666666664)</f>
        <v>40003.66667</v>
      </c>
      <c r="B2395" s="1">
        <f>IFERROR(__xludf.DUMMYFUNCTION("""COMPUTED_VALUE"""),52.65)</f>
        <v>52.65</v>
      </c>
      <c r="C2395" s="1">
        <f>IFERROR(__xludf.DUMMYFUNCTION("""COMPUTED_VALUE"""),52.75)</f>
        <v>52.75</v>
      </c>
      <c r="D2395" s="1">
        <f>IFERROR(__xludf.DUMMYFUNCTION("""COMPUTED_VALUE"""),52.18)</f>
        <v>52.18</v>
      </c>
      <c r="E2395" s="1">
        <f>IFERROR(__xludf.DUMMYFUNCTION("""COMPUTED_VALUE"""),52.41)</f>
        <v>52.41</v>
      </c>
      <c r="F2395" s="1">
        <f>IFERROR(__xludf.DUMMYFUNCTION("""COMPUTED_VALUE"""),1.1648017E7)</f>
        <v>11648017</v>
      </c>
    </row>
    <row r="2396">
      <c r="A2396" s="2">
        <f>IFERROR(__xludf.DUMMYFUNCTION("""COMPUTED_VALUE"""),40004.666666666664)</f>
        <v>40004.66667</v>
      </c>
      <c r="B2396" s="1">
        <f>IFERROR(__xludf.DUMMYFUNCTION("""COMPUTED_VALUE"""),52.18)</f>
        <v>52.18</v>
      </c>
      <c r="C2396" s="1">
        <f>IFERROR(__xludf.DUMMYFUNCTION("""COMPUTED_VALUE"""),52.5)</f>
        <v>52.5</v>
      </c>
      <c r="D2396" s="1">
        <f>IFERROR(__xludf.DUMMYFUNCTION("""COMPUTED_VALUE"""),51.94)</f>
        <v>51.94</v>
      </c>
      <c r="E2396" s="1">
        <f>IFERROR(__xludf.DUMMYFUNCTION("""COMPUTED_VALUE"""),52.22)</f>
        <v>52.22</v>
      </c>
      <c r="F2396" s="1">
        <f>IFERROR(__xludf.DUMMYFUNCTION("""COMPUTED_VALUE"""),9267388.0)</f>
        <v>9267388</v>
      </c>
    </row>
    <row r="2397">
      <c r="A2397" s="2">
        <f>IFERROR(__xludf.DUMMYFUNCTION("""COMPUTED_VALUE"""),40007.666666666664)</f>
        <v>40007.66667</v>
      </c>
      <c r="B2397" s="1">
        <f>IFERROR(__xludf.DUMMYFUNCTION("""COMPUTED_VALUE"""),52.06)</f>
        <v>52.06</v>
      </c>
      <c r="C2397" s="1">
        <f>IFERROR(__xludf.DUMMYFUNCTION("""COMPUTED_VALUE"""),53.14)</f>
        <v>53.14</v>
      </c>
      <c r="D2397" s="1">
        <f>IFERROR(__xludf.DUMMYFUNCTION("""COMPUTED_VALUE"""),52.05)</f>
        <v>52.05</v>
      </c>
      <c r="E2397" s="1">
        <f>IFERROR(__xludf.DUMMYFUNCTION("""COMPUTED_VALUE"""),52.98)</f>
        <v>52.98</v>
      </c>
      <c r="F2397" s="1">
        <f>IFERROR(__xludf.DUMMYFUNCTION("""COMPUTED_VALUE"""),1.2289014E7)</f>
        <v>12289014</v>
      </c>
    </row>
    <row r="2398">
      <c r="A2398" s="2">
        <f>IFERROR(__xludf.DUMMYFUNCTION("""COMPUTED_VALUE"""),40008.666666666664)</f>
        <v>40008.66667</v>
      </c>
      <c r="B2398" s="1">
        <f>IFERROR(__xludf.DUMMYFUNCTION("""COMPUTED_VALUE"""),53.07)</f>
        <v>53.07</v>
      </c>
      <c r="C2398" s="1">
        <f>IFERROR(__xludf.DUMMYFUNCTION("""COMPUTED_VALUE"""),53.77)</f>
        <v>53.77</v>
      </c>
      <c r="D2398" s="1">
        <f>IFERROR(__xludf.DUMMYFUNCTION("""COMPUTED_VALUE"""),52.74)</f>
        <v>52.74</v>
      </c>
      <c r="E2398" s="1">
        <f>IFERROR(__xludf.DUMMYFUNCTION("""COMPUTED_VALUE"""),53.54)</f>
        <v>53.54</v>
      </c>
      <c r="F2398" s="1">
        <f>IFERROR(__xludf.DUMMYFUNCTION("""COMPUTED_VALUE"""),1.2817301E7)</f>
        <v>12817301</v>
      </c>
    </row>
    <row r="2399">
      <c r="A2399" s="2">
        <f>IFERROR(__xludf.DUMMYFUNCTION("""COMPUTED_VALUE"""),40009.666666666664)</f>
        <v>40009.66667</v>
      </c>
      <c r="B2399" s="1">
        <f>IFERROR(__xludf.DUMMYFUNCTION("""COMPUTED_VALUE"""),53.61)</f>
        <v>53.61</v>
      </c>
      <c r="C2399" s="1">
        <f>IFERROR(__xludf.DUMMYFUNCTION("""COMPUTED_VALUE"""),54.73)</f>
        <v>54.73</v>
      </c>
      <c r="D2399" s="1">
        <f>IFERROR(__xludf.DUMMYFUNCTION("""COMPUTED_VALUE"""),53.5)</f>
        <v>53.5</v>
      </c>
      <c r="E2399" s="1">
        <f>IFERROR(__xludf.DUMMYFUNCTION("""COMPUTED_VALUE"""),54.65)</f>
        <v>54.65</v>
      </c>
      <c r="F2399" s="1">
        <f>IFERROR(__xludf.DUMMYFUNCTION("""COMPUTED_VALUE"""),1.5161257E7)</f>
        <v>15161257</v>
      </c>
    </row>
    <row r="2400">
      <c r="A2400" s="2">
        <f>IFERROR(__xludf.DUMMYFUNCTION("""COMPUTED_VALUE"""),40010.666666666664)</f>
        <v>40010.66667</v>
      </c>
      <c r="B2400" s="1">
        <f>IFERROR(__xludf.DUMMYFUNCTION("""COMPUTED_VALUE"""),54.65)</f>
        <v>54.65</v>
      </c>
      <c r="C2400" s="1">
        <f>IFERROR(__xludf.DUMMYFUNCTION("""COMPUTED_VALUE"""),55.44)</f>
        <v>55.44</v>
      </c>
      <c r="D2400" s="1">
        <f>IFERROR(__xludf.DUMMYFUNCTION("""COMPUTED_VALUE"""),54.5)</f>
        <v>54.5</v>
      </c>
      <c r="E2400" s="1">
        <f>IFERROR(__xludf.DUMMYFUNCTION("""COMPUTED_VALUE"""),55.21)</f>
        <v>55.21</v>
      </c>
      <c r="F2400" s="1">
        <f>IFERROR(__xludf.DUMMYFUNCTION("""COMPUTED_VALUE"""),1.2621965E7)</f>
        <v>12621965</v>
      </c>
    </row>
    <row r="2401">
      <c r="A2401" s="2">
        <f>IFERROR(__xludf.DUMMYFUNCTION("""COMPUTED_VALUE"""),40011.666666666664)</f>
        <v>40011.66667</v>
      </c>
      <c r="B2401" s="1">
        <f>IFERROR(__xludf.DUMMYFUNCTION("""COMPUTED_VALUE"""),55.26)</f>
        <v>55.26</v>
      </c>
      <c r="C2401" s="1">
        <f>IFERROR(__xludf.DUMMYFUNCTION("""COMPUTED_VALUE"""),55.92)</f>
        <v>55.92</v>
      </c>
      <c r="D2401" s="1">
        <f>IFERROR(__xludf.DUMMYFUNCTION("""COMPUTED_VALUE"""),54.93)</f>
        <v>54.93</v>
      </c>
      <c r="E2401" s="1">
        <f>IFERROR(__xludf.DUMMYFUNCTION("""COMPUTED_VALUE"""),55.92)</f>
        <v>55.92</v>
      </c>
      <c r="F2401" s="1">
        <f>IFERROR(__xludf.DUMMYFUNCTION("""COMPUTED_VALUE"""),1.3344842E7)</f>
        <v>13344842</v>
      </c>
    </row>
    <row r="2402">
      <c r="A2402" s="2">
        <f>IFERROR(__xludf.DUMMYFUNCTION("""COMPUTED_VALUE"""),40014.666666666664)</f>
        <v>40014.66667</v>
      </c>
      <c r="B2402" s="1">
        <f>IFERROR(__xludf.DUMMYFUNCTION("""COMPUTED_VALUE"""),56.01)</f>
        <v>56.01</v>
      </c>
      <c r="C2402" s="1">
        <f>IFERROR(__xludf.DUMMYFUNCTION("""COMPUTED_VALUE"""),56.03)</f>
        <v>56.03</v>
      </c>
      <c r="D2402" s="1">
        <f>IFERROR(__xludf.DUMMYFUNCTION("""COMPUTED_VALUE"""),55.15)</f>
        <v>55.15</v>
      </c>
      <c r="E2402" s="1">
        <f>IFERROR(__xludf.DUMMYFUNCTION("""COMPUTED_VALUE"""),55.56)</f>
        <v>55.56</v>
      </c>
      <c r="F2402" s="1">
        <f>IFERROR(__xludf.DUMMYFUNCTION("""COMPUTED_VALUE"""),1.0925306E7)</f>
        <v>10925306</v>
      </c>
    </row>
    <row r="2403">
      <c r="A2403" s="2">
        <f>IFERROR(__xludf.DUMMYFUNCTION("""COMPUTED_VALUE"""),40015.666666666664)</f>
        <v>40015.66667</v>
      </c>
      <c r="B2403" s="1">
        <f>IFERROR(__xludf.DUMMYFUNCTION("""COMPUTED_VALUE"""),55.94)</f>
        <v>55.94</v>
      </c>
      <c r="C2403" s="1">
        <f>IFERROR(__xludf.DUMMYFUNCTION("""COMPUTED_VALUE"""),56.18)</f>
        <v>56.18</v>
      </c>
      <c r="D2403" s="1">
        <f>IFERROR(__xludf.DUMMYFUNCTION("""COMPUTED_VALUE"""),52.0)</f>
        <v>52</v>
      </c>
      <c r="E2403" s="1">
        <f>IFERROR(__xludf.DUMMYFUNCTION("""COMPUTED_VALUE"""),55.49)</f>
        <v>55.49</v>
      </c>
      <c r="F2403" s="1">
        <f>IFERROR(__xludf.DUMMYFUNCTION("""COMPUTED_VALUE"""),1.1131733E7)</f>
        <v>11131733</v>
      </c>
    </row>
    <row r="2404">
      <c r="A2404" s="2">
        <f>IFERROR(__xludf.DUMMYFUNCTION("""COMPUTED_VALUE"""),40016.666666666664)</f>
        <v>40016.66667</v>
      </c>
      <c r="B2404" s="1">
        <f>IFERROR(__xludf.DUMMYFUNCTION("""COMPUTED_VALUE"""),55.16)</f>
        <v>55.16</v>
      </c>
      <c r="C2404" s="1">
        <f>IFERROR(__xludf.DUMMYFUNCTION("""COMPUTED_VALUE"""),55.36)</f>
        <v>55.36</v>
      </c>
      <c r="D2404" s="1">
        <f>IFERROR(__xludf.DUMMYFUNCTION("""COMPUTED_VALUE"""),54.65)</f>
        <v>54.65</v>
      </c>
      <c r="E2404" s="1">
        <f>IFERROR(__xludf.DUMMYFUNCTION("""COMPUTED_VALUE"""),54.87)</f>
        <v>54.87</v>
      </c>
      <c r="F2404" s="1">
        <f>IFERROR(__xludf.DUMMYFUNCTION("""COMPUTED_VALUE"""),1.0000051E7)</f>
        <v>10000051</v>
      </c>
    </row>
    <row r="2405">
      <c r="A2405" s="2">
        <f>IFERROR(__xludf.DUMMYFUNCTION("""COMPUTED_VALUE"""),40017.666666666664)</f>
        <v>40017.66667</v>
      </c>
      <c r="B2405" s="1">
        <f>IFERROR(__xludf.DUMMYFUNCTION("""COMPUTED_VALUE"""),54.93)</f>
        <v>54.93</v>
      </c>
      <c r="C2405" s="1">
        <f>IFERROR(__xludf.DUMMYFUNCTION("""COMPUTED_VALUE"""),55.56)</f>
        <v>55.56</v>
      </c>
      <c r="D2405" s="1">
        <f>IFERROR(__xludf.DUMMYFUNCTION("""COMPUTED_VALUE"""),54.8)</f>
        <v>54.8</v>
      </c>
      <c r="E2405" s="1">
        <f>IFERROR(__xludf.DUMMYFUNCTION("""COMPUTED_VALUE"""),55.16)</f>
        <v>55.16</v>
      </c>
      <c r="F2405" s="1">
        <f>IFERROR(__xludf.DUMMYFUNCTION("""COMPUTED_VALUE"""),1.5014679E7)</f>
        <v>15014679</v>
      </c>
    </row>
    <row r="2406">
      <c r="A2406" s="2">
        <f>IFERROR(__xludf.DUMMYFUNCTION("""COMPUTED_VALUE"""),40018.666666666664)</f>
        <v>40018.66667</v>
      </c>
      <c r="B2406" s="1">
        <f>IFERROR(__xludf.DUMMYFUNCTION("""COMPUTED_VALUE"""),55.64)</f>
        <v>55.64</v>
      </c>
      <c r="C2406" s="1">
        <f>IFERROR(__xludf.DUMMYFUNCTION("""COMPUTED_VALUE"""),55.9)</f>
        <v>55.9</v>
      </c>
      <c r="D2406" s="1">
        <f>IFERROR(__xludf.DUMMYFUNCTION("""COMPUTED_VALUE"""),55.33)</f>
        <v>55.33</v>
      </c>
      <c r="E2406" s="1">
        <f>IFERROR(__xludf.DUMMYFUNCTION("""COMPUTED_VALUE"""),55.84)</f>
        <v>55.84</v>
      </c>
      <c r="F2406" s="1">
        <f>IFERROR(__xludf.DUMMYFUNCTION("""COMPUTED_VALUE"""),8710219.0)</f>
        <v>8710219</v>
      </c>
    </row>
    <row r="2407">
      <c r="A2407" s="2">
        <f>IFERROR(__xludf.DUMMYFUNCTION("""COMPUTED_VALUE"""),40021.666666666664)</f>
        <v>40021.66667</v>
      </c>
      <c r="B2407" s="1">
        <f>IFERROR(__xludf.DUMMYFUNCTION("""COMPUTED_VALUE"""),55.89)</f>
        <v>55.89</v>
      </c>
      <c r="C2407" s="1">
        <f>IFERROR(__xludf.DUMMYFUNCTION("""COMPUTED_VALUE"""),55.98)</f>
        <v>55.98</v>
      </c>
      <c r="D2407" s="1">
        <f>IFERROR(__xludf.DUMMYFUNCTION("""COMPUTED_VALUE"""),55.35)</f>
        <v>55.35</v>
      </c>
      <c r="E2407" s="1">
        <f>IFERROR(__xludf.DUMMYFUNCTION("""COMPUTED_VALUE"""),55.78)</f>
        <v>55.78</v>
      </c>
      <c r="F2407" s="1">
        <f>IFERROR(__xludf.DUMMYFUNCTION("""COMPUTED_VALUE"""),6868856.0)</f>
        <v>6868856</v>
      </c>
    </row>
    <row r="2408">
      <c r="A2408" s="2">
        <f>IFERROR(__xludf.DUMMYFUNCTION("""COMPUTED_VALUE"""),40022.666666666664)</f>
        <v>40022.66667</v>
      </c>
      <c r="B2408" s="1">
        <f>IFERROR(__xludf.DUMMYFUNCTION("""COMPUTED_VALUE"""),55.6)</f>
        <v>55.6</v>
      </c>
      <c r="C2408" s="1">
        <f>IFERROR(__xludf.DUMMYFUNCTION("""COMPUTED_VALUE"""),55.96)</f>
        <v>55.96</v>
      </c>
      <c r="D2408" s="1">
        <f>IFERROR(__xludf.DUMMYFUNCTION("""COMPUTED_VALUE"""),55.28)</f>
        <v>55.28</v>
      </c>
      <c r="E2408" s="1">
        <f>IFERROR(__xludf.DUMMYFUNCTION("""COMPUTED_VALUE"""),55.71)</f>
        <v>55.71</v>
      </c>
      <c r="F2408" s="1">
        <f>IFERROR(__xludf.DUMMYFUNCTION("""COMPUTED_VALUE"""),8147204.0)</f>
        <v>8147204</v>
      </c>
    </row>
    <row r="2409">
      <c r="A2409" s="2">
        <f>IFERROR(__xludf.DUMMYFUNCTION("""COMPUTED_VALUE"""),40023.666666666664)</f>
        <v>40023.66667</v>
      </c>
      <c r="B2409" s="1">
        <f>IFERROR(__xludf.DUMMYFUNCTION("""COMPUTED_VALUE"""),55.56)</f>
        <v>55.56</v>
      </c>
      <c r="C2409" s="1">
        <f>IFERROR(__xludf.DUMMYFUNCTION("""COMPUTED_VALUE"""),56.37)</f>
        <v>56.37</v>
      </c>
      <c r="D2409" s="1">
        <f>IFERROR(__xludf.DUMMYFUNCTION("""COMPUTED_VALUE"""),55.56)</f>
        <v>55.56</v>
      </c>
      <c r="E2409" s="1">
        <f>IFERROR(__xludf.DUMMYFUNCTION("""COMPUTED_VALUE"""),56.12)</f>
        <v>56.12</v>
      </c>
      <c r="F2409" s="1">
        <f>IFERROR(__xludf.DUMMYFUNCTION("""COMPUTED_VALUE"""),9666225.0)</f>
        <v>9666225</v>
      </c>
    </row>
    <row r="2410">
      <c r="A2410" s="2">
        <f>IFERROR(__xludf.DUMMYFUNCTION("""COMPUTED_VALUE"""),40024.666666666664)</f>
        <v>40024.66667</v>
      </c>
      <c r="B2410" s="1">
        <f>IFERROR(__xludf.DUMMYFUNCTION("""COMPUTED_VALUE"""),56.57)</f>
        <v>56.57</v>
      </c>
      <c r="C2410" s="1">
        <f>IFERROR(__xludf.DUMMYFUNCTION("""COMPUTED_VALUE"""),57.0)</f>
        <v>57</v>
      </c>
      <c r="D2410" s="1">
        <f>IFERROR(__xludf.DUMMYFUNCTION("""COMPUTED_VALUE"""),55.93)</f>
        <v>55.93</v>
      </c>
      <c r="E2410" s="1">
        <f>IFERROR(__xludf.DUMMYFUNCTION("""COMPUTED_VALUE"""),56.23)</f>
        <v>56.23</v>
      </c>
      <c r="F2410" s="1">
        <f>IFERROR(__xludf.DUMMYFUNCTION("""COMPUTED_VALUE"""),1.1966578E7)</f>
        <v>11966578</v>
      </c>
    </row>
    <row r="2411">
      <c r="A2411" s="2">
        <f>IFERROR(__xludf.DUMMYFUNCTION("""COMPUTED_VALUE"""),40025.666666666664)</f>
        <v>40025.66667</v>
      </c>
      <c r="B2411" s="1">
        <f>IFERROR(__xludf.DUMMYFUNCTION("""COMPUTED_VALUE"""),56.2)</f>
        <v>56.2</v>
      </c>
      <c r="C2411" s="1">
        <f>IFERROR(__xludf.DUMMYFUNCTION("""COMPUTED_VALUE"""),56.75)</f>
        <v>56.75</v>
      </c>
      <c r="D2411" s="1">
        <f>IFERROR(__xludf.DUMMYFUNCTION("""COMPUTED_VALUE"""),55.43)</f>
        <v>55.43</v>
      </c>
      <c r="E2411" s="1">
        <f>IFERROR(__xludf.DUMMYFUNCTION("""COMPUTED_VALUE"""),55.51)</f>
        <v>55.51</v>
      </c>
      <c r="F2411" s="1">
        <f>IFERROR(__xludf.DUMMYFUNCTION("""COMPUTED_VALUE"""),1.2663818E7)</f>
        <v>12663818</v>
      </c>
    </row>
    <row r="2412">
      <c r="A2412" s="2">
        <f>IFERROR(__xludf.DUMMYFUNCTION("""COMPUTED_VALUE"""),40028.666666666664)</f>
        <v>40028.66667</v>
      </c>
      <c r="B2412" s="1">
        <f>IFERROR(__xludf.DUMMYFUNCTION("""COMPUTED_VALUE"""),55.96)</f>
        <v>55.96</v>
      </c>
      <c r="C2412" s="1">
        <f>IFERROR(__xludf.DUMMYFUNCTION("""COMPUTED_VALUE"""),56.0)</f>
        <v>56</v>
      </c>
      <c r="D2412" s="1">
        <f>IFERROR(__xludf.DUMMYFUNCTION("""COMPUTED_VALUE"""),55.0)</f>
        <v>55</v>
      </c>
      <c r="E2412" s="1">
        <f>IFERROR(__xludf.DUMMYFUNCTION("""COMPUTED_VALUE"""),55.61)</f>
        <v>55.61</v>
      </c>
      <c r="F2412" s="1">
        <f>IFERROR(__xludf.DUMMYFUNCTION("""COMPUTED_VALUE"""),1.12277E7)</f>
        <v>11227700</v>
      </c>
    </row>
    <row r="2413">
      <c r="A2413" s="2">
        <f>IFERROR(__xludf.DUMMYFUNCTION("""COMPUTED_VALUE"""),40029.666666666664)</f>
        <v>40029.66667</v>
      </c>
      <c r="B2413" s="1">
        <f>IFERROR(__xludf.DUMMYFUNCTION("""COMPUTED_VALUE"""),55.6)</f>
        <v>55.6</v>
      </c>
      <c r="C2413" s="1">
        <f>IFERROR(__xludf.DUMMYFUNCTION("""COMPUTED_VALUE"""),55.92)</f>
        <v>55.92</v>
      </c>
      <c r="D2413" s="1">
        <f>IFERROR(__xludf.DUMMYFUNCTION("""COMPUTED_VALUE"""),55.3)</f>
        <v>55.3</v>
      </c>
      <c r="E2413" s="1">
        <f>IFERROR(__xludf.DUMMYFUNCTION("""COMPUTED_VALUE"""),55.46)</f>
        <v>55.46</v>
      </c>
      <c r="F2413" s="1">
        <f>IFERROR(__xludf.DUMMYFUNCTION("""COMPUTED_VALUE"""),1.0994252E7)</f>
        <v>10994252</v>
      </c>
    </row>
    <row r="2414">
      <c r="A2414" s="2">
        <f>IFERROR(__xludf.DUMMYFUNCTION("""COMPUTED_VALUE"""),40030.666666666664)</f>
        <v>40030.66667</v>
      </c>
      <c r="B2414" s="1">
        <f>IFERROR(__xludf.DUMMYFUNCTION("""COMPUTED_VALUE"""),53.74)</f>
        <v>53.74</v>
      </c>
      <c r="C2414" s="1">
        <f>IFERROR(__xludf.DUMMYFUNCTION("""COMPUTED_VALUE"""),54.17)</f>
        <v>54.17</v>
      </c>
      <c r="D2414" s="1">
        <f>IFERROR(__xludf.DUMMYFUNCTION("""COMPUTED_VALUE"""),53.32)</f>
        <v>53.32</v>
      </c>
      <c r="E2414" s="1">
        <f>IFERROR(__xludf.DUMMYFUNCTION("""COMPUTED_VALUE"""),53.91)</f>
        <v>53.91</v>
      </c>
      <c r="F2414" s="1">
        <f>IFERROR(__xludf.DUMMYFUNCTION("""COMPUTED_VALUE"""),2.1315518E7)</f>
        <v>21315518</v>
      </c>
    </row>
    <row r="2415">
      <c r="A2415" s="2">
        <f>IFERROR(__xludf.DUMMYFUNCTION("""COMPUTED_VALUE"""),40031.666666666664)</f>
        <v>40031.66667</v>
      </c>
      <c r="B2415" s="1">
        <f>IFERROR(__xludf.DUMMYFUNCTION("""COMPUTED_VALUE"""),53.81)</f>
        <v>53.81</v>
      </c>
      <c r="C2415" s="1">
        <f>IFERROR(__xludf.DUMMYFUNCTION("""COMPUTED_VALUE"""),53.91)</f>
        <v>53.91</v>
      </c>
      <c r="D2415" s="1">
        <f>IFERROR(__xludf.DUMMYFUNCTION("""COMPUTED_VALUE"""),51.14)</f>
        <v>51.14</v>
      </c>
      <c r="E2415" s="1">
        <f>IFERROR(__xludf.DUMMYFUNCTION("""COMPUTED_VALUE"""),51.46)</f>
        <v>51.46</v>
      </c>
      <c r="F2415" s="1">
        <f>IFERROR(__xludf.DUMMYFUNCTION("""COMPUTED_VALUE"""),2.9716458E7)</f>
        <v>29716458</v>
      </c>
    </row>
    <row r="2416">
      <c r="A2416" s="2">
        <f>IFERROR(__xludf.DUMMYFUNCTION("""COMPUTED_VALUE"""),40032.666666666664)</f>
        <v>40032.66667</v>
      </c>
      <c r="B2416" s="1">
        <f>IFERROR(__xludf.DUMMYFUNCTION("""COMPUTED_VALUE"""),51.84)</f>
        <v>51.84</v>
      </c>
      <c r="C2416" s="1">
        <f>IFERROR(__xludf.DUMMYFUNCTION("""COMPUTED_VALUE"""),52.82)</f>
        <v>52.82</v>
      </c>
      <c r="D2416" s="1">
        <f>IFERROR(__xludf.DUMMYFUNCTION("""COMPUTED_VALUE"""),51.46)</f>
        <v>51.46</v>
      </c>
      <c r="E2416" s="1">
        <f>IFERROR(__xludf.DUMMYFUNCTION("""COMPUTED_VALUE"""),52.03)</f>
        <v>52.03</v>
      </c>
      <c r="F2416" s="1">
        <f>IFERROR(__xludf.DUMMYFUNCTION("""COMPUTED_VALUE"""),1.6315912E7)</f>
        <v>16315912</v>
      </c>
    </row>
    <row r="2417">
      <c r="A2417" s="2">
        <f>IFERROR(__xludf.DUMMYFUNCTION("""COMPUTED_VALUE"""),40035.666666666664)</f>
        <v>40035.66667</v>
      </c>
      <c r="B2417" s="1">
        <f>IFERROR(__xludf.DUMMYFUNCTION("""COMPUTED_VALUE"""),51.92)</f>
        <v>51.92</v>
      </c>
      <c r="C2417" s="1">
        <f>IFERROR(__xludf.DUMMYFUNCTION("""COMPUTED_VALUE"""),52.28)</f>
        <v>52.28</v>
      </c>
      <c r="D2417" s="1">
        <f>IFERROR(__xludf.DUMMYFUNCTION("""COMPUTED_VALUE"""),51.58)</f>
        <v>51.58</v>
      </c>
      <c r="E2417" s="1">
        <f>IFERROR(__xludf.DUMMYFUNCTION("""COMPUTED_VALUE"""),52.17)</f>
        <v>52.17</v>
      </c>
      <c r="F2417" s="1">
        <f>IFERROR(__xludf.DUMMYFUNCTION("""COMPUTED_VALUE"""),1.1763887E7)</f>
        <v>11763887</v>
      </c>
    </row>
    <row r="2418">
      <c r="A2418" s="2">
        <f>IFERROR(__xludf.DUMMYFUNCTION("""COMPUTED_VALUE"""),40036.666666666664)</f>
        <v>40036.66667</v>
      </c>
      <c r="B2418" s="1">
        <f>IFERROR(__xludf.DUMMYFUNCTION("""COMPUTED_VALUE"""),52.11)</f>
        <v>52.11</v>
      </c>
      <c r="C2418" s="1">
        <f>IFERROR(__xludf.DUMMYFUNCTION("""COMPUTED_VALUE"""),52.28)</f>
        <v>52.28</v>
      </c>
      <c r="D2418" s="1">
        <f>IFERROR(__xludf.DUMMYFUNCTION("""COMPUTED_VALUE"""),51.93)</f>
        <v>51.93</v>
      </c>
      <c r="E2418" s="1">
        <f>IFERROR(__xludf.DUMMYFUNCTION("""COMPUTED_VALUE"""),51.93)</f>
        <v>51.93</v>
      </c>
      <c r="F2418" s="1">
        <f>IFERROR(__xludf.DUMMYFUNCTION("""COMPUTED_VALUE"""),9293372.0)</f>
        <v>9293372</v>
      </c>
    </row>
    <row r="2419">
      <c r="A2419" s="2">
        <f>IFERROR(__xludf.DUMMYFUNCTION("""COMPUTED_VALUE"""),40037.666666666664)</f>
        <v>40037.66667</v>
      </c>
      <c r="B2419" s="1">
        <f>IFERROR(__xludf.DUMMYFUNCTION("""COMPUTED_VALUE"""),52.0)</f>
        <v>52</v>
      </c>
      <c r="C2419" s="1">
        <f>IFERROR(__xludf.DUMMYFUNCTION("""COMPUTED_VALUE"""),52.49)</f>
        <v>52.49</v>
      </c>
      <c r="D2419" s="1">
        <f>IFERROR(__xludf.DUMMYFUNCTION("""COMPUTED_VALUE"""),51.85)</f>
        <v>51.85</v>
      </c>
      <c r="E2419" s="1">
        <f>IFERROR(__xludf.DUMMYFUNCTION("""COMPUTED_VALUE"""),52.08)</f>
        <v>52.08</v>
      </c>
      <c r="F2419" s="1">
        <f>IFERROR(__xludf.DUMMYFUNCTION("""COMPUTED_VALUE"""),1.0148732E7)</f>
        <v>10148732</v>
      </c>
    </row>
    <row r="2420">
      <c r="A2420" s="2">
        <f>IFERROR(__xludf.DUMMYFUNCTION("""COMPUTED_VALUE"""),40038.666666666664)</f>
        <v>40038.66667</v>
      </c>
      <c r="B2420" s="1">
        <f>IFERROR(__xludf.DUMMYFUNCTION("""COMPUTED_VALUE"""),52.29)</f>
        <v>52.29</v>
      </c>
      <c r="C2420" s="1">
        <f>IFERROR(__xludf.DUMMYFUNCTION("""COMPUTED_VALUE"""),52.34)</f>
        <v>52.34</v>
      </c>
      <c r="D2420" s="1">
        <f>IFERROR(__xludf.DUMMYFUNCTION("""COMPUTED_VALUE"""),51.75)</f>
        <v>51.75</v>
      </c>
      <c r="E2420" s="1">
        <f>IFERROR(__xludf.DUMMYFUNCTION("""COMPUTED_VALUE"""),52.3)</f>
        <v>52.3</v>
      </c>
      <c r="F2420" s="1">
        <f>IFERROR(__xludf.DUMMYFUNCTION("""COMPUTED_VALUE"""),1.0486509E7)</f>
        <v>10486509</v>
      </c>
    </row>
    <row r="2421">
      <c r="A2421" s="2">
        <f>IFERROR(__xludf.DUMMYFUNCTION("""COMPUTED_VALUE"""),40039.666666666664)</f>
        <v>40039.66667</v>
      </c>
      <c r="B2421" s="1">
        <f>IFERROR(__xludf.DUMMYFUNCTION("""COMPUTED_VALUE"""),52.55)</f>
        <v>52.55</v>
      </c>
      <c r="C2421" s="1">
        <f>IFERROR(__xludf.DUMMYFUNCTION("""COMPUTED_VALUE"""),52.81)</f>
        <v>52.81</v>
      </c>
      <c r="D2421" s="1">
        <f>IFERROR(__xludf.DUMMYFUNCTION("""COMPUTED_VALUE"""),51.87)</f>
        <v>51.87</v>
      </c>
      <c r="E2421" s="1">
        <f>IFERROR(__xludf.DUMMYFUNCTION("""COMPUTED_VALUE"""),52.37)</f>
        <v>52.37</v>
      </c>
      <c r="F2421" s="1">
        <f>IFERROR(__xludf.DUMMYFUNCTION("""COMPUTED_VALUE"""),1.2070373E7)</f>
        <v>12070373</v>
      </c>
    </row>
    <row r="2422">
      <c r="A2422" s="2">
        <f>IFERROR(__xludf.DUMMYFUNCTION("""COMPUTED_VALUE"""),40042.666666666664)</f>
        <v>40042.66667</v>
      </c>
      <c r="B2422" s="1">
        <f>IFERROR(__xludf.DUMMYFUNCTION("""COMPUTED_VALUE"""),52.32)</f>
        <v>52.32</v>
      </c>
      <c r="C2422" s="1">
        <f>IFERROR(__xludf.DUMMYFUNCTION("""COMPUTED_VALUE"""),52.59)</f>
        <v>52.59</v>
      </c>
      <c r="D2422" s="1">
        <f>IFERROR(__xludf.DUMMYFUNCTION("""COMPUTED_VALUE"""),52.12)</f>
        <v>52.12</v>
      </c>
      <c r="E2422" s="1">
        <f>IFERROR(__xludf.DUMMYFUNCTION("""COMPUTED_VALUE"""),52.21)</f>
        <v>52.21</v>
      </c>
      <c r="F2422" s="1">
        <f>IFERROR(__xludf.DUMMYFUNCTION("""COMPUTED_VALUE"""),1.1417995E7)</f>
        <v>11417995</v>
      </c>
    </row>
    <row r="2423">
      <c r="A2423" s="2">
        <f>IFERROR(__xludf.DUMMYFUNCTION("""COMPUTED_VALUE"""),40043.666666666664)</f>
        <v>40043.66667</v>
      </c>
      <c r="B2423" s="1">
        <f>IFERROR(__xludf.DUMMYFUNCTION("""COMPUTED_VALUE"""),52.4)</f>
        <v>52.4</v>
      </c>
      <c r="C2423" s="1">
        <f>IFERROR(__xludf.DUMMYFUNCTION("""COMPUTED_VALUE"""),52.66)</f>
        <v>52.66</v>
      </c>
      <c r="D2423" s="1">
        <f>IFERROR(__xludf.DUMMYFUNCTION("""COMPUTED_VALUE"""),52.08)</f>
        <v>52.08</v>
      </c>
      <c r="E2423" s="1">
        <f>IFERROR(__xludf.DUMMYFUNCTION("""COMPUTED_VALUE"""),52.45)</f>
        <v>52.45</v>
      </c>
      <c r="F2423" s="1">
        <f>IFERROR(__xludf.DUMMYFUNCTION("""COMPUTED_VALUE"""),8342770.0)</f>
        <v>8342770</v>
      </c>
    </row>
    <row r="2424">
      <c r="A2424" s="2">
        <f>IFERROR(__xludf.DUMMYFUNCTION("""COMPUTED_VALUE"""),40044.666666666664)</f>
        <v>40044.66667</v>
      </c>
      <c r="B2424" s="1">
        <f>IFERROR(__xludf.DUMMYFUNCTION("""COMPUTED_VALUE"""),52.27)</f>
        <v>52.27</v>
      </c>
      <c r="C2424" s="1">
        <f>IFERROR(__xludf.DUMMYFUNCTION("""COMPUTED_VALUE"""),53.04)</f>
        <v>53.04</v>
      </c>
      <c r="D2424" s="1">
        <f>IFERROR(__xludf.DUMMYFUNCTION("""COMPUTED_VALUE"""),52.27)</f>
        <v>52.27</v>
      </c>
      <c r="E2424" s="1">
        <f>IFERROR(__xludf.DUMMYFUNCTION("""COMPUTED_VALUE"""),52.8)</f>
        <v>52.8</v>
      </c>
      <c r="F2424" s="1">
        <f>IFERROR(__xludf.DUMMYFUNCTION("""COMPUTED_VALUE"""),1.2169243E7)</f>
        <v>12169243</v>
      </c>
    </row>
    <row r="2425">
      <c r="A2425" s="2">
        <f>IFERROR(__xludf.DUMMYFUNCTION("""COMPUTED_VALUE"""),40045.666666666664)</f>
        <v>40045.66667</v>
      </c>
      <c r="B2425" s="1">
        <f>IFERROR(__xludf.DUMMYFUNCTION("""COMPUTED_VALUE"""),52.93)</f>
        <v>52.93</v>
      </c>
      <c r="C2425" s="1">
        <f>IFERROR(__xludf.DUMMYFUNCTION("""COMPUTED_VALUE"""),53.14)</f>
        <v>53.14</v>
      </c>
      <c r="D2425" s="1">
        <f>IFERROR(__xludf.DUMMYFUNCTION("""COMPUTED_VALUE"""),52.65)</f>
        <v>52.65</v>
      </c>
      <c r="E2425" s="1">
        <f>IFERROR(__xludf.DUMMYFUNCTION("""COMPUTED_VALUE"""),53.02)</f>
        <v>53.02</v>
      </c>
      <c r="F2425" s="1">
        <f>IFERROR(__xludf.DUMMYFUNCTION("""COMPUTED_VALUE"""),8471570.0)</f>
        <v>8471570</v>
      </c>
    </row>
    <row r="2426">
      <c r="A2426" s="2">
        <f>IFERROR(__xludf.DUMMYFUNCTION("""COMPUTED_VALUE"""),40046.666666666664)</f>
        <v>40046.66667</v>
      </c>
      <c r="B2426" s="1">
        <f>IFERROR(__xludf.DUMMYFUNCTION("""COMPUTED_VALUE"""),53.45)</f>
        <v>53.45</v>
      </c>
      <c r="C2426" s="1">
        <f>IFERROR(__xludf.DUMMYFUNCTION("""COMPUTED_VALUE"""),53.77)</f>
        <v>53.77</v>
      </c>
      <c r="D2426" s="1">
        <f>IFERROR(__xludf.DUMMYFUNCTION("""COMPUTED_VALUE"""),53.0)</f>
        <v>53</v>
      </c>
      <c r="E2426" s="1">
        <f>IFERROR(__xludf.DUMMYFUNCTION("""COMPUTED_VALUE"""),53.58)</f>
        <v>53.58</v>
      </c>
      <c r="F2426" s="1">
        <f>IFERROR(__xludf.DUMMYFUNCTION("""COMPUTED_VALUE"""),1.3274843E7)</f>
        <v>13274843</v>
      </c>
    </row>
    <row r="2427">
      <c r="A2427" s="2">
        <f>IFERROR(__xludf.DUMMYFUNCTION("""COMPUTED_VALUE"""),40049.666666666664)</f>
        <v>40049.66667</v>
      </c>
      <c r="B2427" s="1">
        <f>IFERROR(__xludf.DUMMYFUNCTION("""COMPUTED_VALUE"""),53.77)</f>
        <v>53.77</v>
      </c>
      <c r="C2427" s="1">
        <f>IFERROR(__xludf.DUMMYFUNCTION("""COMPUTED_VALUE"""),53.92)</f>
        <v>53.92</v>
      </c>
      <c r="D2427" s="1">
        <f>IFERROR(__xludf.DUMMYFUNCTION("""COMPUTED_VALUE"""),52.97)</f>
        <v>52.97</v>
      </c>
      <c r="E2427" s="1">
        <f>IFERROR(__xludf.DUMMYFUNCTION("""COMPUTED_VALUE"""),53.34)</f>
        <v>53.34</v>
      </c>
      <c r="F2427" s="1">
        <f>IFERROR(__xludf.DUMMYFUNCTION("""COMPUTED_VALUE"""),1.1781876E7)</f>
        <v>11781876</v>
      </c>
    </row>
    <row r="2428">
      <c r="A2428" s="2">
        <f>IFERROR(__xludf.DUMMYFUNCTION("""COMPUTED_VALUE"""),40050.666666666664)</f>
        <v>40050.66667</v>
      </c>
      <c r="B2428" s="1">
        <f>IFERROR(__xludf.DUMMYFUNCTION("""COMPUTED_VALUE"""),53.46)</f>
        <v>53.46</v>
      </c>
      <c r="C2428" s="1">
        <f>IFERROR(__xludf.DUMMYFUNCTION("""COMPUTED_VALUE"""),53.99)</f>
        <v>53.99</v>
      </c>
      <c r="D2428" s="1">
        <f>IFERROR(__xludf.DUMMYFUNCTION("""COMPUTED_VALUE"""),53.16)</f>
        <v>53.16</v>
      </c>
      <c r="E2428" s="1">
        <f>IFERROR(__xludf.DUMMYFUNCTION("""COMPUTED_VALUE"""),53.4)</f>
        <v>53.4</v>
      </c>
      <c r="F2428" s="1">
        <f>IFERROR(__xludf.DUMMYFUNCTION("""COMPUTED_VALUE"""),1.2699168E7)</f>
        <v>12699168</v>
      </c>
    </row>
    <row r="2429">
      <c r="A2429" s="2">
        <f>IFERROR(__xludf.DUMMYFUNCTION("""COMPUTED_VALUE"""),40051.666666666664)</f>
        <v>40051.66667</v>
      </c>
      <c r="B2429" s="1">
        <f>IFERROR(__xludf.DUMMYFUNCTION("""COMPUTED_VALUE"""),53.41)</f>
        <v>53.41</v>
      </c>
      <c r="C2429" s="1">
        <f>IFERROR(__xludf.DUMMYFUNCTION("""COMPUTED_VALUE"""),53.8)</f>
        <v>53.8</v>
      </c>
      <c r="D2429" s="1">
        <f>IFERROR(__xludf.DUMMYFUNCTION("""COMPUTED_VALUE"""),53.28)</f>
        <v>53.28</v>
      </c>
      <c r="E2429" s="1">
        <f>IFERROR(__xludf.DUMMYFUNCTION("""COMPUTED_VALUE"""),53.36)</f>
        <v>53.36</v>
      </c>
      <c r="F2429" s="1">
        <f>IFERROR(__xludf.DUMMYFUNCTION("""COMPUTED_VALUE"""),9387906.0)</f>
        <v>9387906</v>
      </c>
    </row>
    <row r="2430">
      <c r="A2430" s="2">
        <f>IFERROR(__xludf.DUMMYFUNCTION("""COMPUTED_VALUE"""),40052.666666666664)</f>
        <v>40052.66667</v>
      </c>
      <c r="B2430" s="1">
        <f>IFERROR(__xludf.DUMMYFUNCTION("""COMPUTED_VALUE"""),53.3)</f>
        <v>53.3</v>
      </c>
      <c r="C2430" s="1">
        <f>IFERROR(__xludf.DUMMYFUNCTION("""COMPUTED_VALUE"""),53.41)</f>
        <v>53.41</v>
      </c>
      <c r="D2430" s="1">
        <f>IFERROR(__xludf.DUMMYFUNCTION("""COMPUTED_VALUE"""),52.7)</f>
        <v>52.7</v>
      </c>
      <c r="E2430" s="1">
        <f>IFERROR(__xludf.DUMMYFUNCTION("""COMPUTED_VALUE"""),53.06)</f>
        <v>53.06</v>
      </c>
      <c r="F2430" s="1">
        <f>IFERROR(__xludf.DUMMYFUNCTION("""COMPUTED_VALUE"""),1.0394885E7)</f>
        <v>10394885</v>
      </c>
    </row>
    <row r="2431">
      <c r="A2431" s="2">
        <f>IFERROR(__xludf.DUMMYFUNCTION("""COMPUTED_VALUE"""),40053.666666666664)</f>
        <v>40053.66667</v>
      </c>
      <c r="B2431" s="1">
        <f>IFERROR(__xludf.DUMMYFUNCTION("""COMPUTED_VALUE"""),53.11)</f>
        <v>53.11</v>
      </c>
      <c r="C2431" s="1">
        <f>IFERROR(__xludf.DUMMYFUNCTION("""COMPUTED_VALUE"""),53.39)</f>
        <v>53.39</v>
      </c>
      <c r="D2431" s="1">
        <f>IFERROR(__xludf.DUMMYFUNCTION("""COMPUTED_VALUE"""),52.66)</f>
        <v>52.66</v>
      </c>
      <c r="E2431" s="1">
        <f>IFERROR(__xludf.DUMMYFUNCTION("""COMPUTED_VALUE"""),53.19)</f>
        <v>53.19</v>
      </c>
      <c r="F2431" s="1">
        <f>IFERROR(__xludf.DUMMYFUNCTION("""COMPUTED_VALUE"""),8998717.0)</f>
        <v>8998717</v>
      </c>
    </row>
    <row r="2432">
      <c r="A2432" s="2">
        <f>IFERROR(__xludf.DUMMYFUNCTION("""COMPUTED_VALUE"""),40056.666666666664)</f>
        <v>40056.66667</v>
      </c>
      <c r="B2432" s="1">
        <f>IFERROR(__xludf.DUMMYFUNCTION("""COMPUTED_VALUE"""),53.0)</f>
        <v>53</v>
      </c>
      <c r="C2432" s="1">
        <f>IFERROR(__xludf.DUMMYFUNCTION("""COMPUTED_VALUE"""),54.12)</f>
        <v>54.12</v>
      </c>
      <c r="D2432" s="1">
        <f>IFERROR(__xludf.DUMMYFUNCTION("""COMPUTED_VALUE"""),52.81)</f>
        <v>52.81</v>
      </c>
      <c r="E2432" s="1">
        <f>IFERROR(__xludf.DUMMYFUNCTION("""COMPUTED_VALUE"""),54.11)</f>
        <v>54.11</v>
      </c>
      <c r="F2432" s="1">
        <f>IFERROR(__xludf.DUMMYFUNCTION("""COMPUTED_VALUE"""),1.5367287E7)</f>
        <v>15367287</v>
      </c>
    </row>
    <row r="2433">
      <c r="A2433" s="2">
        <f>IFERROR(__xludf.DUMMYFUNCTION("""COMPUTED_VALUE"""),40057.666666666664)</f>
        <v>40057.66667</v>
      </c>
      <c r="B2433" s="1">
        <f>IFERROR(__xludf.DUMMYFUNCTION("""COMPUTED_VALUE"""),53.85)</f>
        <v>53.85</v>
      </c>
      <c r="C2433" s="1">
        <f>IFERROR(__xludf.DUMMYFUNCTION("""COMPUTED_VALUE"""),54.04)</f>
        <v>54.04</v>
      </c>
      <c r="D2433" s="1">
        <f>IFERROR(__xludf.DUMMYFUNCTION("""COMPUTED_VALUE"""),52.87)</f>
        <v>52.87</v>
      </c>
      <c r="E2433" s="1">
        <f>IFERROR(__xludf.DUMMYFUNCTION("""COMPUTED_VALUE"""),53.02)</f>
        <v>53.02</v>
      </c>
      <c r="F2433" s="1">
        <f>IFERROR(__xludf.DUMMYFUNCTION("""COMPUTED_VALUE"""),1.4424304E7)</f>
        <v>14424304</v>
      </c>
    </row>
    <row r="2434">
      <c r="A2434" s="2">
        <f>IFERROR(__xludf.DUMMYFUNCTION("""COMPUTED_VALUE"""),40058.666666666664)</f>
        <v>40058.66667</v>
      </c>
      <c r="B2434" s="1">
        <f>IFERROR(__xludf.DUMMYFUNCTION("""COMPUTED_VALUE"""),52.95)</f>
        <v>52.95</v>
      </c>
      <c r="C2434" s="1">
        <f>IFERROR(__xludf.DUMMYFUNCTION("""COMPUTED_VALUE"""),53.22)</f>
        <v>53.22</v>
      </c>
      <c r="D2434" s="1">
        <f>IFERROR(__xludf.DUMMYFUNCTION("""COMPUTED_VALUE"""),52.75)</f>
        <v>52.75</v>
      </c>
      <c r="E2434" s="1">
        <f>IFERROR(__xludf.DUMMYFUNCTION("""COMPUTED_VALUE"""),52.8)</f>
        <v>52.8</v>
      </c>
      <c r="F2434" s="1">
        <f>IFERROR(__xludf.DUMMYFUNCTION("""COMPUTED_VALUE"""),8874656.0)</f>
        <v>8874656</v>
      </c>
    </row>
    <row r="2435">
      <c r="A2435" s="2">
        <f>IFERROR(__xludf.DUMMYFUNCTION("""COMPUTED_VALUE"""),40059.666666666664)</f>
        <v>40059.66667</v>
      </c>
      <c r="B2435" s="1">
        <f>IFERROR(__xludf.DUMMYFUNCTION("""COMPUTED_VALUE"""),52.95)</f>
        <v>52.95</v>
      </c>
      <c r="C2435" s="1">
        <f>IFERROR(__xludf.DUMMYFUNCTION("""COMPUTED_VALUE"""),53.02)</f>
        <v>53.02</v>
      </c>
      <c r="D2435" s="1">
        <f>IFERROR(__xludf.DUMMYFUNCTION("""COMPUTED_VALUE"""),52.52)</f>
        <v>52.52</v>
      </c>
      <c r="E2435" s="1">
        <f>IFERROR(__xludf.DUMMYFUNCTION("""COMPUTED_VALUE"""),52.87)</f>
        <v>52.87</v>
      </c>
      <c r="F2435" s="1">
        <f>IFERROR(__xludf.DUMMYFUNCTION("""COMPUTED_VALUE"""),9122598.0)</f>
        <v>9122598</v>
      </c>
    </row>
    <row r="2436">
      <c r="A2436" s="2">
        <f>IFERROR(__xludf.DUMMYFUNCTION("""COMPUTED_VALUE"""),40060.666666666664)</f>
        <v>40060.66667</v>
      </c>
      <c r="B2436" s="1">
        <f>IFERROR(__xludf.DUMMYFUNCTION("""COMPUTED_VALUE"""),52.79)</f>
        <v>52.79</v>
      </c>
      <c r="C2436" s="1">
        <f>IFERROR(__xludf.DUMMYFUNCTION("""COMPUTED_VALUE"""),53.0)</f>
        <v>53</v>
      </c>
      <c r="D2436" s="1">
        <f>IFERROR(__xludf.DUMMYFUNCTION("""COMPUTED_VALUE"""),52.66)</f>
        <v>52.66</v>
      </c>
      <c r="E2436" s="1">
        <f>IFERROR(__xludf.DUMMYFUNCTION("""COMPUTED_VALUE"""),52.86)</f>
        <v>52.86</v>
      </c>
      <c r="F2436" s="1">
        <f>IFERROR(__xludf.DUMMYFUNCTION("""COMPUTED_VALUE"""),7527658.0)</f>
        <v>7527658</v>
      </c>
    </row>
    <row r="2437">
      <c r="A2437" s="2">
        <f>IFERROR(__xludf.DUMMYFUNCTION("""COMPUTED_VALUE"""),40064.666666666664)</f>
        <v>40064.66667</v>
      </c>
      <c r="B2437" s="1">
        <f>IFERROR(__xludf.DUMMYFUNCTION("""COMPUTED_VALUE"""),53.45)</f>
        <v>53.45</v>
      </c>
      <c r="C2437" s="1">
        <f>IFERROR(__xludf.DUMMYFUNCTION("""COMPUTED_VALUE"""),54.2)</f>
        <v>54.2</v>
      </c>
      <c r="D2437" s="1">
        <f>IFERROR(__xludf.DUMMYFUNCTION("""COMPUTED_VALUE"""),53.21)</f>
        <v>53.21</v>
      </c>
      <c r="E2437" s="1">
        <f>IFERROR(__xludf.DUMMYFUNCTION("""COMPUTED_VALUE"""),54.2)</f>
        <v>54.2</v>
      </c>
      <c r="F2437" s="1">
        <f>IFERROR(__xludf.DUMMYFUNCTION("""COMPUTED_VALUE"""),1.5676274E7)</f>
        <v>15676274</v>
      </c>
    </row>
    <row r="2438">
      <c r="A2438" s="2">
        <f>IFERROR(__xludf.DUMMYFUNCTION("""COMPUTED_VALUE"""),40065.666666666664)</f>
        <v>40065.66667</v>
      </c>
      <c r="B2438" s="1">
        <f>IFERROR(__xludf.DUMMYFUNCTION("""COMPUTED_VALUE"""),54.2)</f>
        <v>54.2</v>
      </c>
      <c r="C2438" s="1">
        <f>IFERROR(__xludf.DUMMYFUNCTION("""COMPUTED_VALUE"""),54.3)</f>
        <v>54.3</v>
      </c>
      <c r="D2438" s="1">
        <f>IFERROR(__xludf.DUMMYFUNCTION("""COMPUTED_VALUE"""),53.53)</f>
        <v>53.53</v>
      </c>
      <c r="E2438" s="1">
        <f>IFERROR(__xludf.DUMMYFUNCTION("""COMPUTED_VALUE"""),53.76)</f>
        <v>53.76</v>
      </c>
      <c r="F2438" s="1">
        <f>IFERROR(__xludf.DUMMYFUNCTION("""COMPUTED_VALUE"""),1.1148192E7)</f>
        <v>11148192</v>
      </c>
    </row>
    <row r="2439">
      <c r="A2439" s="2">
        <f>IFERROR(__xludf.DUMMYFUNCTION("""COMPUTED_VALUE"""),40066.666666666664)</f>
        <v>40066.66667</v>
      </c>
      <c r="B2439" s="1">
        <f>IFERROR(__xludf.DUMMYFUNCTION("""COMPUTED_VALUE"""),55.23)</f>
        <v>55.23</v>
      </c>
      <c r="C2439" s="1">
        <f>IFERROR(__xludf.DUMMYFUNCTION("""COMPUTED_VALUE"""),56.32)</f>
        <v>56.32</v>
      </c>
      <c r="D2439" s="1">
        <f>IFERROR(__xludf.DUMMYFUNCTION("""COMPUTED_VALUE"""),55.18)</f>
        <v>55.18</v>
      </c>
      <c r="E2439" s="1">
        <f>IFERROR(__xludf.DUMMYFUNCTION("""COMPUTED_VALUE"""),56.04)</f>
        <v>56.04</v>
      </c>
      <c r="F2439" s="1">
        <f>IFERROR(__xludf.DUMMYFUNCTION("""COMPUTED_VALUE"""),2.6760264E7)</f>
        <v>26760264</v>
      </c>
    </row>
    <row r="2440">
      <c r="A2440" s="2">
        <f>IFERROR(__xludf.DUMMYFUNCTION("""COMPUTED_VALUE"""),40067.666666666664)</f>
        <v>40067.66667</v>
      </c>
      <c r="B2440" s="1">
        <f>IFERROR(__xludf.DUMMYFUNCTION("""COMPUTED_VALUE"""),56.11)</f>
        <v>56.11</v>
      </c>
      <c r="C2440" s="1">
        <f>IFERROR(__xludf.DUMMYFUNCTION("""COMPUTED_VALUE"""),56.4)</f>
        <v>56.4</v>
      </c>
      <c r="D2440" s="1">
        <f>IFERROR(__xludf.DUMMYFUNCTION("""COMPUTED_VALUE"""),55.4)</f>
        <v>55.4</v>
      </c>
      <c r="E2440" s="1">
        <f>IFERROR(__xludf.DUMMYFUNCTION("""COMPUTED_VALUE"""),55.64)</f>
        <v>55.64</v>
      </c>
      <c r="F2440" s="1">
        <f>IFERROR(__xludf.DUMMYFUNCTION("""COMPUTED_VALUE"""),1.2700863E7)</f>
        <v>12700863</v>
      </c>
    </row>
    <row r="2441">
      <c r="A2441" s="2">
        <f>IFERROR(__xludf.DUMMYFUNCTION("""COMPUTED_VALUE"""),40070.666666666664)</f>
        <v>40070.66667</v>
      </c>
      <c r="B2441" s="1">
        <f>IFERROR(__xludf.DUMMYFUNCTION("""COMPUTED_VALUE"""),55.23)</f>
        <v>55.23</v>
      </c>
      <c r="C2441" s="1">
        <f>IFERROR(__xludf.DUMMYFUNCTION("""COMPUTED_VALUE"""),55.49)</f>
        <v>55.49</v>
      </c>
      <c r="D2441" s="1">
        <f>IFERROR(__xludf.DUMMYFUNCTION("""COMPUTED_VALUE"""),55.05)</f>
        <v>55.05</v>
      </c>
      <c r="E2441" s="1">
        <f>IFERROR(__xludf.DUMMYFUNCTION("""COMPUTED_VALUE"""),55.3)</f>
        <v>55.3</v>
      </c>
      <c r="F2441" s="1">
        <f>IFERROR(__xludf.DUMMYFUNCTION("""COMPUTED_VALUE"""),1.1140825E7)</f>
        <v>11140825</v>
      </c>
    </row>
    <row r="2442">
      <c r="A2442" s="2">
        <f>IFERROR(__xludf.DUMMYFUNCTION("""COMPUTED_VALUE"""),40071.666666666664)</f>
        <v>40071.66667</v>
      </c>
      <c r="B2442" s="1">
        <f>IFERROR(__xludf.DUMMYFUNCTION("""COMPUTED_VALUE"""),55.56)</f>
        <v>55.56</v>
      </c>
      <c r="C2442" s="1">
        <f>IFERROR(__xludf.DUMMYFUNCTION("""COMPUTED_VALUE"""),55.63)</f>
        <v>55.63</v>
      </c>
      <c r="D2442" s="1">
        <f>IFERROR(__xludf.DUMMYFUNCTION("""COMPUTED_VALUE"""),54.89)</f>
        <v>54.89</v>
      </c>
      <c r="E2442" s="1">
        <f>IFERROR(__xludf.DUMMYFUNCTION("""COMPUTED_VALUE"""),55.03)</f>
        <v>55.03</v>
      </c>
      <c r="F2442" s="1">
        <f>IFERROR(__xludf.DUMMYFUNCTION("""COMPUTED_VALUE"""),1.167434E7)</f>
        <v>11674340</v>
      </c>
    </row>
    <row r="2443">
      <c r="A2443" s="2">
        <f>IFERROR(__xludf.DUMMYFUNCTION("""COMPUTED_VALUE"""),40072.666666666664)</f>
        <v>40072.66667</v>
      </c>
      <c r="B2443" s="1">
        <f>IFERROR(__xludf.DUMMYFUNCTION("""COMPUTED_VALUE"""),55.08)</f>
        <v>55.08</v>
      </c>
      <c r="C2443" s="1">
        <f>IFERROR(__xludf.DUMMYFUNCTION("""COMPUTED_VALUE"""),55.45)</f>
        <v>55.45</v>
      </c>
      <c r="D2443" s="1">
        <f>IFERROR(__xludf.DUMMYFUNCTION("""COMPUTED_VALUE"""),54.61)</f>
        <v>54.61</v>
      </c>
      <c r="E2443" s="1">
        <f>IFERROR(__xludf.DUMMYFUNCTION("""COMPUTED_VALUE"""),55.31)</f>
        <v>55.31</v>
      </c>
      <c r="F2443" s="1">
        <f>IFERROR(__xludf.DUMMYFUNCTION("""COMPUTED_VALUE"""),1.2932134E7)</f>
        <v>12932134</v>
      </c>
    </row>
    <row r="2444">
      <c r="A2444" s="2">
        <f>IFERROR(__xludf.DUMMYFUNCTION("""COMPUTED_VALUE"""),40073.666666666664)</f>
        <v>40073.66667</v>
      </c>
      <c r="B2444" s="1">
        <f>IFERROR(__xludf.DUMMYFUNCTION("""COMPUTED_VALUE"""),55.33)</f>
        <v>55.33</v>
      </c>
      <c r="C2444" s="1">
        <f>IFERROR(__xludf.DUMMYFUNCTION("""COMPUTED_VALUE"""),56.11)</f>
        <v>56.11</v>
      </c>
      <c r="D2444" s="1">
        <f>IFERROR(__xludf.DUMMYFUNCTION("""COMPUTED_VALUE"""),55.3)</f>
        <v>55.3</v>
      </c>
      <c r="E2444" s="1">
        <f>IFERROR(__xludf.DUMMYFUNCTION("""COMPUTED_VALUE"""),55.53)</f>
        <v>55.53</v>
      </c>
      <c r="F2444" s="1">
        <f>IFERROR(__xludf.DUMMYFUNCTION("""COMPUTED_VALUE"""),1.0665749E7)</f>
        <v>10665749</v>
      </c>
    </row>
    <row r="2445">
      <c r="A2445" s="2">
        <f>IFERROR(__xludf.DUMMYFUNCTION("""COMPUTED_VALUE"""),40074.666666666664)</f>
        <v>40074.66667</v>
      </c>
      <c r="B2445" s="1">
        <f>IFERROR(__xludf.DUMMYFUNCTION("""COMPUTED_VALUE"""),56.57)</f>
        <v>56.57</v>
      </c>
      <c r="C2445" s="1">
        <f>IFERROR(__xludf.DUMMYFUNCTION("""COMPUTED_VALUE"""),57.51)</f>
        <v>57.51</v>
      </c>
      <c r="D2445" s="1">
        <f>IFERROR(__xludf.DUMMYFUNCTION("""COMPUTED_VALUE"""),56.5)</f>
        <v>56.5</v>
      </c>
      <c r="E2445" s="1">
        <f>IFERROR(__xludf.DUMMYFUNCTION("""COMPUTED_VALUE"""),57.32)</f>
        <v>57.32</v>
      </c>
      <c r="F2445" s="1">
        <f>IFERROR(__xludf.DUMMYFUNCTION("""COMPUTED_VALUE"""),2.5881064E7)</f>
        <v>25881064</v>
      </c>
    </row>
    <row r="2446">
      <c r="A2446" s="2">
        <f>IFERROR(__xludf.DUMMYFUNCTION("""COMPUTED_VALUE"""),40077.666666666664)</f>
        <v>40077.66667</v>
      </c>
      <c r="B2446" s="1">
        <f>IFERROR(__xludf.DUMMYFUNCTION("""COMPUTED_VALUE"""),57.35)</f>
        <v>57.35</v>
      </c>
      <c r="C2446" s="1">
        <f>IFERROR(__xludf.DUMMYFUNCTION("""COMPUTED_VALUE"""),57.46)</f>
        <v>57.46</v>
      </c>
      <c r="D2446" s="1">
        <f>IFERROR(__xludf.DUMMYFUNCTION("""COMPUTED_VALUE"""),56.75)</f>
        <v>56.75</v>
      </c>
      <c r="E2446" s="1">
        <f>IFERROR(__xludf.DUMMYFUNCTION("""COMPUTED_VALUE"""),57.1)</f>
        <v>57.1</v>
      </c>
      <c r="F2446" s="1">
        <f>IFERROR(__xludf.DUMMYFUNCTION("""COMPUTED_VALUE"""),1.1672146E7)</f>
        <v>11672146</v>
      </c>
    </row>
    <row r="2447">
      <c r="A2447" s="2">
        <f>IFERROR(__xludf.DUMMYFUNCTION("""COMPUTED_VALUE"""),40078.666666666664)</f>
        <v>40078.66667</v>
      </c>
      <c r="B2447" s="1">
        <f>IFERROR(__xludf.DUMMYFUNCTION("""COMPUTED_VALUE"""),57.3)</f>
        <v>57.3</v>
      </c>
      <c r="C2447" s="1">
        <f>IFERROR(__xludf.DUMMYFUNCTION("""COMPUTED_VALUE"""),57.51)</f>
        <v>57.51</v>
      </c>
      <c r="D2447" s="1">
        <f>IFERROR(__xludf.DUMMYFUNCTION("""COMPUTED_VALUE"""),56.96)</f>
        <v>56.96</v>
      </c>
      <c r="E2447" s="1">
        <f>IFERROR(__xludf.DUMMYFUNCTION("""COMPUTED_VALUE"""),57.24)</f>
        <v>57.24</v>
      </c>
      <c r="F2447" s="1">
        <f>IFERROR(__xludf.DUMMYFUNCTION("""COMPUTED_VALUE"""),1.1517366E7)</f>
        <v>11517366</v>
      </c>
    </row>
    <row r="2448">
      <c r="A2448" s="2">
        <f>IFERROR(__xludf.DUMMYFUNCTION("""COMPUTED_VALUE"""),40079.666666666664)</f>
        <v>40079.66667</v>
      </c>
      <c r="B2448" s="1">
        <f>IFERROR(__xludf.DUMMYFUNCTION("""COMPUTED_VALUE"""),57.34)</f>
        <v>57.34</v>
      </c>
      <c r="C2448" s="1">
        <f>IFERROR(__xludf.DUMMYFUNCTION("""COMPUTED_VALUE"""),58.05)</f>
        <v>58.05</v>
      </c>
      <c r="D2448" s="1">
        <f>IFERROR(__xludf.DUMMYFUNCTION("""COMPUTED_VALUE"""),57.15)</f>
        <v>57.15</v>
      </c>
      <c r="E2448" s="1">
        <f>IFERROR(__xludf.DUMMYFUNCTION("""COMPUTED_VALUE"""),57.25)</f>
        <v>57.25</v>
      </c>
      <c r="F2448" s="1">
        <f>IFERROR(__xludf.DUMMYFUNCTION("""COMPUTED_VALUE"""),1.4612243E7)</f>
        <v>14612243</v>
      </c>
    </row>
    <row r="2449">
      <c r="A2449" s="2">
        <f>IFERROR(__xludf.DUMMYFUNCTION("""COMPUTED_VALUE"""),40080.666666666664)</f>
        <v>40080.66667</v>
      </c>
      <c r="B2449" s="1">
        <f>IFERROR(__xludf.DUMMYFUNCTION("""COMPUTED_VALUE"""),57.38)</f>
        <v>57.38</v>
      </c>
      <c r="C2449" s="1">
        <f>IFERROR(__xludf.DUMMYFUNCTION("""COMPUTED_VALUE"""),57.97)</f>
        <v>57.97</v>
      </c>
      <c r="D2449" s="1">
        <f>IFERROR(__xludf.DUMMYFUNCTION("""COMPUTED_VALUE"""),57.3)</f>
        <v>57.3</v>
      </c>
      <c r="E2449" s="1">
        <f>IFERROR(__xludf.DUMMYFUNCTION("""COMPUTED_VALUE"""),57.84)</f>
        <v>57.84</v>
      </c>
      <c r="F2449" s="1">
        <f>IFERROR(__xludf.DUMMYFUNCTION("""COMPUTED_VALUE"""),1.3589957E7)</f>
        <v>13589957</v>
      </c>
    </row>
    <row r="2450">
      <c r="A2450" s="2">
        <f>IFERROR(__xludf.DUMMYFUNCTION("""COMPUTED_VALUE"""),40081.666666666664)</f>
        <v>40081.66667</v>
      </c>
      <c r="B2450" s="1">
        <f>IFERROR(__xludf.DUMMYFUNCTION("""COMPUTED_VALUE"""),58.0)</f>
        <v>58</v>
      </c>
      <c r="C2450" s="1">
        <f>IFERROR(__xludf.DUMMYFUNCTION("""COMPUTED_VALUE"""),58.5)</f>
        <v>58.5</v>
      </c>
      <c r="D2450" s="1">
        <f>IFERROR(__xludf.DUMMYFUNCTION("""COMPUTED_VALUE"""),57.92)</f>
        <v>57.92</v>
      </c>
      <c r="E2450" s="1">
        <f>IFERROR(__xludf.DUMMYFUNCTION("""COMPUTED_VALUE"""),58.01)</f>
        <v>58.01</v>
      </c>
      <c r="F2450" s="1">
        <f>IFERROR(__xludf.DUMMYFUNCTION("""COMPUTED_VALUE"""),1.347746E7)</f>
        <v>13477460</v>
      </c>
    </row>
    <row r="2451">
      <c r="A2451" s="2">
        <f>IFERROR(__xludf.DUMMYFUNCTION("""COMPUTED_VALUE"""),40084.666666666664)</f>
        <v>40084.66667</v>
      </c>
      <c r="B2451" s="1">
        <f>IFERROR(__xludf.DUMMYFUNCTION("""COMPUTED_VALUE"""),58.21)</f>
        <v>58.21</v>
      </c>
      <c r="C2451" s="1">
        <f>IFERROR(__xludf.DUMMYFUNCTION("""COMPUTED_VALUE"""),58.66)</f>
        <v>58.66</v>
      </c>
      <c r="D2451" s="1">
        <f>IFERROR(__xludf.DUMMYFUNCTION("""COMPUTED_VALUE"""),58.01)</f>
        <v>58.01</v>
      </c>
      <c r="E2451" s="1">
        <f>IFERROR(__xludf.DUMMYFUNCTION("""COMPUTED_VALUE"""),58.16)</f>
        <v>58.16</v>
      </c>
      <c r="F2451" s="1">
        <f>IFERROR(__xludf.DUMMYFUNCTION("""COMPUTED_VALUE"""),9008149.0)</f>
        <v>9008149</v>
      </c>
    </row>
    <row r="2452">
      <c r="A2452" s="2">
        <f>IFERROR(__xludf.DUMMYFUNCTION("""COMPUTED_VALUE"""),40085.666666666664)</f>
        <v>40085.66667</v>
      </c>
      <c r="B2452" s="1">
        <f>IFERROR(__xludf.DUMMYFUNCTION("""COMPUTED_VALUE"""),58.34)</f>
        <v>58.34</v>
      </c>
      <c r="C2452" s="1">
        <f>IFERROR(__xludf.DUMMYFUNCTION("""COMPUTED_VALUE"""),58.37)</f>
        <v>58.37</v>
      </c>
      <c r="D2452" s="1">
        <f>IFERROR(__xludf.DUMMYFUNCTION("""COMPUTED_VALUE"""),57.76)</f>
        <v>57.76</v>
      </c>
      <c r="E2452" s="1">
        <f>IFERROR(__xludf.DUMMYFUNCTION("""COMPUTED_VALUE"""),57.91)</f>
        <v>57.91</v>
      </c>
      <c r="F2452" s="1">
        <f>IFERROR(__xludf.DUMMYFUNCTION("""COMPUTED_VALUE"""),7625208.0)</f>
        <v>7625208</v>
      </c>
    </row>
    <row r="2453">
      <c r="A2453" s="2">
        <f>IFERROR(__xludf.DUMMYFUNCTION("""COMPUTED_VALUE"""),40086.666666666664)</f>
        <v>40086.66667</v>
      </c>
      <c r="B2453" s="1">
        <f>IFERROR(__xludf.DUMMYFUNCTION("""COMPUTED_VALUE"""),57.84)</f>
        <v>57.84</v>
      </c>
      <c r="C2453" s="1">
        <f>IFERROR(__xludf.DUMMYFUNCTION("""COMPUTED_VALUE"""),58.14)</f>
        <v>58.14</v>
      </c>
      <c r="D2453" s="1">
        <f>IFERROR(__xludf.DUMMYFUNCTION("""COMPUTED_VALUE"""),57.34)</f>
        <v>57.34</v>
      </c>
      <c r="E2453" s="1">
        <f>IFERROR(__xludf.DUMMYFUNCTION("""COMPUTED_VALUE"""),57.92)</f>
        <v>57.92</v>
      </c>
      <c r="F2453" s="1">
        <f>IFERROR(__xludf.DUMMYFUNCTION("""COMPUTED_VALUE"""),1.4047261E7)</f>
        <v>14047261</v>
      </c>
    </row>
    <row r="2454">
      <c r="A2454" s="2">
        <f>IFERROR(__xludf.DUMMYFUNCTION("""COMPUTED_VALUE"""),40087.666666666664)</f>
        <v>40087.66667</v>
      </c>
      <c r="B2454" s="1">
        <f>IFERROR(__xludf.DUMMYFUNCTION("""COMPUTED_VALUE"""),57.63)</f>
        <v>57.63</v>
      </c>
      <c r="C2454" s="1">
        <f>IFERROR(__xludf.DUMMYFUNCTION("""COMPUTED_VALUE"""),57.63)</f>
        <v>57.63</v>
      </c>
      <c r="D2454" s="1">
        <f>IFERROR(__xludf.DUMMYFUNCTION("""COMPUTED_VALUE"""),56.44)</f>
        <v>56.44</v>
      </c>
      <c r="E2454" s="1">
        <f>IFERROR(__xludf.DUMMYFUNCTION("""COMPUTED_VALUE"""),56.62)</f>
        <v>56.62</v>
      </c>
      <c r="F2454" s="1">
        <f>IFERROR(__xludf.DUMMYFUNCTION("""COMPUTED_VALUE"""),1.589427E7)</f>
        <v>15894270</v>
      </c>
    </row>
    <row r="2455">
      <c r="A2455" s="2">
        <f>IFERROR(__xludf.DUMMYFUNCTION("""COMPUTED_VALUE"""),40088.666666666664)</f>
        <v>40088.66667</v>
      </c>
      <c r="B2455" s="1">
        <f>IFERROR(__xludf.DUMMYFUNCTION("""COMPUTED_VALUE"""),56.4)</f>
        <v>56.4</v>
      </c>
      <c r="C2455" s="1">
        <f>IFERROR(__xludf.DUMMYFUNCTION("""COMPUTED_VALUE"""),56.91)</f>
        <v>56.91</v>
      </c>
      <c r="D2455" s="1">
        <f>IFERROR(__xludf.DUMMYFUNCTION("""COMPUTED_VALUE"""),56.2)</f>
        <v>56.2</v>
      </c>
      <c r="E2455" s="1">
        <f>IFERROR(__xludf.DUMMYFUNCTION("""COMPUTED_VALUE"""),56.75)</f>
        <v>56.75</v>
      </c>
      <c r="F2455" s="1">
        <f>IFERROR(__xludf.DUMMYFUNCTION("""COMPUTED_VALUE"""),1.3088732E7)</f>
        <v>13088732</v>
      </c>
    </row>
    <row r="2456">
      <c r="A2456" s="2">
        <f>IFERROR(__xludf.DUMMYFUNCTION("""COMPUTED_VALUE"""),40091.666666666664)</f>
        <v>40091.66667</v>
      </c>
      <c r="B2456" s="1">
        <f>IFERROR(__xludf.DUMMYFUNCTION("""COMPUTED_VALUE"""),56.79)</f>
        <v>56.79</v>
      </c>
      <c r="C2456" s="1">
        <f>IFERROR(__xludf.DUMMYFUNCTION("""COMPUTED_VALUE"""),56.94)</f>
        <v>56.94</v>
      </c>
      <c r="D2456" s="1">
        <f>IFERROR(__xludf.DUMMYFUNCTION("""COMPUTED_VALUE"""),56.02)</f>
        <v>56.02</v>
      </c>
      <c r="E2456" s="1">
        <f>IFERROR(__xludf.DUMMYFUNCTION("""COMPUTED_VALUE"""),56.68)</f>
        <v>56.68</v>
      </c>
      <c r="F2456" s="1">
        <f>IFERROR(__xludf.DUMMYFUNCTION("""COMPUTED_VALUE"""),1.0879969E7)</f>
        <v>10879969</v>
      </c>
    </row>
    <row r="2457">
      <c r="A2457" s="2">
        <f>IFERROR(__xludf.DUMMYFUNCTION("""COMPUTED_VALUE"""),40092.666666666664)</f>
        <v>40092.66667</v>
      </c>
      <c r="B2457" s="1">
        <f>IFERROR(__xludf.DUMMYFUNCTION("""COMPUTED_VALUE"""),56.88)</f>
        <v>56.88</v>
      </c>
      <c r="C2457" s="1">
        <f>IFERROR(__xludf.DUMMYFUNCTION("""COMPUTED_VALUE"""),57.24)</f>
        <v>57.24</v>
      </c>
      <c r="D2457" s="1">
        <f>IFERROR(__xludf.DUMMYFUNCTION("""COMPUTED_VALUE"""),56.79)</f>
        <v>56.79</v>
      </c>
      <c r="E2457" s="1">
        <f>IFERROR(__xludf.DUMMYFUNCTION("""COMPUTED_VALUE"""),57.03)</f>
        <v>57.03</v>
      </c>
      <c r="F2457" s="1">
        <f>IFERROR(__xludf.DUMMYFUNCTION("""COMPUTED_VALUE"""),1.2000179E7)</f>
        <v>12000179</v>
      </c>
    </row>
    <row r="2458">
      <c r="A2458" s="2">
        <f>IFERROR(__xludf.DUMMYFUNCTION("""COMPUTED_VALUE"""),40093.666666666664)</f>
        <v>40093.66667</v>
      </c>
      <c r="B2458" s="1">
        <f>IFERROR(__xludf.DUMMYFUNCTION("""COMPUTED_VALUE"""),57.01)</f>
        <v>57.01</v>
      </c>
      <c r="C2458" s="1">
        <f>IFERROR(__xludf.DUMMYFUNCTION("""COMPUTED_VALUE"""),57.08)</f>
        <v>57.08</v>
      </c>
      <c r="D2458" s="1">
        <f>IFERROR(__xludf.DUMMYFUNCTION("""COMPUTED_VALUE"""),56.76)</f>
        <v>56.76</v>
      </c>
      <c r="E2458" s="1">
        <f>IFERROR(__xludf.DUMMYFUNCTION("""COMPUTED_VALUE"""),56.95)</f>
        <v>56.95</v>
      </c>
      <c r="F2458" s="1">
        <f>IFERROR(__xludf.DUMMYFUNCTION("""COMPUTED_VALUE"""),7608800.0)</f>
        <v>7608800</v>
      </c>
    </row>
    <row r="2459">
      <c r="A2459" s="2">
        <f>IFERROR(__xludf.DUMMYFUNCTION("""COMPUTED_VALUE"""),40094.666666666664)</f>
        <v>40094.66667</v>
      </c>
      <c r="B2459" s="1">
        <f>IFERROR(__xludf.DUMMYFUNCTION("""COMPUTED_VALUE"""),57.37)</f>
        <v>57.37</v>
      </c>
      <c r="C2459" s="1">
        <f>IFERROR(__xludf.DUMMYFUNCTION("""COMPUTED_VALUE"""),57.85)</f>
        <v>57.85</v>
      </c>
      <c r="D2459" s="1">
        <f>IFERROR(__xludf.DUMMYFUNCTION("""COMPUTED_VALUE"""),57.14)</f>
        <v>57.14</v>
      </c>
      <c r="E2459" s="1">
        <f>IFERROR(__xludf.DUMMYFUNCTION("""COMPUTED_VALUE"""),57.65)</f>
        <v>57.65</v>
      </c>
      <c r="F2459" s="1">
        <f>IFERROR(__xludf.DUMMYFUNCTION("""COMPUTED_VALUE"""),1.2817012E7)</f>
        <v>12817012</v>
      </c>
    </row>
    <row r="2460">
      <c r="A2460" s="2">
        <f>IFERROR(__xludf.DUMMYFUNCTION("""COMPUTED_VALUE"""),40095.666666666664)</f>
        <v>40095.66667</v>
      </c>
      <c r="B2460" s="1">
        <f>IFERROR(__xludf.DUMMYFUNCTION("""COMPUTED_VALUE"""),57.34)</f>
        <v>57.34</v>
      </c>
      <c r="C2460" s="1">
        <f>IFERROR(__xludf.DUMMYFUNCTION("""COMPUTED_VALUE"""),57.63)</f>
        <v>57.63</v>
      </c>
      <c r="D2460" s="1">
        <f>IFERROR(__xludf.DUMMYFUNCTION("""COMPUTED_VALUE"""),57.3)</f>
        <v>57.3</v>
      </c>
      <c r="E2460" s="1">
        <f>IFERROR(__xludf.DUMMYFUNCTION("""COMPUTED_VALUE"""),57.56)</f>
        <v>57.56</v>
      </c>
      <c r="F2460" s="1">
        <f>IFERROR(__xludf.DUMMYFUNCTION("""COMPUTED_VALUE"""),6467150.0)</f>
        <v>6467150</v>
      </c>
    </row>
    <row r="2461">
      <c r="A2461" s="2">
        <f>IFERROR(__xludf.DUMMYFUNCTION("""COMPUTED_VALUE"""),40098.666666666664)</f>
        <v>40098.66667</v>
      </c>
      <c r="B2461" s="1">
        <f>IFERROR(__xludf.DUMMYFUNCTION("""COMPUTED_VALUE"""),57.67)</f>
        <v>57.67</v>
      </c>
      <c r="C2461" s="1">
        <f>IFERROR(__xludf.DUMMYFUNCTION("""COMPUTED_VALUE"""),58.37)</f>
        <v>58.37</v>
      </c>
      <c r="D2461" s="1">
        <f>IFERROR(__xludf.DUMMYFUNCTION("""COMPUTED_VALUE"""),57.42)</f>
        <v>57.42</v>
      </c>
      <c r="E2461" s="1">
        <f>IFERROR(__xludf.DUMMYFUNCTION("""COMPUTED_VALUE"""),57.5)</f>
        <v>57.5</v>
      </c>
      <c r="F2461" s="1">
        <f>IFERROR(__xludf.DUMMYFUNCTION("""COMPUTED_VALUE"""),7928211.0)</f>
        <v>7928211</v>
      </c>
    </row>
    <row r="2462">
      <c r="A2462" s="2">
        <f>IFERROR(__xludf.DUMMYFUNCTION("""COMPUTED_VALUE"""),40099.666666666664)</f>
        <v>40099.66667</v>
      </c>
      <c r="B2462" s="1">
        <f>IFERROR(__xludf.DUMMYFUNCTION("""COMPUTED_VALUE"""),57.37)</f>
        <v>57.37</v>
      </c>
      <c r="C2462" s="1">
        <f>IFERROR(__xludf.DUMMYFUNCTION("""COMPUTED_VALUE"""),57.37)</f>
        <v>57.37</v>
      </c>
      <c r="D2462" s="1">
        <f>IFERROR(__xludf.DUMMYFUNCTION("""COMPUTED_VALUE"""),56.83)</f>
        <v>56.83</v>
      </c>
      <c r="E2462" s="1">
        <f>IFERROR(__xludf.DUMMYFUNCTION("""COMPUTED_VALUE"""),57.26)</f>
        <v>57.26</v>
      </c>
      <c r="F2462" s="1">
        <f>IFERROR(__xludf.DUMMYFUNCTION("""COMPUTED_VALUE"""),1.1280428E7)</f>
        <v>11280428</v>
      </c>
    </row>
    <row r="2463">
      <c r="A2463" s="2">
        <f>IFERROR(__xludf.DUMMYFUNCTION("""COMPUTED_VALUE"""),40100.666666666664)</f>
        <v>40100.66667</v>
      </c>
      <c r="B2463" s="1">
        <f>IFERROR(__xludf.DUMMYFUNCTION("""COMPUTED_VALUE"""),57.49)</f>
        <v>57.49</v>
      </c>
      <c r="C2463" s="1">
        <f>IFERROR(__xludf.DUMMYFUNCTION("""COMPUTED_VALUE"""),57.49)</f>
        <v>57.49</v>
      </c>
      <c r="D2463" s="1">
        <f>IFERROR(__xludf.DUMMYFUNCTION("""COMPUTED_VALUE"""),57.03)</f>
        <v>57.03</v>
      </c>
      <c r="E2463" s="1">
        <f>IFERROR(__xludf.DUMMYFUNCTION("""COMPUTED_VALUE"""),57.31)</f>
        <v>57.31</v>
      </c>
      <c r="F2463" s="1">
        <f>IFERROR(__xludf.DUMMYFUNCTION("""COMPUTED_VALUE"""),8385651.0)</f>
        <v>8385651</v>
      </c>
    </row>
    <row r="2464">
      <c r="A2464" s="2">
        <f>IFERROR(__xludf.DUMMYFUNCTION("""COMPUTED_VALUE"""),40101.666666666664)</f>
        <v>40101.66667</v>
      </c>
      <c r="B2464" s="1">
        <f>IFERROR(__xludf.DUMMYFUNCTION("""COMPUTED_VALUE"""),57.28)</f>
        <v>57.28</v>
      </c>
      <c r="C2464" s="1">
        <f>IFERROR(__xludf.DUMMYFUNCTION("""COMPUTED_VALUE"""),57.43)</f>
        <v>57.43</v>
      </c>
      <c r="D2464" s="1">
        <f>IFERROR(__xludf.DUMMYFUNCTION("""COMPUTED_VALUE"""),56.87)</f>
        <v>56.87</v>
      </c>
      <c r="E2464" s="1">
        <f>IFERROR(__xludf.DUMMYFUNCTION("""COMPUTED_VALUE"""),57.24)</f>
        <v>57.24</v>
      </c>
      <c r="F2464" s="1">
        <f>IFERROR(__xludf.DUMMYFUNCTION("""COMPUTED_VALUE"""),1.1795201E7)</f>
        <v>11795201</v>
      </c>
    </row>
    <row r="2465">
      <c r="A2465" s="2">
        <f>IFERROR(__xludf.DUMMYFUNCTION("""COMPUTED_VALUE"""),40102.666666666664)</f>
        <v>40102.66667</v>
      </c>
      <c r="B2465" s="1">
        <f>IFERROR(__xludf.DUMMYFUNCTION("""COMPUTED_VALUE"""),57.12)</f>
        <v>57.12</v>
      </c>
      <c r="C2465" s="1">
        <f>IFERROR(__xludf.DUMMYFUNCTION("""COMPUTED_VALUE"""),57.69)</f>
        <v>57.69</v>
      </c>
      <c r="D2465" s="1">
        <f>IFERROR(__xludf.DUMMYFUNCTION("""COMPUTED_VALUE"""),57.1)</f>
        <v>57.1</v>
      </c>
      <c r="E2465" s="1">
        <f>IFERROR(__xludf.DUMMYFUNCTION("""COMPUTED_VALUE"""),57.44)</f>
        <v>57.44</v>
      </c>
      <c r="F2465" s="1">
        <f>IFERROR(__xludf.DUMMYFUNCTION("""COMPUTED_VALUE"""),1.2249674E7)</f>
        <v>12249674</v>
      </c>
    </row>
    <row r="2466">
      <c r="A2466" s="2">
        <f>IFERROR(__xludf.DUMMYFUNCTION("""COMPUTED_VALUE"""),40105.666666666664)</f>
        <v>40105.66667</v>
      </c>
      <c r="B2466" s="1">
        <f>IFERROR(__xludf.DUMMYFUNCTION("""COMPUTED_VALUE"""),57.51)</f>
        <v>57.51</v>
      </c>
      <c r="C2466" s="1">
        <f>IFERROR(__xludf.DUMMYFUNCTION("""COMPUTED_VALUE"""),58.02)</f>
        <v>58.02</v>
      </c>
      <c r="D2466" s="1">
        <f>IFERROR(__xludf.DUMMYFUNCTION("""COMPUTED_VALUE"""),57.22)</f>
        <v>57.22</v>
      </c>
      <c r="E2466" s="1">
        <f>IFERROR(__xludf.DUMMYFUNCTION("""COMPUTED_VALUE"""),57.79)</f>
        <v>57.79</v>
      </c>
      <c r="F2466" s="1">
        <f>IFERROR(__xludf.DUMMYFUNCTION("""COMPUTED_VALUE"""),7896502.0)</f>
        <v>7896502</v>
      </c>
    </row>
    <row r="2467">
      <c r="A2467" s="2">
        <f>IFERROR(__xludf.DUMMYFUNCTION("""COMPUTED_VALUE"""),40106.666666666664)</f>
        <v>40106.66667</v>
      </c>
      <c r="B2467" s="1">
        <f>IFERROR(__xludf.DUMMYFUNCTION("""COMPUTED_VALUE"""),57.93)</f>
        <v>57.93</v>
      </c>
      <c r="C2467" s="1">
        <f>IFERROR(__xludf.DUMMYFUNCTION("""COMPUTED_VALUE"""),58.85)</f>
        <v>58.85</v>
      </c>
      <c r="D2467" s="1">
        <f>IFERROR(__xludf.DUMMYFUNCTION("""COMPUTED_VALUE"""),57.88)</f>
        <v>57.88</v>
      </c>
      <c r="E2467" s="1">
        <f>IFERROR(__xludf.DUMMYFUNCTION("""COMPUTED_VALUE"""),58.13)</f>
        <v>58.13</v>
      </c>
      <c r="F2467" s="1">
        <f>IFERROR(__xludf.DUMMYFUNCTION("""COMPUTED_VALUE"""),1.1322228E7)</f>
        <v>11322228</v>
      </c>
    </row>
    <row r="2468">
      <c r="A2468" s="2">
        <f>IFERROR(__xludf.DUMMYFUNCTION("""COMPUTED_VALUE"""),40107.666666666664)</f>
        <v>40107.66667</v>
      </c>
      <c r="B2468" s="1">
        <f>IFERROR(__xludf.DUMMYFUNCTION("""COMPUTED_VALUE"""),57.92)</f>
        <v>57.92</v>
      </c>
      <c r="C2468" s="1">
        <f>IFERROR(__xludf.DUMMYFUNCTION("""COMPUTED_VALUE"""),58.24)</f>
        <v>58.24</v>
      </c>
      <c r="D2468" s="1">
        <f>IFERROR(__xludf.DUMMYFUNCTION("""COMPUTED_VALUE"""),57.4)</f>
        <v>57.4</v>
      </c>
      <c r="E2468" s="1">
        <f>IFERROR(__xludf.DUMMYFUNCTION("""COMPUTED_VALUE"""),57.49)</f>
        <v>57.49</v>
      </c>
      <c r="F2468" s="1">
        <f>IFERROR(__xludf.DUMMYFUNCTION("""COMPUTED_VALUE"""),1.1468683E7)</f>
        <v>11468683</v>
      </c>
    </row>
    <row r="2469">
      <c r="A2469" s="2">
        <f>IFERROR(__xludf.DUMMYFUNCTION("""COMPUTED_VALUE"""),40108.666666666664)</f>
        <v>40108.66667</v>
      </c>
      <c r="B2469" s="1">
        <f>IFERROR(__xludf.DUMMYFUNCTION("""COMPUTED_VALUE"""),57.48)</f>
        <v>57.48</v>
      </c>
      <c r="C2469" s="1">
        <f>IFERROR(__xludf.DUMMYFUNCTION("""COMPUTED_VALUE"""),58.32)</f>
        <v>58.32</v>
      </c>
      <c r="D2469" s="1">
        <f>IFERROR(__xludf.DUMMYFUNCTION("""COMPUTED_VALUE"""),57.37)</f>
        <v>57.37</v>
      </c>
      <c r="E2469" s="1">
        <f>IFERROR(__xludf.DUMMYFUNCTION("""COMPUTED_VALUE"""),58.13)</f>
        <v>58.13</v>
      </c>
      <c r="F2469" s="1">
        <f>IFERROR(__xludf.DUMMYFUNCTION("""COMPUTED_VALUE"""),1.0267118E7)</f>
        <v>10267118</v>
      </c>
    </row>
    <row r="2470">
      <c r="A2470" s="2">
        <f>IFERROR(__xludf.DUMMYFUNCTION("""COMPUTED_VALUE"""),40109.666666666664)</f>
        <v>40109.66667</v>
      </c>
      <c r="B2470" s="1">
        <f>IFERROR(__xludf.DUMMYFUNCTION("""COMPUTED_VALUE"""),58.13)</f>
        <v>58.13</v>
      </c>
      <c r="C2470" s="1">
        <f>IFERROR(__xludf.DUMMYFUNCTION("""COMPUTED_VALUE"""),58.13)</f>
        <v>58.13</v>
      </c>
      <c r="D2470" s="1">
        <f>IFERROR(__xludf.DUMMYFUNCTION("""COMPUTED_VALUE"""),57.21)</f>
        <v>57.21</v>
      </c>
      <c r="E2470" s="1">
        <f>IFERROR(__xludf.DUMMYFUNCTION("""COMPUTED_VALUE"""),57.64)</f>
        <v>57.64</v>
      </c>
      <c r="F2470" s="1">
        <f>IFERROR(__xludf.DUMMYFUNCTION("""COMPUTED_VALUE"""),1.0811653E7)</f>
        <v>10811653</v>
      </c>
    </row>
    <row r="2471">
      <c r="A2471" s="2">
        <f>IFERROR(__xludf.DUMMYFUNCTION("""COMPUTED_VALUE"""),40112.666666666664)</f>
        <v>40112.66667</v>
      </c>
      <c r="B2471" s="1">
        <f>IFERROR(__xludf.DUMMYFUNCTION("""COMPUTED_VALUE"""),57.65)</f>
        <v>57.65</v>
      </c>
      <c r="C2471" s="1">
        <f>IFERROR(__xludf.DUMMYFUNCTION("""COMPUTED_VALUE"""),57.86)</f>
        <v>57.86</v>
      </c>
      <c r="D2471" s="1">
        <f>IFERROR(__xludf.DUMMYFUNCTION("""COMPUTED_VALUE"""),56.58)</f>
        <v>56.58</v>
      </c>
      <c r="E2471" s="1">
        <f>IFERROR(__xludf.DUMMYFUNCTION("""COMPUTED_VALUE"""),56.9)</f>
        <v>56.9</v>
      </c>
      <c r="F2471" s="1">
        <f>IFERROR(__xludf.DUMMYFUNCTION("""COMPUTED_VALUE"""),1.0453941E7)</f>
        <v>10453941</v>
      </c>
    </row>
    <row r="2472">
      <c r="A2472" s="2">
        <f>IFERROR(__xludf.DUMMYFUNCTION("""COMPUTED_VALUE"""),40113.666666666664)</f>
        <v>40113.66667</v>
      </c>
      <c r="B2472" s="1">
        <f>IFERROR(__xludf.DUMMYFUNCTION("""COMPUTED_VALUE"""),56.88)</f>
        <v>56.88</v>
      </c>
      <c r="C2472" s="1">
        <f>IFERROR(__xludf.DUMMYFUNCTION("""COMPUTED_VALUE"""),57.42)</f>
        <v>57.42</v>
      </c>
      <c r="D2472" s="1">
        <f>IFERROR(__xludf.DUMMYFUNCTION("""COMPUTED_VALUE"""),56.67)</f>
        <v>56.67</v>
      </c>
      <c r="E2472" s="1">
        <f>IFERROR(__xludf.DUMMYFUNCTION("""COMPUTED_VALUE"""),57.18)</f>
        <v>57.18</v>
      </c>
      <c r="F2472" s="1">
        <f>IFERROR(__xludf.DUMMYFUNCTION("""COMPUTED_VALUE"""),1.0433197E7)</f>
        <v>10433197</v>
      </c>
    </row>
    <row r="2473">
      <c r="A2473" s="2">
        <f>IFERROR(__xludf.DUMMYFUNCTION("""COMPUTED_VALUE"""),40114.666666666664)</f>
        <v>40114.66667</v>
      </c>
      <c r="B2473" s="1">
        <f>IFERROR(__xludf.DUMMYFUNCTION("""COMPUTED_VALUE"""),56.98)</f>
        <v>56.98</v>
      </c>
      <c r="C2473" s="1">
        <f>IFERROR(__xludf.DUMMYFUNCTION("""COMPUTED_VALUE"""),57.92)</f>
        <v>57.92</v>
      </c>
      <c r="D2473" s="1">
        <f>IFERROR(__xludf.DUMMYFUNCTION("""COMPUTED_VALUE"""),56.97)</f>
        <v>56.97</v>
      </c>
      <c r="E2473" s="1">
        <f>IFERROR(__xludf.DUMMYFUNCTION("""COMPUTED_VALUE"""),57.23)</f>
        <v>57.23</v>
      </c>
      <c r="F2473" s="1">
        <f>IFERROR(__xludf.DUMMYFUNCTION("""COMPUTED_VALUE"""),1.5645942E7)</f>
        <v>15645942</v>
      </c>
    </row>
    <row r="2474">
      <c r="A2474" s="2">
        <f>IFERROR(__xludf.DUMMYFUNCTION("""COMPUTED_VALUE"""),40115.666666666664)</f>
        <v>40115.66667</v>
      </c>
      <c r="B2474" s="1">
        <f>IFERROR(__xludf.DUMMYFUNCTION("""COMPUTED_VALUE"""),59.39)</f>
        <v>59.39</v>
      </c>
      <c r="C2474" s="1">
        <f>IFERROR(__xludf.DUMMYFUNCTION("""COMPUTED_VALUE"""),59.98)</f>
        <v>59.98</v>
      </c>
      <c r="D2474" s="1">
        <f>IFERROR(__xludf.DUMMYFUNCTION("""COMPUTED_VALUE"""),58.91)</f>
        <v>58.91</v>
      </c>
      <c r="E2474" s="1">
        <f>IFERROR(__xludf.DUMMYFUNCTION("""COMPUTED_VALUE"""),59.54)</f>
        <v>59.54</v>
      </c>
      <c r="F2474" s="1">
        <f>IFERROR(__xludf.DUMMYFUNCTION("""COMPUTED_VALUE"""),2.6539736E7)</f>
        <v>26539736</v>
      </c>
    </row>
    <row r="2475">
      <c r="A2475" s="2">
        <f>IFERROR(__xludf.DUMMYFUNCTION("""COMPUTED_VALUE"""),40116.666666666664)</f>
        <v>40116.66667</v>
      </c>
      <c r="B2475" s="1">
        <f>IFERROR(__xludf.DUMMYFUNCTION("""COMPUTED_VALUE"""),59.18)</f>
        <v>59.18</v>
      </c>
      <c r="C2475" s="1">
        <f>IFERROR(__xludf.DUMMYFUNCTION("""COMPUTED_VALUE"""),59.54)</f>
        <v>59.54</v>
      </c>
      <c r="D2475" s="1">
        <f>IFERROR(__xludf.DUMMYFUNCTION("""COMPUTED_VALUE"""),57.86)</f>
        <v>57.86</v>
      </c>
      <c r="E2475" s="1">
        <f>IFERROR(__xludf.DUMMYFUNCTION("""COMPUTED_VALUE"""),58.0)</f>
        <v>58</v>
      </c>
      <c r="F2475" s="1">
        <f>IFERROR(__xludf.DUMMYFUNCTION("""COMPUTED_VALUE"""),2.138196E7)</f>
        <v>21381960</v>
      </c>
    </row>
    <row r="2476">
      <c r="A2476" s="2">
        <f>IFERROR(__xludf.DUMMYFUNCTION("""COMPUTED_VALUE"""),40119.666666666664)</f>
        <v>40119.66667</v>
      </c>
      <c r="B2476" s="1">
        <f>IFERROR(__xludf.DUMMYFUNCTION("""COMPUTED_VALUE"""),58.39)</f>
        <v>58.39</v>
      </c>
      <c r="C2476" s="1">
        <f>IFERROR(__xludf.DUMMYFUNCTION("""COMPUTED_VALUE"""),58.99)</f>
        <v>58.99</v>
      </c>
      <c r="D2476" s="1">
        <f>IFERROR(__xludf.DUMMYFUNCTION("""COMPUTED_VALUE"""),58.0)</f>
        <v>58</v>
      </c>
      <c r="E2476" s="1">
        <f>IFERROR(__xludf.DUMMYFUNCTION("""COMPUTED_VALUE"""),58.95)</f>
        <v>58.95</v>
      </c>
      <c r="F2476" s="1">
        <f>IFERROR(__xludf.DUMMYFUNCTION("""COMPUTED_VALUE"""),1.4740099E7)</f>
        <v>14740099</v>
      </c>
    </row>
    <row r="2477">
      <c r="A2477" s="2">
        <f>IFERROR(__xludf.DUMMYFUNCTION("""COMPUTED_VALUE"""),40120.666666666664)</f>
        <v>40120.66667</v>
      </c>
      <c r="B2477" s="1">
        <f>IFERROR(__xludf.DUMMYFUNCTION("""COMPUTED_VALUE"""),58.45)</f>
        <v>58.45</v>
      </c>
      <c r="C2477" s="1">
        <f>IFERROR(__xludf.DUMMYFUNCTION("""COMPUTED_VALUE"""),58.92)</f>
        <v>58.92</v>
      </c>
      <c r="D2477" s="1">
        <f>IFERROR(__xludf.DUMMYFUNCTION("""COMPUTED_VALUE"""),58.2)</f>
        <v>58.2</v>
      </c>
      <c r="E2477" s="1">
        <f>IFERROR(__xludf.DUMMYFUNCTION("""COMPUTED_VALUE"""),58.58)</f>
        <v>58.58</v>
      </c>
      <c r="F2477" s="1">
        <f>IFERROR(__xludf.DUMMYFUNCTION("""COMPUTED_VALUE"""),1.21012E7)</f>
        <v>12101200</v>
      </c>
    </row>
    <row r="2478">
      <c r="A2478" s="2">
        <f>IFERROR(__xludf.DUMMYFUNCTION("""COMPUTED_VALUE"""),40121.666666666664)</f>
        <v>40121.66667</v>
      </c>
      <c r="B2478" s="1">
        <f>IFERROR(__xludf.DUMMYFUNCTION("""COMPUTED_VALUE"""),58.94)</f>
        <v>58.94</v>
      </c>
      <c r="C2478" s="1">
        <f>IFERROR(__xludf.DUMMYFUNCTION("""COMPUTED_VALUE"""),59.66)</f>
        <v>59.66</v>
      </c>
      <c r="D2478" s="1">
        <f>IFERROR(__xludf.DUMMYFUNCTION("""COMPUTED_VALUE"""),58.7)</f>
        <v>58.7</v>
      </c>
      <c r="E2478" s="1">
        <f>IFERROR(__xludf.DUMMYFUNCTION("""COMPUTED_VALUE"""),59.03)</f>
        <v>59.03</v>
      </c>
      <c r="F2478" s="1">
        <f>IFERROR(__xludf.DUMMYFUNCTION("""COMPUTED_VALUE"""),1.3176692E7)</f>
        <v>13176692</v>
      </c>
    </row>
    <row r="2479">
      <c r="A2479" s="2">
        <f>IFERROR(__xludf.DUMMYFUNCTION("""COMPUTED_VALUE"""),40122.666666666664)</f>
        <v>40122.66667</v>
      </c>
      <c r="B2479" s="1">
        <f>IFERROR(__xludf.DUMMYFUNCTION("""COMPUTED_VALUE"""),59.25)</f>
        <v>59.25</v>
      </c>
      <c r="C2479" s="1">
        <f>IFERROR(__xludf.DUMMYFUNCTION("""COMPUTED_VALUE"""),60.64)</f>
        <v>60.64</v>
      </c>
      <c r="D2479" s="1">
        <f>IFERROR(__xludf.DUMMYFUNCTION("""COMPUTED_VALUE"""),59.08)</f>
        <v>59.08</v>
      </c>
      <c r="E2479" s="1">
        <f>IFERROR(__xludf.DUMMYFUNCTION("""COMPUTED_VALUE"""),60.47)</f>
        <v>60.47</v>
      </c>
      <c r="F2479" s="1">
        <f>IFERROR(__xludf.DUMMYFUNCTION("""COMPUTED_VALUE"""),1.6328755E7)</f>
        <v>16328755</v>
      </c>
    </row>
    <row r="2480">
      <c r="A2480" s="2">
        <f>IFERROR(__xludf.DUMMYFUNCTION("""COMPUTED_VALUE"""),40123.666666666664)</f>
        <v>40123.66667</v>
      </c>
      <c r="B2480" s="1">
        <f>IFERROR(__xludf.DUMMYFUNCTION("""COMPUTED_VALUE"""),60.17)</f>
        <v>60.17</v>
      </c>
      <c r="C2480" s="1">
        <f>IFERROR(__xludf.DUMMYFUNCTION("""COMPUTED_VALUE"""),61.38)</f>
        <v>61.38</v>
      </c>
      <c r="D2480" s="1">
        <f>IFERROR(__xludf.DUMMYFUNCTION("""COMPUTED_VALUE"""),60.0)</f>
        <v>60</v>
      </c>
      <c r="E2480" s="1">
        <f>IFERROR(__xludf.DUMMYFUNCTION("""COMPUTED_VALUE"""),61.04)</f>
        <v>61.04</v>
      </c>
      <c r="F2480" s="1">
        <f>IFERROR(__xludf.DUMMYFUNCTION("""COMPUTED_VALUE"""),1.6008853E7)</f>
        <v>16008853</v>
      </c>
    </row>
    <row r="2481">
      <c r="A2481" s="2">
        <f>IFERROR(__xludf.DUMMYFUNCTION("""COMPUTED_VALUE"""),40126.666666666664)</f>
        <v>40126.66667</v>
      </c>
      <c r="B2481" s="1">
        <f>IFERROR(__xludf.DUMMYFUNCTION("""COMPUTED_VALUE"""),61.19)</f>
        <v>61.19</v>
      </c>
      <c r="C2481" s="1">
        <f>IFERROR(__xludf.DUMMYFUNCTION("""COMPUTED_VALUE"""),61.9)</f>
        <v>61.9</v>
      </c>
      <c r="D2481" s="1">
        <f>IFERROR(__xludf.DUMMYFUNCTION("""COMPUTED_VALUE"""),60.84)</f>
        <v>60.84</v>
      </c>
      <c r="E2481" s="1">
        <f>IFERROR(__xludf.DUMMYFUNCTION("""COMPUTED_VALUE"""),61.85)</f>
        <v>61.85</v>
      </c>
      <c r="F2481" s="1">
        <f>IFERROR(__xludf.DUMMYFUNCTION("""COMPUTED_VALUE"""),1.4313058E7)</f>
        <v>14313058</v>
      </c>
    </row>
    <row r="2482">
      <c r="A2482" s="2">
        <f>IFERROR(__xludf.DUMMYFUNCTION("""COMPUTED_VALUE"""),40127.666666666664)</f>
        <v>40127.66667</v>
      </c>
      <c r="B2482" s="1">
        <f>IFERROR(__xludf.DUMMYFUNCTION("""COMPUTED_VALUE"""),61.58)</f>
        <v>61.58</v>
      </c>
      <c r="C2482" s="1">
        <f>IFERROR(__xludf.DUMMYFUNCTION("""COMPUTED_VALUE"""),62.36)</f>
        <v>62.36</v>
      </c>
      <c r="D2482" s="1">
        <f>IFERROR(__xludf.DUMMYFUNCTION("""COMPUTED_VALUE"""),61.47)</f>
        <v>61.47</v>
      </c>
      <c r="E2482" s="1">
        <f>IFERROR(__xludf.DUMMYFUNCTION("""COMPUTED_VALUE"""),61.86)</f>
        <v>61.86</v>
      </c>
      <c r="F2482" s="1">
        <f>IFERROR(__xludf.DUMMYFUNCTION("""COMPUTED_VALUE"""),1.5118803E7)</f>
        <v>15118803</v>
      </c>
    </row>
    <row r="2483">
      <c r="A2483" s="2">
        <f>IFERROR(__xludf.DUMMYFUNCTION("""COMPUTED_VALUE"""),40128.666666666664)</f>
        <v>40128.66667</v>
      </c>
      <c r="B2483" s="1">
        <f>IFERROR(__xludf.DUMMYFUNCTION("""COMPUTED_VALUE"""),61.87)</f>
        <v>61.87</v>
      </c>
      <c r="C2483" s="1">
        <f>IFERROR(__xludf.DUMMYFUNCTION("""COMPUTED_VALUE"""),62.28)</f>
        <v>62.28</v>
      </c>
      <c r="D2483" s="1">
        <f>IFERROR(__xludf.DUMMYFUNCTION("""COMPUTED_VALUE"""),61.52)</f>
        <v>61.52</v>
      </c>
      <c r="E2483" s="1">
        <f>IFERROR(__xludf.DUMMYFUNCTION("""COMPUTED_VALUE"""),62.23)</f>
        <v>62.23</v>
      </c>
      <c r="F2483" s="1">
        <f>IFERROR(__xludf.DUMMYFUNCTION("""COMPUTED_VALUE"""),9839213.0)</f>
        <v>9839213</v>
      </c>
    </row>
    <row r="2484">
      <c r="A2484" s="2">
        <f>IFERROR(__xludf.DUMMYFUNCTION("""COMPUTED_VALUE"""),40129.666666666664)</f>
        <v>40129.66667</v>
      </c>
      <c r="B2484" s="1">
        <f>IFERROR(__xludf.DUMMYFUNCTION("""COMPUTED_VALUE"""),62.11)</f>
        <v>62.11</v>
      </c>
      <c r="C2484" s="1">
        <f>IFERROR(__xludf.DUMMYFUNCTION("""COMPUTED_VALUE"""),62.12)</f>
        <v>62.12</v>
      </c>
      <c r="D2484" s="1">
        <f>IFERROR(__xludf.DUMMYFUNCTION("""COMPUTED_VALUE"""),61.22)</f>
        <v>61.22</v>
      </c>
      <c r="E2484" s="1">
        <f>IFERROR(__xludf.DUMMYFUNCTION("""COMPUTED_VALUE"""),61.3)</f>
        <v>61.3</v>
      </c>
      <c r="F2484" s="1">
        <f>IFERROR(__xludf.DUMMYFUNCTION("""COMPUTED_VALUE"""),1.416977E7)</f>
        <v>14169770</v>
      </c>
    </row>
    <row r="2485">
      <c r="A2485" s="2">
        <f>IFERROR(__xludf.DUMMYFUNCTION("""COMPUTED_VALUE"""),40130.666666666664)</f>
        <v>40130.66667</v>
      </c>
      <c r="B2485" s="1">
        <f>IFERROR(__xludf.DUMMYFUNCTION("""COMPUTED_VALUE"""),61.3)</f>
        <v>61.3</v>
      </c>
      <c r="C2485" s="1">
        <f>IFERROR(__xludf.DUMMYFUNCTION("""COMPUTED_VALUE"""),61.85)</f>
        <v>61.85</v>
      </c>
      <c r="D2485" s="1">
        <f>IFERROR(__xludf.DUMMYFUNCTION("""COMPUTED_VALUE"""),61.04)</f>
        <v>61.04</v>
      </c>
      <c r="E2485" s="1">
        <f>IFERROR(__xludf.DUMMYFUNCTION("""COMPUTED_VALUE"""),61.61)</f>
        <v>61.61</v>
      </c>
      <c r="F2485" s="1">
        <f>IFERROR(__xludf.DUMMYFUNCTION("""COMPUTED_VALUE"""),1.1793151E7)</f>
        <v>11793151</v>
      </c>
    </row>
    <row r="2486">
      <c r="A2486" s="2">
        <f>IFERROR(__xludf.DUMMYFUNCTION("""COMPUTED_VALUE"""),40133.666666666664)</f>
        <v>40133.66667</v>
      </c>
      <c r="B2486" s="1">
        <f>IFERROR(__xludf.DUMMYFUNCTION("""COMPUTED_VALUE"""),62.0)</f>
        <v>62</v>
      </c>
      <c r="C2486" s="1">
        <f>IFERROR(__xludf.DUMMYFUNCTION("""COMPUTED_VALUE"""),62.68)</f>
        <v>62.68</v>
      </c>
      <c r="D2486" s="1">
        <f>IFERROR(__xludf.DUMMYFUNCTION("""COMPUTED_VALUE"""),61.93)</f>
        <v>61.93</v>
      </c>
      <c r="E2486" s="1">
        <f>IFERROR(__xludf.DUMMYFUNCTION("""COMPUTED_VALUE"""),62.27)</f>
        <v>62.27</v>
      </c>
      <c r="F2486" s="1">
        <f>IFERROR(__xludf.DUMMYFUNCTION("""COMPUTED_VALUE"""),1.2542125E7)</f>
        <v>12542125</v>
      </c>
    </row>
    <row r="2487">
      <c r="A2487" s="2">
        <f>IFERROR(__xludf.DUMMYFUNCTION("""COMPUTED_VALUE"""),40134.666666666664)</f>
        <v>40134.66667</v>
      </c>
      <c r="B2487" s="1">
        <f>IFERROR(__xludf.DUMMYFUNCTION("""COMPUTED_VALUE"""),62.18)</f>
        <v>62.18</v>
      </c>
      <c r="C2487" s="1">
        <f>IFERROR(__xludf.DUMMYFUNCTION("""COMPUTED_VALUE"""),62.68)</f>
        <v>62.68</v>
      </c>
      <c r="D2487" s="1">
        <f>IFERROR(__xludf.DUMMYFUNCTION("""COMPUTED_VALUE"""),62.08)</f>
        <v>62.08</v>
      </c>
      <c r="E2487" s="1">
        <f>IFERROR(__xludf.DUMMYFUNCTION("""COMPUTED_VALUE"""),62.31)</f>
        <v>62.31</v>
      </c>
      <c r="F2487" s="1">
        <f>IFERROR(__xludf.DUMMYFUNCTION("""COMPUTED_VALUE"""),1.1532074E7)</f>
        <v>11532074</v>
      </c>
    </row>
    <row r="2488">
      <c r="A2488" s="2">
        <f>IFERROR(__xludf.DUMMYFUNCTION("""COMPUTED_VALUE"""),40135.666666666664)</f>
        <v>40135.66667</v>
      </c>
      <c r="B2488" s="1">
        <f>IFERROR(__xludf.DUMMYFUNCTION("""COMPUTED_VALUE"""),62.19)</f>
        <v>62.19</v>
      </c>
      <c r="C2488" s="1">
        <f>IFERROR(__xludf.DUMMYFUNCTION("""COMPUTED_VALUE"""),62.45)</f>
        <v>62.45</v>
      </c>
      <c r="D2488" s="1">
        <f>IFERROR(__xludf.DUMMYFUNCTION("""COMPUTED_VALUE"""),61.74)</f>
        <v>61.74</v>
      </c>
      <c r="E2488" s="1">
        <f>IFERROR(__xludf.DUMMYFUNCTION("""COMPUTED_VALUE"""),62.41)</f>
        <v>62.41</v>
      </c>
      <c r="F2488" s="1">
        <f>IFERROR(__xludf.DUMMYFUNCTION("""COMPUTED_VALUE"""),1.1983239E7)</f>
        <v>11983239</v>
      </c>
    </row>
    <row r="2489">
      <c r="A2489" s="2">
        <f>IFERROR(__xludf.DUMMYFUNCTION("""COMPUTED_VALUE"""),40136.666666666664)</f>
        <v>40136.66667</v>
      </c>
      <c r="B2489" s="1">
        <f>IFERROR(__xludf.DUMMYFUNCTION("""COMPUTED_VALUE"""),62.16)</f>
        <v>62.16</v>
      </c>
      <c r="C2489" s="1">
        <f>IFERROR(__xludf.DUMMYFUNCTION("""COMPUTED_VALUE"""),62.29)</f>
        <v>62.29</v>
      </c>
      <c r="D2489" s="1">
        <f>IFERROR(__xludf.DUMMYFUNCTION("""COMPUTED_VALUE"""),61.51)</f>
        <v>61.51</v>
      </c>
      <c r="E2489" s="1">
        <f>IFERROR(__xludf.DUMMYFUNCTION("""COMPUTED_VALUE"""),62.15)</f>
        <v>62.15</v>
      </c>
      <c r="F2489" s="1">
        <f>IFERROR(__xludf.DUMMYFUNCTION("""COMPUTED_VALUE"""),9302536.0)</f>
        <v>9302536</v>
      </c>
    </row>
    <row r="2490">
      <c r="A2490" s="2">
        <f>IFERROR(__xludf.DUMMYFUNCTION("""COMPUTED_VALUE"""),40137.666666666664)</f>
        <v>40137.66667</v>
      </c>
      <c r="B2490" s="1">
        <f>IFERROR(__xludf.DUMMYFUNCTION("""COMPUTED_VALUE"""),62.0)</f>
        <v>62</v>
      </c>
      <c r="C2490" s="1">
        <f>IFERROR(__xludf.DUMMYFUNCTION("""COMPUTED_VALUE"""),62.22)</f>
        <v>62.22</v>
      </c>
      <c r="D2490" s="1">
        <f>IFERROR(__xludf.DUMMYFUNCTION("""COMPUTED_VALUE"""),61.48)</f>
        <v>61.48</v>
      </c>
      <c r="E2490" s="1">
        <f>IFERROR(__xludf.DUMMYFUNCTION("""COMPUTED_VALUE"""),61.8)</f>
        <v>61.8</v>
      </c>
      <c r="F2490" s="1">
        <f>IFERROR(__xludf.DUMMYFUNCTION("""COMPUTED_VALUE"""),1.235367E7)</f>
        <v>12353670</v>
      </c>
    </row>
    <row r="2491">
      <c r="A2491" s="2">
        <f>IFERROR(__xludf.DUMMYFUNCTION("""COMPUTED_VALUE"""),40140.666666666664)</f>
        <v>40140.66667</v>
      </c>
      <c r="B2491" s="1">
        <f>IFERROR(__xludf.DUMMYFUNCTION("""COMPUTED_VALUE"""),62.2)</f>
        <v>62.2</v>
      </c>
      <c r="C2491" s="1">
        <f>IFERROR(__xludf.DUMMYFUNCTION("""COMPUTED_VALUE"""),62.96)</f>
        <v>62.96</v>
      </c>
      <c r="D2491" s="1">
        <f>IFERROR(__xludf.DUMMYFUNCTION("""COMPUTED_VALUE"""),62.12)</f>
        <v>62.12</v>
      </c>
      <c r="E2491" s="1">
        <f>IFERROR(__xludf.DUMMYFUNCTION("""COMPUTED_VALUE"""),62.73)</f>
        <v>62.73</v>
      </c>
      <c r="F2491" s="1">
        <f>IFERROR(__xludf.DUMMYFUNCTION("""COMPUTED_VALUE"""),1.0581475E7)</f>
        <v>10581475</v>
      </c>
    </row>
    <row r="2492">
      <c r="A2492" s="2">
        <f>IFERROR(__xludf.DUMMYFUNCTION("""COMPUTED_VALUE"""),40141.666666666664)</f>
        <v>40141.66667</v>
      </c>
      <c r="B2492" s="1">
        <f>IFERROR(__xludf.DUMMYFUNCTION("""COMPUTED_VALUE"""),62.77)</f>
        <v>62.77</v>
      </c>
      <c r="C2492" s="1">
        <f>IFERROR(__xludf.DUMMYFUNCTION("""COMPUTED_VALUE"""),62.95)</f>
        <v>62.95</v>
      </c>
      <c r="D2492" s="1">
        <f>IFERROR(__xludf.DUMMYFUNCTION("""COMPUTED_VALUE"""),62.38)</f>
        <v>62.38</v>
      </c>
      <c r="E2492" s="1">
        <f>IFERROR(__xludf.DUMMYFUNCTION("""COMPUTED_VALUE"""),62.8)</f>
        <v>62.8</v>
      </c>
      <c r="F2492" s="1">
        <f>IFERROR(__xludf.DUMMYFUNCTION("""COMPUTED_VALUE"""),9769663.0)</f>
        <v>9769663</v>
      </c>
    </row>
    <row r="2493">
      <c r="A2493" s="2">
        <f>IFERROR(__xludf.DUMMYFUNCTION("""COMPUTED_VALUE"""),40142.666666666664)</f>
        <v>40142.66667</v>
      </c>
      <c r="B2493" s="1">
        <f>IFERROR(__xludf.DUMMYFUNCTION("""COMPUTED_VALUE"""),62.94)</f>
        <v>62.94</v>
      </c>
      <c r="C2493" s="1">
        <f>IFERROR(__xludf.DUMMYFUNCTION("""COMPUTED_VALUE"""),63.48)</f>
        <v>63.48</v>
      </c>
      <c r="D2493" s="1">
        <f>IFERROR(__xludf.DUMMYFUNCTION("""COMPUTED_VALUE"""),62.7)</f>
        <v>62.7</v>
      </c>
      <c r="E2493" s="1">
        <f>IFERROR(__xludf.DUMMYFUNCTION("""COMPUTED_VALUE"""),62.87)</f>
        <v>62.87</v>
      </c>
      <c r="F2493" s="1">
        <f>IFERROR(__xludf.DUMMYFUNCTION("""COMPUTED_VALUE"""),8244877.0)</f>
        <v>8244877</v>
      </c>
    </row>
    <row r="2494">
      <c r="A2494" s="2">
        <f>IFERROR(__xludf.DUMMYFUNCTION("""COMPUTED_VALUE"""),40144.666666666664)</f>
        <v>40144.66667</v>
      </c>
      <c r="B2494" s="1">
        <f>IFERROR(__xludf.DUMMYFUNCTION("""COMPUTED_VALUE"""),61.89)</f>
        <v>61.89</v>
      </c>
      <c r="C2494" s="1">
        <f>IFERROR(__xludf.DUMMYFUNCTION("""COMPUTED_VALUE"""),62.75)</f>
        <v>62.75</v>
      </c>
      <c r="D2494" s="1">
        <f>IFERROR(__xludf.DUMMYFUNCTION("""COMPUTED_VALUE"""),61.6)</f>
        <v>61.6</v>
      </c>
      <c r="E2494" s="1">
        <f>IFERROR(__xludf.DUMMYFUNCTION("""COMPUTED_VALUE"""),62.48)</f>
        <v>62.48</v>
      </c>
      <c r="F2494" s="1">
        <f>IFERROR(__xludf.DUMMYFUNCTION("""COMPUTED_VALUE"""),6195459.0)</f>
        <v>6195459</v>
      </c>
    </row>
    <row r="2495">
      <c r="A2495" s="2">
        <f>IFERROR(__xludf.DUMMYFUNCTION("""COMPUTED_VALUE"""),40147.666666666664)</f>
        <v>40147.66667</v>
      </c>
      <c r="B2495" s="1">
        <f>IFERROR(__xludf.DUMMYFUNCTION("""COMPUTED_VALUE"""),62.37)</f>
        <v>62.37</v>
      </c>
      <c r="C2495" s="1">
        <f>IFERROR(__xludf.DUMMYFUNCTION("""COMPUTED_VALUE"""),63.0)</f>
        <v>63</v>
      </c>
      <c r="D2495" s="1">
        <f>IFERROR(__xludf.DUMMYFUNCTION("""COMPUTED_VALUE"""),62.12)</f>
        <v>62.12</v>
      </c>
      <c r="E2495" s="1">
        <f>IFERROR(__xludf.DUMMYFUNCTION("""COMPUTED_VALUE"""),62.35)</f>
        <v>62.35</v>
      </c>
      <c r="F2495" s="1">
        <f>IFERROR(__xludf.DUMMYFUNCTION("""COMPUTED_VALUE"""),1.2382386E7)</f>
        <v>12382386</v>
      </c>
    </row>
    <row r="2496">
      <c r="A2496" s="2">
        <f>IFERROR(__xludf.DUMMYFUNCTION("""COMPUTED_VALUE"""),40148.666666666664)</f>
        <v>40148.66667</v>
      </c>
      <c r="B2496" s="1">
        <f>IFERROR(__xludf.DUMMYFUNCTION("""COMPUTED_VALUE"""),62.61)</f>
        <v>62.61</v>
      </c>
      <c r="C2496" s="1">
        <f>IFERROR(__xludf.DUMMYFUNCTION("""COMPUTED_VALUE"""),63.35)</f>
        <v>63.35</v>
      </c>
      <c r="D2496" s="1">
        <f>IFERROR(__xludf.DUMMYFUNCTION("""COMPUTED_VALUE"""),62.6)</f>
        <v>62.6</v>
      </c>
      <c r="E2496" s="1">
        <f>IFERROR(__xludf.DUMMYFUNCTION("""COMPUTED_VALUE"""),62.91)</f>
        <v>62.91</v>
      </c>
      <c r="F2496" s="1">
        <f>IFERROR(__xludf.DUMMYFUNCTION("""COMPUTED_VALUE"""),9560539.0)</f>
        <v>9560539</v>
      </c>
    </row>
    <row r="2497">
      <c r="A2497" s="2">
        <f>IFERROR(__xludf.DUMMYFUNCTION("""COMPUTED_VALUE"""),40149.666666666664)</f>
        <v>40149.66667</v>
      </c>
      <c r="B2497" s="1">
        <f>IFERROR(__xludf.DUMMYFUNCTION("""COMPUTED_VALUE"""),62.93)</f>
        <v>62.93</v>
      </c>
      <c r="C2497" s="1">
        <f>IFERROR(__xludf.DUMMYFUNCTION("""COMPUTED_VALUE"""),63.39)</f>
        <v>63.39</v>
      </c>
      <c r="D2497" s="1">
        <f>IFERROR(__xludf.DUMMYFUNCTION("""COMPUTED_VALUE"""),62.85)</f>
        <v>62.85</v>
      </c>
      <c r="E2497" s="1">
        <f>IFERROR(__xludf.DUMMYFUNCTION("""COMPUTED_VALUE"""),63.19)</f>
        <v>63.19</v>
      </c>
      <c r="F2497" s="1">
        <f>IFERROR(__xludf.DUMMYFUNCTION("""COMPUTED_VALUE"""),9023770.0)</f>
        <v>9023770</v>
      </c>
    </row>
    <row r="2498">
      <c r="A2498" s="2">
        <f>IFERROR(__xludf.DUMMYFUNCTION("""COMPUTED_VALUE"""),40150.666666666664)</f>
        <v>40150.66667</v>
      </c>
      <c r="B2498" s="1">
        <f>IFERROR(__xludf.DUMMYFUNCTION("""COMPUTED_VALUE"""),63.09)</f>
        <v>63.09</v>
      </c>
      <c r="C2498" s="1">
        <f>IFERROR(__xludf.DUMMYFUNCTION("""COMPUTED_VALUE"""),63.36)</f>
        <v>63.36</v>
      </c>
      <c r="D2498" s="1">
        <f>IFERROR(__xludf.DUMMYFUNCTION("""COMPUTED_VALUE"""),62.42)</f>
        <v>62.42</v>
      </c>
      <c r="E2498" s="1">
        <f>IFERROR(__xludf.DUMMYFUNCTION("""COMPUTED_VALUE"""),62.56)</f>
        <v>62.56</v>
      </c>
      <c r="F2498" s="1">
        <f>IFERROR(__xludf.DUMMYFUNCTION("""COMPUTED_VALUE"""),9844350.0)</f>
        <v>9844350</v>
      </c>
    </row>
    <row r="2499">
      <c r="A2499" s="2">
        <f>IFERROR(__xludf.DUMMYFUNCTION("""COMPUTED_VALUE"""),40151.666666666664)</f>
        <v>40151.66667</v>
      </c>
      <c r="B2499" s="1">
        <f>IFERROR(__xludf.DUMMYFUNCTION("""COMPUTED_VALUE"""),63.15)</f>
        <v>63.15</v>
      </c>
      <c r="C2499" s="1">
        <f>IFERROR(__xludf.DUMMYFUNCTION("""COMPUTED_VALUE"""),63.3)</f>
        <v>63.3</v>
      </c>
      <c r="D2499" s="1">
        <f>IFERROR(__xludf.DUMMYFUNCTION("""COMPUTED_VALUE"""),62.25)</f>
        <v>62.25</v>
      </c>
      <c r="E2499" s="1">
        <f>IFERROR(__xludf.DUMMYFUNCTION("""COMPUTED_VALUE"""),62.6)</f>
        <v>62.6</v>
      </c>
      <c r="F2499" s="1">
        <f>IFERROR(__xludf.DUMMYFUNCTION("""COMPUTED_VALUE"""),1.1299969E7)</f>
        <v>11299969</v>
      </c>
    </row>
    <row r="2500">
      <c r="A2500" s="2">
        <f>IFERROR(__xludf.DUMMYFUNCTION("""COMPUTED_VALUE"""),40154.666666666664)</f>
        <v>40154.66667</v>
      </c>
      <c r="B2500" s="1">
        <f>IFERROR(__xludf.DUMMYFUNCTION("""COMPUTED_VALUE"""),62.39)</f>
        <v>62.39</v>
      </c>
      <c r="C2500" s="1">
        <f>IFERROR(__xludf.DUMMYFUNCTION("""COMPUTED_VALUE"""),62.73)</f>
        <v>62.73</v>
      </c>
      <c r="D2500" s="1">
        <f>IFERROR(__xludf.DUMMYFUNCTION("""COMPUTED_VALUE"""),62.04)</f>
        <v>62.04</v>
      </c>
      <c r="E2500" s="1">
        <f>IFERROR(__xludf.DUMMYFUNCTION("""COMPUTED_VALUE"""),62.47)</f>
        <v>62.47</v>
      </c>
      <c r="F2500" s="1">
        <f>IFERROR(__xludf.DUMMYFUNCTION("""COMPUTED_VALUE"""),8947976.0)</f>
        <v>8947976</v>
      </c>
    </row>
    <row r="2501">
      <c r="A2501" s="2">
        <f>IFERROR(__xludf.DUMMYFUNCTION("""COMPUTED_VALUE"""),40155.666666666664)</f>
        <v>40155.66667</v>
      </c>
      <c r="B2501" s="1">
        <f>IFERROR(__xludf.DUMMYFUNCTION("""COMPUTED_VALUE"""),62.14)</f>
        <v>62.14</v>
      </c>
      <c r="C2501" s="1">
        <f>IFERROR(__xludf.DUMMYFUNCTION("""COMPUTED_VALUE"""),62.3)</f>
        <v>62.3</v>
      </c>
      <c r="D2501" s="1">
        <f>IFERROR(__xludf.DUMMYFUNCTION("""COMPUTED_VALUE"""),61.6)</f>
        <v>61.6</v>
      </c>
      <c r="E2501" s="1">
        <f>IFERROR(__xludf.DUMMYFUNCTION("""COMPUTED_VALUE"""),61.87)</f>
        <v>61.87</v>
      </c>
      <c r="F2501" s="1">
        <f>IFERROR(__xludf.DUMMYFUNCTION("""COMPUTED_VALUE"""),1.1169126E7)</f>
        <v>11169126</v>
      </c>
    </row>
    <row r="2502">
      <c r="A2502" s="2">
        <f>IFERROR(__xludf.DUMMYFUNCTION("""COMPUTED_VALUE"""),40156.666666666664)</f>
        <v>40156.66667</v>
      </c>
      <c r="B2502" s="1">
        <f>IFERROR(__xludf.DUMMYFUNCTION("""COMPUTED_VALUE"""),61.93)</f>
        <v>61.93</v>
      </c>
      <c r="C2502" s="1">
        <f>IFERROR(__xludf.DUMMYFUNCTION("""COMPUTED_VALUE"""),62.41)</f>
        <v>62.41</v>
      </c>
      <c r="D2502" s="1">
        <f>IFERROR(__xludf.DUMMYFUNCTION("""COMPUTED_VALUE"""),61.7)</f>
        <v>61.7</v>
      </c>
      <c r="E2502" s="1">
        <f>IFERROR(__xludf.DUMMYFUNCTION("""COMPUTED_VALUE"""),62.24)</f>
        <v>62.24</v>
      </c>
      <c r="F2502" s="1">
        <f>IFERROR(__xludf.DUMMYFUNCTION("""COMPUTED_VALUE"""),9118241.0)</f>
        <v>9118241</v>
      </c>
    </row>
    <row r="2503">
      <c r="A2503" s="2">
        <f>IFERROR(__xludf.DUMMYFUNCTION("""COMPUTED_VALUE"""),40157.666666666664)</f>
        <v>40157.66667</v>
      </c>
      <c r="B2503" s="1">
        <f>IFERROR(__xludf.DUMMYFUNCTION("""COMPUTED_VALUE"""),62.35)</f>
        <v>62.35</v>
      </c>
      <c r="C2503" s="1">
        <f>IFERROR(__xludf.DUMMYFUNCTION("""COMPUTED_VALUE"""),62.85)</f>
        <v>62.85</v>
      </c>
      <c r="D2503" s="1">
        <f>IFERROR(__xludf.DUMMYFUNCTION("""COMPUTED_VALUE"""),62.08)</f>
        <v>62.08</v>
      </c>
      <c r="E2503" s="1">
        <f>IFERROR(__xludf.DUMMYFUNCTION("""COMPUTED_VALUE"""),62.24)</f>
        <v>62.24</v>
      </c>
      <c r="F2503" s="1">
        <f>IFERROR(__xludf.DUMMYFUNCTION("""COMPUTED_VALUE"""),1.0030399E7)</f>
        <v>10030399</v>
      </c>
    </row>
    <row r="2504">
      <c r="A2504" s="2">
        <f>IFERROR(__xludf.DUMMYFUNCTION("""COMPUTED_VALUE"""),40158.666666666664)</f>
        <v>40158.66667</v>
      </c>
      <c r="B2504" s="1">
        <f>IFERROR(__xludf.DUMMYFUNCTION("""COMPUTED_VALUE"""),62.29)</f>
        <v>62.29</v>
      </c>
      <c r="C2504" s="1">
        <f>IFERROR(__xludf.DUMMYFUNCTION("""COMPUTED_VALUE"""),62.85)</f>
        <v>62.85</v>
      </c>
      <c r="D2504" s="1">
        <f>IFERROR(__xludf.DUMMYFUNCTION("""COMPUTED_VALUE"""),62.21)</f>
        <v>62.21</v>
      </c>
      <c r="E2504" s="1">
        <f>IFERROR(__xludf.DUMMYFUNCTION("""COMPUTED_VALUE"""),62.34)</f>
        <v>62.34</v>
      </c>
      <c r="F2504" s="1">
        <f>IFERROR(__xludf.DUMMYFUNCTION("""COMPUTED_VALUE"""),8932484.0)</f>
        <v>8932484</v>
      </c>
    </row>
    <row r="2505">
      <c r="A2505" s="2">
        <f>IFERROR(__xludf.DUMMYFUNCTION("""COMPUTED_VALUE"""),40161.666666666664)</f>
        <v>40161.66667</v>
      </c>
      <c r="B2505" s="1">
        <f>IFERROR(__xludf.DUMMYFUNCTION("""COMPUTED_VALUE"""),62.54)</f>
        <v>62.54</v>
      </c>
      <c r="C2505" s="1">
        <f>IFERROR(__xludf.DUMMYFUNCTION("""COMPUTED_VALUE"""),63.08)</f>
        <v>63.08</v>
      </c>
      <c r="D2505" s="1">
        <f>IFERROR(__xludf.DUMMYFUNCTION("""COMPUTED_VALUE"""),62.39)</f>
        <v>62.39</v>
      </c>
      <c r="E2505" s="1">
        <f>IFERROR(__xludf.DUMMYFUNCTION("""COMPUTED_VALUE"""),63.01)</f>
        <v>63.01</v>
      </c>
      <c r="F2505" s="1">
        <f>IFERROR(__xludf.DUMMYFUNCTION("""COMPUTED_VALUE"""),9535761.0)</f>
        <v>9535761</v>
      </c>
    </row>
    <row r="2506">
      <c r="A2506" s="2">
        <f>IFERROR(__xludf.DUMMYFUNCTION("""COMPUTED_VALUE"""),40162.666666666664)</f>
        <v>40162.66667</v>
      </c>
      <c r="B2506" s="1">
        <f>IFERROR(__xludf.DUMMYFUNCTION("""COMPUTED_VALUE"""),62.7)</f>
        <v>62.7</v>
      </c>
      <c r="C2506" s="1">
        <f>IFERROR(__xludf.DUMMYFUNCTION("""COMPUTED_VALUE"""),62.82)</f>
        <v>62.82</v>
      </c>
      <c r="D2506" s="1">
        <f>IFERROR(__xludf.DUMMYFUNCTION("""COMPUTED_VALUE"""),61.89)</f>
        <v>61.89</v>
      </c>
      <c r="E2506" s="1">
        <f>IFERROR(__xludf.DUMMYFUNCTION("""COMPUTED_VALUE"""),62.12)</f>
        <v>62.12</v>
      </c>
      <c r="F2506" s="1">
        <f>IFERROR(__xludf.DUMMYFUNCTION("""COMPUTED_VALUE"""),1.1547061E7)</f>
        <v>11547061</v>
      </c>
    </row>
    <row r="2507">
      <c r="A2507" s="2">
        <f>IFERROR(__xludf.DUMMYFUNCTION("""COMPUTED_VALUE"""),40163.666666666664)</f>
        <v>40163.66667</v>
      </c>
      <c r="B2507" s="1">
        <f>IFERROR(__xludf.DUMMYFUNCTION("""COMPUTED_VALUE"""),62.38)</f>
        <v>62.38</v>
      </c>
      <c r="C2507" s="1">
        <f>IFERROR(__xludf.DUMMYFUNCTION("""COMPUTED_VALUE"""),62.67)</f>
        <v>62.67</v>
      </c>
      <c r="D2507" s="1">
        <f>IFERROR(__xludf.DUMMYFUNCTION("""COMPUTED_VALUE"""),62.12)</f>
        <v>62.12</v>
      </c>
      <c r="E2507" s="1">
        <f>IFERROR(__xludf.DUMMYFUNCTION("""COMPUTED_VALUE"""),62.16)</f>
        <v>62.16</v>
      </c>
      <c r="F2507" s="1">
        <f>IFERROR(__xludf.DUMMYFUNCTION("""COMPUTED_VALUE"""),9873662.0)</f>
        <v>9873662</v>
      </c>
    </row>
    <row r="2508">
      <c r="A2508" s="2">
        <f>IFERROR(__xludf.DUMMYFUNCTION("""COMPUTED_VALUE"""),40164.666666666664)</f>
        <v>40164.66667</v>
      </c>
      <c r="B2508" s="1">
        <f>IFERROR(__xludf.DUMMYFUNCTION("""COMPUTED_VALUE"""),62.0)</f>
        <v>62</v>
      </c>
      <c r="C2508" s="1">
        <f>IFERROR(__xludf.DUMMYFUNCTION("""COMPUTED_VALUE"""),62.12)</f>
        <v>62.12</v>
      </c>
      <c r="D2508" s="1">
        <f>IFERROR(__xludf.DUMMYFUNCTION("""COMPUTED_VALUE"""),61.54)</f>
        <v>61.54</v>
      </c>
      <c r="E2508" s="1">
        <f>IFERROR(__xludf.DUMMYFUNCTION("""COMPUTED_VALUE"""),61.59)</f>
        <v>61.59</v>
      </c>
      <c r="F2508" s="1">
        <f>IFERROR(__xludf.DUMMYFUNCTION("""COMPUTED_VALUE"""),1.0983525E7)</f>
        <v>10983525</v>
      </c>
    </row>
    <row r="2509">
      <c r="A2509" s="2">
        <f>IFERROR(__xludf.DUMMYFUNCTION("""COMPUTED_VALUE"""),40165.666666666664)</f>
        <v>40165.66667</v>
      </c>
      <c r="B2509" s="1">
        <f>IFERROR(__xludf.DUMMYFUNCTION("""COMPUTED_VALUE"""),61.98)</f>
        <v>61.98</v>
      </c>
      <c r="C2509" s="1">
        <f>IFERROR(__xludf.DUMMYFUNCTION("""COMPUTED_VALUE"""),62.0)</f>
        <v>62</v>
      </c>
      <c r="D2509" s="1">
        <f>IFERROR(__xludf.DUMMYFUNCTION("""COMPUTED_VALUE"""),60.41)</f>
        <v>60.41</v>
      </c>
      <c r="E2509" s="1">
        <f>IFERROR(__xludf.DUMMYFUNCTION("""COMPUTED_VALUE"""),61.55)</f>
        <v>61.55</v>
      </c>
      <c r="F2509" s="1">
        <f>IFERROR(__xludf.DUMMYFUNCTION("""COMPUTED_VALUE"""),2.2847802E7)</f>
        <v>22847802</v>
      </c>
    </row>
    <row r="2510">
      <c r="A2510" s="2">
        <f>IFERROR(__xludf.DUMMYFUNCTION("""COMPUTED_VALUE"""),40168.666666666664)</f>
        <v>40168.66667</v>
      </c>
      <c r="B2510" s="1">
        <f>IFERROR(__xludf.DUMMYFUNCTION("""COMPUTED_VALUE"""),61.65)</f>
        <v>61.65</v>
      </c>
      <c r="C2510" s="1">
        <f>IFERROR(__xludf.DUMMYFUNCTION("""COMPUTED_VALUE"""),61.85)</f>
        <v>61.85</v>
      </c>
      <c r="D2510" s="1">
        <f>IFERROR(__xludf.DUMMYFUNCTION("""COMPUTED_VALUE"""),61.23)</f>
        <v>61.23</v>
      </c>
      <c r="E2510" s="1">
        <f>IFERROR(__xludf.DUMMYFUNCTION("""COMPUTED_VALUE"""),61.3)</f>
        <v>61.3</v>
      </c>
      <c r="F2510" s="1">
        <f>IFERROR(__xludf.DUMMYFUNCTION("""COMPUTED_VALUE"""),9550066.0)</f>
        <v>9550066</v>
      </c>
    </row>
    <row r="2511">
      <c r="A2511" s="2">
        <f>IFERROR(__xludf.DUMMYFUNCTION("""COMPUTED_VALUE"""),40169.666666666664)</f>
        <v>40169.66667</v>
      </c>
      <c r="B2511" s="1">
        <f>IFERROR(__xludf.DUMMYFUNCTION("""COMPUTED_VALUE"""),61.14)</f>
        <v>61.14</v>
      </c>
      <c r="C2511" s="1">
        <f>IFERROR(__xludf.DUMMYFUNCTION("""COMPUTED_VALUE"""),61.5)</f>
        <v>61.5</v>
      </c>
      <c r="D2511" s="1">
        <f>IFERROR(__xludf.DUMMYFUNCTION("""COMPUTED_VALUE"""),61.02)</f>
        <v>61.02</v>
      </c>
      <c r="E2511" s="1">
        <f>IFERROR(__xludf.DUMMYFUNCTION("""COMPUTED_VALUE"""),61.3)</f>
        <v>61.3</v>
      </c>
      <c r="F2511" s="1">
        <f>IFERROR(__xludf.DUMMYFUNCTION("""COMPUTED_VALUE"""),7178912.0)</f>
        <v>7178912</v>
      </c>
    </row>
    <row r="2512">
      <c r="A2512" s="2">
        <f>IFERROR(__xludf.DUMMYFUNCTION("""COMPUTED_VALUE"""),40170.666666666664)</f>
        <v>40170.66667</v>
      </c>
      <c r="B2512" s="1">
        <f>IFERROR(__xludf.DUMMYFUNCTION("""COMPUTED_VALUE"""),61.06)</f>
        <v>61.06</v>
      </c>
      <c r="C2512" s="1">
        <f>IFERROR(__xludf.DUMMYFUNCTION("""COMPUTED_VALUE"""),61.35)</f>
        <v>61.35</v>
      </c>
      <c r="D2512" s="1">
        <f>IFERROR(__xludf.DUMMYFUNCTION("""COMPUTED_VALUE"""),60.76)</f>
        <v>60.76</v>
      </c>
      <c r="E2512" s="1">
        <f>IFERROR(__xludf.DUMMYFUNCTION("""COMPUTED_VALUE"""),61.31)</f>
        <v>61.31</v>
      </c>
      <c r="F2512" s="1">
        <f>IFERROR(__xludf.DUMMYFUNCTION("""COMPUTED_VALUE"""),5639790.0)</f>
        <v>5639790</v>
      </c>
    </row>
    <row r="2513">
      <c r="A2513" s="2">
        <f>IFERROR(__xludf.DUMMYFUNCTION("""COMPUTED_VALUE"""),40171.666666666664)</f>
        <v>40171.66667</v>
      </c>
      <c r="B2513" s="1">
        <f>IFERROR(__xludf.DUMMYFUNCTION("""COMPUTED_VALUE"""),61.25)</f>
        <v>61.25</v>
      </c>
      <c r="C2513" s="1">
        <f>IFERROR(__xludf.DUMMYFUNCTION("""COMPUTED_VALUE"""),61.48)</f>
        <v>61.48</v>
      </c>
      <c r="D2513" s="1">
        <f>IFERROR(__xludf.DUMMYFUNCTION("""COMPUTED_VALUE"""),61.05)</f>
        <v>61.05</v>
      </c>
      <c r="E2513" s="1">
        <f>IFERROR(__xludf.DUMMYFUNCTION("""COMPUTED_VALUE"""),61.28)</f>
        <v>61.28</v>
      </c>
      <c r="F2513" s="1">
        <f>IFERROR(__xludf.DUMMYFUNCTION("""COMPUTED_VALUE"""),3356976.0)</f>
        <v>3356976</v>
      </c>
    </row>
    <row r="2514">
      <c r="A2514" s="2">
        <f>IFERROR(__xludf.DUMMYFUNCTION("""COMPUTED_VALUE"""),40175.666666666664)</f>
        <v>40175.66667</v>
      </c>
      <c r="B2514" s="1">
        <f>IFERROR(__xludf.DUMMYFUNCTION("""COMPUTED_VALUE"""),61.52)</f>
        <v>61.52</v>
      </c>
      <c r="C2514" s="1">
        <f>IFERROR(__xludf.DUMMYFUNCTION("""COMPUTED_VALUE"""),61.65)</f>
        <v>61.65</v>
      </c>
      <c r="D2514" s="1">
        <f>IFERROR(__xludf.DUMMYFUNCTION("""COMPUTED_VALUE"""),60.79)</f>
        <v>60.79</v>
      </c>
      <c r="E2514" s="1">
        <f>IFERROR(__xludf.DUMMYFUNCTION("""COMPUTED_VALUE"""),61.25)</f>
        <v>61.25</v>
      </c>
      <c r="F2514" s="1">
        <f>IFERROR(__xludf.DUMMYFUNCTION("""COMPUTED_VALUE"""),6880520.0)</f>
        <v>6880520</v>
      </c>
    </row>
    <row r="2515">
      <c r="A2515" s="2">
        <f>IFERROR(__xludf.DUMMYFUNCTION("""COMPUTED_VALUE"""),40176.666666666664)</f>
        <v>40176.66667</v>
      </c>
      <c r="B2515" s="1">
        <f>IFERROR(__xludf.DUMMYFUNCTION("""COMPUTED_VALUE"""),61.16)</f>
        <v>61.16</v>
      </c>
      <c r="C2515" s="1">
        <f>IFERROR(__xludf.DUMMYFUNCTION("""COMPUTED_VALUE"""),61.88)</f>
        <v>61.88</v>
      </c>
      <c r="D2515" s="1">
        <f>IFERROR(__xludf.DUMMYFUNCTION("""COMPUTED_VALUE"""),61.15)</f>
        <v>61.15</v>
      </c>
      <c r="E2515" s="1">
        <f>IFERROR(__xludf.DUMMYFUNCTION("""COMPUTED_VALUE"""),61.58)</f>
        <v>61.58</v>
      </c>
      <c r="F2515" s="1">
        <f>IFERROR(__xludf.DUMMYFUNCTION("""COMPUTED_VALUE"""),7281370.0)</f>
        <v>7281370</v>
      </c>
    </row>
    <row r="2516">
      <c r="A2516" s="2">
        <f>IFERROR(__xludf.DUMMYFUNCTION("""COMPUTED_VALUE"""),40177.666666666664)</f>
        <v>40177.66667</v>
      </c>
      <c r="B2516" s="1">
        <f>IFERROR(__xludf.DUMMYFUNCTION("""COMPUTED_VALUE"""),61.38)</f>
        <v>61.38</v>
      </c>
      <c r="C2516" s="1">
        <f>IFERROR(__xludf.DUMMYFUNCTION("""COMPUTED_VALUE"""),61.89)</f>
        <v>61.89</v>
      </c>
      <c r="D2516" s="1">
        <f>IFERROR(__xludf.DUMMYFUNCTION("""COMPUTED_VALUE"""),61.16)</f>
        <v>61.16</v>
      </c>
      <c r="E2516" s="1">
        <f>IFERROR(__xludf.DUMMYFUNCTION("""COMPUTED_VALUE"""),61.37)</f>
        <v>61.37</v>
      </c>
      <c r="F2516" s="1">
        <f>IFERROR(__xludf.DUMMYFUNCTION("""COMPUTED_VALUE"""),5666212.0)</f>
        <v>5666212</v>
      </c>
    </row>
    <row r="2517">
      <c r="A2517" s="2">
        <f>IFERROR(__xludf.DUMMYFUNCTION("""COMPUTED_VALUE"""),40178.666666666664)</f>
        <v>40178.66667</v>
      </c>
      <c r="B2517" s="1">
        <f>IFERROR(__xludf.DUMMYFUNCTION("""COMPUTED_VALUE"""),61.52)</f>
        <v>61.52</v>
      </c>
      <c r="C2517" s="1">
        <f>IFERROR(__xludf.DUMMYFUNCTION("""COMPUTED_VALUE"""),61.53)</f>
        <v>61.53</v>
      </c>
      <c r="D2517" s="1">
        <f>IFERROR(__xludf.DUMMYFUNCTION("""COMPUTED_VALUE"""),60.56)</f>
        <v>60.56</v>
      </c>
      <c r="E2517" s="1">
        <f>IFERROR(__xludf.DUMMYFUNCTION("""COMPUTED_VALUE"""),60.63)</f>
        <v>60.63</v>
      </c>
      <c r="F2517" s="1">
        <f>IFERROR(__xludf.DUMMYFUNCTION("""COMPUTED_VALUE"""),5942110.0)</f>
        <v>5942110</v>
      </c>
    </row>
    <row r="2518">
      <c r="A2518" s="2">
        <f>IFERROR(__xludf.DUMMYFUNCTION("""COMPUTED_VALUE"""),40182.666666666664)</f>
        <v>40182.66667</v>
      </c>
      <c r="B2518" s="1">
        <f>IFERROR(__xludf.DUMMYFUNCTION("""COMPUTED_VALUE"""),61.11)</f>
        <v>61.11</v>
      </c>
      <c r="C2518" s="1">
        <f>IFERROR(__xludf.DUMMYFUNCTION("""COMPUTED_VALUE"""),61.31)</f>
        <v>61.31</v>
      </c>
      <c r="D2518" s="1">
        <f>IFERROR(__xludf.DUMMYFUNCTION("""COMPUTED_VALUE"""),60.63)</f>
        <v>60.63</v>
      </c>
      <c r="E2518" s="1">
        <f>IFERROR(__xludf.DUMMYFUNCTION("""COMPUTED_VALUE"""),61.12)</f>
        <v>61.12</v>
      </c>
      <c r="F2518" s="1">
        <f>IFERROR(__xludf.DUMMYFUNCTION("""COMPUTED_VALUE"""),9190873.0)</f>
        <v>9190873</v>
      </c>
    </row>
    <row r="2519">
      <c r="A2519" s="2">
        <f>IFERROR(__xludf.DUMMYFUNCTION("""COMPUTED_VALUE"""),40183.666666666664)</f>
        <v>40183.66667</v>
      </c>
      <c r="B2519" s="1">
        <f>IFERROR(__xludf.DUMMYFUNCTION("""COMPUTED_VALUE"""),61.13)</f>
        <v>61.13</v>
      </c>
      <c r="C2519" s="1">
        <f>IFERROR(__xludf.DUMMYFUNCTION("""COMPUTED_VALUE"""),61.28)</f>
        <v>61.28</v>
      </c>
      <c r="D2519" s="1">
        <f>IFERROR(__xludf.DUMMYFUNCTION("""COMPUTED_VALUE"""),60.6)</f>
        <v>60.6</v>
      </c>
      <c r="E2519" s="1">
        <f>IFERROR(__xludf.DUMMYFUNCTION("""COMPUTED_VALUE"""),61.14)</f>
        <v>61.14</v>
      </c>
      <c r="F2519" s="1">
        <f>IFERROR(__xludf.DUMMYFUNCTION("""COMPUTED_VALUE"""),8650514.0)</f>
        <v>8650514</v>
      </c>
    </row>
    <row r="2520">
      <c r="A2520" s="2">
        <f>IFERROR(__xludf.DUMMYFUNCTION("""COMPUTED_VALUE"""),40184.666666666664)</f>
        <v>40184.66667</v>
      </c>
      <c r="B2520" s="1">
        <f>IFERROR(__xludf.DUMMYFUNCTION("""COMPUTED_VALUE"""),60.94)</f>
        <v>60.94</v>
      </c>
      <c r="C2520" s="1">
        <f>IFERROR(__xludf.DUMMYFUNCTION("""COMPUTED_VALUE"""),60.96)</f>
        <v>60.96</v>
      </c>
      <c r="D2520" s="1">
        <f>IFERROR(__xludf.DUMMYFUNCTION("""COMPUTED_VALUE"""),60.5)</f>
        <v>60.5</v>
      </c>
      <c r="E2520" s="1">
        <f>IFERROR(__xludf.DUMMYFUNCTION("""COMPUTED_VALUE"""),60.85)</f>
        <v>60.85</v>
      </c>
      <c r="F2520" s="1">
        <f>IFERROR(__xludf.DUMMYFUNCTION("""COMPUTED_VALUE"""),9908909.0)</f>
        <v>9908909</v>
      </c>
    </row>
    <row r="2521">
      <c r="A2521" s="2">
        <f>IFERROR(__xludf.DUMMYFUNCTION("""COMPUTED_VALUE"""),40185.666666666664)</f>
        <v>40185.66667</v>
      </c>
      <c r="B2521" s="1">
        <f>IFERROR(__xludf.DUMMYFUNCTION("""COMPUTED_VALUE"""),60.58)</f>
        <v>60.58</v>
      </c>
      <c r="C2521" s="1">
        <f>IFERROR(__xludf.DUMMYFUNCTION("""COMPUTED_VALUE"""),60.7)</f>
        <v>60.7</v>
      </c>
      <c r="D2521" s="1">
        <f>IFERROR(__xludf.DUMMYFUNCTION("""COMPUTED_VALUE"""),60.24)</f>
        <v>60.24</v>
      </c>
      <c r="E2521" s="1">
        <f>IFERROR(__xludf.DUMMYFUNCTION("""COMPUTED_VALUE"""),60.52)</f>
        <v>60.52</v>
      </c>
      <c r="F2521" s="1">
        <f>IFERROR(__xludf.DUMMYFUNCTION("""COMPUTED_VALUE"""),8972748.0)</f>
        <v>8972748</v>
      </c>
    </row>
    <row r="2522">
      <c r="A2522" s="2">
        <f>IFERROR(__xludf.DUMMYFUNCTION("""COMPUTED_VALUE"""),40186.666666666664)</f>
        <v>40186.66667</v>
      </c>
      <c r="B2522" s="1">
        <f>IFERROR(__xludf.DUMMYFUNCTION("""COMPUTED_VALUE"""),60.36)</f>
        <v>60.36</v>
      </c>
      <c r="C2522" s="1">
        <f>IFERROR(__xludf.DUMMYFUNCTION("""COMPUTED_VALUE"""),60.53)</f>
        <v>60.53</v>
      </c>
      <c r="D2522" s="1">
        <f>IFERROR(__xludf.DUMMYFUNCTION("""COMPUTED_VALUE"""),60.06)</f>
        <v>60.06</v>
      </c>
      <c r="E2522" s="1">
        <f>IFERROR(__xludf.DUMMYFUNCTION("""COMPUTED_VALUE"""),60.44)</f>
        <v>60.44</v>
      </c>
      <c r="F2522" s="1">
        <f>IFERROR(__xludf.DUMMYFUNCTION("""COMPUTED_VALUE"""),8466961.0)</f>
        <v>8466961</v>
      </c>
    </row>
    <row r="2523">
      <c r="A2523" s="2">
        <f>IFERROR(__xludf.DUMMYFUNCTION("""COMPUTED_VALUE"""),40189.666666666664)</f>
        <v>40189.66667</v>
      </c>
      <c r="B2523" s="1">
        <f>IFERROR(__xludf.DUMMYFUNCTION("""COMPUTED_VALUE"""),60.08)</f>
        <v>60.08</v>
      </c>
      <c r="C2523" s="1">
        <f>IFERROR(__xludf.DUMMYFUNCTION("""COMPUTED_VALUE"""),60.27)</f>
        <v>60.27</v>
      </c>
      <c r="D2523" s="1">
        <f>IFERROR(__xludf.DUMMYFUNCTION("""COMPUTED_VALUE"""),59.01)</f>
        <v>59.01</v>
      </c>
      <c r="E2523" s="1">
        <f>IFERROR(__xludf.DUMMYFUNCTION("""COMPUTED_VALUE"""),60.2)</f>
        <v>60.2</v>
      </c>
      <c r="F2523" s="1">
        <f>IFERROR(__xludf.DUMMYFUNCTION("""COMPUTED_VALUE"""),1.4775303E7)</f>
        <v>14775303</v>
      </c>
    </row>
    <row r="2524">
      <c r="A2524" s="2">
        <f>IFERROR(__xludf.DUMMYFUNCTION("""COMPUTED_VALUE"""),40190.666666666664)</f>
        <v>40190.66667</v>
      </c>
      <c r="B2524" s="1">
        <f>IFERROR(__xludf.DUMMYFUNCTION("""COMPUTED_VALUE"""),60.7)</f>
        <v>60.7</v>
      </c>
      <c r="C2524" s="1">
        <f>IFERROR(__xludf.DUMMYFUNCTION("""COMPUTED_VALUE"""),61.36)</f>
        <v>61.36</v>
      </c>
      <c r="D2524" s="1">
        <f>IFERROR(__xludf.DUMMYFUNCTION("""COMPUTED_VALUE"""),60.5)</f>
        <v>60.5</v>
      </c>
      <c r="E2524" s="1">
        <f>IFERROR(__xludf.DUMMYFUNCTION("""COMPUTED_VALUE"""),60.89)</f>
        <v>60.89</v>
      </c>
      <c r="F2524" s="1">
        <f>IFERROR(__xludf.DUMMYFUNCTION("""COMPUTED_VALUE"""),1.3461316E7)</f>
        <v>13461316</v>
      </c>
    </row>
    <row r="2525">
      <c r="A2525" s="2">
        <f>IFERROR(__xludf.DUMMYFUNCTION("""COMPUTED_VALUE"""),40191.666666666664)</f>
        <v>40191.66667</v>
      </c>
      <c r="B2525" s="1">
        <f>IFERROR(__xludf.DUMMYFUNCTION("""COMPUTED_VALUE"""),61.04)</f>
        <v>61.04</v>
      </c>
      <c r="C2525" s="1">
        <f>IFERROR(__xludf.DUMMYFUNCTION("""COMPUTED_VALUE"""),61.79)</f>
        <v>61.79</v>
      </c>
      <c r="D2525" s="1">
        <f>IFERROR(__xludf.DUMMYFUNCTION("""COMPUTED_VALUE"""),60.91)</f>
        <v>60.91</v>
      </c>
      <c r="E2525" s="1">
        <f>IFERROR(__xludf.DUMMYFUNCTION("""COMPUTED_VALUE"""),61.52)</f>
        <v>61.52</v>
      </c>
      <c r="F2525" s="1">
        <f>IFERROR(__xludf.DUMMYFUNCTION("""COMPUTED_VALUE"""),1.6968808E7)</f>
        <v>16968808</v>
      </c>
    </row>
    <row r="2526">
      <c r="A2526" s="2">
        <f>IFERROR(__xludf.DUMMYFUNCTION("""COMPUTED_VALUE"""),40192.666666666664)</f>
        <v>40192.66667</v>
      </c>
      <c r="B2526" s="1">
        <f>IFERROR(__xludf.DUMMYFUNCTION("""COMPUTED_VALUE"""),61.42)</f>
        <v>61.42</v>
      </c>
      <c r="C2526" s="1">
        <f>IFERROR(__xludf.DUMMYFUNCTION("""COMPUTED_VALUE"""),61.74)</f>
        <v>61.74</v>
      </c>
      <c r="D2526" s="1">
        <f>IFERROR(__xludf.DUMMYFUNCTION("""COMPUTED_VALUE"""),61.38)</f>
        <v>61.38</v>
      </c>
      <c r="E2526" s="1">
        <f>IFERROR(__xludf.DUMMYFUNCTION("""COMPUTED_VALUE"""),61.58)</f>
        <v>61.58</v>
      </c>
      <c r="F2526" s="1">
        <f>IFERROR(__xludf.DUMMYFUNCTION("""COMPUTED_VALUE"""),9139454.0)</f>
        <v>9139454</v>
      </c>
    </row>
    <row r="2527">
      <c r="A2527" s="2">
        <f>IFERROR(__xludf.DUMMYFUNCTION("""COMPUTED_VALUE"""),40193.666666666664)</f>
        <v>40193.66667</v>
      </c>
      <c r="B2527" s="1">
        <f>IFERROR(__xludf.DUMMYFUNCTION("""COMPUTED_VALUE"""),61.6)</f>
        <v>61.6</v>
      </c>
      <c r="C2527" s="1">
        <f>IFERROR(__xludf.DUMMYFUNCTION("""COMPUTED_VALUE"""),61.86)</f>
        <v>61.86</v>
      </c>
      <c r="D2527" s="1">
        <f>IFERROR(__xludf.DUMMYFUNCTION("""COMPUTED_VALUE"""),60.44)</f>
        <v>60.44</v>
      </c>
      <c r="E2527" s="1">
        <f>IFERROR(__xludf.DUMMYFUNCTION("""COMPUTED_VALUE"""),60.82)</f>
        <v>60.82</v>
      </c>
      <c r="F2527" s="1">
        <f>IFERROR(__xludf.DUMMYFUNCTION("""COMPUTED_VALUE"""),1.5769766E7)</f>
        <v>15769766</v>
      </c>
    </row>
    <row r="2528">
      <c r="A2528" s="2">
        <f>IFERROR(__xludf.DUMMYFUNCTION("""COMPUTED_VALUE"""),40197.666666666664)</f>
        <v>40197.66667</v>
      </c>
      <c r="B2528" s="1">
        <f>IFERROR(__xludf.DUMMYFUNCTION("""COMPUTED_VALUE"""),60.8)</f>
        <v>60.8</v>
      </c>
      <c r="C2528" s="1">
        <f>IFERROR(__xludf.DUMMYFUNCTION("""COMPUTED_VALUE"""),61.83)</f>
        <v>61.83</v>
      </c>
      <c r="D2528" s="1">
        <f>IFERROR(__xludf.DUMMYFUNCTION("""COMPUTED_VALUE"""),60.8)</f>
        <v>60.8</v>
      </c>
      <c r="E2528" s="1">
        <f>IFERROR(__xludf.DUMMYFUNCTION("""COMPUTED_VALUE"""),61.72)</f>
        <v>61.72</v>
      </c>
      <c r="F2528" s="1">
        <f>IFERROR(__xludf.DUMMYFUNCTION("""COMPUTED_VALUE"""),1.1577895E7)</f>
        <v>11577895</v>
      </c>
    </row>
    <row r="2529">
      <c r="A2529" s="2">
        <f>IFERROR(__xludf.DUMMYFUNCTION("""COMPUTED_VALUE"""),40198.666666666664)</f>
        <v>40198.66667</v>
      </c>
      <c r="B2529" s="1">
        <f>IFERROR(__xludf.DUMMYFUNCTION("""COMPUTED_VALUE"""),60.97)</f>
        <v>60.97</v>
      </c>
      <c r="C2529" s="1">
        <f>IFERROR(__xludf.DUMMYFUNCTION("""COMPUTED_VALUE"""),61.04)</f>
        <v>61.04</v>
      </c>
      <c r="D2529" s="1">
        <f>IFERROR(__xludf.DUMMYFUNCTION("""COMPUTED_VALUE"""),60.1)</f>
        <v>60.1</v>
      </c>
      <c r="E2529" s="1">
        <f>IFERROR(__xludf.DUMMYFUNCTION("""COMPUTED_VALUE"""),60.45)</f>
        <v>60.45</v>
      </c>
      <c r="F2529" s="1">
        <f>IFERROR(__xludf.DUMMYFUNCTION("""COMPUTED_VALUE"""),1.1557958E7)</f>
        <v>11557958</v>
      </c>
    </row>
    <row r="2530">
      <c r="A2530" s="2">
        <f>IFERROR(__xludf.DUMMYFUNCTION("""COMPUTED_VALUE"""),40199.666666666664)</f>
        <v>40199.66667</v>
      </c>
      <c r="B2530" s="1">
        <f>IFERROR(__xludf.DUMMYFUNCTION("""COMPUTED_VALUE"""),60.56)</f>
        <v>60.56</v>
      </c>
      <c r="C2530" s="1">
        <f>IFERROR(__xludf.DUMMYFUNCTION("""COMPUTED_VALUE"""),60.93)</f>
        <v>60.93</v>
      </c>
      <c r="D2530" s="1">
        <f>IFERROR(__xludf.DUMMYFUNCTION("""COMPUTED_VALUE"""),59.45)</f>
        <v>59.45</v>
      </c>
      <c r="E2530" s="1">
        <f>IFERROR(__xludf.DUMMYFUNCTION("""COMPUTED_VALUE"""),59.84)</f>
        <v>59.84</v>
      </c>
      <c r="F2530" s="1">
        <f>IFERROR(__xludf.DUMMYFUNCTION("""COMPUTED_VALUE"""),1.4300131E7)</f>
        <v>14300131</v>
      </c>
    </row>
    <row r="2531">
      <c r="A2531" s="2">
        <f>IFERROR(__xludf.DUMMYFUNCTION("""COMPUTED_VALUE"""),40200.666666666664)</f>
        <v>40200.66667</v>
      </c>
      <c r="B2531" s="1">
        <f>IFERROR(__xludf.DUMMYFUNCTION("""COMPUTED_VALUE"""),59.75)</f>
        <v>59.75</v>
      </c>
      <c r="C2531" s="1">
        <f>IFERROR(__xludf.DUMMYFUNCTION("""COMPUTED_VALUE"""),60.69)</f>
        <v>60.69</v>
      </c>
      <c r="D2531" s="1">
        <f>IFERROR(__xludf.DUMMYFUNCTION("""COMPUTED_VALUE"""),59.22)</f>
        <v>59.22</v>
      </c>
      <c r="E2531" s="1">
        <f>IFERROR(__xludf.DUMMYFUNCTION("""COMPUTED_VALUE"""),60.31)</f>
        <v>60.31</v>
      </c>
      <c r="F2531" s="1">
        <f>IFERROR(__xludf.DUMMYFUNCTION("""COMPUTED_VALUE"""),1.7703176E7)</f>
        <v>17703176</v>
      </c>
    </row>
    <row r="2532">
      <c r="A2532" s="2">
        <f>IFERROR(__xludf.DUMMYFUNCTION("""COMPUTED_VALUE"""),40203.666666666664)</f>
        <v>40203.66667</v>
      </c>
      <c r="B2532" s="1">
        <f>IFERROR(__xludf.DUMMYFUNCTION("""COMPUTED_VALUE"""),60.83)</f>
        <v>60.83</v>
      </c>
      <c r="C2532" s="1">
        <f>IFERROR(__xludf.DUMMYFUNCTION("""COMPUTED_VALUE"""),60.98)</f>
        <v>60.98</v>
      </c>
      <c r="D2532" s="1">
        <f>IFERROR(__xludf.DUMMYFUNCTION("""COMPUTED_VALUE"""),60.15)</f>
        <v>60.15</v>
      </c>
      <c r="E2532" s="1">
        <f>IFERROR(__xludf.DUMMYFUNCTION("""COMPUTED_VALUE"""),60.63)</f>
        <v>60.63</v>
      </c>
      <c r="F2532" s="1">
        <f>IFERROR(__xludf.DUMMYFUNCTION("""COMPUTED_VALUE"""),1.1631216E7)</f>
        <v>11631216</v>
      </c>
    </row>
    <row r="2533">
      <c r="A2533" s="2">
        <f>IFERROR(__xludf.DUMMYFUNCTION("""COMPUTED_VALUE"""),40204.666666666664)</f>
        <v>40204.66667</v>
      </c>
      <c r="B2533" s="1">
        <f>IFERROR(__xludf.DUMMYFUNCTION("""COMPUTED_VALUE"""),60.17)</f>
        <v>60.17</v>
      </c>
      <c r="C2533" s="1">
        <f>IFERROR(__xludf.DUMMYFUNCTION("""COMPUTED_VALUE"""),60.95)</f>
        <v>60.95</v>
      </c>
      <c r="D2533" s="1">
        <f>IFERROR(__xludf.DUMMYFUNCTION("""COMPUTED_VALUE"""),60.0)</f>
        <v>60</v>
      </c>
      <c r="E2533" s="1">
        <f>IFERROR(__xludf.DUMMYFUNCTION("""COMPUTED_VALUE"""),60.69)</f>
        <v>60.69</v>
      </c>
      <c r="F2533" s="1">
        <f>IFERROR(__xludf.DUMMYFUNCTION("""COMPUTED_VALUE"""),1.3079472E7)</f>
        <v>13079472</v>
      </c>
    </row>
    <row r="2534">
      <c r="A2534" s="2">
        <f>IFERROR(__xludf.DUMMYFUNCTION("""COMPUTED_VALUE"""),40205.666666666664)</f>
        <v>40205.66667</v>
      </c>
      <c r="B2534" s="1">
        <f>IFERROR(__xludf.DUMMYFUNCTION("""COMPUTED_VALUE"""),60.46)</f>
        <v>60.46</v>
      </c>
      <c r="C2534" s="1">
        <f>IFERROR(__xludf.DUMMYFUNCTION("""COMPUTED_VALUE"""),60.98)</f>
        <v>60.98</v>
      </c>
      <c r="D2534" s="1">
        <f>IFERROR(__xludf.DUMMYFUNCTION("""COMPUTED_VALUE"""),59.95)</f>
        <v>59.95</v>
      </c>
      <c r="E2534" s="1">
        <f>IFERROR(__xludf.DUMMYFUNCTION("""COMPUTED_VALUE"""),60.81)</f>
        <v>60.81</v>
      </c>
      <c r="F2534" s="1">
        <f>IFERROR(__xludf.DUMMYFUNCTION("""COMPUTED_VALUE"""),1.5228937E7)</f>
        <v>15228937</v>
      </c>
    </row>
    <row r="2535">
      <c r="A2535" s="2">
        <f>IFERROR(__xludf.DUMMYFUNCTION("""COMPUTED_VALUE"""),40206.666666666664)</f>
        <v>40206.66667</v>
      </c>
      <c r="B2535" s="1">
        <f>IFERROR(__xludf.DUMMYFUNCTION("""COMPUTED_VALUE"""),61.67)</f>
        <v>61.67</v>
      </c>
      <c r="C2535" s="1">
        <f>IFERROR(__xludf.DUMMYFUNCTION("""COMPUTED_VALUE"""),63.31)</f>
        <v>63.31</v>
      </c>
      <c r="D2535" s="1">
        <f>IFERROR(__xludf.DUMMYFUNCTION("""COMPUTED_VALUE"""),61.58)</f>
        <v>61.58</v>
      </c>
      <c r="E2535" s="1">
        <f>IFERROR(__xludf.DUMMYFUNCTION("""COMPUTED_VALUE"""),61.68)</f>
        <v>61.68</v>
      </c>
      <c r="F2535" s="1">
        <f>IFERROR(__xludf.DUMMYFUNCTION("""COMPUTED_VALUE"""),2.693127E7)</f>
        <v>26931270</v>
      </c>
    </row>
    <row r="2536">
      <c r="A2536" s="2">
        <f>IFERROR(__xludf.DUMMYFUNCTION("""COMPUTED_VALUE"""),40207.666666666664)</f>
        <v>40207.66667</v>
      </c>
      <c r="B2536" s="1">
        <f>IFERROR(__xludf.DUMMYFUNCTION("""COMPUTED_VALUE"""),61.91)</f>
        <v>61.91</v>
      </c>
      <c r="C2536" s="1">
        <f>IFERROR(__xludf.DUMMYFUNCTION("""COMPUTED_VALUE"""),62.24)</f>
        <v>62.24</v>
      </c>
      <c r="D2536" s="1">
        <f>IFERROR(__xludf.DUMMYFUNCTION("""COMPUTED_VALUE"""),61.47)</f>
        <v>61.47</v>
      </c>
      <c r="E2536" s="1">
        <f>IFERROR(__xludf.DUMMYFUNCTION("""COMPUTED_VALUE"""),61.55)</f>
        <v>61.55</v>
      </c>
      <c r="F2536" s="1">
        <f>IFERROR(__xludf.DUMMYFUNCTION("""COMPUTED_VALUE"""),1.7067584E7)</f>
        <v>17067584</v>
      </c>
    </row>
    <row r="2537">
      <c r="A2537" s="2">
        <f>IFERROR(__xludf.DUMMYFUNCTION("""COMPUTED_VALUE"""),40210.666666666664)</f>
        <v>40210.66667</v>
      </c>
      <c r="B2537" s="1">
        <f>IFERROR(__xludf.DUMMYFUNCTION("""COMPUTED_VALUE"""),61.85)</f>
        <v>61.85</v>
      </c>
      <c r="C2537" s="1">
        <f>IFERROR(__xludf.DUMMYFUNCTION("""COMPUTED_VALUE"""),62.24)</f>
        <v>62.24</v>
      </c>
      <c r="D2537" s="1">
        <f>IFERROR(__xludf.DUMMYFUNCTION("""COMPUTED_VALUE"""),61.51)</f>
        <v>61.51</v>
      </c>
      <c r="E2537" s="1">
        <f>IFERROR(__xludf.DUMMYFUNCTION("""COMPUTED_VALUE"""),61.99)</f>
        <v>61.99</v>
      </c>
      <c r="F2537" s="1">
        <f>IFERROR(__xludf.DUMMYFUNCTION("""COMPUTED_VALUE"""),1.2908022E7)</f>
        <v>12908022</v>
      </c>
    </row>
    <row r="2538">
      <c r="A2538" s="2">
        <f>IFERROR(__xludf.DUMMYFUNCTION("""COMPUTED_VALUE"""),40211.666666666664)</f>
        <v>40211.66667</v>
      </c>
      <c r="B2538" s="1">
        <f>IFERROR(__xludf.DUMMYFUNCTION("""COMPUTED_VALUE"""),61.93)</f>
        <v>61.93</v>
      </c>
      <c r="C2538" s="1">
        <f>IFERROR(__xludf.DUMMYFUNCTION("""COMPUTED_VALUE"""),63.04)</f>
        <v>63.04</v>
      </c>
      <c r="D2538" s="1">
        <f>IFERROR(__xludf.DUMMYFUNCTION("""COMPUTED_VALUE"""),61.66)</f>
        <v>61.66</v>
      </c>
      <c r="E2538" s="1">
        <f>IFERROR(__xludf.DUMMYFUNCTION("""COMPUTED_VALUE"""),62.9)</f>
        <v>62.9</v>
      </c>
      <c r="F2538" s="1">
        <f>IFERROR(__xludf.DUMMYFUNCTION("""COMPUTED_VALUE"""),1.7680714E7)</f>
        <v>17680714</v>
      </c>
    </row>
    <row r="2539">
      <c r="A2539" s="2">
        <f>IFERROR(__xludf.DUMMYFUNCTION("""COMPUTED_VALUE"""),40212.666666666664)</f>
        <v>40212.66667</v>
      </c>
      <c r="B2539" s="1">
        <f>IFERROR(__xludf.DUMMYFUNCTION("""COMPUTED_VALUE"""),62.74)</f>
        <v>62.74</v>
      </c>
      <c r="C2539" s="1">
        <f>IFERROR(__xludf.DUMMYFUNCTION("""COMPUTED_VALUE"""),62.86)</f>
        <v>62.86</v>
      </c>
      <c r="D2539" s="1">
        <f>IFERROR(__xludf.DUMMYFUNCTION("""COMPUTED_VALUE"""),62.36)</f>
        <v>62.36</v>
      </c>
      <c r="E2539" s="1">
        <f>IFERROR(__xludf.DUMMYFUNCTION("""COMPUTED_VALUE"""),62.65)</f>
        <v>62.65</v>
      </c>
      <c r="F2539" s="1">
        <f>IFERROR(__xludf.DUMMYFUNCTION("""COMPUTED_VALUE"""),1.1083449E7)</f>
        <v>11083449</v>
      </c>
    </row>
    <row r="2540">
      <c r="A2540" s="2">
        <f>IFERROR(__xludf.DUMMYFUNCTION("""COMPUTED_VALUE"""),40213.666666666664)</f>
        <v>40213.66667</v>
      </c>
      <c r="B2540" s="1">
        <f>IFERROR(__xludf.DUMMYFUNCTION("""COMPUTED_VALUE"""),62.2)</f>
        <v>62.2</v>
      </c>
      <c r="C2540" s="1">
        <f>IFERROR(__xludf.DUMMYFUNCTION("""COMPUTED_VALUE"""),62.34)</f>
        <v>62.34</v>
      </c>
      <c r="D2540" s="1">
        <f>IFERROR(__xludf.DUMMYFUNCTION("""COMPUTED_VALUE"""),61.31)</f>
        <v>61.31</v>
      </c>
      <c r="E2540" s="1">
        <f>IFERROR(__xludf.DUMMYFUNCTION("""COMPUTED_VALUE"""),61.4)</f>
        <v>61.4</v>
      </c>
      <c r="F2540" s="1">
        <f>IFERROR(__xludf.DUMMYFUNCTION("""COMPUTED_VALUE"""),1.430659E7)</f>
        <v>14306590</v>
      </c>
    </row>
    <row r="2541">
      <c r="A2541" s="2">
        <f>IFERROR(__xludf.DUMMYFUNCTION("""COMPUTED_VALUE"""),40214.666666666664)</f>
        <v>40214.66667</v>
      </c>
      <c r="B2541" s="1">
        <f>IFERROR(__xludf.DUMMYFUNCTION("""COMPUTED_VALUE"""),61.09)</f>
        <v>61.09</v>
      </c>
      <c r="C2541" s="1">
        <f>IFERROR(__xludf.DUMMYFUNCTION("""COMPUTED_VALUE"""),61.44)</f>
        <v>61.44</v>
      </c>
      <c r="D2541" s="1">
        <f>IFERROR(__xludf.DUMMYFUNCTION("""COMPUTED_VALUE"""),60.43)</f>
        <v>60.43</v>
      </c>
      <c r="E2541" s="1">
        <f>IFERROR(__xludf.DUMMYFUNCTION("""COMPUTED_VALUE"""),61.3)</f>
        <v>61.3</v>
      </c>
      <c r="F2541" s="1">
        <f>IFERROR(__xludf.DUMMYFUNCTION("""COMPUTED_VALUE"""),1.4844303E7)</f>
        <v>14844303</v>
      </c>
    </row>
    <row r="2542">
      <c r="A2542" s="2">
        <f>IFERROR(__xludf.DUMMYFUNCTION("""COMPUTED_VALUE"""),40217.666666666664)</f>
        <v>40217.66667</v>
      </c>
      <c r="B2542" s="1">
        <f>IFERROR(__xludf.DUMMYFUNCTION("""COMPUTED_VALUE"""),61.06)</f>
        <v>61.06</v>
      </c>
      <c r="C2542" s="1">
        <f>IFERROR(__xludf.DUMMYFUNCTION("""COMPUTED_VALUE"""),61.51)</f>
        <v>61.51</v>
      </c>
      <c r="D2542" s="1">
        <f>IFERROR(__xludf.DUMMYFUNCTION("""COMPUTED_VALUE"""),60.81)</f>
        <v>60.81</v>
      </c>
      <c r="E2542" s="1">
        <f>IFERROR(__xludf.DUMMYFUNCTION("""COMPUTED_VALUE"""),61.01)</f>
        <v>61.01</v>
      </c>
      <c r="F2542" s="1">
        <f>IFERROR(__xludf.DUMMYFUNCTION("""COMPUTED_VALUE"""),1.1431721E7)</f>
        <v>11431721</v>
      </c>
    </row>
    <row r="2543">
      <c r="A2543" s="2">
        <f>IFERROR(__xludf.DUMMYFUNCTION("""COMPUTED_VALUE"""),40218.666666666664)</f>
        <v>40218.66667</v>
      </c>
      <c r="B2543" s="1">
        <f>IFERROR(__xludf.DUMMYFUNCTION("""COMPUTED_VALUE"""),61.38)</f>
        <v>61.38</v>
      </c>
      <c r="C2543" s="1">
        <f>IFERROR(__xludf.DUMMYFUNCTION("""COMPUTED_VALUE"""),62.0)</f>
        <v>62</v>
      </c>
      <c r="D2543" s="1">
        <f>IFERROR(__xludf.DUMMYFUNCTION("""COMPUTED_VALUE"""),61.01)</f>
        <v>61.01</v>
      </c>
      <c r="E2543" s="1">
        <f>IFERROR(__xludf.DUMMYFUNCTION("""COMPUTED_VALUE"""),61.76)</f>
        <v>61.76</v>
      </c>
      <c r="F2543" s="1">
        <f>IFERROR(__xludf.DUMMYFUNCTION("""COMPUTED_VALUE"""),1.1427096E7)</f>
        <v>11427096</v>
      </c>
    </row>
    <row r="2544">
      <c r="A2544" s="2">
        <f>IFERROR(__xludf.DUMMYFUNCTION("""COMPUTED_VALUE"""),40219.666666666664)</f>
        <v>40219.66667</v>
      </c>
      <c r="B2544" s="1">
        <f>IFERROR(__xludf.DUMMYFUNCTION("""COMPUTED_VALUE"""),61.74)</f>
        <v>61.74</v>
      </c>
      <c r="C2544" s="1">
        <f>IFERROR(__xludf.DUMMYFUNCTION("""COMPUTED_VALUE"""),61.85)</f>
        <v>61.85</v>
      </c>
      <c r="D2544" s="1">
        <f>IFERROR(__xludf.DUMMYFUNCTION("""COMPUTED_VALUE"""),61.22)</f>
        <v>61.22</v>
      </c>
      <c r="E2544" s="1">
        <f>IFERROR(__xludf.DUMMYFUNCTION("""COMPUTED_VALUE"""),61.67)</f>
        <v>61.67</v>
      </c>
      <c r="F2544" s="1">
        <f>IFERROR(__xludf.DUMMYFUNCTION("""COMPUTED_VALUE"""),9854584.0)</f>
        <v>9854584</v>
      </c>
    </row>
    <row r="2545">
      <c r="A2545" s="2">
        <f>IFERROR(__xludf.DUMMYFUNCTION("""COMPUTED_VALUE"""),40220.666666666664)</f>
        <v>40220.66667</v>
      </c>
      <c r="B2545" s="1">
        <f>IFERROR(__xludf.DUMMYFUNCTION("""COMPUTED_VALUE"""),61.42)</f>
        <v>61.42</v>
      </c>
      <c r="C2545" s="1">
        <f>IFERROR(__xludf.DUMMYFUNCTION("""COMPUTED_VALUE"""),62.16)</f>
        <v>62.16</v>
      </c>
      <c r="D2545" s="1">
        <f>IFERROR(__xludf.DUMMYFUNCTION("""COMPUTED_VALUE"""),61.27)</f>
        <v>61.27</v>
      </c>
      <c r="E2545" s="1">
        <f>IFERROR(__xludf.DUMMYFUNCTION("""COMPUTED_VALUE"""),61.96)</f>
        <v>61.96</v>
      </c>
      <c r="F2545" s="1">
        <f>IFERROR(__xludf.DUMMYFUNCTION("""COMPUTED_VALUE"""),1.0383345E7)</f>
        <v>10383345</v>
      </c>
    </row>
    <row r="2546">
      <c r="A2546" s="2">
        <f>IFERROR(__xludf.DUMMYFUNCTION("""COMPUTED_VALUE"""),40221.666666666664)</f>
        <v>40221.66667</v>
      </c>
      <c r="B2546" s="1">
        <f>IFERROR(__xludf.DUMMYFUNCTION("""COMPUTED_VALUE"""),61.76)</f>
        <v>61.76</v>
      </c>
      <c r="C2546" s="1">
        <f>IFERROR(__xludf.DUMMYFUNCTION("""COMPUTED_VALUE"""),62.13)</f>
        <v>62.13</v>
      </c>
      <c r="D2546" s="1">
        <f>IFERROR(__xludf.DUMMYFUNCTION("""COMPUTED_VALUE"""),61.29)</f>
        <v>61.29</v>
      </c>
      <c r="E2546" s="1">
        <f>IFERROR(__xludf.DUMMYFUNCTION("""COMPUTED_VALUE"""),61.76)</f>
        <v>61.76</v>
      </c>
      <c r="F2546" s="1">
        <f>IFERROR(__xludf.DUMMYFUNCTION("""COMPUTED_VALUE"""),1.6188214E7)</f>
        <v>16188214</v>
      </c>
    </row>
    <row r="2547">
      <c r="A2547" s="2">
        <f>IFERROR(__xludf.DUMMYFUNCTION("""COMPUTED_VALUE"""),40225.666666666664)</f>
        <v>40225.66667</v>
      </c>
      <c r="B2547" s="1">
        <f>IFERROR(__xludf.DUMMYFUNCTION("""COMPUTED_VALUE"""),62.6)</f>
        <v>62.6</v>
      </c>
      <c r="C2547" s="1">
        <f>IFERROR(__xludf.DUMMYFUNCTION("""COMPUTED_VALUE"""),62.87)</f>
        <v>62.87</v>
      </c>
      <c r="D2547" s="1">
        <f>IFERROR(__xludf.DUMMYFUNCTION("""COMPUTED_VALUE"""),62.35)</f>
        <v>62.35</v>
      </c>
      <c r="E2547" s="1">
        <f>IFERROR(__xludf.DUMMYFUNCTION("""COMPUTED_VALUE"""),62.83)</f>
        <v>62.83</v>
      </c>
      <c r="F2547" s="1">
        <f>IFERROR(__xludf.DUMMYFUNCTION("""COMPUTED_VALUE"""),1.3273019E7)</f>
        <v>13273019</v>
      </c>
    </row>
    <row r="2548">
      <c r="A2548" s="2">
        <f>IFERROR(__xludf.DUMMYFUNCTION("""COMPUTED_VALUE"""),40226.666666666664)</f>
        <v>40226.66667</v>
      </c>
      <c r="B2548" s="1">
        <f>IFERROR(__xludf.DUMMYFUNCTION("""COMPUTED_VALUE"""),62.8)</f>
        <v>62.8</v>
      </c>
      <c r="C2548" s="1">
        <f>IFERROR(__xludf.DUMMYFUNCTION("""COMPUTED_VALUE"""),62.97)</f>
        <v>62.97</v>
      </c>
      <c r="D2548" s="1">
        <f>IFERROR(__xludf.DUMMYFUNCTION("""COMPUTED_VALUE"""),62.51)</f>
        <v>62.51</v>
      </c>
      <c r="E2548" s="1">
        <f>IFERROR(__xludf.DUMMYFUNCTION("""COMPUTED_VALUE"""),62.85)</f>
        <v>62.85</v>
      </c>
      <c r="F2548" s="1">
        <f>IFERROR(__xludf.DUMMYFUNCTION("""COMPUTED_VALUE"""),1.4384373E7)</f>
        <v>14384373</v>
      </c>
    </row>
    <row r="2549">
      <c r="A2549" s="2">
        <f>IFERROR(__xludf.DUMMYFUNCTION("""COMPUTED_VALUE"""),40227.666666666664)</f>
        <v>40227.66667</v>
      </c>
      <c r="B2549" s="1">
        <f>IFERROR(__xludf.DUMMYFUNCTION("""COMPUTED_VALUE"""),62.73)</f>
        <v>62.73</v>
      </c>
      <c r="C2549" s="1">
        <f>IFERROR(__xludf.DUMMYFUNCTION("""COMPUTED_VALUE"""),63.5)</f>
        <v>63.5</v>
      </c>
      <c r="D2549" s="1">
        <f>IFERROR(__xludf.DUMMYFUNCTION("""COMPUTED_VALUE"""),62.35)</f>
        <v>62.35</v>
      </c>
      <c r="E2549" s="1">
        <f>IFERROR(__xludf.DUMMYFUNCTION("""COMPUTED_VALUE"""),63.39)</f>
        <v>63.39</v>
      </c>
      <c r="F2549" s="1">
        <f>IFERROR(__xludf.DUMMYFUNCTION("""COMPUTED_VALUE"""),1.7709512E7)</f>
        <v>17709512</v>
      </c>
    </row>
    <row r="2550">
      <c r="A2550" s="2">
        <f>IFERROR(__xludf.DUMMYFUNCTION("""COMPUTED_VALUE"""),40228.666666666664)</f>
        <v>40228.66667</v>
      </c>
      <c r="B2550" s="1">
        <f>IFERROR(__xludf.DUMMYFUNCTION("""COMPUTED_VALUE"""),63.27)</f>
        <v>63.27</v>
      </c>
      <c r="C2550" s="1">
        <f>IFERROR(__xludf.DUMMYFUNCTION("""COMPUTED_VALUE"""),63.74)</f>
        <v>63.74</v>
      </c>
      <c r="D2550" s="1">
        <f>IFERROR(__xludf.DUMMYFUNCTION("""COMPUTED_VALUE"""),63.02)</f>
        <v>63.02</v>
      </c>
      <c r="E2550" s="1">
        <f>IFERROR(__xludf.DUMMYFUNCTION("""COMPUTED_VALUE"""),63.45)</f>
        <v>63.45</v>
      </c>
      <c r="F2550" s="1">
        <f>IFERROR(__xludf.DUMMYFUNCTION("""COMPUTED_VALUE"""),1.0898089E7)</f>
        <v>10898089</v>
      </c>
    </row>
    <row r="2551">
      <c r="A2551" s="2">
        <f>IFERROR(__xludf.DUMMYFUNCTION("""COMPUTED_VALUE"""),40231.666666666664)</f>
        <v>40231.66667</v>
      </c>
      <c r="B2551" s="1">
        <f>IFERROR(__xludf.DUMMYFUNCTION("""COMPUTED_VALUE"""),63.69)</f>
        <v>63.69</v>
      </c>
      <c r="C2551" s="1">
        <f>IFERROR(__xludf.DUMMYFUNCTION("""COMPUTED_VALUE"""),63.88)</f>
        <v>63.88</v>
      </c>
      <c r="D2551" s="1">
        <f>IFERROR(__xludf.DUMMYFUNCTION("""COMPUTED_VALUE"""),63.3)</f>
        <v>63.3</v>
      </c>
      <c r="E2551" s="1">
        <f>IFERROR(__xludf.DUMMYFUNCTION("""COMPUTED_VALUE"""),63.42)</f>
        <v>63.42</v>
      </c>
      <c r="F2551" s="1">
        <f>IFERROR(__xludf.DUMMYFUNCTION("""COMPUTED_VALUE"""),9675300.0)</f>
        <v>9675300</v>
      </c>
    </row>
    <row r="2552">
      <c r="A2552" s="2">
        <f>IFERROR(__xludf.DUMMYFUNCTION("""COMPUTED_VALUE"""),40232.666666666664)</f>
        <v>40232.66667</v>
      </c>
      <c r="B2552" s="1">
        <f>IFERROR(__xludf.DUMMYFUNCTION("""COMPUTED_VALUE"""),63.23)</f>
        <v>63.23</v>
      </c>
      <c r="C2552" s="1">
        <f>IFERROR(__xludf.DUMMYFUNCTION("""COMPUTED_VALUE"""),63.82)</f>
        <v>63.82</v>
      </c>
      <c r="D2552" s="1">
        <f>IFERROR(__xludf.DUMMYFUNCTION("""COMPUTED_VALUE"""),62.92)</f>
        <v>62.92</v>
      </c>
      <c r="E2552" s="1">
        <f>IFERROR(__xludf.DUMMYFUNCTION("""COMPUTED_VALUE"""),63.21)</f>
        <v>63.21</v>
      </c>
      <c r="F2552" s="1">
        <f>IFERROR(__xludf.DUMMYFUNCTION("""COMPUTED_VALUE"""),1.1948901E7)</f>
        <v>11948901</v>
      </c>
    </row>
    <row r="2553">
      <c r="A2553" s="2">
        <f>IFERROR(__xludf.DUMMYFUNCTION("""COMPUTED_VALUE"""),40233.666666666664)</f>
        <v>40233.66667</v>
      </c>
      <c r="B2553" s="1">
        <f>IFERROR(__xludf.DUMMYFUNCTION("""COMPUTED_VALUE"""),63.22)</f>
        <v>63.22</v>
      </c>
      <c r="C2553" s="1">
        <f>IFERROR(__xludf.DUMMYFUNCTION("""COMPUTED_VALUE"""),63.96)</f>
        <v>63.96</v>
      </c>
      <c r="D2553" s="1">
        <f>IFERROR(__xludf.DUMMYFUNCTION("""COMPUTED_VALUE"""),63.13)</f>
        <v>63.13</v>
      </c>
      <c r="E2553" s="1">
        <f>IFERROR(__xludf.DUMMYFUNCTION("""COMPUTED_VALUE"""),63.89)</f>
        <v>63.89</v>
      </c>
      <c r="F2553" s="1">
        <f>IFERROR(__xludf.DUMMYFUNCTION("""COMPUTED_VALUE"""),1.2808717E7)</f>
        <v>12808717</v>
      </c>
    </row>
    <row r="2554">
      <c r="A2554" s="2">
        <f>IFERROR(__xludf.DUMMYFUNCTION("""COMPUTED_VALUE"""),40234.666666666664)</f>
        <v>40234.66667</v>
      </c>
      <c r="B2554" s="1">
        <f>IFERROR(__xludf.DUMMYFUNCTION("""COMPUTED_VALUE"""),63.23)</f>
        <v>63.23</v>
      </c>
      <c r="C2554" s="1">
        <f>IFERROR(__xludf.DUMMYFUNCTION("""COMPUTED_VALUE"""),63.86)</f>
        <v>63.86</v>
      </c>
      <c r="D2554" s="1">
        <f>IFERROR(__xludf.DUMMYFUNCTION("""COMPUTED_VALUE"""),63.01)</f>
        <v>63.01</v>
      </c>
      <c r="E2554" s="1">
        <f>IFERROR(__xludf.DUMMYFUNCTION("""COMPUTED_VALUE"""),63.7)</f>
        <v>63.7</v>
      </c>
      <c r="F2554" s="1">
        <f>IFERROR(__xludf.DUMMYFUNCTION("""COMPUTED_VALUE"""),1.0085552E7)</f>
        <v>10085552</v>
      </c>
    </row>
    <row r="2555">
      <c r="A2555" s="2">
        <f>IFERROR(__xludf.DUMMYFUNCTION("""COMPUTED_VALUE"""),40235.666666666664)</f>
        <v>40235.66667</v>
      </c>
      <c r="B2555" s="1">
        <f>IFERROR(__xludf.DUMMYFUNCTION("""COMPUTED_VALUE"""),63.75)</f>
        <v>63.75</v>
      </c>
      <c r="C2555" s="1">
        <f>IFERROR(__xludf.DUMMYFUNCTION("""COMPUTED_VALUE"""),63.88)</f>
        <v>63.88</v>
      </c>
      <c r="D2555" s="1">
        <f>IFERROR(__xludf.DUMMYFUNCTION("""COMPUTED_VALUE"""),63.14)</f>
        <v>63.14</v>
      </c>
      <c r="E2555" s="1">
        <f>IFERROR(__xludf.DUMMYFUNCTION("""COMPUTED_VALUE"""),63.28)</f>
        <v>63.28</v>
      </c>
      <c r="F2555" s="1">
        <f>IFERROR(__xludf.DUMMYFUNCTION("""COMPUTED_VALUE"""),1.0640841E7)</f>
        <v>10640841</v>
      </c>
    </row>
    <row r="2556">
      <c r="A2556" s="2">
        <f>IFERROR(__xludf.DUMMYFUNCTION("""COMPUTED_VALUE"""),40238.666666666664)</f>
        <v>40238.66667</v>
      </c>
      <c r="B2556" s="1">
        <f>IFERROR(__xludf.DUMMYFUNCTION("""COMPUTED_VALUE"""),63.46)</f>
        <v>63.46</v>
      </c>
      <c r="C2556" s="1">
        <f>IFERROR(__xludf.DUMMYFUNCTION("""COMPUTED_VALUE"""),63.8)</f>
        <v>63.8</v>
      </c>
      <c r="D2556" s="1">
        <f>IFERROR(__xludf.DUMMYFUNCTION("""COMPUTED_VALUE"""),63.15)</f>
        <v>63.15</v>
      </c>
      <c r="E2556" s="1">
        <f>IFERROR(__xludf.DUMMYFUNCTION("""COMPUTED_VALUE"""),63.51)</f>
        <v>63.51</v>
      </c>
      <c r="F2556" s="1">
        <f>IFERROR(__xludf.DUMMYFUNCTION("""COMPUTED_VALUE"""),7748571.0)</f>
        <v>7748571</v>
      </c>
    </row>
    <row r="2557">
      <c r="A2557" s="2">
        <f>IFERROR(__xludf.DUMMYFUNCTION("""COMPUTED_VALUE"""),40239.666666666664)</f>
        <v>40239.66667</v>
      </c>
      <c r="B2557" s="1">
        <f>IFERROR(__xludf.DUMMYFUNCTION("""COMPUTED_VALUE"""),63.72)</f>
        <v>63.72</v>
      </c>
      <c r="C2557" s="1">
        <f>IFERROR(__xludf.DUMMYFUNCTION("""COMPUTED_VALUE"""),63.87)</f>
        <v>63.87</v>
      </c>
      <c r="D2557" s="1">
        <f>IFERROR(__xludf.DUMMYFUNCTION("""COMPUTED_VALUE"""),63.34)</f>
        <v>63.34</v>
      </c>
      <c r="E2557" s="1">
        <f>IFERROR(__xludf.DUMMYFUNCTION("""COMPUTED_VALUE"""),63.71)</f>
        <v>63.71</v>
      </c>
      <c r="F2557" s="1">
        <f>IFERROR(__xludf.DUMMYFUNCTION("""COMPUTED_VALUE"""),8004002.0)</f>
        <v>8004002</v>
      </c>
    </row>
    <row r="2558">
      <c r="A2558" s="2">
        <f>IFERROR(__xludf.DUMMYFUNCTION("""COMPUTED_VALUE"""),40240.666666666664)</f>
        <v>40240.66667</v>
      </c>
      <c r="B2558" s="1">
        <f>IFERROR(__xludf.DUMMYFUNCTION("""COMPUTED_VALUE"""),63.66)</f>
        <v>63.66</v>
      </c>
      <c r="C2558" s="1">
        <f>IFERROR(__xludf.DUMMYFUNCTION("""COMPUTED_VALUE"""),63.9)</f>
        <v>63.9</v>
      </c>
      <c r="D2558" s="1">
        <f>IFERROR(__xludf.DUMMYFUNCTION("""COMPUTED_VALUE"""),63.43)</f>
        <v>63.43</v>
      </c>
      <c r="E2558" s="1">
        <f>IFERROR(__xludf.DUMMYFUNCTION("""COMPUTED_VALUE"""),63.55)</f>
        <v>63.55</v>
      </c>
      <c r="F2558" s="1">
        <f>IFERROR(__xludf.DUMMYFUNCTION("""COMPUTED_VALUE"""),8608214.0)</f>
        <v>8608214</v>
      </c>
    </row>
    <row r="2559">
      <c r="A2559" s="2">
        <f>IFERROR(__xludf.DUMMYFUNCTION("""COMPUTED_VALUE"""),40241.666666666664)</f>
        <v>40241.66667</v>
      </c>
      <c r="B2559" s="1">
        <f>IFERROR(__xludf.DUMMYFUNCTION("""COMPUTED_VALUE"""),63.65)</f>
        <v>63.65</v>
      </c>
      <c r="C2559" s="1">
        <f>IFERROR(__xludf.DUMMYFUNCTION("""COMPUTED_VALUE"""),64.15)</f>
        <v>64.15</v>
      </c>
      <c r="D2559" s="1">
        <f>IFERROR(__xludf.DUMMYFUNCTION("""COMPUTED_VALUE"""),63.41)</f>
        <v>63.41</v>
      </c>
      <c r="E2559" s="1">
        <f>IFERROR(__xludf.DUMMYFUNCTION("""COMPUTED_VALUE"""),63.67)</f>
        <v>63.67</v>
      </c>
      <c r="F2559" s="1">
        <f>IFERROR(__xludf.DUMMYFUNCTION("""COMPUTED_VALUE"""),8600247.0)</f>
        <v>8600247</v>
      </c>
    </row>
    <row r="2560">
      <c r="A2560" s="2">
        <f>IFERROR(__xludf.DUMMYFUNCTION("""COMPUTED_VALUE"""),40242.666666666664)</f>
        <v>40242.66667</v>
      </c>
      <c r="B2560" s="1">
        <f>IFERROR(__xludf.DUMMYFUNCTION("""COMPUTED_VALUE"""),63.69)</f>
        <v>63.69</v>
      </c>
      <c r="C2560" s="1">
        <f>IFERROR(__xludf.DUMMYFUNCTION("""COMPUTED_VALUE"""),63.78)</f>
        <v>63.78</v>
      </c>
      <c r="D2560" s="1">
        <f>IFERROR(__xludf.DUMMYFUNCTION("""COMPUTED_VALUE"""),63.05)</f>
        <v>63.05</v>
      </c>
      <c r="E2560" s="1">
        <f>IFERROR(__xludf.DUMMYFUNCTION("""COMPUTED_VALUE"""),63.69)</f>
        <v>63.69</v>
      </c>
      <c r="F2560" s="1">
        <f>IFERROR(__xludf.DUMMYFUNCTION("""COMPUTED_VALUE"""),1.0101048E7)</f>
        <v>10101048</v>
      </c>
    </row>
    <row r="2561">
      <c r="A2561" s="2">
        <f>IFERROR(__xludf.DUMMYFUNCTION("""COMPUTED_VALUE"""),40245.666666666664)</f>
        <v>40245.66667</v>
      </c>
      <c r="B2561" s="1">
        <f>IFERROR(__xludf.DUMMYFUNCTION("""COMPUTED_VALUE"""),63.55)</f>
        <v>63.55</v>
      </c>
      <c r="C2561" s="1">
        <f>IFERROR(__xludf.DUMMYFUNCTION("""COMPUTED_VALUE"""),63.67)</f>
        <v>63.67</v>
      </c>
      <c r="D2561" s="1">
        <f>IFERROR(__xludf.DUMMYFUNCTION("""COMPUTED_VALUE"""),63.03)</f>
        <v>63.03</v>
      </c>
      <c r="E2561" s="1">
        <f>IFERROR(__xludf.DUMMYFUNCTION("""COMPUTED_VALUE"""),63.19)</f>
        <v>63.19</v>
      </c>
      <c r="F2561" s="1">
        <f>IFERROR(__xludf.DUMMYFUNCTION("""COMPUTED_VALUE"""),1.1293283E7)</f>
        <v>11293283</v>
      </c>
    </row>
    <row r="2562">
      <c r="A2562" s="2">
        <f>IFERROR(__xludf.DUMMYFUNCTION("""COMPUTED_VALUE"""),40246.666666666664)</f>
        <v>40246.66667</v>
      </c>
      <c r="B2562" s="1">
        <f>IFERROR(__xludf.DUMMYFUNCTION("""COMPUTED_VALUE"""),63.08)</f>
        <v>63.08</v>
      </c>
      <c r="C2562" s="1">
        <f>IFERROR(__xludf.DUMMYFUNCTION("""COMPUTED_VALUE"""),63.5)</f>
        <v>63.5</v>
      </c>
      <c r="D2562" s="1">
        <f>IFERROR(__xludf.DUMMYFUNCTION("""COMPUTED_VALUE"""),63.05)</f>
        <v>63.05</v>
      </c>
      <c r="E2562" s="1">
        <f>IFERROR(__xludf.DUMMYFUNCTION("""COMPUTED_VALUE"""),63.3)</f>
        <v>63.3</v>
      </c>
      <c r="F2562" s="1">
        <f>IFERROR(__xludf.DUMMYFUNCTION("""COMPUTED_VALUE"""),7100840.0)</f>
        <v>7100840</v>
      </c>
    </row>
    <row r="2563">
      <c r="A2563" s="2">
        <f>IFERROR(__xludf.DUMMYFUNCTION("""COMPUTED_VALUE"""),40247.666666666664)</f>
        <v>40247.66667</v>
      </c>
      <c r="B2563" s="1">
        <f>IFERROR(__xludf.DUMMYFUNCTION("""COMPUTED_VALUE"""),63.23)</f>
        <v>63.23</v>
      </c>
      <c r="C2563" s="1">
        <f>IFERROR(__xludf.DUMMYFUNCTION("""COMPUTED_VALUE"""),63.29)</f>
        <v>63.29</v>
      </c>
      <c r="D2563" s="1">
        <f>IFERROR(__xludf.DUMMYFUNCTION("""COMPUTED_VALUE"""),62.86)</f>
        <v>62.86</v>
      </c>
      <c r="E2563" s="1">
        <f>IFERROR(__xludf.DUMMYFUNCTION("""COMPUTED_VALUE"""),63.01)</f>
        <v>63.01</v>
      </c>
      <c r="F2563" s="1">
        <f>IFERROR(__xludf.DUMMYFUNCTION("""COMPUTED_VALUE"""),9813248.0)</f>
        <v>9813248</v>
      </c>
    </row>
    <row r="2564">
      <c r="A2564" s="2">
        <f>IFERROR(__xludf.DUMMYFUNCTION("""COMPUTED_VALUE"""),40248.666666666664)</f>
        <v>40248.66667</v>
      </c>
      <c r="B2564" s="1">
        <f>IFERROR(__xludf.DUMMYFUNCTION("""COMPUTED_VALUE"""),62.76)</f>
        <v>62.76</v>
      </c>
      <c r="C2564" s="1">
        <f>IFERROR(__xludf.DUMMYFUNCTION("""COMPUTED_VALUE"""),63.18)</f>
        <v>63.18</v>
      </c>
      <c r="D2564" s="1">
        <f>IFERROR(__xludf.DUMMYFUNCTION("""COMPUTED_VALUE"""),62.51)</f>
        <v>62.51</v>
      </c>
      <c r="E2564" s="1">
        <f>IFERROR(__xludf.DUMMYFUNCTION("""COMPUTED_VALUE"""),63.17)</f>
        <v>63.17</v>
      </c>
      <c r="F2564" s="1">
        <f>IFERROR(__xludf.DUMMYFUNCTION("""COMPUTED_VALUE"""),1.005343E7)</f>
        <v>10053430</v>
      </c>
    </row>
    <row r="2565">
      <c r="A2565" s="2">
        <f>IFERROR(__xludf.DUMMYFUNCTION("""COMPUTED_VALUE"""),40249.666666666664)</f>
        <v>40249.66667</v>
      </c>
      <c r="B2565" s="1">
        <f>IFERROR(__xludf.DUMMYFUNCTION("""COMPUTED_VALUE"""),63.33)</f>
        <v>63.33</v>
      </c>
      <c r="C2565" s="1">
        <f>IFERROR(__xludf.DUMMYFUNCTION("""COMPUTED_VALUE"""),63.55)</f>
        <v>63.55</v>
      </c>
      <c r="D2565" s="1">
        <f>IFERROR(__xludf.DUMMYFUNCTION("""COMPUTED_VALUE"""),63.06)</f>
        <v>63.06</v>
      </c>
      <c r="E2565" s="1">
        <f>IFERROR(__xludf.DUMMYFUNCTION("""COMPUTED_VALUE"""),63.32)</f>
        <v>63.32</v>
      </c>
      <c r="F2565" s="1">
        <f>IFERROR(__xludf.DUMMYFUNCTION("""COMPUTED_VALUE"""),8099045.0)</f>
        <v>8099045</v>
      </c>
    </row>
    <row r="2566">
      <c r="A2566" s="2">
        <f>IFERROR(__xludf.DUMMYFUNCTION("""COMPUTED_VALUE"""),40252.666666666664)</f>
        <v>40252.66667</v>
      </c>
      <c r="B2566" s="1">
        <f>IFERROR(__xludf.DUMMYFUNCTION("""COMPUTED_VALUE"""),63.19)</f>
        <v>63.19</v>
      </c>
      <c r="C2566" s="1">
        <f>IFERROR(__xludf.DUMMYFUNCTION("""COMPUTED_VALUE"""),63.7)</f>
        <v>63.7</v>
      </c>
      <c r="D2566" s="1">
        <f>IFERROR(__xludf.DUMMYFUNCTION("""COMPUTED_VALUE"""),63.19)</f>
        <v>63.19</v>
      </c>
      <c r="E2566" s="1">
        <f>IFERROR(__xludf.DUMMYFUNCTION("""COMPUTED_VALUE"""),63.7)</f>
        <v>63.7</v>
      </c>
      <c r="F2566" s="1">
        <f>IFERROR(__xludf.DUMMYFUNCTION("""COMPUTED_VALUE"""),7675284.0)</f>
        <v>7675284</v>
      </c>
    </row>
    <row r="2567">
      <c r="A2567" s="2">
        <f>IFERROR(__xludf.DUMMYFUNCTION("""COMPUTED_VALUE"""),40253.666666666664)</f>
        <v>40253.66667</v>
      </c>
      <c r="B2567" s="1">
        <f>IFERROR(__xludf.DUMMYFUNCTION("""COMPUTED_VALUE"""),63.72)</f>
        <v>63.72</v>
      </c>
      <c r="C2567" s="1">
        <f>IFERROR(__xludf.DUMMYFUNCTION("""COMPUTED_VALUE"""),63.9)</f>
        <v>63.9</v>
      </c>
      <c r="D2567" s="1">
        <f>IFERROR(__xludf.DUMMYFUNCTION("""COMPUTED_VALUE"""),63.42)</f>
        <v>63.42</v>
      </c>
      <c r="E2567" s="1">
        <f>IFERROR(__xludf.DUMMYFUNCTION("""COMPUTED_VALUE"""),63.53)</f>
        <v>63.53</v>
      </c>
      <c r="F2567" s="1">
        <f>IFERROR(__xludf.DUMMYFUNCTION("""COMPUTED_VALUE"""),8939403.0)</f>
        <v>8939403</v>
      </c>
    </row>
    <row r="2568">
      <c r="A2568" s="2">
        <f>IFERROR(__xludf.DUMMYFUNCTION("""COMPUTED_VALUE"""),40254.666666666664)</f>
        <v>40254.66667</v>
      </c>
      <c r="B2568" s="1">
        <f>IFERROR(__xludf.DUMMYFUNCTION("""COMPUTED_VALUE"""),63.78)</f>
        <v>63.78</v>
      </c>
      <c r="C2568" s="1">
        <f>IFERROR(__xludf.DUMMYFUNCTION("""COMPUTED_VALUE"""),64.03)</f>
        <v>64.03</v>
      </c>
      <c r="D2568" s="1">
        <f>IFERROR(__xludf.DUMMYFUNCTION("""COMPUTED_VALUE"""),63.37)</f>
        <v>63.37</v>
      </c>
      <c r="E2568" s="1">
        <f>IFERROR(__xludf.DUMMYFUNCTION("""COMPUTED_VALUE"""),64.01)</f>
        <v>64.01</v>
      </c>
      <c r="F2568" s="1">
        <f>IFERROR(__xludf.DUMMYFUNCTION("""COMPUTED_VALUE"""),1.0135391E7)</f>
        <v>10135391</v>
      </c>
    </row>
    <row r="2569">
      <c r="A2569" s="2">
        <f>IFERROR(__xludf.DUMMYFUNCTION("""COMPUTED_VALUE"""),40255.666666666664)</f>
        <v>40255.66667</v>
      </c>
      <c r="B2569" s="1">
        <f>IFERROR(__xludf.DUMMYFUNCTION("""COMPUTED_VALUE"""),63.9)</f>
        <v>63.9</v>
      </c>
      <c r="C2569" s="1">
        <f>IFERROR(__xludf.DUMMYFUNCTION("""COMPUTED_VALUE"""),64.13)</f>
        <v>64.13</v>
      </c>
      <c r="D2569" s="1">
        <f>IFERROR(__xludf.DUMMYFUNCTION("""COMPUTED_VALUE"""),63.65)</f>
        <v>63.65</v>
      </c>
      <c r="E2569" s="1">
        <f>IFERROR(__xludf.DUMMYFUNCTION("""COMPUTED_VALUE"""),63.73)</f>
        <v>63.73</v>
      </c>
      <c r="F2569" s="1">
        <f>IFERROR(__xludf.DUMMYFUNCTION("""COMPUTED_VALUE"""),8867365.0)</f>
        <v>8867365</v>
      </c>
    </row>
    <row r="2570">
      <c r="A2570" s="2">
        <f>IFERROR(__xludf.DUMMYFUNCTION("""COMPUTED_VALUE"""),40256.666666666664)</f>
        <v>40256.66667</v>
      </c>
      <c r="B2570" s="1">
        <f>IFERROR(__xludf.DUMMYFUNCTION("""COMPUTED_VALUE"""),63.83)</f>
        <v>63.83</v>
      </c>
      <c r="C2570" s="1">
        <f>IFERROR(__xludf.DUMMYFUNCTION("""COMPUTED_VALUE"""),64.0)</f>
        <v>64</v>
      </c>
      <c r="D2570" s="1">
        <f>IFERROR(__xludf.DUMMYFUNCTION("""COMPUTED_VALUE"""),63.52)</f>
        <v>63.52</v>
      </c>
      <c r="E2570" s="1">
        <f>IFERROR(__xludf.DUMMYFUNCTION("""COMPUTED_VALUE"""),63.84)</f>
        <v>63.84</v>
      </c>
      <c r="F2570" s="1">
        <f>IFERROR(__xludf.DUMMYFUNCTION("""COMPUTED_VALUE"""),1.7458068E7)</f>
        <v>17458068</v>
      </c>
    </row>
    <row r="2571">
      <c r="A2571" s="2">
        <f>IFERROR(__xludf.DUMMYFUNCTION("""COMPUTED_VALUE"""),40259.666666666664)</f>
        <v>40259.66667</v>
      </c>
      <c r="B2571" s="1">
        <f>IFERROR(__xludf.DUMMYFUNCTION("""COMPUTED_VALUE"""),63.52)</f>
        <v>63.52</v>
      </c>
      <c r="C2571" s="1">
        <f>IFERROR(__xludf.DUMMYFUNCTION("""COMPUTED_VALUE"""),64.1)</f>
        <v>64.1</v>
      </c>
      <c r="D2571" s="1">
        <f>IFERROR(__xludf.DUMMYFUNCTION("""COMPUTED_VALUE"""),63.52)</f>
        <v>63.52</v>
      </c>
      <c r="E2571" s="1">
        <f>IFERROR(__xludf.DUMMYFUNCTION("""COMPUTED_VALUE"""),63.88)</f>
        <v>63.88</v>
      </c>
      <c r="F2571" s="1">
        <f>IFERROR(__xludf.DUMMYFUNCTION("""COMPUTED_VALUE"""),9647924.0)</f>
        <v>9647924</v>
      </c>
    </row>
    <row r="2572">
      <c r="A2572" s="2">
        <f>IFERROR(__xludf.DUMMYFUNCTION("""COMPUTED_VALUE"""),40260.666666666664)</f>
        <v>40260.66667</v>
      </c>
      <c r="B2572" s="1">
        <f>IFERROR(__xludf.DUMMYFUNCTION("""COMPUTED_VALUE"""),63.93)</f>
        <v>63.93</v>
      </c>
      <c r="C2572" s="1">
        <f>IFERROR(__xludf.DUMMYFUNCTION("""COMPUTED_VALUE"""),64.58)</f>
        <v>64.58</v>
      </c>
      <c r="D2572" s="1">
        <f>IFERROR(__xludf.DUMMYFUNCTION("""COMPUTED_VALUE"""),63.66)</f>
        <v>63.66</v>
      </c>
      <c r="E2572" s="1">
        <f>IFERROR(__xludf.DUMMYFUNCTION("""COMPUTED_VALUE"""),64.53)</f>
        <v>64.53</v>
      </c>
      <c r="F2572" s="1">
        <f>IFERROR(__xludf.DUMMYFUNCTION("""COMPUTED_VALUE"""),1.1808387E7)</f>
        <v>11808387</v>
      </c>
    </row>
    <row r="2573">
      <c r="A2573" s="2">
        <f>IFERROR(__xludf.DUMMYFUNCTION("""COMPUTED_VALUE"""),40261.666666666664)</f>
        <v>40261.66667</v>
      </c>
      <c r="B2573" s="1">
        <f>IFERROR(__xludf.DUMMYFUNCTION("""COMPUTED_VALUE"""),64.33)</f>
        <v>64.33</v>
      </c>
      <c r="C2573" s="1">
        <f>IFERROR(__xludf.DUMMYFUNCTION("""COMPUTED_VALUE"""),64.4)</f>
        <v>64.4</v>
      </c>
      <c r="D2573" s="1">
        <f>IFERROR(__xludf.DUMMYFUNCTION("""COMPUTED_VALUE"""),63.48)</f>
        <v>63.48</v>
      </c>
      <c r="E2573" s="1">
        <f>IFERROR(__xludf.DUMMYFUNCTION("""COMPUTED_VALUE"""),63.61)</f>
        <v>63.61</v>
      </c>
      <c r="F2573" s="1">
        <f>IFERROR(__xludf.DUMMYFUNCTION("""COMPUTED_VALUE"""),1.1732091E7)</f>
        <v>11732091</v>
      </c>
    </row>
    <row r="2574">
      <c r="A2574" s="2">
        <f>IFERROR(__xludf.DUMMYFUNCTION("""COMPUTED_VALUE"""),40262.666666666664)</f>
        <v>40262.66667</v>
      </c>
      <c r="B2574" s="1">
        <f>IFERROR(__xludf.DUMMYFUNCTION("""COMPUTED_VALUE"""),63.94)</f>
        <v>63.94</v>
      </c>
      <c r="C2574" s="1">
        <f>IFERROR(__xludf.DUMMYFUNCTION("""COMPUTED_VALUE"""),64.12)</f>
        <v>64.12</v>
      </c>
      <c r="D2574" s="1">
        <f>IFERROR(__xludf.DUMMYFUNCTION("""COMPUTED_VALUE"""),63.58)</f>
        <v>63.58</v>
      </c>
      <c r="E2574" s="1">
        <f>IFERROR(__xludf.DUMMYFUNCTION("""COMPUTED_VALUE"""),63.62)</f>
        <v>63.62</v>
      </c>
      <c r="F2574" s="1">
        <f>IFERROR(__xludf.DUMMYFUNCTION("""COMPUTED_VALUE"""),8203360.0)</f>
        <v>8203360</v>
      </c>
    </row>
    <row r="2575">
      <c r="A2575" s="2">
        <f>IFERROR(__xludf.DUMMYFUNCTION("""COMPUTED_VALUE"""),40263.666666666664)</f>
        <v>40263.66667</v>
      </c>
      <c r="B2575" s="1">
        <f>IFERROR(__xludf.DUMMYFUNCTION("""COMPUTED_VALUE"""),63.68)</f>
        <v>63.68</v>
      </c>
      <c r="C2575" s="1">
        <f>IFERROR(__xludf.DUMMYFUNCTION("""COMPUTED_VALUE"""),63.93)</f>
        <v>63.93</v>
      </c>
      <c r="D2575" s="1">
        <f>IFERROR(__xludf.DUMMYFUNCTION("""COMPUTED_VALUE"""),63.4)</f>
        <v>63.4</v>
      </c>
      <c r="E2575" s="1">
        <f>IFERROR(__xludf.DUMMYFUNCTION("""COMPUTED_VALUE"""),63.69)</f>
        <v>63.69</v>
      </c>
      <c r="F2575" s="1">
        <f>IFERROR(__xludf.DUMMYFUNCTION("""COMPUTED_VALUE"""),1.0630725E7)</f>
        <v>10630725</v>
      </c>
    </row>
    <row r="2576">
      <c r="A2576" s="2">
        <f>IFERROR(__xludf.DUMMYFUNCTION("""COMPUTED_VALUE"""),40266.666666666664)</f>
        <v>40266.66667</v>
      </c>
      <c r="B2576" s="1">
        <f>IFERROR(__xludf.DUMMYFUNCTION("""COMPUTED_VALUE"""),63.73)</f>
        <v>63.73</v>
      </c>
      <c r="C2576" s="1">
        <f>IFERROR(__xludf.DUMMYFUNCTION("""COMPUTED_VALUE"""),64.04)</f>
        <v>64.04</v>
      </c>
      <c r="D2576" s="1">
        <f>IFERROR(__xludf.DUMMYFUNCTION("""COMPUTED_VALUE"""),63.59)</f>
        <v>63.59</v>
      </c>
      <c r="E2576" s="1">
        <f>IFERROR(__xludf.DUMMYFUNCTION("""COMPUTED_VALUE"""),63.73)</f>
        <v>63.73</v>
      </c>
      <c r="F2576" s="1">
        <f>IFERROR(__xludf.DUMMYFUNCTION("""COMPUTED_VALUE"""),8176636.0)</f>
        <v>8176636</v>
      </c>
    </row>
    <row r="2577">
      <c r="A2577" s="2">
        <f>IFERROR(__xludf.DUMMYFUNCTION("""COMPUTED_VALUE"""),40267.666666666664)</f>
        <v>40267.66667</v>
      </c>
      <c r="B2577" s="1">
        <f>IFERROR(__xludf.DUMMYFUNCTION("""COMPUTED_VALUE"""),63.73)</f>
        <v>63.73</v>
      </c>
      <c r="C2577" s="1">
        <f>IFERROR(__xludf.DUMMYFUNCTION("""COMPUTED_VALUE"""),63.97)</f>
        <v>63.97</v>
      </c>
      <c r="D2577" s="1">
        <f>IFERROR(__xludf.DUMMYFUNCTION("""COMPUTED_VALUE"""),63.51)</f>
        <v>63.51</v>
      </c>
      <c r="E2577" s="1">
        <f>IFERROR(__xludf.DUMMYFUNCTION("""COMPUTED_VALUE"""),63.66)</f>
        <v>63.66</v>
      </c>
      <c r="F2577" s="1">
        <f>IFERROR(__xludf.DUMMYFUNCTION("""COMPUTED_VALUE"""),6113699.0)</f>
        <v>6113699</v>
      </c>
    </row>
    <row r="2578">
      <c r="A2578" s="2">
        <f>IFERROR(__xludf.DUMMYFUNCTION("""COMPUTED_VALUE"""),40268.666666666664)</f>
        <v>40268.66667</v>
      </c>
      <c r="B2578" s="1">
        <f>IFERROR(__xludf.DUMMYFUNCTION("""COMPUTED_VALUE"""),63.53)</f>
        <v>63.53</v>
      </c>
      <c r="C2578" s="1">
        <f>IFERROR(__xludf.DUMMYFUNCTION("""COMPUTED_VALUE"""),63.67)</f>
        <v>63.67</v>
      </c>
      <c r="D2578" s="1">
        <f>IFERROR(__xludf.DUMMYFUNCTION("""COMPUTED_VALUE"""),63.18)</f>
        <v>63.18</v>
      </c>
      <c r="E2578" s="1">
        <f>IFERROR(__xludf.DUMMYFUNCTION("""COMPUTED_VALUE"""),63.27)</f>
        <v>63.27</v>
      </c>
      <c r="F2578" s="1">
        <f>IFERROR(__xludf.DUMMYFUNCTION("""COMPUTED_VALUE"""),8194089.0)</f>
        <v>8194089</v>
      </c>
    </row>
    <row r="2579">
      <c r="A2579" s="2">
        <f>IFERROR(__xludf.DUMMYFUNCTION("""COMPUTED_VALUE"""),40269.666666666664)</f>
        <v>40269.66667</v>
      </c>
      <c r="B2579" s="1">
        <f>IFERROR(__xludf.DUMMYFUNCTION("""COMPUTED_VALUE"""),63.47)</f>
        <v>63.47</v>
      </c>
      <c r="C2579" s="1">
        <f>IFERROR(__xludf.DUMMYFUNCTION("""COMPUTED_VALUE"""),63.7)</f>
        <v>63.7</v>
      </c>
      <c r="D2579" s="1">
        <f>IFERROR(__xludf.DUMMYFUNCTION("""COMPUTED_VALUE"""),63.2)</f>
        <v>63.2</v>
      </c>
      <c r="E2579" s="1">
        <f>IFERROR(__xludf.DUMMYFUNCTION("""COMPUTED_VALUE"""),63.36)</f>
        <v>63.36</v>
      </c>
      <c r="F2579" s="1">
        <f>IFERROR(__xludf.DUMMYFUNCTION("""COMPUTED_VALUE"""),1.0554858E7)</f>
        <v>10554858</v>
      </c>
    </row>
    <row r="2580">
      <c r="A2580" s="2">
        <f>IFERROR(__xludf.DUMMYFUNCTION("""COMPUTED_VALUE"""),40273.666666666664)</f>
        <v>40273.66667</v>
      </c>
      <c r="B2580" s="1">
        <f>IFERROR(__xludf.DUMMYFUNCTION("""COMPUTED_VALUE"""),63.39)</f>
        <v>63.39</v>
      </c>
      <c r="C2580" s="1">
        <f>IFERROR(__xludf.DUMMYFUNCTION("""COMPUTED_VALUE"""),63.89)</f>
        <v>63.89</v>
      </c>
      <c r="D2580" s="1">
        <f>IFERROR(__xludf.DUMMYFUNCTION("""COMPUTED_VALUE"""),63.3)</f>
        <v>63.3</v>
      </c>
      <c r="E2580" s="1">
        <f>IFERROR(__xludf.DUMMYFUNCTION("""COMPUTED_VALUE"""),63.76)</f>
        <v>63.76</v>
      </c>
      <c r="F2580" s="1">
        <f>IFERROR(__xludf.DUMMYFUNCTION("""COMPUTED_VALUE"""),8579720.0)</f>
        <v>8579720</v>
      </c>
    </row>
    <row r="2581">
      <c r="A2581" s="2">
        <f>IFERROR(__xludf.DUMMYFUNCTION("""COMPUTED_VALUE"""),40274.666666666664)</f>
        <v>40274.66667</v>
      </c>
      <c r="B2581" s="1">
        <f>IFERROR(__xludf.DUMMYFUNCTION("""COMPUTED_VALUE"""),63.58)</f>
        <v>63.58</v>
      </c>
      <c r="C2581" s="1">
        <f>IFERROR(__xludf.DUMMYFUNCTION("""COMPUTED_VALUE"""),63.59)</f>
        <v>63.59</v>
      </c>
      <c r="D2581" s="1">
        <f>IFERROR(__xludf.DUMMYFUNCTION("""COMPUTED_VALUE"""),63.01)</f>
        <v>63.01</v>
      </c>
      <c r="E2581" s="1">
        <f>IFERROR(__xludf.DUMMYFUNCTION("""COMPUTED_VALUE"""),63.11)</f>
        <v>63.11</v>
      </c>
      <c r="F2581" s="1">
        <f>IFERROR(__xludf.DUMMYFUNCTION("""COMPUTED_VALUE"""),1.1052215E7)</f>
        <v>11052215</v>
      </c>
    </row>
    <row r="2582">
      <c r="A2582" s="2">
        <f>IFERROR(__xludf.DUMMYFUNCTION("""COMPUTED_VALUE"""),40275.666666666664)</f>
        <v>40275.66667</v>
      </c>
      <c r="B2582" s="1">
        <f>IFERROR(__xludf.DUMMYFUNCTION("""COMPUTED_VALUE"""),62.91)</f>
        <v>62.91</v>
      </c>
      <c r="C2582" s="1">
        <f>IFERROR(__xludf.DUMMYFUNCTION("""COMPUTED_VALUE"""),63.0)</f>
        <v>63</v>
      </c>
      <c r="D2582" s="1">
        <f>IFERROR(__xludf.DUMMYFUNCTION("""COMPUTED_VALUE"""),62.21)</f>
        <v>62.21</v>
      </c>
      <c r="E2582" s="1">
        <f>IFERROR(__xludf.DUMMYFUNCTION("""COMPUTED_VALUE"""),62.5)</f>
        <v>62.5</v>
      </c>
      <c r="F2582" s="1">
        <f>IFERROR(__xludf.DUMMYFUNCTION("""COMPUTED_VALUE"""),1.4043463E7)</f>
        <v>14043463</v>
      </c>
    </row>
    <row r="2583">
      <c r="A2583" s="2">
        <f>IFERROR(__xludf.DUMMYFUNCTION("""COMPUTED_VALUE"""),40276.666666666664)</f>
        <v>40276.66667</v>
      </c>
      <c r="B2583" s="1">
        <f>IFERROR(__xludf.DUMMYFUNCTION("""COMPUTED_VALUE"""),62.45)</f>
        <v>62.45</v>
      </c>
      <c r="C2583" s="1">
        <f>IFERROR(__xludf.DUMMYFUNCTION("""COMPUTED_VALUE"""),62.85)</f>
        <v>62.85</v>
      </c>
      <c r="D2583" s="1">
        <f>IFERROR(__xludf.DUMMYFUNCTION("""COMPUTED_VALUE"""),62.12)</f>
        <v>62.12</v>
      </c>
      <c r="E2583" s="1">
        <f>IFERROR(__xludf.DUMMYFUNCTION("""COMPUTED_VALUE"""),62.56)</f>
        <v>62.56</v>
      </c>
      <c r="F2583" s="1">
        <f>IFERROR(__xludf.DUMMYFUNCTION("""COMPUTED_VALUE"""),8458889.0)</f>
        <v>8458889</v>
      </c>
    </row>
    <row r="2584">
      <c r="A2584" s="2">
        <f>IFERROR(__xludf.DUMMYFUNCTION("""COMPUTED_VALUE"""),40277.666666666664)</f>
        <v>40277.66667</v>
      </c>
      <c r="B2584" s="1">
        <f>IFERROR(__xludf.DUMMYFUNCTION("""COMPUTED_VALUE"""),62.57)</f>
        <v>62.57</v>
      </c>
      <c r="C2584" s="1">
        <f>IFERROR(__xludf.DUMMYFUNCTION("""COMPUTED_VALUE"""),63.0)</f>
        <v>63</v>
      </c>
      <c r="D2584" s="1">
        <f>IFERROR(__xludf.DUMMYFUNCTION("""COMPUTED_VALUE"""),62.51)</f>
        <v>62.51</v>
      </c>
      <c r="E2584" s="1">
        <f>IFERROR(__xludf.DUMMYFUNCTION("""COMPUTED_VALUE"""),62.73)</f>
        <v>62.73</v>
      </c>
      <c r="F2584" s="1">
        <f>IFERROR(__xludf.DUMMYFUNCTION("""COMPUTED_VALUE"""),9146643.0)</f>
        <v>9146643</v>
      </c>
    </row>
    <row r="2585">
      <c r="A2585" s="2">
        <f>IFERROR(__xludf.DUMMYFUNCTION("""COMPUTED_VALUE"""),40280.666666666664)</f>
        <v>40280.66667</v>
      </c>
      <c r="B2585" s="1">
        <f>IFERROR(__xludf.DUMMYFUNCTION("""COMPUTED_VALUE"""),62.45)</f>
        <v>62.45</v>
      </c>
      <c r="C2585" s="1">
        <f>IFERROR(__xludf.DUMMYFUNCTION("""COMPUTED_VALUE"""),62.98)</f>
        <v>62.98</v>
      </c>
      <c r="D2585" s="1">
        <f>IFERROR(__xludf.DUMMYFUNCTION("""COMPUTED_VALUE"""),62.41)</f>
        <v>62.41</v>
      </c>
      <c r="E2585" s="1">
        <f>IFERROR(__xludf.DUMMYFUNCTION("""COMPUTED_VALUE"""),62.7)</f>
        <v>62.7</v>
      </c>
      <c r="F2585" s="1">
        <f>IFERROR(__xludf.DUMMYFUNCTION("""COMPUTED_VALUE"""),9164451.0)</f>
        <v>9164451</v>
      </c>
    </row>
    <row r="2586">
      <c r="A2586" s="2">
        <f>IFERROR(__xludf.DUMMYFUNCTION("""COMPUTED_VALUE"""),40281.666666666664)</f>
        <v>40281.66667</v>
      </c>
      <c r="B2586" s="1">
        <f>IFERROR(__xludf.DUMMYFUNCTION("""COMPUTED_VALUE"""),62.6)</f>
        <v>62.6</v>
      </c>
      <c r="C2586" s="1">
        <f>IFERROR(__xludf.DUMMYFUNCTION("""COMPUTED_VALUE"""),63.34)</f>
        <v>63.34</v>
      </c>
      <c r="D2586" s="1">
        <f>IFERROR(__xludf.DUMMYFUNCTION("""COMPUTED_VALUE"""),62.58)</f>
        <v>62.58</v>
      </c>
      <c r="E2586" s="1">
        <f>IFERROR(__xludf.DUMMYFUNCTION("""COMPUTED_VALUE"""),63.0)</f>
        <v>63</v>
      </c>
      <c r="F2586" s="1">
        <f>IFERROR(__xludf.DUMMYFUNCTION("""COMPUTED_VALUE"""),1.122939E7)</f>
        <v>11229390</v>
      </c>
    </row>
    <row r="2587">
      <c r="A2587" s="2">
        <f>IFERROR(__xludf.DUMMYFUNCTION("""COMPUTED_VALUE"""),40282.666666666664)</f>
        <v>40282.66667</v>
      </c>
      <c r="B2587" s="1">
        <f>IFERROR(__xludf.DUMMYFUNCTION("""COMPUTED_VALUE"""),62.92)</f>
        <v>62.92</v>
      </c>
      <c r="C2587" s="1">
        <f>IFERROR(__xludf.DUMMYFUNCTION("""COMPUTED_VALUE"""),63.23)</f>
        <v>63.23</v>
      </c>
      <c r="D2587" s="1">
        <f>IFERROR(__xludf.DUMMYFUNCTION("""COMPUTED_VALUE"""),62.71)</f>
        <v>62.71</v>
      </c>
      <c r="E2587" s="1">
        <f>IFERROR(__xludf.DUMMYFUNCTION("""COMPUTED_VALUE"""),63.19)</f>
        <v>63.19</v>
      </c>
      <c r="F2587" s="1">
        <f>IFERROR(__xludf.DUMMYFUNCTION("""COMPUTED_VALUE"""),7685547.0)</f>
        <v>7685547</v>
      </c>
    </row>
    <row r="2588">
      <c r="A2588" s="2">
        <f>IFERROR(__xludf.DUMMYFUNCTION("""COMPUTED_VALUE"""),40283.666666666664)</f>
        <v>40283.66667</v>
      </c>
      <c r="B2588" s="1">
        <f>IFERROR(__xludf.DUMMYFUNCTION("""COMPUTED_VALUE"""),63.03)</f>
        <v>63.03</v>
      </c>
      <c r="C2588" s="1">
        <f>IFERROR(__xludf.DUMMYFUNCTION("""COMPUTED_VALUE"""),63.14)</f>
        <v>63.14</v>
      </c>
      <c r="D2588" s="1">
        <f>IFERROR(__xludf.DUMMYFUNCTION("""COMPUTED_VALUE"""),62.72)</f>
        <v>62.72</v>
      </c>
      <c r="E2588" s="1">
        <f>IFERROR(__xludf.DUMMYFUNCTION("""COMPUTED_VALUE"""),63.0)</f>
        <v>63</v>
      </c>
      <c r="F2588" s="1">
        <f>IFERROR(__xludf.DUMMYFUNCTION("""COMPUTED_VALUE"""),1.1314974E7)</f>
        <v>11314974</v>
      </c>
    </row>
    <row r="2589">
      <c r="A2589" s="2">
        <f>IFERROR(__xludf.DUMMYFUNCTION("""COMPUTED_VALUE"""),40284.666666666664)</f>
        <v>40284.66667</v>
      </c>
      <c r="B2589" s="1">
        <f>IFERROR(__xludf.DUMMYFUNCTION("""COMPUTED_VALUE"""),62.8)</f>
        <v>62.8</v>
      </c>
      <c r="C2589" s="1">
        <f>IFERROR(__xludf.DUMMYFUNCTION("""COMPUTED_VALUE"""),63.49)</f>
        <v>63.49</v>
      </c>
      <c r="D2589" s="1">
        <f>IFERROR(__xludf.DUMMYFUNCTION("""COMPUTED_VALUE"""),62.63)</f>
        <v>62.63</v>
      </c>
      <c r="E2589" s="1">
        <f>IFERROR(__xludf.DUMMYFUNCTION("""COMPUTED_VALUE"""),62.85)</f>
        <v>62.85</v>
      </c>
      <c r="F2589" s="1">
        <f>IFERROR(__xludf.DUMMYFUNCTION("""COMPUTED_VALUE"""),1.2570601E7)</f>
        <v>12570601</v>
      </c>
    </row>
    <row r="2590">
      <c r="A2590" s="2">
        <f>IFERROR(__xludf.DUMMYFUNCTION("""COMPUTED_VALUE"""),40287.666666666664)</f>
        <v>40287.66667</v>
      </c>
      <c r="B2590" s="1">
        <f>IFERROR(__xludf.DUMMYFUNCTION("""COMPUTED_VALUE"""),62.82)</f>
        <v>62.82</v>
      </c>
      <c r="C2590" s="1">
        <f>IFERROR(__xludf.DUMMYFUNCTION("""COMPUTED_VALUE"""),63.25)</f>
        <v>63.25</v>
      </c>
      <c r="D2590" s="1">
        <f>IFERROR(__xludf.DUMMYFUNCTION("""COMPUTED_VALUE"""),62.7)</f>
        <v>62.7</v>
      </c>
      <c r="E2590" s="1">
        <f>IFERROR(__xludf.DUMMYFUNCTION("""COMPUTED_VALUE"""),63.22)</f>
        <v>63.22</v>
      </c>
      <c r="F2590" s="1">
        <f>IFERROR(__xludf.DUMMYFUNCTION("""COMPUTED_VALUE"""),9549422.0)</f>
        <v>9549422</v>
      </c>
    </row>
    <row r="2591">
      <c r="A2591" s="2">
        <f>IFERROR(__xludf.DUMMYFUNCTION("""COMPUTED_VALUE"""),40288.666666666664)</f>
        <v>40288.66667</v>
      </c>
      <c r="B2591" s="1">
        <f>IFERROR(__xludf.DUMMYFUNCTION("""COMPUTED_VALUE"""),63.47)</f>
        <v>63.47</v>
      </c>
      <c r="C2591" s="1">
        <f>IFERROR(__xludf.DUMMYFUNCTION("""COMPUTED_VALUE"""),63.49)</f>
        <v>63.49</v>
      </c>
      <c r="D2591" s="1">
        <f>IFERROR(__xludf.DUMMYFUNCTION("""COMPUTED_VALUE"""),63.03)</f>
        <v>63.03</v>
      </c>
      <c r="E2591" s="1">
        <f>IFERROR(__xludf.DUMMYFUNCTION("""COMPUTED_VALUE"""),63.19)</f>
        <v>63.19</v>
      </c>
      <c r="F2591" s="1">
        <f>IFERROR(__xludf.DUMMYFUNCTION("""COMPUTED_VALUE"""),1.1230766E7)</f>
        <v>11230766</v>
      </c>
    </row>
    <row r="2592">
      <c r="A2592" s="2">
        <f>IFERROR(__xludf.DUMMYFUNCTION("""COMPUTED_VALUE"""),40289.666666666664)</f>
        <v>40289.66667</v>
      </c>
      <c r="B2592" s="1">
        <f>IFERROR(__xludf.DUMMYFUNCTION("""COMPUTED_VALUE"""),63.21)</f>
        <v>63.21</v>
      </c>
      <c r="C2592" s="1">
        <f>IFERROR(__xludf.DUMMYFUNCTION("""COMPUTED_VALUE"""),63.66)</f>
        <v>63.66</v>
      </c>
      <c r="D2592" s="1">
        <f>IFERROR(__xludf.DUMMYFUNCTION("""COMPUTED_VALUE"""),63.12)</f>
        <v>63.12</v>
      </c>
      <c r="E2592" s="1">
        <f>IFERROR(__xludf.DUMMYFUNCTION("""COMPUTED_VALUE"""),63.63)</f>
        <v>63.63</v>
      </c>
      <c r="F2592" s="1">
        <f>IFERROR(__xludf.DUMMYFUNCTION("""COMPUTED_VALUE"""),9858465.0)</f>
        <v>9858465</v>
      </c>
    </row>
    <row r="2593">
      <c r="A2593" s="2">
        <f>IFERROR(__xludf.DUMMYFUNCTION("""COMPUTED_VALUE"""),40290.666666666664)</f>
        <v>40290.66667</v>
      </c>
      <c r="B2593" s="1">
        <f>IFERROR(__xludf.DUMMYFUNCTION("""COMPUTED_VALUE"""),63.51)</f>
        <v>63.51</v>
      </c>
      <c r="C2593" s="1">
        <f>IFERROR(__xludf.DUMMYFUNCTION("""COMPUTED_VALUE"""),63.74)</f>
        <v>63.74</v>
      </c>
      <c r="D2593" s="1">
        <f>IFERROR(__xludf.DUMMYFUNCTION("""COMPUTED_VALUE"""),63.23)</f>
        <v>63.23</v>
      </c>
      <c r="E2593" s="1">
        <f>IFERROR(__xludf.DUMMYFUNCTION("""COMPUTED_VALUE"""),63.59)</f>
        <v>63.59</v>
      </c>
      <c r="F2593" s="1">
        <f>IFERROR(__xludf.DUMMYFUNCTION("""COMPUTED_VALUE"""),8372892.0)</f>
        <v>8372892</v>
      </c>
    </row>
    <row r="2594">
      <c r="A2594" s="2">
        <f>IFERROR(__xludf.DUMMYFUNCTION("""COMPUTED_VALUE"""),40291.666666666664)</f>
        <v>40291.66667</v>
      </c>
      <c r="B2594" s="1">
        <f>IFERROR(__xludf.DUMMYFUNCTION("""COMPUTED_VALUE"""),63.48)</f>
        <v>63.48</v>
      </c>
      <c r="C2594" s="1">
        <f>IFERROR(__xludf.DUMMYFUNCTION("""COMPUTED_VALUE"""),63.64)</f>
        <v>63.64</v>
      </c>
      <c r="D2594" s="1">
        <f>IFERROR(__xludf.DUMMYFUNCTION("""COMPUTED_VALUE"""),63.2)</f>
        <v>63.2</v>
      </c>
      <c r="E2594" s="1">
        <f>IFERROR(__xludf.DUMMYFUNCTION("""COMPUTED_VALUE"""),63.54)</f>
        <v>63.54</v>
      </c>
      <c r="F2594" s="1">
        <f>IFERROR(__xludf.DUMMYFUNCTION("""COMPUTED_VALUE"""),8452509.0)</f>
        <v>8452509</v>
      </c>
    </row>
    <row r="2595">
      <c r="A2595" s="2">
        <f>IFERROR(__xludf.DUMMYFUNCTION("""COMPUTED_VALUE"""),40294.666666666664)</f>
        <v>40294.66667</v>
      </c>
      <c r="B2595" s="1">
        <f>IFERROR(__xludf.DUMMYFUNCTION("""COMPUTED_VALUE"""),63.45)</f>
        <v>63.45</v>
      </c>
      <c r="C2595" s="1">
        <f>IFERROR(__xludf.DUMMYFUNCTION("""COMPUTED_VALUE"""),64.0)</f>
        <v>64</v>
      </c>
      <c r="D2595" s="1">
        <f>IFERROR(__xludf.DUMMYFUNCTION("""COMPUTED_VALUE"""),63.4)</f>
        <v>63.4</v>
      </c>
      <c r="E2595" s="1">
        <f>IFERROR(__xludf.DUMMYFUNCTION("""COMPUTED_VALUE"""),63.94)</f>
        <v>63.94</v>
      </c>
      <c r="F2595" s="1">
        <f>IFERROR(__xludf.DUMMYFUNCTION("""COMPUTED_VALUE"""),9262393.0)</f>
        <v>9262393</v>
      </c>
    </row>
    <row r="2596">
      <c r="A2596" s="2">
        <f>IFERROR(__xludf.DUMMYFUNCTION("""COMPUTED_VALUE"""),40295.666666666664)</f>
        <v>40295.66667</v>
      </c>
      <c r="B2596" s="1">
        <f>IFERROR(__xludf.DUMMYFUNCTION("""COMPUTED_VALUE"""),63.24)</f>
        <v>63.24</v>
      </c>
      <c r="C2596" s="1">
        <f>IFERROR(__xludf.DUMMYFUNCTION("""COMPUTED_VALUE"""),63.9)</f>
        <v>63.9</v>
      </c>
      <c r="D2596" s="1">
        <f>IFERROR(__xludf.DUMMYFUNCTION("""COMPUTED_VALUE"""),63.04)</f>
        <v>63.04</v>
      </c>
      <c r="E2596" s="1">
        <f>IFERROR(__xludf.DUMMYFUNCTION("""COMPUTED_VALUE"""),63.11)</f>
        <v>63.11</v>
      </c>
      <c r="F2596" s="1">
        <f>IFERROR(__xludf.DUMMYFUNCTION("""COMPUTED_VALUE"""),1.2849909E7)</f>
        <v>12849909</v>
      </c>
    </row>
    <row r="2597">
      <c r="A2597" s="2">
        <f>IFERROR(__xludf.DUMMYFUNCTION("""COMPUTED_VALUE"""),40296.666666666664)</f>
        <v>40296.66667</v>
      </c>
      <c r="B2597" s="1">
        <f>IFERROR(__xludf.DUMMYFUNCTION("""COMPUTED_VALUE"""),62.65)</f>
        <v>62.65</v>
      </c>
      <c r="C2597" s="1">
        <f>IFERROR(__xludf.DUMMYFUNCTION("""COMPUTED_VALUE"""),63.46)</f>
        <v>63.46</v>
      </c>
      <c r="D2597" s="1">
        <f>IFERROR(__xludf.DUMMYFUNCTION("""COMPUTED_VALUE"""),62.41)</f>
        <v>62.41</v>
      </c>
      <c r="E2597" s="1">
        <f>IFERROR(__xludf.DUMMYFUNCTION("""COMPUTED_VALUE"""),63.17)</f>
        <v>63.17</v>
      </c>
      <c r="F2597" s="1">
        <f>IFERROR(__xludf.DUMMYFUNCTION("""COMPUTED_VALUE"""),1.3091676E7)</f>
        <v>13091676</v>
      </c>
    </row>
    <row r="2598">
      <c r="A2598" s="2">
        <f>IFERROR(__xludf.DUMMYFUNCTION("""COMPUTED_VALUE"""),40297.666666666664)</f>
        <v>40297.66667</v>
      </c>
      <c r="B2598" s="1">
        <f>IFERROR(__xludf.DUMMYFUNCTION("""COMPUTED_VALUE"""),62.28)</f>
        <v>62.28</v>
      </c>
      <c r="C2598" s="1">
        <f>IFERROR(__xludf.DUMMYFUNCTION("""COMPUTED_VALUE"""),62.97)</f>
        <v>62.97</v>
      </c>
      <c r="D2598" s="1">
        <f>IFERROR(__xludf.DUMMYFUNCTION("""COMPUTED_VALUE"""),60.83)</f>
        <v>60.83</v>
      </c>
      <c r="E2598" s="1">
        <f>IFERROR(__xludf.DUMMYFUNCTION("""COMPUTED_VALUE"""),62.2)</f>
        <v>62.2</v>
      </c>
      <c r="F2598" s="1">
        <f>IFERROR(__xludf.DUMMYFUNCTION("""COMPUTED_VALUE"""),2.7302652E7)</f>
        <v>27302652</v>
      </c>
    </row>
    <row r="2599">
      <c r="A2599" s="2">
        <f>IFERROR(__xludf.DUMMYFUNCTION("""COMPUTED_VALUE"""),40298.666666666664)</f>
        <v>40298.66667</v>
      </c>
      <c r="B2599" s="1">
        <f>IFERROR(__xludf.DUMMYFUNCTION("""COMPUTED_VALUE"""),62.53)</f>
        <v>62.53</v>
      </c>
      <c r="C2599" s="1">
        <f>IFERROR(__xludf.DUMMYFUNCTION("""COMPUTED_VALUE"""),63.0)</f>
        <v>63</v>
      </c>
      <c r="D2599" s="1">
        <f>IFERROR(__xludf.DUMMYFUNCTION("""COMPUTED_VALUE"""),62.11)</f>
        <v>62.11</v>
      </c>
      <c r="E2599" s="1">
        <f>IFERROR(__xludf.DUMMYFUNCTION("""COMPUTED_VALUE"""),62.16)</f>
        <v>62.16</v>
      </c>
      <c r="F2599" s="1">
        <f>IFERROR(__xludf.DUMMYFUNCTION("""COMPUTED_VALUE"""),1.5768837E7)</f>
        <v>15768837</v>
      </c>
    </row>
    <row r="2600">
      <c r="A2600" s="2">
        <f>IFERROR(__xludf.DUMMYFUNCTION("""COMPUTED_VALUE"""),40301.666666666664)</f>
        <v>40301.66667</v>
      </c>
      <c r="B2600" s="1">
        <f>IFERROR(__xludf.DUMMYFUNCTION("""COMPUTED_VALUE"""),62.42)</f>
        <v>62.42</v>
      </c>
      <c r="C2600" s="1">
        <f>IFERROR(__xludf.DUMMYFUNCTION("""COMPUTED_VALUE"""),62.84)</f>
        <v>62.84</v>
      </c>
      <c r="D2600" s="1">
        <f>IFERROR(__xludf.DUMMYFUNCTION("""COMPUTED_VALUE"""),61.84)</f>
        <v>61.84</v>
      </c>
      <c r="E2600" s="1">
        <f>IFERROR(__xludf.DUMMYFUNCTION("""COMPUTED_VALUE"""),62.68)</f>
        <v>62.68</v>
      </c>
      <c r="F2600" s="1">
        <f>IFERROR(__xludf.DUMMYFUNCTION("""COMPUTED_VALUE"""),9756506.0)</f>
        <v>9756506</v>
      </c>
    </row>
    <row r="2601">
      <c r="A2601" s="2">
        <f>IFERROR(__xludf.DUMMYFUNCTION("""COMPUTED_VALUE"""),40302.666666666664)</f>
        <v>40302.66667</v>
      </c>
      <c r="B2601" s="1">
        <f>IFERROR(__xludf.DUMMYFUNCTION("""COMPUTED_VALUE"""),62.3)</f>
        <v>62.3</v>
      </c>
      <c r="C2601" s="1">
        <f>IFERROR(__xludf.DUMMYFUNCTION("""COMPUTED_VALUE"""),62.53)</f>
        <v>62.53</v>
      </c>
      <c r="D2601" s="1">
        <f>IFERROR(__xludf.DUMMYFUNCTION("""COMPUTED_VALUE"""),61.56)</f>
        <v>61.56</v>
      </c>
      <c r="E2601" s="1">
        <f>IFERROR(__xludf.DUMMYFUNCTION("""COMPUTED_VALUE"""),61.71)</f>
        <v>61.71</v>
      </c>
      <c r="F2601" s="1">
        <f>IFERROR(__xludf.DUMMYFUNCTION("""COMPUTED_VALUE"""),1.1402528E7)</f>
        <v>11402528</v>
      </c>
    </row>
    <row r="2602">
      <c r="A2602" s="2">
        <f>IFERROR(__xludf.DUMMYFUNCTION("""COMPUTED_VALUE"""),40303.666666666664)</f>
        <v>40303.66667</v>
      </c>
      <c r="B2602" s="1">
        <f>IFERROR(__xludf.DUMMYFUNCTION("""COMPUTED_VALUE"""),61.62)</f>
        <v>61.62</v>
      </c>
      <c r="C2602" s="1">
        <f>IFERROR(__xludf.DUMMYFUNCTION("""COMPUTED_VALUE"""),62.57)</f>
        <v>62.57</v>
      </c>
      <c r="D2602" s="1">
        <f>IFERROR(__xludf.DUMMYFUNCTION("""COMPUTED_VALUE"""),61.5)</f>
        <v>61.5</v>
      </c>
      <c r="E2602" s="1">
        <f>IFERROR(__xludf.DUMMYFUNCTION("""COMPUTED_VALUE"""),62.16)</f>
        <v>62.16</v>
      </c>
      <c r="F2602" s="1">
        <f>IFERROR(__xludf.DUMMYFUNCTION("""COMPUTED_VALUE"""),1.161182E7)</f>
        <v>11611820</v>
      </c>
    </row>
    <row r="2603">
      <c r="A2603" s="2">
        <f>IFERROR(__xludf.DUMMYFUNCTION("""COMPUTED_VALUE"""),40304.666666666664)</f>
        <v>40304.66667</v>
      </c>
      <c r="B2603" s="1">
        <f>IFERROR(__xludf.DUMMYFUNCTION("""COMPUTED_VALUE"""),61.91)</f>
        <v>61.91</v>
      </c>
      <c r="C2603" s="1">
        <f>IFERROR(__xludf.DUMMYFUNCTION("""COMPUTED_VALUE"""),62.67)</f>
        <v>62.67</v>
      </c>
      <c r="D2603" s="1">
        <f>IFERROR(__xludf.DUMMYFUNCTION("""COMPUTED_VALUE"""),59.37)</f>
        <v>59.37</v>
      </c>
      <c r="E2603" s="1">
        <f>IFERROR(__xludf.DUMMYFUNCTION("""COMPUTED_VALUE"""),60.75)</f>
        <v>60.75</v>
      </c>
      <c r="F2603" s="1">
        <f>IFERROR(__xludf.DUMMYFUNCTION("""COMPUTED_VALUE"""),2.8565724E7)</f>
        <v>28565724</v>
      </c>
    </row>
    <row r="2604">
      <c r="A2604" s="2">
        <f>IFERROR(__xludf.DUMMYFUNCTION("""COMPUTED_VALUE"""),40305.666666666664)</f>
        <v>40305.66667</v>
      </c>
      <c r="B2604" s="1">
        <f>IFERROR(__xludf.DUMMYFUNCTION("""COMPUTED_VALUE"""),60.61)</f>
        <v>60.61</v>
      </c>
      <c r="C2604" s="1">
        <f>IFERROR(__xludf.DUMMYFUNCTION("""COMPUTED_VALUE"""),61.2)</f>
        <v>61.2</v>
      </c>
      <c r="D2604" s="1">
        <f>IFERROR(__xludf.DUMMYFUNCTION("""COMPUTED_VALUE"""),60.0)</f>
        <v>60</v>
      </c>
      <c r="E2604" s="1">
        <f>IFERROR(__xludf.DUMMYFUNCTION("""COMPUTED_VALUE"""),60.31)</f>
        <v>60.31</v>
      </c>
      <c r="F2604" s="1">
        <f>IFERROR(__xludf.DUMMYFUNCTION("""COMPUTED_VALUE"""),2.397702E7)</f>
        <v>23977020</v>
      </c>
    </row>
    <row r="2605">
      <c r="A2605" s="2">
        <f>IFERROR(__xludf.DUMMYFUNCTION("""COMPUTED_VALUE"""),40308.666666666664)</f>
        <v>40308.66667</v>
      </c>
      <c r="B2605" s="1">
        <f>IFERROR(__xludf.DUMMYFUNCTION("""COMPUTED_VALUE"""),61.57)</f>
        <v>61.57</v>
      </c>
      <c r="C2605" s="1">
        <f>IFERROR(__xludf.DUMMYFUNCTION("""COMPUTED_VALUE"""),62.7)</f>
        <v>62.7</v>
      </c>
      <c r="D2605" s="1">
        <f>IFERROR(__xludf.DUMMYFUNCTION("""COMPUTED_VALUE"""),61.16)</f>
        <v>61.16</v>
      </c>
      <c r="E2605" s="1">
        <f>IFERROR(__xludf.DUMMYFUNCTION("""COMPUTED_VALUE"""),62.42)</f>
        <v>62.42</v>
      </c>
      <c r="F2605" s="1">
        <f>IFERROR(__xludf.DUMMYFUNCTION("""COMPUTED_VALUE"""),1.6011564E7)</f>
        <v>16011564</v>
      </c>
    </row>
    <row r="2606">
      <c r="A2606" s="2">
        <f>IFERROR(__xludf.DUMMYFUNCTION("""COMPUTED_VALUE"""),40309.666666666664)</f>
        <v>40309.66667</v>
      </c>
      <c r="B2606" s="1">
        <f>IFERROR(__xludf.DUMMYFUNCTION("""COMPUTED_VALUE"""),62.04)</f>
        <v>62.04</v>
      </c>
      <c r="C2606" s="1">
        <f>IFERROR(__xludf.DUMMYFUNCTION("""COMPUTED_VALUE"""),62.97)</f>
        <v>62.97</v>
      </c>
      <c r="D2606" s="1">
        <f>IFERROR(__xludf.DUMMYFUNCTION("""COMPUTED_VALUE"""),61.98)</f>
        <v>61.98</v>
      </c>
      <c r="E2606" s="1">
        <f>IFERROR(__xludf.DUMMYFUNCTION("""COMPUTED_VALUE"""),62.37)</f>
        <v>62.37</v>
      </c>
      <c r="F2606" s="1">
        <f>IFERROR(__xludf.DUMMYFUNCTION("""COMPUTED_VALUE"""),1.2398555E7)</f>
        <v>12398555</v>
      </c>
    </row>
    <row r="2607">
      <c r="A2607" s="2">
        <f>IFERROR(__xludf.DUMMYFUNCTION("""COMPUTED_VALUE"""),40310.666666666664)</f>
        <v>40310.66667</v>
      </c>
      <c r="B2607" s="1">
        <f>IFERROR(__xludf.DUMMYFUNCTION("""COMPUTED_VALUE"""),62.11)</f>
        <v>62.11</v>
      </c>
      <c r="C2607" s="1">
        <f>IFERROR(__xludf.DUMMYFUNCTION("""COMPUTED_VALUE"""),63.13)</f>
        <v>63.13</v>
      </c>
      <c r="D2607" s="1">
        <f>IFERROR(__xludf.DUMMYFUNCTION("""COMPUTED_VALUE"""),62.1)</f>
        <v>62.1</v>
      </c>
      <c r="E2607" s="1">
        <f>IFERROR(__xludf.DUMMYFUNCTION("""COMPUTED_VALUE"""),63.02)</f>
        <v>63.02</v>
      </c>
      <c r="F2607" s="1">
        <f>IFERROR(__xludf.DUMMYFUNCTION("""COMPUTED_VALUE"""),1.1004794E7)</f>
        <v>11004794</v>
      </c>
    </row>
    <row r="2608">
      <c r="A2608" s="2">
        <f>IFERROR(__xludf.DUMMYFUNCTION("""COMPUTED_VALUE"""),40311.666666666664)</f>
        <v>40311.66667</v>
      </c>
      <c r="B2608" s="1">
        <f>IFERROR(__xludf.DUMMYFUNCTION("""COMPUTED_VALUE"""),62.91)</f>
        <v>62.91</v>
      </c>
      <c r="C2608" s="1">
        <f>IFERROR(__xludf.DUMMYFUNCTION("""COMPUTED_VALUE"""),63.42)</f>
        <v>63.42</v>
      </c>
      <c r="D2608" s="1">
        <f>IFERROR(__xludf.DUMMYFUNCTION("""COMPUTED_VALUE"""),62.73)</f>
        <v>62.73</v>
      </c>
      <c r="E2608" s="1">
        <f>IFERROR(__xludf.DUMMYFUNCTION("""COMPUTED_VALUE"""),62.75)</f>
        <v>62.75</v>
      </c>
      <c r="F2608" s="1">
        <f>IFERROR(__xludf.DUMMYFUNCTION("""COMPUTED_VALUE"""),1.1157655E7)</f>
        <v>11157655</v>
      </c>
    </row>
    <row r="2609">
      <c r="A2609" s="2">
        <f>IFERROR(__xludf.DUMMYFUNCTION("""COMPUTED_VALUE"""),40312.666666666664)</f>
        <v>40312.66667</v>
      </c>
      <c r="B2609" s="1">
        <f>IFERROR(__xludf.DUMMYFUNCTION("""COMPUTED_VALUE"""),62.76)</f>
        <v>62.76</v>
      </c>
      <c r="C2609" s="1">
        <f>IFERROR(__xludf.DUMMYFUNCTION("""COMPUTED_VALUE"""),63.2)</f>
        <v>63.2</v>
      </c>
      <c r="D2609" s="1">
        <f>IFERROR(__xludf.DUMMYFUNCTION("""COMPUTED_VALUE"""),62.15)</f>
        <v>62.15</v>
      </c>
      <c r="E2609" s="1">
        <f>IFERROR(__xludf.DUMMYFUNCTION("""COMPUTED_VALUE"""),62.54)</f>
        <v>62.54</v>
      </c>
      <c r="F2609" s="1">
        <f>IFERROR(__xludf.DUMMYFUNCTION("""COMPUTED_VALUE"""),1.4651577E7)</f>
        <v>14651577</v>
      </c>
    </row>
    <row r="2610">
      <c r="A2610" s="2">
        <f>IFERROR(__xludf.DUMMYFUNCTION("""COMPUTED_VALUE"""),40315.666666666664)</f>
        <v>40315.66667</v>
      </c>
      <c r="B2610" s="1">
        <f>IFERROR(__xludf.DUMMYFUNCTION("""COMPUTED_VALUE"""),63.01)</f>
        <v>63.01</v>
      </c>
      <c r="C2610" s="1">
        <f>IFERROR(__xludf.DUMMYFUNCTION("""COMPUTED_VALUE"""),63.48)</f>
        <v>63.48</v>
      </c>
      <c r="D2610" s="1">
        <f>IFERROR(__xludf.DUMMYFUNCTION("""COMPUTED_VALUE"""),62.66)</f>
        <v>62.66</v>
      </c>
      <c r="E2610" s="1">
        <f>IFERROR(__xludf.DUMMYFUNCTION("""COMPUTED_VALUE"""),63.38)</f>
        <v>63.38</v>
      </c>
      <c r="F2610" s="1">
        <f>IFERROR(__xludf.DUMMYFUNCTION("""COMPUTED_VALUE"""),1.4659192E7)</f>
        <v>14659192</v>
      </c>
    </row>
    <row r="2611">
      <c r="A2611" s="2">
        <f>IFERROR(__xludf.DUMMYFUNCTION("""COMPUTED_VALUE"""),40316.666666666664)</f>
        <v>40316.66667</v>
      </c>
      <c r="B2611" s="1">
        <f>IFERROR(__xludf.DUMMYFUNCTION("""COMPUTED_VALUE"""),63.4)</f>
        <v>63.4</v>
      </c>
      <c r="C2611" s="1">
        <f>IFERROR(__xludf.DUMMYFUNCTION("""COMPUTED_VALUE"""),63.95)</f>
        <v>63.95</v>
      </c>
      <c r="D2611" s="1">
        <f>IFERROR(__xludf.DUMMYFUNCTION("""COMPUTED_VALUE"""),63.13)</f>
        <v>63.13</v>
      </c>
      <c r="E2611" s="1">
        <f>IFERROR(__xludf.DUMMYFUNCTION("""COMPUTED_VALUE"""),63.21)</f>
        <v>63.21</v>
      </c>
      <c r="F2611" s="1">
        <f>IFERROR(__xludf.DUMMYFUNCTION("""COMPUTED_VALUE"""),1.5875479E7)</f>
        <v>15875479</v>
      </c>
    </row>
    <row r="2612">
      <c r="A2612" s="2">
        <f>IFERROR(__xludf.DUMMYFUNCTION("""COMPUTED_VALUE"""),40317.666666666664)</f>
        <v>40317.66667</v>
      </c>
      <c r="B2612" s="1">
        <f>IFERROR(__xludf.DUMMYFUNCTION("""COMPUTED_VALUE"""),63.1)</f>
        <v>63.1</v>
      </c>
      <c r="C2612" s="1">
        <f>IFERROR(__xludf.DUMMYFUNCTION("""COMPUTED_VALUE"""),63.6)</f>
        <v>63.6</v>
      </c>
      <c r="D2612" s="1">
        <f>IFERROR(__xludf.DUMMYFUNCTION("""COMPUTED_VALUE"""),62.81)</f>
        <v>62.81</v>
      </c>
      <c r="E2612" s="1">
        <f>IFERROR(__xludf.DUMMYFUNCTION("""COMPUTED_VALUE"""),63.22)</f>
        <v>63.22</v>
      </c>
      <c r="F2612" s="1">
        <f>IFERROR(__xludf.DUMMYFUNCTION("""COMPUTED_VALUE"""),1.5928633E7)</f>
        <v>15928633</v>
      </c>
    </row>
    <row r="2613">
      <c r="A2613" s="2">
        <f>IFERROR(__xludf.DUMMYFUNCTION("""COMPUTED_VALUE"""),40318.666666666664)</f>
        <v>40318.66667</v>
      </c>
      <c r="B2613" s="1">
        <f>IFERROR(__xludf.DUMMYFUNCTION("""COMPUTED_VALUE"""),62.47)</f>
        <v>62.47</v>
      </c>
      <c r="C2613" s="1">
        <f>IFERROR(__xludf.DUMMYFUNCTION("""COMPUTED_VALUE"""),62.54)</f>
        <v>62.54</v>
      </c>
      <c r="D2613" s="1">
        <f>IFERROR(__xludf.DUMMYFUNCTION("""COMPUTED_VALUE"""),61.58)</f>
        <v>61.58</v>
      </c>
      <c r="E2613" s="1">
        <f>IFERROR(__xludf.DUMMYFUNCTION("""COMPUTED_VALUE"""),61.61)</f>
        <v>61.61</v>
      </c>
      <c r="F2613" s="1">
        <f>IFERROR(__xludf.DUMMYFUNCTION("""COMPUTED_VALUE"""),2.3368814E7)</f>
        <v>23368814</v>
      </c>
    </row>
    <row r="2614">
      <c r="A2614" s="2">
        <f>IFERROR(__xludf.DUMMYFUNCTION("""COMPUTED_VALUE"""),40319.666666666664)</f>
        <v>40319.66667</v>
      </c>
      <c r="B2614" s="1">
        <f>IFERROR(__xludf.DUMMYFUNCTION("""COMPUTED_VALUE"""),60.4)</f>
        <v>60.4</v>
      </c>
      <c r="C2614" s="1">
        <f>IFERROR(__xludf.DUMMYFUNCTION("""COMPUTED_VALUE"""),61.88)</f>
        <v>61.88</v>
      </c>
      <c r="D2614" s="1">
        <f>IFERROR(__xludf.DUMMYFUNCTION("""COMPUTED_VALUE"""),60.37)</f>
        <v>60.37</v>
      </c>
      <c r="E2614" s="1">
        <f>IFERROR(__xludf.DUMMYFUNCTION("""COMPUTED_VALUE"""),61.85)</f>
        <v>61.85</v>
      </c>
      <c r="F2614" s="1">
        <f>IFERROR(__xludf.DUMMYFUNCTION("""COMPUTED_VALUE"""),2.3162458E7)</f>
        <v>23162458</v>
      </c>
    </row>
    <row r="2615">
      <c r="A2615" s="2">
        <f>IFERROR(__xludf.DUMMYFUNCTION("""COMPUTED_VALUE"""),40322.666666666664)</f>
        <v>40322.66667</v>
      </c>
      <c r="B2615" s="1">
        <f>IFERROR(__xludf.DUMMYFUNCTION("""COMPUTED_VALUE"""),61.43)</f>
        <v>61.43</v>
      </c>
      <c r="C2615" s="1">
        <f>IFERROR(__xludf.DUMMYFUNCTION("""COMPUTED_VALUE"""),61.98)</f>
        <v>61.98</v>
      </c>
      <c r="D2615" s="1">
        <f>IFERROR(__xludf.DUMMYFUNCTION("""COMPUTED_VALUE"""),61.0)</f>
        <v>61</v>
      </c>
      <c r="E2615" s="1">
        <f>IFERROR(__xludf.DUMMYFUNCTION("""COMPUTED_VALUE"""),61.4)</f>
        <v>61.4</v>
      </c>
      <c r="F2615" s="1">
        <f>IFERROR(__xludf.DUMMYFUNCTION("""COMPUTED_VALUE"""),1.2727036E7)</f>
        <v>12727036</v>
      </c>
    </row>
    <row r="2616">
      <c r="A2616" s="2">
        <f>IFERROR(__xludf.DUMMYFUNCTION("""COMPUTED_VALUE"""),40323.666666666664)</f>
        <v>40323.66667</v>
      </c>
      <c r="B2616" s="1">
        <f>IFERROR(__xludf.DUMMYFUNCTION("""COMPUTED_VALUE"""),60.15)</f>
        <v>60.15</v>
      </c>
      <c r="C2616" s="1">
        <f>IFERROR(__xludf.DUMMYFUNCTION("""COMPUTED_VALUE"""),61.12)</f>
        <v>61.12</v>
      </c>
      <c r="D2616" s="1">
        <f>IFERROR(__xludf.DUMMYFUNCTION("""COMPUTED_VALUE"""),60.05)</f>
        <v>60.05</v>
      </c>
      <c r="E2616" s="1">
        <f>IFERROR(__xludf.DUMMYFUNCTION("""COMPUTED_VALUE"""),61.05)</f>
        <v>61.05</v>
      </c>
      <c r="F2616" s="1">
        <f>IFERROR(__xludf.DUMMYFUNCTION("""COMPUTED_VALUE"""),1.825082E7)</f>
        <v>18250820</v>
      </c>
    </row>
    <row r="2617">
      <c r="A2617" s="2">
        <f>IFERROR(__xludf.DUMMYFUNCTION("""COMPUTED_VALUE"""),40324.666666666664)</f>
        <v>40324.66667</v>
      </c>
      <c r="B2617" s="1">
        <f>IFERROR(__xludf.DUMMYFUNCTION("""COMPUTED_VALUE"""),60.87)</f>
        <v>60.87</v>
      </c>
      <c r="C2617" s="1">
        <f>IFERROR(__xludf.DUMMYFUNCTION("""COMPUTED_VALUE"""),61.21)</f>
        <v>61.21</v>
      </c>
      <c r="D2617" s="1">
        <f>IFERROR(__xludf.DUMMYFUNCTION("""COMPUTED_VALUE"""),60.33)</f>
        <v>60.33</v>
      </c>
      <c r="E2617" s="1">
        <f>IFERROR(__xludf.DUMMYFUNCTION("""COMPUTED_VALUE"""),60.44)</f>
        <v>60.44</v>
      </c>
      <c r="F2617" s="1">
        <f>IFERROR(__xludf.DUMMYFUNCTION("""COMPUTED_VALUE"""),1.743266E7)</f>
        <v>17432660</v>
      </c>
    </row>
    <row r="2618">
      <c r="A2618" s="2">
        <f>IFERROR(__xludf.DUMMYFUNCTION("""COMPUTED_VALUE"""),40325.666666666664)</f>
        <v>40325.66667</v>
      </c>
      <c r="B2618" s="1">
        <f>IFERROR(__xludf.DUMMYFUNCTION("""COMPUTED_VALUE"""),60.88)</f>
        <v>60.88</v>
      </c>
      <c r="C2618" s="1">
        <f>IFERROR(__xludf.DUMMYFUNCTION("""COMPUTED_VALUE"""),61.17)</f>
        <v>61.17</v>
      </c>
      <c r="D2618" s="1">
        <f>IFERROR(__xludf.DUMMYFUNCTION("""COMPUTED_VALUE"""),60.61)</f>
        <v>60.61</v>
      </c>
      <c r="E2618" s="1">
        <f>IFERROR(__xludf.DUMMYFUNCTION("""COMPUTED_VALUE"""),60.95)</f>
        <v>60.95</v>
      </c>
      <c r="F2618" s="1">
        <f>IFERROR(__xludf.DUMMYFUNCTION("""COMPUTED_VALUE"""),1.4963855E7)</f>
        <v>14963855</v>
      </c>
    </row>
    <row r="2619">
      <c r="A2619" s="2">
        <f>IFERROR(__xludf.DUMMYFUNCTION("""COMPUTED_VALUE"""),40326.666666666664)</f>
        <v>40326.66667</v>
      </c>
      <c r="B2619" s="1">
        <f>IFERROR(__xludf.DUMMYFUNCTION("""COMPUTED_VALUE"""),60.95)</f>
        <v>60.95</v>
      </c>
      <c r="C2619" s="1">
        <f>IFERROR(__xludf.DUMMYFUNCTION("""COMPUTED_VALUE"""),61.68)</f>
        <v>61.68</v>
      </c>
      <c r="D2619" s="1">
        <f>IFERROR(__xludf.DUMMYFUNCTION("""COMPUTED_VALUE"""),60.85)</f>
        <v>60.85</v>
      </c>
      <c r="E2619" s="1">
        <f>IFERROR(__xludf.DUMMYFUNCTION("""COMPUTED_VALUE"""),61.09)</f>
        <v>61.09</v>
      </c>
      <c r="F2619" s="1">
        <f>IFERROR(__xludf.DUMMYFUNCTION("""COMPUTED_VALUE"""),1.3952198E7)</f>
        <v>13952198</v>
      </c>
    </row>
    <row r="2620">
      <c r="A2620" s="2">
        <f>IFERROR(__xludf.DUMMYFUNCTION("""COMPUTED_VALUE"""),40330.666666666664)</f>
        <v>40330.66667</v>
      </c>
      <c r="B2620" s="1">
        <f>IFERROR(__xludf.DUMMYFUNCTION("""COMPUTED_VALUE"""),60.89)</f>
        <v>60.89</v>
      </c>
      <c r="C2620" s="1">
        <f>IFERROR(__xludf.DUMMYFUNCTION("""COMPUTED_VALUE"""),61.74)</f>
        <v>61.74</v>
      </c>
      <c r="D2620" s="1">
        <f>IFERROR(__xludf.DUMMYFUNCTION("""COMPUTED_VALUE"""),60.52)</f>
        <v>60.52</v>
      </c>
      <c r="E2620" s="1">
        <f>IFERROR(__xludf.DUMMYFUNCTION("""COMPUTED_VALUE"""),61.16)</f>
        <v>61.16</v>
      </c>
      <c r="F2620" s="1">
        <f>IFERROR(__xludf.DUMMYFUNCTION("""COMPUTED_VALUE"""),1.5341647E7)</f>
        <v>15341647</v>
      </c>
    </row>
    <row r="2621">
      <c r="A2621" s="2">
        <f>IFERROR(__xludf.DUMMYFUNCTION("""COMPUTED_VALUE"""),40331.666666666664)</f>
        <v>40331.66667</v>
      </c>
      <c r="B2621" s="1">
        <f>IFERROR(__xludf.DUMMYFUNCTION("""COMPUTED_VALUE"""),61.16)</f>
        <v>61.16</v>
      </c>
      <c r="C2621" s="1">
        <f>IFERROR(__xludf.DUMMYFUNCTION("""COMPUTED_VALUE"""),61.83)</f>
        <v>61.83</v>
      </c>
      <c r="D2621" s="1">
        <f>IFERROR(__xludf.DUMMYFUNCTION("""COMPUTED_VALUE"""),61.04)</f>
        <v>61.04</v>
      </c>
      <c r="E2621" s="1">
        <f>IFERROR(__xludf.DUMMYFUNCTION("""COMPUTED_VALUE"""),61.74)</f>
        <v>61.74</v>
      </c>
      <c r="F2621" s="1">
        <f>IFERROR(__xludf.DUMMYFUNCTION("""COMPUTED_VALUE"""),1.2985147E7)</f>
        <v>12985147</v>
      </c>
    </row>
    <row r="2622">
      <c r="A2622" s="2">
        <f>IFERROR(__xludf.DUMMYFUNCTION("""COMPUTED_VALUE"""),40332.666666666664)</f>
        <v>40332.66667</v>
      </c>
      <c r="B2622" s="1">
        <f>IFERROR(__xludf.DUMMYFUNCTION("""COMPUTED_VALUE"""),61.97)</f>
        <v>61.97</v>
      </c>
      <c r="C2622" s="1">
        <f>IFERROR(__xludf.DUMMYFUNCTION("""COMPUTED_VALUE"""),62.14)</f>
        <v>62.14</v>
      </c>
      <c r="D2622" s="1">
        <f>IFERROR(__xludf.DUMMYFUNCTION("""COMPUTED_VALUE"""),61.7)</f>
        <v>61.7</v>
      </c>
      <c r="E2622" s="1">
        <f>IFERROR(__xludf.DUMMYFUNCTION("""COMPUTED_VALUE"""),61.8)</f>
        <v>61.8</v>
      </c>
      <c r="F2622" s="1">
        <f>IFERROR(__xludf.DUMMYFUNCTION("""COMPUTED_VALUE"""),1.0739799E7)</f>
        <v>10739799</v>
      </c>
    </row>
    <row r="2623">
      <c r="A2623" s="2">
        <f>IFERROR(__xludf.DUMMYFUNCTION("""COMPUTED_VALUE"""),40333.666666666664)</f>
        <v>40333.66667</v>
      </c>
      <c r="B2623" s="1">
        <f>IFERROR(__xludf.DUMMYFUNCTION("""COMPUTED_VALUE"""),61.12)</f>
        <v>61.12</v>
      </c>
      <c r="C2623" s="1">
        <f>IFERROR(__xludf.DUMMYFUNCTION("""COMPUTED_VALUE"""),61.12)</f>
        <v>61.12</v>
      </c>
      <c r="D2623" s="1">
        <f>IFERROR(__xludf.DUMMYFUNCTION("""COMPUTED_VALUE"""),60.57)</f>
        <v>60.57</v>
      </c>
      <c r="E2623" s="1">
        <f>IFERROR(__xludf.DUMMYFUNCTION("""COMPUTED_VALUE"""),60.8)</f>
        <v>60.8</v>
      </c>
      <c r="F2623" s="1">
        <f>IFERROR(__xludf.DUMMYFUNCTION("""COMPUTED_VALUE"""),1.7909644E7)</f>
        <v>17909644</v>
      </c>
    </row>
    <row r="2624">
      <c r="A2624" s="2">
        <f>IFERROR(__xludf.DUMMYFUNCTION("""COMPUTED_VALUE"""),40336.666666666664)</f>
        <v>40336.66667</v>
      </c>
      <c r="B2624" s="1">
        <f>IFERROR(__xludf.DUMMYFUNCTION("""COMPUTED_VALUE"""),60.72)</f>
        <v>60.72</v>
      </c>
      <c r="C2624" s="1">
        <f>IFERROR(__xludf.DUMMYFUNCTION("""COMPUTED_VALUE"""),61.07)</f>
        <v>61.07</v>
      </c>
      <c r="D2624" s="1">
        <f>IFERROR(__xludf.DUMMYFUNCTION("""COMPUTED_VALUE"""),60.59)</f>
        <v>60.59</v>
      </c>
      <c r="E2624" s="1">
        <f>IFERROR(__xludf.DUMMYFUNCTION("""COMPUTED_VALUE"""),60.62)</f>
        <v>60.62</v>
      </c>
      <c r="F2624" s="1">
        <f>IFERROR(__xludf.DUMMYFUNCTION("""COMPUTED_VALUE"""),1.3182795E7)</f>
        <v>13182795</v>
      </c>
    </row>
    <row r="2625">
      <c r="A2625" s="2">
        <f>IFERROR(__xludf.DUMMYFUNCTION("""COMPUTED_VALUE"""),40337.666666666664)</f>
        <v>40337.66667</v>
      </c>
      <c r="B2625" s="1">
        <f>IFERROR(__xludf.DUMMYFUNCTION("""COMPUTED_VALUE"""),60.68)</f>
        <v>60.68</v>
      </c>
      <c r="C2625" s="1">
        <f>IFERROR(__xludf.DUMMYFUNCTION("""COMPUTED_VALUE"""),62.24)</f>
        <v>62.24</v>
      </c>
      <c r="D2625" s="1">
        <f>IFERROR(__xludf.DUMMYFUNCTION("""COMPUTED_VALUE"""),60.49)</f>
        <v>60.49</v>
      </c>
      <c r="E2625" s="1">
        <f>IFERROR(__xludf.DUMMYFUNCTION("""COMPUTED_VALUE"""),62.14)</f>
        <v>62.14</v>
      </c>
      <c r="F2625" s="1">
        <f>IFERROR(__xludf.DUMMYFUNCTION("""COMPUTED_VALUE"""),1.5340359E7)</f>
        <v>15340359</v>
      </c>
    </row>
    <row r="2626">
      <c r="A2626" s="2">
        <f>IFERROR(__xludf.DUMMYFUNCTION("""COMPUTED_VALUE"""),40338.666666666664)</f>
        <v>40338.66667</v>
      </c>
      <c r="B2626" s="1">
        <f>IFERROR(__xludf.DUMMYFUNCTION("""COMPUTED_VALUE"""),62.45)</f>
        <v>62.45</v>
      </c>
      <c r="C2626" s="1">
        <f>IFERROR(__xludf.DUMMYFUNCTION("""COMPUTED_VALUE"""),62.6)</f>
        <v>62.6</v>
      </c>
      <c r="D2626" s="1">
        <f>IFERROR(__xludf.DUMMYFUNCTION("""COMPUTED_VALUE"""),61.27)</f>
        <v>61.27</v>
      </c>
      <c r="E2626" s="1">
        <f>IFERROR(__xludf.DUMMYFUNCTION("""COMPUTED_VALUE"""),61.47)</f>
        <v>61.47</v>
      </c>
      <c r="F2626" s="1">
        <f>IFERROR(__xludf.DUMMYFUNCTION("""COMPUTED_VALUE"""),1.4211515E7)</f>
        <v>14211515</v>
      </c>
    </row>
    <row r="2627">
      <c r="A2627" s="2">
        <f>IFERROR(__xludf.DUMMYFUNCTION("""COMPUTED_VALUE"""),40339.666666666664)</f>
        <v>40339.66667</v>
      </c>
      <c r="B2627" s="1">
        <f>IFERROR(__xludf.DUMMYFUNCTION("""COMPUTED_VALUE"""),61.97)</f>
        <v>61.97</v>
      </c>
      <c r="C2627" s="1">
        <f>IFERROR(__xludf.DUMMYFUNCTION("""COMPUTED_VALUE"""),62.29)</f>
        <v>62.29</v>
      </c>
      <c r="D2627" s="1">
        <f>IFERROR(__xludf.DUMMYFUNCTION("""COMPUTED_VALUE"""),61.67)</f>
        <v>61.67</v>
      </c>
      <c r="E2627" s="1">
        <f>IFERROR(__xludf.DUMMYFUNCTION("""COMPUTED_VALUE"""),61.91)</f>
        <v>61.91</v>
      </c>
      <c r="F2627" s="1">
        <f>IFERROR(__xludf.DUMMYFUNCTION("""COMPUTED_VALUE"""),1.4755932E7)</f>
        <v>14755932</v>
      </c>
    </row>
    <row r="2628">
      <c r="A2628" s="2">
        <f>IFERROR(__xludf.DUMMYFUNCTION("""COMPUTED_VALUE"""),40340.666666666664)</f>
        <v>40340.66667</v>
      </c>
      <c r="B2628" s="1">
        <f>IFERROR(__xludf.DUMMYFUNCTION("""COMPUTED_VALUE"""),61.35)</f>
        <v>61.35</v>
      </c>
      <c r="C2628" s="1">
        <f>IFERROR(__xludf.DUMMYFUNCTION("""COMPUTED_VALUE"""),61.4)</f>
        <v>61.4</v>
      </c>
      <c r="D2628" s="1">
        <f>IFERROR(__xludf.DUMMYFUNCTION("""COMPUTED_VALUE"""),60.38)</f>
        <v>60.38</v>
      </c>
      <c r="E2628" s="1">
        <f>IFERROR(__xludf.DUMMYFUNCTION("""COMPUTED_VALUE"""),61.01)</f>
        <v>61.01</v>
      </c>
      <c r="F2628" s="1">
        <f>IFERROR(__xludf.DUMMYFUNCTION("""COMPUTED_VALUE"""),1.9774156E7)</f>
        <v>19774156</v>
      </c>
    </row>
    <row r="2629">
      <c r="A2629" s="2">
        <f>IFERROR(__xludf.DUMMYFUNCTION("""COMPUTED_VALUE"""),40343.666666666664)</f>
        <v>40343.66667</v>
      </c>
      <c r="B2629" s="1">
        <f>IFERROR(__xludf.DUMMYFUNCTION("""COMPUTED_VALUE"""),61.39)</f>
        <v>61.39</v>
      </c>
      <c r="C2629" s="1">
        <f>IFERROR(__xludf.DUMMYFUNCTION("""COMPUTED_VALUE"""),61.72)</f>
        <v>61.72</v>
      </c>
      <c r="D2629" s="1">
        <f>IFERROR(__xludf.DUMMYFUNCTION("""COMPUTED_VALUE"""),61.21)</f>
        <v>61.21</v>
      </c>
      <c r="E2629" s="1">
        <f>IFERROR(__xludf.DUMMYFUNCTION("""COMPUTED_VALUE"""),61.25)</f>
        <v>61.25</v>
      </c>
      <c r="F2629" s="1">
        <f>IFERROR(__xludf.DUMMYFUNCTION("""COMPUTED_VALUE"""),1.0972707E7)</f>
        <v>10972707</v>
      </c>
    </row>
    <row r="2630">
      <c r="A2630" s="2">
        <f>IFERROR(__xludf.DUMMYFUNCTION("""COMPUTED_VALUE"""),40344.666666666664)</f>
        <v>40344.66667</v>
      </c>
      <c r="B2630" s="1">
        <f>IFERROR(__xludf.DUMMYFUNCTION("""COMPUTED_VALUE"""),61.61)</f>
        <v>61.61</v>
      </c>
      <c r="C2630" s="1">
        <f>IFERROR(__xludf.DUMMYFUNCTION("""COMPUTED_VALUE"""),61.93)</f>
        <v>61.93</v>
      </c>
      <c r="D2630" s="1">
        <f>IFERROR(__xludf.DUMMYFUNCTION("""COMPUTED_VALUE"""),61.34)</f>
        <v>61.34</v>
      </c>
      <c r="E2630" s="1">
        <f>IFERROR(__xludf.DUMMYFUNCTION("""COMPUTED_VALUE"""),61.91)</f>
        <v>61.91</v>
      </c>
      <c r="F2630" s="1">
        <f>IFERROR(__xludf.DUMMYFUNCTION("""COMPUTED_VALUE"""),1.194492E7)</f>
        <v>11944920</v>
      </c>
    </row>
    <row r="2631">
      <c r="A2631" s="2">
        <f>IFERROR(__xludf.DUMMYFUNCTION("""COMPUTED_VALUE"""),40345.666666666664)</f>
        <v>40345.66667</v>
      </c>
      <c r="B2631" s="1">
        <f>IFERROR(__xludf.DUMMYFUNCTION("""COMPUTED_VALUE"""),61.52)</f>
        <v>61.52</v>
      </c>
      <c r="C2631" s="1">
        <f>IFERROR(__xludf.DUMMYFUNCTION("""COMPUTED_VALUE"""),61.74)</f>
        <v>61.74</v>
      </c>
      <c r="D2631" s="1">
        <f>IFERROR(__xludf.DUMMYFUNCTION("""COMPUTED_VALUE"""),60.83)</f>
        <v>60.83</v>
      </c>
      <c r="E2631" s="1">
        <f>IFERROR(__xludf.DUMMYFUNCTION("""COMPUTED_VALUE"""),61.19)</f>
        <v>61.19</v>
      </c>
      <c r="F2631" s="1">
        <f>IFERROR(__xludf.DUMMYFUNCTION("""COMPUTED_VALUE"""),1.4628794E7)</f>
        <v>14628794</v>
      </c>
    </row>
    <row r="2632">
      <c r="A2632" s="2">
        <f>IFERROR(__xludf.DUMMYFUNCTION("""COMPUTED_VALUE"""),40346.666666666664)</f>
        <v>40346.66667</v>
      </c>
      <c r="B2632" s="1">
        <f>IFERROR(__xludf.DUMMYFUNCTION("""COMPUTED_VALUE"""),61.18)</f>
        <v>61.18</v>
      </c>
      <c r="C2632" s="1">
        <f>IFERROR(__xludf.DUMMYFUNCTION("""COMPUTED_VALUE"""),61.82)</f>
        <v>61.82</v>
      </c>
      <c r="D2632" s="1">
        <f>IFERROR(__xludf.DUMMYFUNCTION("""COMPUTED_VALUE"""),60.83)</f>
        <v>60.83</v>
      </c>
      <c r="E2632" s="1">
        <f>IFERROR(__xludf.DUMMYFUNCTION("""COMPUTED_VALUE"""),61.76)</f>
        <v>61.76</v>
      </c>
      <c r="F2632" s="1">
        <f>IFERROR(__xludf.DUMMYFUNCTION("""COMPUTED_VALUE"""),1.2060092E7)</f>
        <v>12060092</v>
      </c>
    </row>
    <row r="2633">
      <c r="A2633" s="2">
        <f>IFERROR(__xludf.DUMMYFUNCTION("""COMPUTED_VALUE"""),40347.666666666664)</f>
        <v>40347.66667</v>
      </c>
      <c r="B2633" s="1">
        <f>IFERROR(__xludf.DUMMYFUNCTION("""COMPUTED_VALUE"""),61.8)</f>
        <v>61.8</v>
      </c>
      <c r="C2633" s="1">
        <f>IFERROR(__xludf.DUMMYFUNCTION("""COMPUTED_VALUE"""),61.94)</f>
        <v>61.94</v>
      </c>
      <c r="D2633" s="1">
        <f>IFERROR(__xludf.DUMMYFUNCTION("""COMPUTED_VALUE"""),61.2)</f>
        <v>61.2</v>
      </c>
      <c r="E2633" s="1">
        <f>IFERROR(__xludf.DUMMYFUNCTION("""COMPUTED_VALUE"""),61.3)</f>
        <v>61.3</v>
      </c>
      <c r="F2633" s="1">
        <f>IFERROR(__xludf.DUMMYFUNCTION("""COMPUTED_VALUE"""),1.7520312E7)</f>
        <v>17520312</v>
      </c>
    </row>
    <row r="2634">
      <c r="A2634" s="2">
        <f>IFERROR(__xludf.DUMMYFUNCTION("""COMPUTED_VALUE"""),40350.666666666664)</f>
        <v>40350.66667</v>
      </c>
      <c r="B2634" s="1">
        <f>IFERROR(__xludf.DUMMYFUNCTION("""COMPUTED_VALUE"""),61.72)</f>
        <v>61.72</v>
      </c>
      <c r="C2634" s="1">
        <f>IFERROR(__xludf.DUMMYFUNCTION("""COMPUTED_VALUE"""),61.79)</f>
        <v>61.79</v>
      </c>
      <c r="D2634" s="1">
        <f>IFERROR(__xludf.DUMMYFUNCTION("""COMPUTED_VALUE"""),60.78)</f>
        <v>60.78</v>
      </c>
      <c r="E2634" s="1">
        <f>IFERROR(__xludf.DUMMYFUNCTION("""COMPUTED_VALUE"""),61.1)</f>
        <v>61.1</v>
      </c>
      <c r="F2634" s="1">
        <f>IFERROR(__xludf.DUMMYFUNCTION("""COMPUTED_VALUE"""),9688891.0)</f>
        <v>9688891</v>
      </c>
    </row>
    <row r="2635">
      <c r="A2635" s="2">
        <f>IFERROR(__xludf.DUMMYFUNCTION("""COMPUTED_VALUE"""),40351.666666666664)</f>
        <v>40351.66667</v>
      </c>
      <c r="B2635" s="1">
        <f>IFERROR(__xludf.DUMMYFUNCTION("""COMPUTED_VALUE"""),61.06)</f>
        <v>61.06</v>
      </c>
      <c r="C2635" s="1">
        <f>IFERROR(__xludf.DUMMYFUNCTION("""COMPUTED_VALUE"""),61.65)</f>
        <v>61.65</v>
      </c>
      <c r="D2635" s="1">
        <f>IFERROR(__xludf.DUMMYFUNCTION("""COMPUTED_VALUE"""),60.69)</f>
        <v>60.69</v>
      </c>
      <c r="E2635" s="1">
        <f>IFERROR(__xludf.DUMMYFUNCTION("""COMPUTED_VALUE"""),60.72)</f>
        <v>60.72</v>
      </c>
      <c r="F2635" s="1">
        <f>IFERROR(__xludf.DUMMYFUNCTION("""COMPUTED_VALUE"""),1.3230301E7)</f>
        <v>13230301</v>
      </c>
    </row>
    <row r="2636">
      <c r="A2636" s="2">
        <f>IFERROR(__xludf.DUMMYFUNCTION("""COMPUTED_VALUE"""),40352.666666666664)</f>
        <v>40352.66667</v>
      </c>
      <c r="B2636" s="1">
        <f>IFERROR(__xludf.DUMMYFUNCTION("""COMPUTED_VALUE"""),60.89)</f>
        <v>60.89</v>
      </c>
      <c r="C2636" s="1">
        <f>IFERROR(__xludf.DUMMYFUNCTION("""COMPUTED_VALUE"""),61.57)</f>
        <v>61.57</v>
      </c>
      <c r="D2636" s="1">
        <f>IFERROR(__xludf.DUMMYFUNCTION("""COMPUTED_VALUE"""),60.71)</f>
        <v>60.71</v>
      </c>
      <c r="E2636" s="1">
        <f>IFERROR(__xludf.DUMMYFUNCTION("""COMPUTED_VALUE"""),61.38)</f>
        <v>61.38</v>
      </c>
      <c r="F2636" s="1">
        <f>IFERROR(__xludf.DUMMYFUNCTION("""COMPUTED_VALUE"""),1.3424424E7)</f>
        <v>13424424</v>
      </c>
    </row>
    <row r="2637">
      <c r="A2637" s="2">
        <f>IFERROR(__xludf.DUMMYFUNCTION("""COMPUTED_VALUE"""),40353.666666666664)</f>
        <v>40353.66667</v>
      </c>
      <c r="B2637" s="1">
        <f>IFERROR(__xludf.DUMMYFUNCTION("""COMPUTED_VALUE"""),61.07)</f>
        <v>61.07</v>
      </c>
      <c r="C2637" s="1">
        <f>IFERROR(__xludf.DUMMYFUNCTION("""COMPUTED_VALUE"""),61.38)</f>
        <v>61.38</v>
      </c>
      <c r="D2637" s="1">
        <f>IFERROR(__xludf.DUMMYFUNCTION("""COMPUTED_VALUE"""),60.75)</f>
        <v>60.75</v>
      </c>
      <c r="E2637" s="1">
        <f>IFERROR(__xludf.DUMMYFUNCTION("""COMPUTED_VALUE"""),60.87)</f>
        <v>60.87</v>
      </c>
      <c r="F2637" s="1">
        <f>IFERROR(__xludf.DUMMYFUNCTION("""COMPUTED_VALUE"""),1.2932603E7)</f>
        <v>12932603</v>
      </c>
    </row>
    <row r="2638">
      <c r="A2638" s="2">
        <f>IFERROR(__xludf.DUMMYFUNCTION("""COMPUTED_VALUE"""),40354.666666666664)</f>
        <v>40354.66667</v>
      </c>
      <c r="B2638" s="1">
        <f>IFERROR(__xludf.DUMMYFUNCTION("""COMPUTED_VALUE"""),60.89)</f>
        <v>60.89</v>
      </c>
      <c r="C2638" s="1">
        <f>IFERROR(__xludf.DUMMYFUNCTION("""COMPUTED_VALUE"""),60.99)</f>
        <v>60.99</v>
      </c>
      <c r="D2638" s="1">
        <f>IFERROR(__xludf.DUMMYFUNCTION("""COMPUTED_VALUE"""),59.79)</f>
        <v>59.79</v>
      </c>
      <c r="E2638" s="1">
        <f>IFERROR(__xludf.DUMMYFUNCTION("""COMPUTED_VALUE"""),59.79)</f>
        <v>59.79</v>
      </c>
      <c r="F2638" s="1">
        <f>IFERROR(__xludf.DUMMYFUNCTION("""COMPUTED_VALUE"""),4.4195656E7)</f>
        <v>44195656</v>
      </c>
    </row>
    <row r="2639">
      <c r="A2639" s="2">
        <f>IFERROR(__xludf.DUMMYFUNCTION("""COMPUTED_VALUE"""),40357.666666666664)</f>
        <v>40357.66667</v>
      </c>
      <c r="B2639" s="1">
        <f>IFERROR(__xludf.DUMMYFUNCTION("""COMPUTED_VALUE"""),60.0)</f>
        <v>60</v>
      </c>
      <c r="C2639" s="1">
        <f>IFERROR(__xludf.DUMMYFUNCTION("""COMPUTED_VALUE"""),60.94)</f>
        <v>60.94</v>
      </c>
      <c r="D2639" s="1">
        <f>IFERROR(__xludf.DUMMYFUNCTION("""COMPUTED_VALUE"""),59.57)</f>
        <v>59.57</v>
      </c>
      <c r="E2639" s="1">
        <f>IFERROR(__xludf.DUMMYFUNCTION("""COMPUTED_VALUE"""),60.62)</f>
        <v>60.62</v>
      </c>
      <c r="F2639" s="1">
        <f>IFERROR(__xludf.DUMMYFUNCTION("""COMPUTED_VALUE"""),1.4115411E7)</f>
        <v>14115411</v>
      </c>
    </row>
    <row r="2640">
      <c r="A2640" s="2">
        <f>IFERROR(__xludf.DUMMYFUNCTION("""COMPUTED_VALUE"""),40358.666666666664)</f>
        <v>40358.66667</v>
      </c>
      <c r="B2640" s="1">
        <f>IFERROR(__xludf.DUMMYFUNCTION("""COMPUTED_VALUE"""),60.33)</f>
        <v>60.33</v>
      </c>
      <c r="C2640" s="1">
        <f>IFERROR(__xludf.DUMMYFUNCTION("""COMPUTED_VALUE"""),60.54)</f>
        <v>60.54</v>
      </c>
      <c r="D2640" s="1">
        <f>IFERROR(__xludf.DUMMYFUNCTION("""COMPUTED_VALUE"""),59.75)</f>
        <v>59.75</v>
      </c>
      <c r="E2640" s="1">
        <f>IFERROR(__xludf.DUMMYFUNCTION("""COMPUTED_VALUE"""),60.32)</f>
        <v>60.32</v>
      </c>
      <c r="F2640" s="1">
        <f>IFERROR(__xludf.DUMMYFUNCTION("""COMPUTED_VALUE"""),1.7815208E7)</f>
        <v>17815208</v>
      </c>
    </row>
    <row r="2641">
      <c r="A2641" s="2">
        <f>IFERROR(__xludf.DUMMYFUNCTION("""COMPUTED_VALUE"""),40359.666666666664)</f>
        <v>40359.66667</v>
      </c>
      <c r="B2641" s="1">
        <f>IFERROR(__xludf.DUMMYFUNCTION("""COMPUTED_VALUE"""),60.13)</f>
        <v>60.13</v>
      </c>
      <c r="C2641" s="1">
        <f>IFERROR(__xludf.DUMMYFUNCTION("""COMPUTED_VALUE"""),60.54)</f>
        <v>60.54</v>
      </c>
      <c r="D2641" s="1">
        <f>IFERROR(__xludf.DUMMYFUNCTION("""COMPUTED_VALUE"""),59.71)</f>
        <v>59.71</v>
      </c>
      <c r="E2641" s="1">
        <f>IFERROR(__xludf.DUMMYFUNCTION("""COMPUTED_VALUE"""),59.98)</f>
        <v>59.98</v>
      </c>
      <c r="F2641" s="1">
        <f>IFERROR(__xludf.DUMMYFUNCTION("""COMPUTED_VALUE"""),1.7273636E7)</f>
        <v>17273636</v>
      </c>
    </row>
    <row r="2642">
      <c r="A2642" s="2">
        <f>IFERROR(__xludf.DUMMYFUNCTION("""COMPUTED_VALUE"""),40360.666666666664)</f>
        <v>40360.66667</v>
      </c>
      <c r="B2642" s="1">
        <f>IFERROR(__xludf.DUMMYFUNCTION("""COMPUTED_VALUE"""),59.84)</f>
        <v>59.84</v>
      </c>
      <c r="C2642" s="1">
        <f>IFERROR(__xludf.DUMMYFUNCTION("""COMPUTED_VALUE"""),60.29)</f>
        <v>60.29</v>
      </c>
      <c r="D2642" s="1">
        <f>IFERROR(__xludf.DUMMYFUNCTION("""COMPUTED_VALUE"""),59.36)</f>
        <v>59.36</v>
      </c>
      <c r="E2642" s="1">
        <f>IFERROR(__xludf.DUMMYFUNCTION("""COMPUTED_VALUE"""),59.54)</f>
        <v>59.54</v>
      </c>
      <c r="F2642" s="1">
        <f>IFERROR(__xludf.DUMMYFUNCTION("""COMPUTED_VALUE"""),1.933863E7)</f>
        <v>19338630</v>
      </c>
    </row>
    <row r="2643">
      <c r="A2643" s="2">
        <f>IFERROR(__xludf.DUMMYFUNCTION("""COMPUTED_VALUE"""),40361.666666666664)</f>
        <v>40361.66667</v>
      </c>
      <c r="B2643" s="1">
        <f>IFERROR(__xludf.DUMMYFUNCTION("""COMPUTED_VALUE"""),59.63)</f>
        <v>59.63</v>
      </c>
      <c r="C2643" s="1">
        <f>IFERROR(__xludf.DUMMYFUNCTION("""COMPUTED_VALUE"""),59.89)</f>
        <v>59.89</v>
      </c>
      <c r="D2643" s="1">
        <f>IFERROR(__xludf.DUMMYFUNCTION("""COMPUTED_VALUE"""),59.21)</f>
        <v>59.21</v>
      </c>
      <c r="E2643" s="1">
        <f>IFERROR(__xludf.DUMMYFUNCTION("""COMPUTED_VALUE"""),59.38)</f>
        <v>59.38</v>
      </c>
      <c r="F2643" s="1">
        <f>IFERROR(__xludf.DUMMYFUNCTION("""COMPUTED_VALUE"""),1.2104179E7)</f>
        <v>12104179</v>
      </c>
    </row>
    <row r="2644">
      <c r="A2644" s="2">
        <f>IFERROR(__xludf.DUMMYFUNCTION("""COMPUTED_VALUE"""),40365.666666666664)</f>
        <v>40365.66667</v>
      </c>
      <c r="B2644" s="1">
        <f>IFERROR(__xludf.DUMMYFUNCTION("""COMPUTED_VALUE"""),59.88)</f>
        <v>59.88</v>
      </c>
      <c r="C2644" s="1">
        <f>IFERROR(__xludf.DUMMYFUNCTION("""COMPUTED_VALUE"""),59.93)</f>
        <v>59.93</v>
      </c>
      <c r="D2644" s="1">
        <f>IFERROR(__xludf.DUMMYFUNCTION("""COMPUTED_VALUE"""),58.92)</f>
        <v>58.92</v>
      </c>
      <c r="E2644" s="1">
        <f>IFERROR(__xludf.DUMMYFUNCTION("""COMPUTED_VALUE"""),59.34)</f>
        <v>59.34</v>
      </c>
      <c r="F2644" s="1">
        <f>IFERROR(__xludf.DUMMYFUNCTION("""COMPUTED_VALUE"""),1.3959223E7)</f>
        <v>13959223</v>
      </c>
    </row>
    <row r="2645">
      <c r="A2645" s="2">
        <f>IFERROR(__xludf.DUMMYFUNCTION("""COMPUTED_VALUE"""),40366.666666666664)</f>
        <v>40366.66667</v>
      </c>
      <c r="B2645" s="1">
        <f>IFERROR(__xludf.DUMMYFUNCTION("""COMPUTED_VALUE"""),59.5)</f>
        <v>59.5</v>
      </c>
      <c r="C2645" s="1">
        <f>IFERROR(__xludf.DUMMYFUNCTION("""COMPUTED_VALUE"""),60.91)</f>
        <v>60.91</v>
      </c>
      <c r="D2645" s="1">
        <f>IFERROR(__xludf.DUMMYFUNCTION("""COMPUTED_VALUE"""),59.13)</f>
        <v>59.13</v>
      </c>
      <c r="E2645" s="1">
        <f>IFERROR(__xludf.DUMMYFUNCTION("""COMPUTED_VALUE"""),60.82)</f>
        <v>60.82</v>
      </c>
      <c r="F2645" s="1">
        <f>IFERROR(__xludf.DUMMYFUNCTION("""COMPUTED_VALUE"""),1.5470188E7)</f>
        <v>15470188</v>
      </c>
    </row>
    <row r="2646">
      <c r="A2646" s="2">
        <f>IFERROR(__xludf.DUMMYFUNCTION("""COMPUTED_VALUE"""),40367.666666666664)</f>
        <v>40367.66667</v>
      </c>
      <c r="B2646" s="1">
        <f>IFERROR(__xludf.DUMMYFUNCTION("""COMPUTED_VALUE"""),60.84)</f>
        <v>60.84</v>
      </c>
      <c r="C2646" s="1">
        <f>IFERROR(__xludf.DUMMYFUNCTION("""COMPUTED_VALUE"""),61.97)</f>
        <v>61.97</v>
      </c>
      <c r="D2646" s="1">
        <f>IFERROR(__xludf.DUMMYFUNCTION("""COMPUTED_VALUE"""),60.78)</f>
        <v>60.78</v>
      </c>
      <c r="E2646" s="1">
        <f>IFERROR(__xludf.DUMMYFUNCTION("""COMPUTED_VALUE"""),61.95)</f>
        <v>61.95</v>
      </c>
      <c r="F2646" s="1">
        <f>IFERROR(__xludf.DUMMYFUNCTION("""COMPUTED_VALUE"""),1.4770538E7)</f>
        <v>14770538</v>
      </c>
    </row>
    <row r="2647">
      <c r="A2647" s="2">
        <f>IFERROR(__xludf.DUMMYFUNCTION("""COMPUTED_VALUE"""),40368.666666666664)</f>
        <v>40368.66667</v>
      </c>
      <c r="B2647" s="1">
        <f>IFERROR(__xludf.DUMMYFUNCTION("""COMPUTED_VALUE"""),61.94)</f>
        <v>61.94</v>
      </c>
      <c r="C2647" s="1">
        <f>IFERROR(__xludf.DUMMYFUNCTION("""COMPUTED_VALUE"""),61.94)</f>
        <v>61.94</v>
      </c>
      <c r="D2647" s="1">
        <f>IFERROR(__xludf.DUMMYFUNCTION("""COMPUTED_VALUE"""),61.36)</f>
        <v>61.36</v>
      </c>
      <c r="E2647" s="1">
        <f>IFERROR(__xludf.DUMMYFUNCTION("""COMPUTED_VALUE"""),61.75)</f>
        <v>61.75</v>
      </c>
      <c r="F2647" s="1">
        <f>IFERROR(__xludf.DUMMYFUNCTION("""COMPUTED_VALUE"""),9626736.0)</f>
        <v>9626736</v>
      </c>
    </row>
    <row r="2648">
      <c r="A2648" s="2">
        <f>IFERROR(__xludf.DUMMYFUNCTION("""COMPUTED_VALUE"""),40371.666666666664)</f>
        <v>40371.66667</v>
      </c>
      <c r="B2648" s="1">
        <f>IFERROR(__xludf.DUMMYFUNCTION("""COMPUTED_VALUE"""),61.54)</f>
        <v>61.54</v>
      </c>
      <c r="C2648" s="1">
        <f>IFERROR(__xludf.DUMMYFUNCTION("""COMPUTED_VALUE"""),62.16)</f>
        <v>62.16</v>
      </c>
      <c r="D2648" s="1">
        <f>IFERROR(__xludf.DUMMYFUNCTION("""COMPUTED_VALUE"""),61.34)</f>
        <v>61.34</v>
      </c>
      <c r="E2648" s="1">
        <f>IFERROR(__xludf.DUMMYFUNCTION("""COMPUTED_VALUE"""),62.09)</f>
        <v>62.09</v>
      </c>
      <c r="F2648" s="1">
        <f>IFERROR(__xludf.DUMMYFUNCTION("""COMPUTED_VALUE"""),8324547.0)</f>
        <v>8324547</v>
      </c>
    </row>
    <row r="2649">
      <c r="A2649" s="2">
        <f>IFERROR(__xludf.DUMMYFUNCTION("""COMPUTED_VALUE"""),40372.666666666664)</f>
        <v>40372.66667</v>
      </c>
      <c r="B2649" s="1">
        <f>IFERROR(__xludf.DUMMYFUNCTION("""COMPUTED_VALUE"""),62.3)</f>
        <v>62.3</v>
      </c>
      <c r="C2649" s="1">
        <f>IFERROR(__xludf.DUMMYFUNCTION("""COMPUTED_VALUE"""),62.85)</f>
        <v>62.85</v>
      </c>
      <c r="D2649" s="1">
        <f>IFERROR(__xludf.DUMMYFUNCTION("""COMPUTED_VALUE"""),62.17)</f>
        <v>62.17</v>
      </c>
      <c r="E2649" s="1">
        <f>IFERROR(__xludf.DUMMYFUNCTION("""COMPUTED_VALUE"""),62.39)</f>
        <v>62.39</v>
      </c>
      <c r="F2649" s="1">
        <f>IFERROR(__xludf.DUMMYFUNCTION("""COMPUTED_VALUE"""),1.0497203E7)</f>
        <v>10497203</v>
      </c>
    </row>
    <row r="2650">
      <c r="A2650" s="2">
        <f>IFERROR(__xludf.DUMMYFUNCTION("""COMPUTED_VALUE"""),40373.666666666664)</f>
        <v>40373.66667</v>
      </c>
      <c r="B2650" s="1">
        <f>IFERROR(__xludf.DUMMYFUNCTION("""COMPUTED_VALUE"""),62.21)</f>
        <v>62.21</v>
      </c>
      <c r="C2650" s="1">
        <f>IFERROR(__xludf.DUMMYFUNCTION("""COMPUTED_VALUE"""),62.79)</f>
        <v>62.79</v>
      </c>
      <c r="D2650" s="1">
        <f>IFERROR(__xludf.DUMMYFUNCTION("""COMPUTED_VALUE"""),62.0)</f>
        <v>62</v>
      </c>
      <c r="E2650" s="1">
        <f>IFERROR(__xludf.DUMMYFUNCTION("""COMPUTED_VALUE"""),62.66)</f>
        <v>62.66</v>
      </c>
      <c r="F2650" s="1">
        <f>IFERROR(__xludf.DUMMYFUNCTION("""COMPUTED_VALUE"""),1.3797093E7)</f>
        <v>13797093</v>
      </c>
    </row>
    <row r="2651">
      <c r="A2651" s="2">
        <f>IFERROR(__xludf.DUMMYFUNCTION("""COMPUTED_VALUE"""),40374.666666666664)</f>
        <v>40374.66667</v>
      </c>
      <c r="B2651" s="1">
        <f>IFERROR(__xludf.DUMMYFUNCTION("""COMPUTED_VALUE"""),62.62)</f>
        <v>62.62</v>
      </c>
      <c r="C2651" s="1">
        <f>IFERROR(__xludf.DUMMYFUNCTION("""COMPUTED_VALUE"""),62.89)</f>
        <v>62.89</v>
      </c>
      <c r="D2651" s="1">
        <f>IFERROR(__xludf.DUMMYFUNCTION("""COMPUTED_VALUE"""),62.35)</f>
        <v>62.35</v>
      </c>
      <c r="E2651" s="1">
        <f>IFERROR(__xludf.DUMMYFUNCTION("""COMPUTED_VALUE"""),62.73)</f>
        <v>62.73</v>
      </c>
      <c r="F2651" s="1">
        <f>IFERROR(__xludf.DUMMYFUNCTION("""COMPUTED_VALUE"""),1.0267156E7)</f>
        <v>10267156</v>
      </c>
    </row>
    <row r="2652">
      <c r="A2652" s="2">
        <f>IFERROR(__xludf.DUMMYFUNCTION("""COMPUTED_VALUE"""),40375.666666666664)</f>
        <v>40375.66667</v>
      </c>
      <c r="B2652" s="1">
        <f>IFERROR(__xludf.DUMMYFUNCTION("""COMPUTED_VALUE"""),62.45)</f>
        <v>62.45</v>
      </c>
      <c r="C2652" s="1">
        <f>IFERROR(__xludf.DUMMYFUNCTION("""COMPUTED_VALUE"""),62.67)</f>
        <v>62.67</v>
      </c>
      <c r="D2652" s="1">
        <f>IFERROR(__xludf.DUMMYFUNCTION("""COMPUTED_VALUE"""),61.63)</f>
        <v>61.63</v>
      </c>
      <c r="E2652" s="1">
        <f>IFERROR(__xludf.DUMMYFUNCTION("""COMPUTED_VALUE"""),61.99)</f>
        <v>61.99</v>
      </c>
      <c r="F2652" s="1">
        <f>IFERROR(__xludf.DUMMYFUNCTION("""COMPUTED_VALUE"""),1.4142401E7)</f>
        <v>14142401</v>
      </c>
    </row>
    <row r="2653">
      <c r="A2653" s="2">
        <f>IFERROR(__xludf.DUMMYFUNCTION("""COMPUTED_VALUE"""),40378.666666666664)</f>
        <v>40378.66667</v>
      </c>
      <c r="B2653" s="1">
        <f>IFERROR(__xludf.DUMMYFUNCTION("""COMPUTED_VALUE"""),61.99)</f>
        <v>61.99</v>
      </c>
      <c r="C2653" s="1">
        <f>IFERROR(__xludf.DUMMYFUNCTION("""COMPUTED_VALUE"""),62.29)</f>
        <v>62.29</v>
      </c>
      <c r="D2653" s="1">
        <f>IFERROR(__xludf.DUMMYFUNCTION("""COMPUTED_VALUE"""),61.71)</f>
        <v>61.71</v>
      </c>
      <c r="E2653" s="1">
        <f>IFERROR(__xludf.DUMMYFUNCTION("""COMPUTED_VALUE"""),61.86)</f>
        <v>61.86</v>
      </c>
      <c r="F2653" s="1">
        <f>IFERROR(__xludf.DUMMYFUNCTION("""COMPUTED_VALUE"""),9643520.0)</f>
        <v>9643520</v>
      </c>
    </row>
    <row r="2654">
      <c r="A2654" s="2">
        <f>IFERROR(__xludf.DUMMYFUNCTION("""COMPUTED_VALUE"""),40379.666666666664)</f>
        <v>40379.66667</v>
      </c>
      <c r="B2654" s="1">
        <f>IFERROR(__xludf.DUMMYFUNCTION("""COMPUTED_VALUE"""),61.63)</f>
        <v>61.63</v>
      </c>
      <c r="C2654" s="1">
        <f>IFERROR(__xludf.DUMMYFUNCTION("""COMPUTED_VALUE"""),62.12)</f>
        <v>62.12</v>
      </c>
      <c r="D2654" s="1">
        <f>IFERROR(__xludf.DUMMYFUNCTION("""COMPUTED_VALUE"""),61.21)</f>
        <v>61.21</v>
      </c>
      <c r="E2654" s="1">
        <f>IFERROR(__xludf.DUMMYFUNCTION("""COMPUTED_VALUE"""),62.07)</f>
        <v>62.07</v>
      </c>
      <c r="F2654" s="1">
        <f>IFERROR(__xludf.DUMMYFUNCTION("""COMPUTED_VALUE"""),1.0930033E7)</f>
        <v>10930033</v>
      </c>
    </row>
    <row r="2655">
      <c r="A2655" s="2">
        <f>IFERROR(__xludf.DUMMYFUNCTION("""COMPUTED_VALUE"""),40380.666666666664)</f>
        <v>40380.66667</v>
      </c>
      <c r="B2655" s="1">
        <f>IFERROR(__xludf.DUMMYFUNCTION("""COMPUTED_VALUE"""),61.72)</f>
        <v>61.72</v>
      </c>
      <c r="C2655" s="1">
        <f>IFERROR(__xludf.DUMMYFUNCTION("""COMPUTED_VALUE"""),61.82)</f>
        <v>61.82</v>
      </c>
      <c r="D2655" s="1">
        <f>IFERROR(__xludf.DUMMYFUNCTION("""COMPUTED_VALUE"""),60.86)</f>
        <v>60.86</v>
      </c>
      <c r="E2655" s="1">
        <f>IFERROR(__xludf.DUMMYFUNCTION("""COMPUTED_VALUE"""),61.11)</f>
        <v>61.11</v>
      </c>
      <c r="F2655" s="1">
        <f>IFERROR(__xludf.DUMMYFUNCTION("""COMPUTED_VALUE"""),1.4913544E7)</f>
        <v>14913544</v>
      </c>
    </row>
    <row r="2656">
      <c r="A2656" s="2">
        <f>IFERROR(__xludf.DUMMYFUNCTION("""COMPUTED_VALUE"""),40381.666666666664)</f>
        <v>40381.66667</v>
      </c>
      <c r="B2656" s="1">
        <f>IFERROR(__xludf.DUMMYFUNCTION("""COMPUTED_VALUE"""),61.06)</f>
        <v>61.06</v>
      </c>
      <c r="C2656" s="1">
        <f>IFERROR(__xludf.DUMMYFUNCTION("""COMPUTED_VALUE"""),61.92)</f>
        <v>61.92</v>
      </c>
      <c r="D2656" s="1">
        <f>IFERROR(__xludf.DUMMYFUNCTION("""COMPUTED_VALUE"""),61.01)</f>
        <v>61.01</v>
      </c>
      <c r="E2656" s="1">
        <f>IFERROR(__xludf.DUMMYFUNCTION("""COMPUTED_VALUE"""),61.37)</f>
        <v>61.37</v>
      </c>
      <c r="F2656" s="1">
        <f>IFERROR(__xludf.DUMMYFUNCTION("""COMPUTED_VALUE"""),1.3007275E7)</f>
        <v>13007275</v>
      </c>
    </row>
    <row r="2657">
      <c r="A2657" s="2">
        <f>IFERROR(__xludf.DUMMYFUNCTION("""COMPUTED_VALUE"""),40382.666666666664)</f>
        <v>40382.66667</v>
      </c>
      <c r="B2657" s="1">
        <f>IFERROR(__xludf.DUMMYFUNCTION("""COMPUTED_VALUE"""),61.4)</f>
        <v>61.4</v>
      </c>
      <c r="C2657" s="1">
        <f>IFERROR(__xludf.DUMMYFUNCTION("""COMPUTED_VALUE"""),61.96)</f>
        <v>61.96</v>
      </c>
      <c r="D2657" s="1">
        <f>IFERROR(__xludf.DUMMYFUNCTION("""COMPUTED_VALUE"""),61.21)</f>
        <v>61.21</v>
      </c>
      <c r="E2657" s="1">
        <f>IFERROR(__xludf.DUMMYFUNCTION("""COMPUTED_VALUE"""),61.91)</f>
        <v>61.91</v>
      </c>
      <c r="F2657" s="1">
        <f>IFERROR(__xludf.DUMMYFUNCTION("""COMPUTED_VALUE"""),8461862.0)</f>
        <v>8461862</v>
      </c>
    </row>
    <row r="2658">
      <c r="A2658" s="2">
        <f>IFERROR(__xludf.DUMMYFUNCTION("""COMPUTED_VALUE"""),40385.666666666664)</f>
        <v>40385.66667</v>
      </c>
      <c r="B2658" s="1">
        <f>IFERROR(__xludf.DUMMYFUNCTION("""COMPUTED_VALUE"""),61.66)</f>
        <v>61.66</v>
      </c>
      <c r="C2658" s="1">
        <f>IFERROR(__xludf.DUMMYFUNCTION("""COMPUTED_VALUE"""),62.58)</f>
        <v>62.58</v>
      </c>
      <c r="D2658" s="1">
        <f>IFERROR(__xludf.DUMMYFUNCTION("""COMPUTED_VALUE"""),61.66)</f>
        <v>61.66</v>
      </c>
      <c r="E2658" s="1">
        <f>IFERROR(__xludf.DUMMYFUNCTION("""COMPUTED_VALUE"""),62.52)</f>
        <v>62.52</v>
      </c>
      <c r="F2658" s="1">
        <f>IFERROR(__xludf.DUMMYFUNCTION("""COMPUTED_VALUE"""),7567864.0)</f>
        <v>7567864</v>
      </c>
    </row>
    <row r="2659">
      <c r="A2659" s="2">
        <f>IFERROR(__xludf.DUMMYFUNCTION("""COMPUTED_VALUE"""),40386.666666666664)</f>
        <v>40386.66667</v>
      </c>
      <c r="B2659" s="1">
        <f>IFERROR(__xludf.DUMMYFUNCTION("""COMPUTED_VALUE"""),62.72)</f>
        <v>62.72</v>
      </c>
      <c r="C2659" s="1">
        <f>IFERROR(__xludf.DUMMYFUNCTION("""COMPUTED_VALUE"""),63.36)</f>
        <v>63.36</v>
      </c>
      <c r="D2659" s="1">
        <f>IFERROR(__xludf.DUMMYFUNCTION("""COMPUTED_VALUE"""),62.35)</f>
        <v>62.35</v>
      </c>
      <c r="E2659" s="1">
        <f>IFERROR(__xludf.DUMMYFUNCTION("""COMPUTED_VALUE"""),63.08)</f>
        <v>63.08</v>
      </c>
      <c r="F2659" s="1">
        <f>IFERROR(__xludf.DUMMYFUNCTION("""COMPUTED_VALUE"""),1.2532484E7)</f>
        <v>12532484</v>
      </c>
    </row>
    <row r="2660">
      <c r="A2660" s="2">
        <f>IFERROR(__xludf.DUMMYFUNCTION("""COMPUTED_VALUE"""),40387.666666666664)</f>
        <v>40387.66667</v>
      </c>
      <c r="B2660" s="1">
        <f>IFERROR(__xludf.DUMMYFUNCTION("""COMPUTED_VALUE"""),62.88)</f>
        <v>62.88</v>
      </c>
      <c r="C2660" s="1">
        <f>IFERROR(__xludf.DUMMYFUNCTION("""COMPUTED_VALUE"""),63.13)</f>
        <v>63.13</v>
      </c>
      <c r="D2660" s="1">
        <f>IFERROR(__xludf.DUMMYFUNCTION("""COMPUTED_VALUE"""),62.56)</f>
        <v>62.56</v>
      </c>
      <c r="E2660" s="1">
        <f>IFERROR(__xludf.DUMMYFUNCTION("""COMPUTED_VALUE"""),62.7)</f>
        <v>62.7</v>
      </c>
      <c r="F2660" s="1">
        <f>IFERROR(__xludf.DUMMYFUNCTION("""COMPUTED_VALUE"""),7844999.0)</f>
        <v>7844999</v>
      </c>
    </row>
    <row r="2661">
      <c r="A2661" s="2">
        <f>IFERROR(__xludf.DUMMYFUNCTION("""COMPUTED_VALUE"""),40388.666666666664)</f>
        <v>40388.66667</v>
      </c>
      <c r="B2661" s="1">
        <f>IFERROR(__xludf.DUMMYFUNCTION("""COMPUTED_VALUE"""),62.2)</f>
        <v>62.2</v>
      </c>
      <c r="C2661" s="1">
        <f>IFERROR(__xludf.DUMMYFUNCTION("""COMPUTED_VALUE"""),62.38)</f>
        <v>62.38</v>
      </c>
      <c r="D2661" s="1">
        <f>IFERROR(__xludf.DUMMYFUNCTION("""COMPUTED_VALUE"""),61.22)</f>
        <v>61.22</v>
      </c>
      <c r="E2661" s="1">
        <f>IFERROR(__xludf.DUMMYFUNCTION("""COMPUTED_VALUE"""),61.67)</f>
        <v>61.67</v>
      </c>
      <c r="F2661" s="1">
        <f>IFERROR(__xludf.DUMMYFUNCTION("""COMPUTED_VALUE"""),1.577927E7)</f>
        <v>15779270</v>
      </c>
    </row>
    <row r="2662">
      <c r="A2662" s="2">
        <f>IFERROR(__xludf.DUMMYFUNCTION("""COMPUTED_VALUE"""),40389.666666666664)</f>
        <v>40389.66667</v>
      </c>
      <c r="B2662" s="1">
        <f>IFERROR(__xludf.DUMMYFUNCTION("""COMPUTED_VALUE"""),61.16)</f>
        <v>61.16</v>
      </c>
      <c r="C2662" s="1">
        <f>IFERROR(__xludf.DUMMYFUNCTION("""COMPUTED_VALUE"""),61.53)</f>
        <v>61.53</v>
      </c>
      <c r="D2662" s="1">
        <f>IFERROR(__xludf.DUMMYFUNCTION("""COMPUTED_VALUE"""),60.82)</f>
        <v>60.82</v>
      </c>
      <c r="E2662" s="1">
        <f>IFERROR(__xludf.DUMMYFUNCTION("""COMPUTED_VALUE"""),61.16)</f>
        <v>61.16</v>
      </c>
      <c r="F2662" s="1">
        <f>IFERROR(__xludf.DUMMYFUNCTION("""COMPUTED_VALUE"""),1.1932293E7)</f>
        <v>11932293</v>
      </c>
    </row>
    <row r="2663">
      <c r="A2663" s="2">
        <f>IFERROR(__xludf.DUMMYFUNCTION("""COMPUTED_VALUE"""),40392.666666666664)</f>
        <v>40392.66667</v>
      </c>
      <c r="B2663" s="1">
        <f>IFERROR(__xludf.DUMMYFUNCTION("""COMPUTED_VALUE"""),61.95)</f>
        <v>61.95</v>
      </c>
      <c r="C2663" s="1">
        <f>IFERROR(__xludf.DUMMYFUNCTION("""COMPUTED_VALUE"""),62.09)</f>
        <v>62.09</v>
      </c>
      <c r="D2663" s="1">
        <f>IFERROR(__xludf.DUMMYFUNCTION("""COMPUTED_VALUE"""),61.51)</f>
        <v>61.51</v>
      </c>
      <c r="E2663" s="1">
        <f>IFERROR(__xludf.DUMMYFUNCTION("""COMPUTED_VALUE"""),62.06)</f>
        <v>62.06</v>
      </c>
      <c r="F2663" s="1">
        <f>IFERROR(__xludf.DUMMYFUNCTION("""COMPUTED_VALUE"""),1.1167754E7)</f>
        <v>11167754</v>
      </c>
    </row>
    <row r="2664">
      <c r="A2664" s="2">
        <f>IFERROR(__xludf.DUMMYFUNCTION("""COMPUTED_VALUE"""),40393.666666666664)</f>
        <v>40393.66667</v>
      </c>
      <c r="B2664" s="1">
        <f>IFERROR(__xludf.DUMMYFUNCTION("""COMPUTED_VALUE"""),59.86)</f>
        <v>59.86</v>
      </c>
      <c r="C2664" s="1">
        <f>IFERROR(__xludf.DUMMYFUNCTION("""COMPUTED_VALUE"""),60.2)</f>
        <v>60.2</v>
      </c>
      <c r="D2664" s="1">
        <f>IFERROR(__xludf.DUMMYFUNCTION("""COMPUTED_VALUE"""),59.55)</f>
        <v>59.55</v>
      </c>
      <c r="E2664" s="1">
        <f>IFERROR(__xludf.DUMMYFUNCTION("""COMPUTED_VALUE"""),59.94)</f>
        <v>59.94</v>
      </c>
      <c r="F2664" s="1">
        <f>IFERROR(__xludf.DUMMYFUNCTION("""COMPUTED_VALUE"""),2.4456016E7)</f>
        <v>24456016</v>
      </c>
    </row>
    <row r="2665">
      <c r="A2665" s="2">
        <f>IFERROR(__xludf.DUMMYFUNCTION("""COMPUTED_VALUE"""),40394.666666666664)</f>
        <v>40394.66667</v>
      </c>
      <c r="B2665" s="1">
        <f>IFERROR(__xludf.DUMMYFUNCTION("""COMPUTED_VALUE"""),60.07)</f>
        <v>60.07</v>
      </c>
      <c r="C2665" s="1">
        <f>IFERROR(__xludf.DUMMYFUNCTION("""COMPUTED_VALUE"""),60.57)</f>
        <v>60.57</v>
      </c>
      <c r="D2665" s="1">
        <f>IFERROR(__xludf.DUMMYFUNCTION("""COMPUTED_VALUE"""),59.55)</f>
        <v>59.55</v>
      </c>
      <c r="E2665" s="1">
        <f>IFERROR(__xludf.DUMMYFUNCTION("""COMPUTED_VALUE"""),59.55)</f>
        <v>59.55</v>
      </c>
      <c r="F2665" s="1">
        <f>IFERROR(__xludf.DUMMYFUNCTION("""COMPUTED_VALUE"""),1.9656204E7)</f>
        <v>19656204</v>
      </c>
    </row>
    <row r="2666">
      <c r="A2666" s="2">
        <f>IFERROR(__xludf.DUMMYFUNCTION("""COMPUTED_VALUE"""),40395.666666666664)</f>
        <v>40395.66667</v>
      </c>
      <c r="B2666" s="1">
        <f>IFERROR(__xludf.DUMMYFUNCTION("""COMPUTED_VALUE"""),59.55)</f>
        <v>59.55</v>
      </c>
      <c r="C2666" s="1">
        <f>IFERROR(__xludf.DUMMYFUNCTION("""COMPUTED_VALUE"""),60.2)</f>
        <v>60.2</v>
      </c>
      <c r="D2666" s="1">
        <f>IFERROR(__xludf.DUMMYFUNCTION("""COMPUTED_VALUE"""),59.4)</f>
        <v>59.4</v>
      </c>
      <c r="E2666" s="1">
        <f>IFERROR(__xludf.DUMMYFUNCTION("""COMPUTED_VALUE"""),59.86)</f>
        <v>59.86</v>
      </c>
      <c r="F2666" s="1">
        <f>IFERROR(__xludf.DUMMYFUNCTION("""COMPUTED_VALUE"""),1.2620946E7)</f>
        <v>12620946</v>
      </c>
    </row>
    <row r="2667">
      <c r="A2667" s="2">
        <f>IFERROR(__xludf.DUMMYFUNCTION("""COMPUTED_VALUE"""),40396.666666666664)</f>
        <v>40396.66667</v>
      </c>
      <c r="B2667" s="1">
        <f>IFERROR(__xludf.DUMMYFUNCTION("""COMPUTED_VALUE"""),59.5)</f>
        <v>59.5</v>
      </c>
      <c r="C2667" s="1">
        <f>IFERROR(__xludf.DUMMYFUNCTION("""COMPUTED_VALUE"""),60.04)</f>
        <v>60.04</v>
      </c>
      <c r="D2667" s="1">
        <f>IFERROR(__xludf.DUMMYFUNCTION("""COMPUTED_VALUE"""),59.17)</f>
        <v>59.17</v>
      </c>
      <c r="E2667" s="1">
        <f>IFERROR(__xludf.DUMMYFUNCTION("""COMPUTED_VALUE"""),60.02)</f>
        <v>60.02</v>
      </c>
      <c r="F2667" s="1">
        <f>IFERROR(__xludf.DUMMYFUNCTION("""COMPUTED_VALUE"""),1.2649701E7)</f>
        <v>12649701</v>
      </c>
    </row>
    <row r="2668">
      <c r="A2668" s="2">
        <f>IFERROR(__xludf.DUMMYFUNCTION("""COMPUTED_VALUE"""),40399.666666666664)</f>
        <v>40399.66667</v>
      </c>
      <c r="B2668" s="1">
        <f>IFERROR(__xludf.DUMMYFUNCTION("""COMPUTED_VALUE"""),60.39)</f>
        <v>60.39</v>
      </c>
      <c r="C2668" s="1">
        <f>IFERROR(__xludf.DUMMYFUNCTION("""COMPUTED_VALUE"""),60.83)</f>
        <v>60.83</v>
      </c>
      <c r="D2668" s="1">
        <f>IFERROR(__xludf.DUMMYFUNCTION("""COMPUTED_VALUE"""),59.86)</f>
        <v>59.86</v>
      </c>
      <c r="E2668" s="1">
        <f>IFERROR(__xludf.DUMMYFUNCTION("""COMPUTED_VALUE"""),60.38)</f>
        <v>60.38</v>
      </c>
      <c r="F2668" s="1">
        <f>IFERROR(__xludf.DUMMYFUNCTION("""COMPUTED_VALUE"""),1.1108288E7)</f>
        <v>11108288</v>
      </c>
    </row>
    <row r="2669">
      <c r="A2669" s="2">
        <f>IFERROR(__xludf.DUMMYFUNCTION("""COMPUTED_VALUE"""),40400.666666666664)</f>
        <v>40400.66667</v>
      </c>
      <c r="B2669" s="1">
        <f>IFERROR(__xludf.DUMMYFUNCTION("""COMPUTED_VALUE"""),60.1)</f>
        <v>60.1</v>
      </c>
      <c r="C2669" s="1">
        <f>IFERROR(__xludf.DUMMYFUNCTION("""COMPUTED_VALUE"""),61.34)</f>
        <v>61.34</v>
      </c>
      <c r="D2669" s="1">
        <f>IFERROR(__xludf.DUMMYFUNCTION("""COMPUTED_VALUE"""),60.08)</f>
        <v>60.08</v>
      </c>
      <c r="E2669" s="1">
        <f>IFERROR(__xludf.DUMMYFUNCTION("""COMPUTED_VALUE"""),60.78)</f>
        <v>60.78</v>
      </c>
      <c r="F2669" s="1">
        <f>IFERROR(__xludf.DUMMYFUNCTION("""COMPUTED_VALUE"""),1.3453212E7)</f>
        <v>13453212</v>
      </c>
    </row>
    <row r="2670">
      <c r="A2670" s="2">
        <f>IFERROR(__xludf.DUMMYFUNCTION("""COMPUTED_VALUE"""),40401.666666666664)</f>
        <v>40401.66667</v>
      </c>
      <c r="B2670" s="1">
        <f>IFERROR(__xludf.DUMMYFUNCTION("""COMPUTED_VALUE"""),60.18)</f>
        <v>60.18</v>
      </c>
      <c r="C2670" s="1">
        <f>IFERROR(__xludf.DUMMYFUNCTION("""COMPUTED_VALUE"""),60.64)</f>
        <v>60.64</v>
      </c>
      <c r="D2670" s="1">
        <f>IFERROR(__xludf.DUMMYFUNCTION("""COMPUTED_VALUE"""),60.0)</f>
        <v>60</v>
      </c>
      <c r="E2670" s="1">
        <f>IFERROR(__xludf.DUMMYFUNCTION("""COMPUTED_VALUE"""),60.27)</f>
        <v>60.27</v>
      </c>
      <c r="F2670" s="1">
        <f>IFERROR(__xludf.DUMMYFUNCTION("""COMPUTED_VALUE"""),1.2947137E7)</f>
        <v>12947137</v>
      </c>
    </row>
    <row r="2671">
      <c r="A2671" s="2">
        <f>IFERROR(__xludf.DUMMYFUNCTION("""COMPUTED_VALUE"""),40402.666666666664)</f>
        <v>40402.66667</v>
      </c>
      <c r="B2671" s="1">
        <f>IFERROR(__xludf.DUMMYFUNCTION("""COMPUTED_VALUE"""),59.99)</f>
        <v>59.99</v>
      </c>
      <c r="C2671" s="1">
        <f>IFERROR(__xludf.DUMMYFUNCTION("""COMPUTED_VALUE"""),60.48)</f>
        <v>60.48</v>
      </c>
      <c r="D2671" s="1">
        <f>IFERROR(__xludf.DUMMYFUNCTION("""COMPUTED_VALUE"""),59.38)</f>
        <v>59.38</v>
      </c>
      <c r="E2671" s="1">
        <f>IFERROR(__xludf.DUMMYFUNCTION("""COMPUTED_VALUE"""),59.99)</f>
        <v>59.99</v>
      </c>
      <c r="F2671" s="1">
        <f>IFERROR(__xludf.DUMMYFUNCTION("""COMPUTED_VALUE"""),1.1580805E7)</f>
        <v>11580805</v>
      </c>
    </row>
    <row r="2672">
      <c r="A2672" s="2">
        <f>IFERROR(__xludf.DUMMYFUNCTION("""COMPUTED_VALUE"""),40403.666666666664)</f>
        <v>40403.66667</v>
      </c>
      <c r="B2672" s="1">
        <f>IFERROR(__xludf.DUMMYFUNCTION("""COMPUTED_VALUE"""),59.74)</f>
        <v>59.74</v>
      </c>
      <c r="C2672" s="1">
        <f>IFERROR(__xludf.DUMMYFUNCTION("""COMPUTED_VALUE"""),60.6)</f>
        <v>60.6</v>
      </c>
      <c r="D2672" s="1">
        <f>IFERROR(__xludf.DUMMYFUNCTION("""COMPUTED_VALUE"""),59.69)</f>
        <v>59.69</v>
      </c>
      <c r="E2672" s="1">
        <f>IFERROR(__xludf.DUMMYFUNCTION("""COMPUTED_VALUE"""),59.82)</f>
        <v>59.82</v>
      </c>
      <c r="F2672" s="1">
        <f>IFERROR(__xludf.DUMMYFUNCTION("""COMPUTED_VALUE"""),8807766.0)</f>
        <v>8807766</v>
      </c>
    </row>
    <row r="2673">
      <c r="A2673" s="2">
        <f>IFERROR(__xludf.DUMMYFUNCTION("""COMPUTED_VALUE"""),40406.666666666664)</f>
        <v>40406.66667</v>
      </c>
      <c r="B2673" s="1">
        <f>IFERROR(__xludf.DUMMYFUNCTION("""COMPUTED_VALUE"""),59.63)</f>
        <v>59.63</v>
      </c>
      <c r="C2673" s="1">
        <f>IFERROR(__xludf.DUMMYFUNCTION("""COMPUTED_VALUE"""),60.2)</f>
        <v>60.2</v>
      </c>
      <c r="D2673" s="1">
        <f>IFERROR(__xludf.DUMMYFUNCTION("""COMPUTED_VALUE"""),59.32)</f>
        <v>59.32</v>
      </c>
      <c r="E2673" s="1">
        <f>IFERROR(__xludf.DUMMYFUNCTION("""COMPUTED_VALUE"""),59.77)</f>
        <v>59.77</v>
      </c>
      <c r="F2673" s="1">
        <f>IFERROR(__xludf.DUMMYFUNCTION("""COMPUTED_VALUE"""),1.3138819E7)</f>
        <v>13138819</v>
      </c>
    </row>
    <row r="2674">
      <c r="A2674" s="2">
        <f>IFERROR(__xludf.DUMMYFUNCTION("""COMPUTED_VALUE"""),40407.666666666664)</f>
        <v>40407.66667</v>
      </c>
      <c r="B2674" s="1">
        <f>IFERROR(__xludf.DUMMYFUNCTION("""COMPUTED_VALUE"""),60.31)</f>
        <v>60.31</v>
      </c>
      <c r="C2674" s="1">
        <f>IFERROR(__xludf.DUMMYFUNCTION("""COMPUTED_VALUE"""),60.92)</f>
        <v>60.92</v>
      </c>
      <c r="D2674" s="1">
        <f>IFERROR(__xludf.DUMMYFUNCTION("""COMPUTED_VALUE"""),59.93)</f>
        <v>59.93</v>
      </c>
      <c r="E2674" s="1">
        <f>IFERROR(__xludf.DUMMYFUNCTION("""COMPUTED_VALUE"""),60.29)</f>
        <v>60.29</v>
      </c>
      <c r="F2674" s="1">
        <f>IFERROR(__xludf.DUMMYFUNCTION("""COMPUTED_VALUE"""),1.08782E7)</f>
        <v>10878200</v>
      </c>
    </row>
    <row r="2675">
      <c r="A2675" s="2">
        <f>IFERROR(__xludf.DUMMYFUNCTION("""COMPUTED_VALUE"""),40408.666666666664)</f>
        <v>40408.66667</v>
      </c>
      <c r="B2675" s="1">
        <f>IFERROR(__xludf.DUMMYFUNCTION("""COMPUTED_VALUE"""),60.16)</f>
        <v>60.16</v>
      </c>
      <c r="C2675" s="1">
        <f>IFERROR(__xludf.DUMMYFUNCTION("""COMPUTED_VALUE"""),61.06)</f>
        <v>61.06</v>
      </c>
      <c r="D2675" s="1">
        <f>IFERROR(__xludf.DUMMYFUNCTION("""COMPUTED_VALUE"""),60.04)</f>
        <v>60.04</v>
      </c>
      <c r="E2675" s="1">
        <f>IFERROR(__xludf.DUMMYFUNCTION("""COMPUTED_VALUE"""),60.75)</f>
        <v>60.75</v>
      </c>
      <c r="F2675" s="1">
        <f>IFERROR(__xludf.DUMMYFUNCTION("""COMPUTED_VALUE"""),1.0739213E7)</f>
        <v>10739213</v>
      </c>
    </row>
    <row r="2676">
      <c r="A2676" s="2">
        <f>IFERROR(__xludf.DUMMYFUNCTION("""COMPUTED_VALUE"""),40409.666666666664)</f>
        <v>40409.66667</v>
      </c>
      <c r="B2676" s="1">
        <f>IFERROR(__xludf.DUMMYFUNCTION("""COMPUTED_VALUE"""),60.55)</f>
        <v>60.55</v>
      </c>
      <c r="C2676" s="1">
        <f>IFERROR(__xludf.DUMMYFUNCTION("""COMPUTED_VALUE"""),60.63)</f>
        <v>60.63</v>
      </c>
      <c r="D2676" s="1">
        <f>IFERROR(__xludf.DUMMYFUNCTION("""COMPUTED_VALUE"""),59.85)</f>
        <v>59.85</v>
      </c>
      <c r="E2676" s="1">
        <f>IFERROR(__xludf.DUMMYFUNCTION("""COMPUTED_VALUE"""),60.19)</f>
        <v>60.19</v>
      </c>
      <c r="F2676" s="1">
        <f>IFERROR(__xludf.DUMMYFUNCTION("""COMPUTED_VALUE"""),9822652.0)</f>
        <v>9822652</v>
      </c>
    </row>
    <row r="2677">
      <c r="A2677" s="2">
        <f>IFERROR(__xludf.DUMMYFUNCTION("""COMPUTED_VALUE"""),40410.666666666664)</f>
        <v>40410.66667</v>
      </c>
      <c r="B2677" s="1">
        <f>IFERROR(__xludf.DUMMYFUNCTION("""COMPUTED_VALUE"""),59.94)</f>
        <v>59.94</v>
      </c>
      <c r="C2677" s="1">
        <f>IFERROR(__xludf.DUMMYFUNCTION("""COMPUTED_VALUE"""),60.17)</f>
        <v>60.17</v>
      </c>
      <c r="D2677" s="1">
        <f>IFERROR(__xludf.DUMMYFUNCTION("""COMPUTED_VALUE"""),59.67)</f>
        <v>59.67</v>
      </c>
      <c r="E2677" s="1">
        <f>IFERROR(__xludf.DUMMYFUNCTION("""COMPUTED_VALUE"""),59.98)</f>
        <v>59.98</v>
      </c>
      <c r="F2677" s="1">
        <f>IFERROR(__xludf.DUMMYFUNCTION("""COMPUTED_VALUE"""),1.2108302E7)</f>
        <v>12108302</v>
      </c>
    </row>
    <row r="2678">
      <c r="A2678" s="2">
        <f>IFERROR(__xludf.DUMMYFUNCTION("""COMPUTED_VALUE"""),40413.666666666664)</f>
        <v>40413.66667</v>
      </c>
      <c r="B2678" s="1">
        <f>IFERROR(__xludf.DUMMYFUNCTION("""COMPUTED_VALUE"""),60.01)</f>
        <v>60.01</v>
      </c>
      <c r="C2678" s="1">
        <f>IFERROR(__xludf.DUMMYFUNCTION("""COMPUTED_VALUE"""),60.39)</f>
        <v>60.39</v>
      </c>
      <c r="D2678" s="1">
        <f>IFERROR(__xludf.DUMMYFUNCTION("""COMPUTED_VALUE"""),59.86)</f>
        <v>59.86</v>
      </c>
      <c r="E2678" s="1">
        <f>IFERROR(__xludf.DUMMYFUNCTION("""COMPUTED_VALUE"""),60.03)</f>
        <v>60.03</v>
      </c>
      <c r="F2678" s="1">
        <f>IFERROR(__xludf.DUMMYFUNCTION("""COMPUTED_VALUE"""),8468528.0)</f>
        <v>8468528</v>
      </c>
    </row>
    <row r="2679">
      <c r="A2679" s="2">
        <f>IFERROR(__xludf.DUMMYFUNCTION("""COMPUTED_VALUE"""),40414.666666666664)</f>
        <v>40414.66667</v>
      </c>
      <c r="B2679" s="1">
        <f>IFERROR(__xludf.DUMMYFUNCTION("""COMPUTED_VALUE"""),59.7)</f>
        <v>59.7</v>
      </c>
      <c r="C2679" s="1">
        <f>IFERROR(__xludf.DUMMYFUNCTION("""COMPUTED_VALUE"""),60.02)</f>
        <v>60.02</v>
      </c>
      <c r="D2679" s="1">
        <f>IFERROR(__xludf.DUMMYFUNCTION("""COMPUTED_VALUE"""),59.58)</f>
        <v>59.58</v>
      </c>
      <c r="E2679" s="1">
        <f>IFERROR(__xludf.DUMMYFUNCTION("""COMPUTED_VALUE"""),59.66)</f>
        <v>59.66</v>
      </c>
      <c r="F2679" s="1">
        <f>IFERROR(__xludf.DUMMYFUNCTION("""COMPUTED_VALUE"""),1.3733702E7)</f>
        <v>13733702</v>
      </c>
    </row>
    <row r="2680">
      <c r="A2680" s="2">
        <f>IFERROR(__xludf.DUMMYFUNCTION("""COMPUTED_VALUE"""),40415.666666666664)</f>
        <v>40415.66667</v>
      </c>
      <c r="B2680" s="1">
        <f>IFERROR(__xludf.DUMMYFUNCTION("""COMPUTED_VALUE"""),59.79)</f>
        <v>59.79</v>
      </c>
      <c r="C2680" s="1">
        <f>IFERROR(__xludf.DUMMYFUNCTION("""COMPUTED_VALUE"""),59.9)</f>
        <v>59.9</v>
      </c>
      <c r="D2680" s="1">
        <f>IFERROR(__xludf.DUMMYFUNCTION("""COMPUTED_VALUE"""),59.4)</f>
        <v>59.4</v>
      </c>
      <c r="E2680" s="1">
        <f>IFERROR(__xludf.DUMMYFUNCTION("""COMPUTED_VALUE"""),59.67)</f>
        <v>59.67</v>
      </c>
      <c r="F2680" s="1">
        <f>IFERROR(__xludf.DUMMYFUNCTION("""COMPUTED_VALUE"""),1.0400942E7)</f>
        <v>10400942</v>
      </c>
    </row>
    <row r="2681">
      <c r="A2681" s="2">
        <f>IFERROR(__xludf.DUMMYFUNCTION("""COMPUTED_VALUE"""),40416.666666666664)</f>
        <v>40416.66667</v>
      </c>
      <c r="B2681" s="1">
        <f>IFERROR(__xludf.DUMMYFUNCTION("""COMPUTED_VALUE"""),59.91)</f>
        <v>59.91</v>
      </c>
      <c r="C2681" s="1">
        <f>IFERROR(__xludf.DUMMYFUNCTION("""COMPUTED_VALUE"""),59.91)</f>
        <v>59.91</v>
      </c>
      <c r="D2681" s="1">
        <f>IFERROR(__xludf.DUMMYFUNCTION("""COMPUTED_VALUE"""),59.4)</f>
        <v>59.4</v>
      </c>
      <c r="E2681" s="1">
        <f>IFERROR(__xludf.DUMMYFUNCTION("""COMPUTED_VALUE"""),59.54)</f>
        <v>59.54</v>
      </c>
      <c r="F2681" s="1">
        <f>IFERROR(__xludf.DUMMYFUNCTION("""COMPUTED_VALUE"""),1.0265458E7)</f>
        <v>10265458</v>
      </c>
    </row>
    <row r="2682">
      <c r="A2682" s="2">
        <f>IFERROR(__xludf.DUMMYFUNCTION("""COMPUTED_VALUE"""),40417.666666666664)</f>
        <v>40417.66667</v>
      </c>
      <c r="B2682" s="1">
        <f>IFERROR(__xludf.DUMMYFUNCTION("""COMPUTED_VALUE"""),59.71)</f>
        <v>59.71</v>
      </c>
      <c r="C2682" s="1">
        <f>IFERROR(__xludf.DUMMYFUNCTION("""COMPUTED_VALUE"""),59.92)</f>
        <v>59.92</v>
      </c>
      <c r="D2682" s="1">
        <f>IFERROR(__xludf.DUMMYFUNCTION("""COMPUTED_VALUE"""),59.25)</f>
        <v>59.25</v>
      </c>
      <c r="E2682" s="1">
        <f>IFERROR(__xludf.DUMMYFUNCTION("""COMPUTED_VALUE"""),59.8)</f>
        <v>59.8</v>
      </c>
      <c r="F2682" s="1">
        <f>IFERROR(__xludf.DUMMYFUNCTION("""COMPUTED_VALUE"""),1.0317328E7)</f>
        <v>10317328</v>
      </c>
    </row>
    <row r="2683">
      <c r="A2683" s="2">
        <f>IFERROR(__xludf.DUMMYFUNCTION("""COMPUTED_VALUE"""),40420.666666666664)</f>
        <v>40420.66667</v>
      </c>
      <c r="B2683" s="1">
        <f>IFERROR(__xludf.DUMMYFUNCTION("""COMPUTED_VALUE"""),59.71)</f>
        <v>59.71</v>
      </c>
      <c r="C2683" s="1">
        <f>IFERROR(__xludf.DUMMYFUNCTION("""COMPUTED_VALUE"""),59.91)</f>
        <v>59.91</v>
      </c>
      <c r="D2683" s="1">
        <f>IFERROR(__xludf.DUMMYFUNCTION("""COMPUTED_VALUE"""),59.34)</f>
        <v>59.34</v>
      </c>
      <c r="E2683" s="1">
        <f>IFERROR(__xludf.DUMMYFUNCTION("""COMPUTED_VALUE"""),59.37)</f>
        <v>59.37</v>
      </c>
      <c r="F2683" s="1">
        <f>IFERROR(__xludf.DUMMYFUNCTION("""COMPUTED_VALUE"""),7462632.0)</f>
        <v>7462632</v>
      </c>
    </row>
    <row r="2684">
      <c r="A2684" s="2">
        <f>IFERROR(__xludf.DUMMYFUNCTION("""COMPUTED_VALUE"""),40421.666666666664)</f>
        <v>40421.66667</v>
      </c>
      <c r="B2684" s="1">
        <f>IFERROR(__xludf.DUMMYFUNCTION("""COMPUTED_VALUE"""),59.31)</f>
        <v>59.31</v>
      </c>
      <c r="C2684" s="1">
        <f>IFERROR(__xludf.DUMMYFUNCTION("""COMPUTED_VALUE"""),59.75)</f>
        <v>59.75</v>
      </c>
      <c r="D2684" s="1">
        <f>IFERROR(__xludf.DUMMYFUNCTION("""COMPUTED_VALUE"""),59.25)</f>
        <v>59.25</v>
      </c>
      <c r="E2684" s="1">
        <f>IFERROR(__xludf.DUMMYFUNCTION("""COMPUTED_VALUE"""),59.67)</f>
        <v>59.67</v>
      </c>
      <c r="F2684" s="1">
        <f>IFERROR(__xludf.DUMMYFUNCTION("""COMPUTED_VALUE"""),1.2590088E7)</f>
        <v>12590088</v>
      </c>
    </row>
    <row r="2685">
      <c r="A2685" s="2">
        <f>IFERROR(__xludf.DUMMYFUNCTION("""COMPUTED_VALUE"""),40422.666666666664)</f>
        <v>40422.66667</v>
      </c>
      <c r="B2685" s="1">
        <f>IFERROR(__xludf.DUMMYFUNCTION("""COMPUTED_VALUE"""),59.9)</f>
        <v>59.9</v>
      </c>
      <c r="C2685" s="1">
        <f>IFERROR(__xludf.DUMMYFUNCTION("""COMPUTED_VALUE"""),60.05)</f>
        <v>60.05</v>
      </c>
      <c r="D2685" s="1">
        <f>IFERROR(__xludf.DUMMYFUNCTION("""COMPUTED_VALUE"""),59.53)</f>
        <v>59.53</v>
      </c>
      <c r="E2685" s="1">
        <f>IFERROR(__xludf.DUMMYFUNCTION("""COMPUTED_VALUE"""),59.8)</f>
        <v>59.8</v>
      </c>
      <c r="F2685" s="1">
        <f>IFERROR(__xludf.DUMMYFUNCTION("""COMPUTED_VALUE"""),1.4751765E7)</f>
        <v>14751765</v>
      </c>
    </row>
    <row r="2686">
      <c r="A2686" s="2">
        <f>IFERROR(__xludf.DUMMYFUNCTION("""COMPUTED_VALUE"""),40423.666666666664)</f>
        <v>40423.66667</v>
      </c>
      <c r="B2686" s="1">
        <f>IFERROR(__xludf.DUMMYFUNCTION("""COMPUTED_VALUE"""),59.74)</f>
        <v>59.74</v>
      </c>
      <c r="C2686" s="1">
        <f>IFERROR(__xludf.DUMMYFUNCTION("""COMPUTED_VALUE"""),60.3)</f>
        <v>60.3</v>
      </c>
      <c r="D2686" s="1">
        <f>IFERROR(__xludf.DUMMYFUNCTION("""COMPUTED_VALUE"""),59.71)</f>
        <v>59.71</v>
      </c>
      <c r="E2686" s="1">
        <f>IFERROR(__xludf.DUMMYFUNCTION("""COMPUTED_VALUE"""),60.07)</f>
        <v>60.07</v>
      </c>
      <c r="F2686" s="1">
        <f>IFERROR(__xludf.DUMMYFUNCTION("""COMPUTED_VALUE"""),1.0258127E7)</f>
        <v>10258127</v>
      </c>
    </row>
    <row r="2687">
      <c r="A2687" s="2">
        <f>IFERROR(__xludf.DUMMYFUNCTION("""COMPUTED_VALUE"""),40424.666666666664)</f>
        <v>40424.66667</v>
      </c>
      <c r="B2687" s="1">
        <f>IFERROR(__xludf.DUMMYFUNCTION("""COMPUTED_VALUE"""),60.26)</f>
        <v>60.26</v>
      </c>
      <c r="C2687" s="1">
        <f>IFERROR(__xludf.DUMMYFUNCTION("""COMPUTED_VALUE"""),60.5)</f>
        <v>60.5</v>
      </c>
      <c r="D2687" s="1">
        <f>IFERROR(__xludf.DUMMYFUNCTION("""COMPUTED_VALUE"""),59.83)</f>
        <v>59.83</v>
      </c>
      <c r="E2687" s="1">
        <f>IFERROR(__xludf.DUMMYFUNCTION("""COMPUTED_VALUE"""),60.29)</f>
        <v>60.29</v>
      </c>
      <c r="F2687" s="1">
        <f>IFERROR(__xludf.DUMMYFUNCTION("""COMPUTED_VALUE"""),8973138.0)</f>
        <v>8973138</v>
      </c>
    </row>
    <row r="2688">
      <c r="A2688" s="2">
        <f>IFERROR(__xludf.DUMMYFUNCTION("""COMPUTED_VALUE"""),40428.666666666664)</f>
        <v>40428.66667</v>
      </c>
      <c r="B2688" s="1">
        <f>IFERROR(__xludf.DUMMYFUNCTION("""COMPUTED_VALUE"""),60.01)</f>
        <v>60.01</v>
      </c>
      <c r="C2688" s="1">
        <f>IFERROR(__xludf.DUMMYFUNCTION("""COMPUTED_VALUE"""),60.45)</f>
        <v>60.45</v>
      </c>
      <c r="D2688" s="1">
        <f>IFERROR(__xludf.DUMMYFUNCTION("""COMPUTED_VALUE"""),59.92)</f>
        <v>59.92</v>
      </c>
      <c r="E2688" s="1">
        <f>IFERROR(__xludf.DUMMYFUNCTION("""COMPUTED_VALUE"""),60.14)</f>
        <v>60.14</v>
      </c>
      <c r="F2688" s="1">
        <f>IFERROR(__xludf.DUMMYFUNCTION("""COMPUTED_VALUE"""),7421913.0)</f>
        <v>7421913</v>
      </c>
    </row>
    <row r="2689">
      <c r="A2689" s="2">
        <f>IFERROR(__xludf.DUMMYFUNCTION("""COMPUTED_VALUE"""),40429.666666666664)</f>
        <v>40429.66667</v>
      </c>
      <c r="B2689" s="1">
        <f>IFERROR(__xludf.DUMMYFUNCTION("""COMPUTED_VALUE"""),60.15)</f>
        <v>60.15</v>
      </c>
      <c r="C2689" s="1">
        <f>IFERROR(__xludf.DUMMYFUNCTION("""COMPUTED_VALUE"""),60.5)</f>
        <v>60.5</v>
      </c>
      <c r="D2689" s="1">
        <f>IFERROR(__xludf.DUMMYFUNCTION("""COMPUTED_VALUE"""),60.15)</f>
        <v>60.15</v>
      </c>
      <c r="E2689" s="1">
        <f>IFERROR(__xludf.DUMMYFUNCTION("""COMPUTED_VALUE"""),60.37)</f>
        <v>60.37</v>
      </c>
      <c r="F2689" s="1">
        <f>IFERROR(__xludf.DUMMYFUNCTION("""COMPUTED_VALUE"""),7719891.0)</f>
        <v>7719891</v>
      </c>
    </row>
    <row r="2690">
      <c r="A2690" s="2">
        <f>IFERROR(__xludf.DUMMYFUNCTION("""COMPUTED_VALUE"""),40430.666666666664)</f>
        <v>40430.66667</v>
      </c>
      <c r="B2690" s="1">
        <f>IFERROR(__xludf.DUMMYFUNCTION("""COMPUTED_VALUE"""),60.67)</f>
        <v>60.67</v>
      </c>
      <c r="C2690" s="1">
        <f>IFERROR(__xludf.DUMMYFUNCTION("""COMPUTED_VALUE"""),60.69)</f>
        <v>60.69</v>
      </c>
      <c r="D2690" s="1">
        <f>IFERROR(__xludf.DUMMYFUNCTION("""COMPUTED_VALUE"""),60.21)</f>
        <v>60.21</v>
      </c>
      <c r="E2690" s="1">
        <f>IFERROR(__xludf.DUMMYFUNCTION("""COMPUTED_VALUE"""),60.29)</f>
        <v>60.29</v>
      </c>
      <c r="F2690" s="1">
        <f>IFERROR(__xludf.DUMMYFUNCTION("""COMPUTED_VALUE"""),7939055.0)</f>
        <v>7939055</v>
      </c>
    </row>
    <row r="2691">
      <c r="A2691" s="2">
        <f>IFERROR(__xludf.DUMMYFUNCTION("""COMPUTED_VALUE"""),40431.666666666664)</f>
        <v>40431.66667</v>
      </c>
      <c r="B2691" s="1">
        <f>IFERROR(__xludf.DUMMYFUNCTION("""COMPUTED_VALUE"""),60.51)</f>
        <v>60.51</v>
      </c>
      <c r="C2691" s="1">
        <f>IFERROR(__xludf.DUMMYFUNCTION("""COMPUTED_VALUE"""),60.63)</f>
        <v>60.63</v>
      </c>
      <c r="D2691" s="1">
        <f>IFERROR(__xludf.DUMMYFUNCTION("""COMPUTED_VALUE"""),60.28)</f>
        <v>60.28</v>
      </c>
      <c r="E2691" s="1">
        <f>IFERROR(__xludf.DUMMYFUNCTION("""COMPUTED_VALUE"""),60.4)</f>
        <v>60.4</v>
      </c>
      <c r="F2691" s="1">
        <f>IFERROR(__xludf.DUMMYFUNCTION("""COMPUTED_VALUE"""),7379062.0)</f>
        <v>7379062</v>
      </c>
    </row>
    <row r="2692">
      <c r="A2692" s="2">
        <f>IFERROR(__xludf.DUMMYFUNCTION("""COMPUTED_VALUE"""),40434.666666666664)</f>
        <v>40434.66667</v>
      </c>
      <c r="B2692" s="1">
        <f>IFERROR(__xludf.DUMMYFUNCTION("""COMPUTED_VALUE"""),60.65)</f>
        <v>60.65</v>
      </c>
      <c r="C2692" s="1">
        <f>IFERROR(__xludf.DUMMYFUNCTION("""COMPUTED_VALUE"""),60.74)</f>
        <v>60.74</v>
      </c>
      <c r="D2692" s="1">
        <f>IFERROR(__xludf.DUMMYFUNCTION("""COMPUTED_VALUE"""),60.22)</f>
        <v>60.22</v>
      </c>
      <c r="E2692" s="1">
        <f>IFERROR(__xludf.DUMMYFUNCTION("""COMPUTED_VALUE"""),60.48)</f>
        <v>60.48</v>
      </c>
      <c r="F2692" s="1">
        <f>IFERROR(__xludf.DUMMYFUNCTION("""COMPUTED_VALUE"""),9809320.0)</f>
        <v>9809320</v>
      </c>
    </row>
    <row r="2693">
      <c r="A2693" s="2">
        <f>IFERROR(__xludf.DUMMYFUNCTION("""COMPUTED_VALUE"""),40435.666666666664)</f>
        <v>40435.66667</v>
      </c>
      <c r="B2693" s="1">
        <f>IFERROR(__xludf.DUMMYFUNCTION("""COMPUTED_VALUE"""),60.39)</f>
        <v>60.39</v>
      </c>
      <c r="C2693" s="1">
        <f>IFERROR(__xludf.DUMMYFUNCTION("""COMPUTED_VALUE"""),60.94)</f>
        <v>60.94</v>
      </c>
      <c r="D2693" s="1">
        <f>IFERROR(__xludf.DUMMYFUNCTION("""COMPUTED_VALUE"""),60.32)</f>
        <v>60.32</v>
      </c>
      <c r="E2693" s="1">
        <f>IFERROR(__xludf.DUMMYFUNCTION("""COMPUTED_VALUE"""),60.64)</f>
        <v>60.64</v>
      </c>
      <c r="F2693" s="1">
        <f>IFERROR(__xludf.DUMMYFUNCTION("""COMPUTED_VALUE"""),1.1011617E7)</f>
        <v>11011617</v>
      </c>
    </row>
    <row r="2694">
      <c r="A2694" s="2">
        <f>IFERROR(__xludf.DUMMYFUNCTION("""COMPUTED_VALUE"""),40436.666666666664)</f>
        <v>40436.66667</v>
      </c>
      <c r="B2694" s="1">
        <f>IFERROR(__xludf.DUMMYFUNCTION("""COMPUTED_VALUE"""),60.56)</f>
        <v>60.56</v>
      </c>
      <c r="C2694" s="1">
        <f>IFERROR(__xludf.DUMMYFUNCTION("""COMPUTED_VALUE"""),61.41)</f>
        <v>61.41</v>
      </c>
      <c r="D2694" s="1">
        <f>IFERROR(__xludf.DUMMYFUNCTION("""COMPUTED_VALUE"""),60.53)</f>
        <v>60.53</v>
      </c>
      <c r="E2694" s="1">
        <f>IFERROR(__xludf.DUMMYFUNCTION("""COMPUTED_VALUE"""),61.11)</f>
        <v>61.11</v>
      </c>
      <c r="F2694" s="1">
        <f>IFERROR(__xludf.DUMMYFUNCTION("""COMPUTED_VALUE"""),9189692.0)</f>
        <v>9189692</v>
      </c>
    </row>
    <row r="2695">
      <c r="A2695" s="2">
        <f>IFERROR(__xludf.DUMMYFUNCTION("""COMPUTED_VALUE"""),40437.666666666664)</f>
        <v>40437.66667</v>
      </c>
      <c r="B2695" s="1">
        <f>IFERROR(__xludf.DUMMYFUNCTION("""COMPUTED_VALUE"""),60.87)</f>
        <v>60.87</v>
      </c>
      <c r="C2695" s="1">
        <f>IFERROR(__xludf.DUMMYFUNCTION("""COMPUTED_VALUE"""),61.11)</f>
        <v>61.11</v>
      </c>
      <c r="D2695" s="1">
        <f>IFERROR(__xludf.DUMMYFUNCTION("""COMPUTED_VALUE"""),60.66)</f>
        <v>60.66</v>
      </c>
      <c r="E2695" s="1">
        <f>IFERROR(__xludf.DUMMYFUNCTION("""COMPUTED_VALUE"""),61.11)</f>
        <v>61.11</v>
      </c>
      <c r="F2695" s="1">
        <f>IFERROR(__xludf.DUMMYFUNCTION("""COMPUTED_VALUE"""),7648552.0)</f>
        <v>7648552</v>
      </c>
    </row>
    <row r="2696">
      <c r="A2696" s="2">
        <f>IFERROR(__xludf.DUMMYFUNCTION("""COMPUTED_VALUE"""),40438.666666666664)</f>
        <v>40438.66667</v>
      </c>
      <c r="B2696" s="1">
        <f>IFERROR(__xludf.DUMMYFUNCTION("""COMPUTED_VALUE"""),61.31)</f>
        <v>61.31</v>
      </c>
      <c r="C2696" s="1">
        <f>IFERROR(__xludf.DUMMYFUNCTION("""COMPUTED_VALUE"""),61.47)</f>
        <v>61.47</v>
      </c>
      <c r="D2696" s="1">
        <f>IFERROR(__xludf.DUMMYFUNCTION("""COMPUTED_VALUE"""),60.81)</f>
        <v>60.81</v>
      </c>
      <c r="E2696" s="1">
        <f>IFERROR(__xludf.DUMMYFUNCTION("""COMPUTED_VALUE"""),60.97)</f>
        <v>60.97</v>
      </c>
      <c r="F2696" s="1">
        <f>IFERROR(__xludf.DUMMYFUNCTION("""COMPUTED_VALUE"""),1.7798098E7)</f>
        <v>17798098</v>
      </c>
    </row>
    <row r="2697">
      <c r="A2697" s="2">
        <f>IFERROR(__xludf.DUMMYFUNCTION("""COMPUTED_VALUE"""),40441.666666666664)</f>
        <v>40441.66667</v>
      </c>
      <c r="B2697" s="1">
        <f>IFERROR(__xludf.DUMMYFUNCTION("""COMPUTED_VALUE"""),61.01)</f>
        <v>61.01</v>
      </c>
      <c r="C2697" s="1">
        <f>IFERROR(__xludf.DUMMYFUNCTION("""COMPUTED_VALUE"""),61.59)</f>
        <v>61.59</v>
      </c>
      <c r="D2697" s="1">
        <f>IFERROR(__xludf.DUMMYFUNCTION("""COMPUTED_VALUE"""),60.91)</f>
        <v>60.91</v>
      </c>
      <c r="E2697" s="1">
        <f>IFERROR(__xludf.DUMMYFUNCTION("""COMPUTED_VALUE"""),61.43)</f>
        <v>61.43</v>
      </c>
      <c r="F2697" s="1">
        <f>IFERROR(__xludf.DUMMYFUNCTION("""COMPUTED_VALUE"""),9057722.0)</f>
        <v>9057722</v>
      </c>
    </row>
    <row r="2698">
      <c r="A2698" s="2">
        <f>IFERROR(__xludf.DUMMYFUNCTION("""COMPUTED_VALUE"""),40442.666666666664)</f>
        <v>40442.66667</v>
      </c>
      <c r="B2698" s="1">
        <f>IFERROR(__xludf.DUMMYFUNCTION("""COMPUTED_VALUE"""),61.45)</f>
        <v>61.45</v>
      </c>
      <c r="C2698" s="1">
        <f>IFERROR(__xludf.DUMMYFUNCTION("""COMPUTED_VALUE"""),61.86)</f>
        <v>61.86</v>
      </c>
      <c r="D2698" s="1">
        <f>IFERROR(__xludf.DUMMYFUNCTION("""COMPUTED_VALUE"""),61.23)</f>
        <v>61.23</v>
      </c>
      <c r="E2698" s="1">
        <f>IFERROR(__xludf.DUMMYFUNCTION("""COMPUTED_VALUE"""),61.52)</f>
        <v>61.52</v>
      </c>
      <c r="F2698" s="1">
        <f>IFERROR(__xludf.DUMMYFUNCTION("""COMPUTED_VALUE"""),1.1306669E7)</f>
        <v>11306669</v>
      </c>
    </row>
    <row r="2699">
      <c r="A2699" s="2">
        <f>IFERROR(__xludf.DUMMYFUNCTION("""COMPUTED_VALUE"""),40443.666666666664)</f>
        <v>40443.66667</v>
      </c>
      <c r="B2699" s="1">
        <f>IFERROR(__xludf.DUMMYFUNCTION("""COMPUTED_VALUE"""),61.53)</f>
        <v>61.53</v>
      </c>
      <c r="C2699" s="1">
        <f>IFERROR(__xludf.DUMMYFUNCTION("""COMPUTED_VALUE"""),62.0)</f>
        <v>62</v>
      </c>
      <c r="D2699" s="1">
        <f>IFERROR(__xludf.DUMMYFUNCTION("""COMPUTED_VALUE"""),61.42)</f>
        <v>61.42</v>
      </c>
      <c r="E2699" s="1">
        <f>IFERROR(__xludf.DUMMYFUNCTION("""COMPUTED_VALUE"""),61.79)</f>
        <v>61.79</v>
      </c>
      <c r="F2699" s="1">
        <f>IFERROR(__xludf.DUMMYFUNCTION("""COMPUTED_VALUE"""),9646489.0)</f>
        <v>9646489</v>
      </c>
    </row>
    <row r="2700">
      <c r="A2700" s="2">
        <f>IFERROR(__xludf.DUMMYFUNCTION("""COMPUTED_VALUE"""),40444.666666666664)</f>
        <v>40444.66667</v>
      </c>
      <c r="B2700" s="1">
        <f>IFERROR(__xludf.DUMMYFUNCTION("""COMPUTED_VALUE"""),61.42)</f>
        <v>61.42</v>
      </c>
      <c r="C2700" s="1">
        <f>IFERROR(__xludf.DUMMYFUNCTION("""COMPUTED_VALUE"""),61.58)</f>
        <v>61.58</v>
      </c>
      <c r="D2700" s="1">
        <f>IFERROR(__xludf.DUMMYFUNCTION("""COMPUTED_VALUE"""),61.15)</f>
        <v>61.15</v>
      </c>
      <c r="E2700" s="1">
        <f>IFERROR(__xludf.DUMMYFUNCTION("""COMPUTED_VALUE"""),61.22)</f>
        <v>61.22</v>
      </c>
      <c r="F2700" s="1">
        <f>IFERROR(__xludf.DUMMYFUNCTION("""COMPUTED_VALUE"""),1.0107355E7)</f>
        <v>10107355</v>
      </c>
    </row>
    <row r="2701">
      <c r="A2701" s="2">
        <f>IFERROR(__xludf.DUMMYFUNCTION("""COMPUTED_VALUE"""),40445.666666666664)</f>
        <v>40445.66667</v>
      </c>
      <c r="B2701" s="1">
        <f>IFERROR(__xludf.DUMMYFUNCTION("""COMPUTED_VALUE"""),61.5)</f>
        <v>61.5</v>
      </c>
      <c r="C2701" s="1">
        <f>IFERROR(__xludf.DUMMYFUNCTION("""COMPUTED_VALUE"""),61.81)</f>
        <v>61.81</v>
      </c>
      <c r="D2701" s="1">
        <f>IFERROR(__xludf.DUMMYFUNCTION("""COMPUTED_VALUE"""),61.36)</f>
        <v>61.36</v>
      </c>
      <c r="E2701" s="1">
        <f>IFERROR(__xludf.DUMMYFUNCTION("""COMPUTED_VALUE"""),61.64)</f>
        <v>61.64</v>
      </c>
      <c r="F2701" s="1">
        <f>IFERROR(__xludf.DUMMYFUNCTION("""COMPUTED_VALUE"""),1.0604191E7)</f>
        <v>10604191</v>
      </c>
    </row>
    <row r="2702">
      <c r="A2702" s="2">
        <f>IFERROR(__xludf.DUMMYFUNCTION("""COMPUTED_VALUE"""),40448.666666666664)</f>
        <v>40448.66667</v>
      </c>
      <c r="B2702" s="1">
        <f>IFERROR(__xludf.DUMMYFUNCTION("""COMPUTED_VALUE"""),61.45)</f>
        <v>61.45</v>
      </c>
      <c r="C2702" s="1">
        <f>IFERROR(__xludf.DUMMYFUNCTION("""COMPUTED_VALUE"""),61.7)</f>
        <v>61.7</v>
      </c>
      <c r="D2702" s="1">
        <f>IFERROR(__xludf.DUMMYFUNCTION("""COMPUTED_VALUE"""),61.02)</f>
        <v>61.02</v>
      </c>
      <c r="E2702" s="1">
        <f>IFERROR(__xludf.DUMMYFUNCTION("""COMPUTED_VALUE"""),61.04)</f>
        <v>61.04</v>
      </c>
      <c r="F2702" s="1">
        <f>IFERROR(__xludf.DUMMYFUNCTION("""COMPUTED_VALUE"""),1.0284052E7)</f>
        <v>10284052</v>
      </c>
    </row>
    <row r="2703">
      <c r="A2703" s="2">
        <f>IFERROR(__xludf.DUMMYFUNCTION("""COMPUTED_VALUE"""),40449.666666666664)</f>
        <v>40449.66667</v>
      </c>
      <c r="B2703" s="1">
        <f>IFERROR(__xludf.DUMMYFUNCTION("""COMPUTED_VALUE"""),61.01)</f>
        <v>61.01</v>
      </c>
      <c r="C2703" s="1">
        <f>IFERROR(__xludf.DUMMYFUNCTION("""COMPUTED_VALUE"""),61.13)</f>
        <v>61.13</v>
      </c>
      <c r="D2703" s="1">
        <f>IFERROR(__xludf.DUMMYFUNCTION("""COMPUTED_VALUE"""),60.35)</f>
        <v>60.35</v>
      </c>
      <c r="E2703" s="1">
        <f>IFERROR(__xludf.DUMMYFUNCTION("""COMPUTED_VALUE"""),60.62)</f>
        <v>60.62</v>
      </c>
      <c r="F2703" s="1">
        <f>IFERROR(__xludf.DUMMYFUNCTION("""COMPUTED_VALUE"""),1.1368802E7)</f>
        <v>11368802</v>
      </c>
    </row>
    <row r="2704">
      <c r="A2704" s="2">
        <f>IFERROR(__xludf.DUMMYFUNCTION("""COMPUTED_VALUE"""),40450.666666666664)</f>
        <v>40450.66667</v>
      </c>
      <c r="B2704" s="1">
        <f>IFERROR(__xludf.DUMMYFUNCTION("""COMPUTED_VALUE"""),60.46)</f>
        <v>60.46</v>
      </c>
      <c r="C2704" s="1">
        <f>IFERROR(__xludf.DUMMYFUNCTION("""COMPUTED_VALUE"""),60.62)</f>
        <v>60.62</v>
      </c>
      <c r="D2704" s="1">
        <f>IFERROR(__xludf.DUMMYFUNCTION("""COMPUTED_VALUE"""),60.03)</f>
        <v>60.03</v>
      </c>
      <c r="E2704" s="1">
        <f>IFERROR(__xludf.DUMMYFUNCTION("""COMPUTED_VALUE"""),60.25)</f>
        <v>60.25</v>
      </c>
      <c r="F2704" s="1">
        <f>IFERROR(__xludf.DUMMYFUNCTION("""COMPUTED_VALUE"""),9709339.0)</f>
        <v>9709339</v>
      </c>
    </row>
    <row r="2705">
      <c r="A2705" s="2">
        <f>IFERROR(__xludf.DUMMYFUNCTION("""COMPUTED_VALUE"""),40451.666666666664)</f>
        <v>40451.66667</v>
      </c>
      <c r="B2705" s="1">
        <f>IFERROR(__xludf.DUMMYFUNCTION("""COMPUTED_VALUE"""),60.32)</f>
        <v>60.32</v>
      </c>
      <c r="C2705" s="1">
        <f>IFERROR(__xludf.DUMMYFUNCTION("""COMPUTED_VALUE"""),60.65)</f>
        <v>60.65</v>
      </c>
      <c r="D2705" s="1">
        <f>IFERROR(__xludf.DUMMYFUNCTION("""COMPUTED_VALUE"""),59.84)</f>
        <v>59.84</v>
      </c>
      <c r="E2705" s="1">
        <f>IFERROR(__xludf.DUMMYFUNCTION("""COMPUTED_VALUE"""),59.97)</f>
        <v>59.97</v>
      </c>
      <c r="F2705" s="1">
        <f>IFERROR(__xludf.DUMMYFUNCTION("""COMPUTED_VALUE"""),1.3101681E7)</f>
        <v>13101681</v>
      </c>
    </row>
    <row r="2706">
      <c r="A2706" s="2">
        <f>IFERROR(__xludf.DUMMYFUNCTION("""COMPUTED_VALUE"""),40452.666666666664)</f>
        <v>40452.66667</v>
      </c>
      <c r="B2706" s="1">
        <f>IFERROR(__xludf.DUMMYFUNCTION("""COMPUTED_VALUE"""),60.09)</f>
        <v>60.09</v>
      </c>
      <c r="C2706" s="1">
        <f>IFERROR(__xludf.DUMMYFUNCTION("""COMPUTED_VALUE"""),60.37)</f>
        <v>60.37</v>
      </c>
      <c r="D2706" s="1">
        <f>IFERROR(__xludf.DUMMYFUNCTION("""COMPUTED_VALUE"""),59.95)</f>
        <v>59.95</v>
      </c>
      <c r="E2706" s="1">
        <f>IFERROR(__xludf.DUMMYFUNCTION("""COMPUTED_VALUE"""),60.16)</f>
        <v>60.16</v>
      </c>
      <c r="F2706" s="1">
        <f>IFERROR(__xludf.DUMMYFUNCTION("""COMPUTED_VALUE"""),1.0256245E7)</f>
        <v>10256245</v>
      </c>
    </row>
    <row r="2707">
      <c r="A2707" s="2">
        <f>IFERROR(__xludf.DUMMYFUNCTION("""COMPUTED_VALUE"""),40455.666666666664)</f>
        <v>40455.66667</v>
      </c>
      <c r="B2707" s="1">
        <f>IFERROR(__xludf.DUMMYFUNCTION("""COMPUTED_VALUE"""),60.01)</f>
        <v>60.01</v>
      </c>
      <c r="C2707" s="1">
        <f>IFERROR(__xludf.DUMMYFUNCTION("""COMPUTED_VALUE"""),60.35)</f>
        <v>60.35</v>
      </c>
      <c r="D2707" s="1">
        <f>IFERROR(__xludf.DUMMYFUNCTION("""COMPUTED_VALUE"""),59.68)</f>
        <v>59.68</v>
      </c>
      <c r="E2707" s="1">
        <f>IFERROR(__xludf.DUMMYFUNCTION("""COMPUTED_VALUE"""),59.96)</f>
        <v>59.96</v>
      </c>
      <c r="F2707" s="1">
        <f>IFERROR(__xludf.DUMMYFUNCTION("""COMPUTED_VALUE"""),1.1622044E7)</f>
        <v>11622044</v>
      </c>
    </row>
    <row r="2708">
      <c r="A2708" s="2">
        <f>IFERROR(__xludf.DUMMYFUNCTION("""COMPUTED_VALUE"""),40456.666666666664)</f>
        <v>40456.66667</v>
      </c>
      <c r="B2708" s="1">
        <f>IFERROR(__xludf.DUMMYFUNCTION("""COMPUTED_VALUE"""),60.26)</f>
        <v>60.26</v>
      </c>
      <c r="C2708" s="1">
        <f>IFERROR(__xludf.DUMMYFUNCTION("""COMPUTED_VALUE"""),60.91)</f>
        <v>60.91</v>
      </c>
      <c r="D2708" s="1">
        <f>IFERROR(__xludf.DUMMYFUNCTION("""COMPUTED_VALUE"""),59.99)</f>
        <v>59.99</v>
      </c>
      <c r="E2708" s="1">
        <f>IFERROR(__xludf.DUMMYFUNCTION("""COMPUTED_VALUE"""),60.82)</f>
        <v>60.82</v>
      </c>
      <c r="F2708" s="1">
        <f>IFERROR(__xludf.DUMMYFUNCTION("""COMPUTED_VALUE"""),1.1415463E7)</f>
        <v>11415463</v>
      </c>
    </row>
    <row r="2709">
      <c r="A2709" s="2">
        <f>IFERROR(__xludf.DUMMYFUNCTION("""COMPUTED_VALUE"""),40457.666666666664)</f>
        <v>40457.66667</v>
      </c>
      <c r="B2709" s="1">
        <f>IFERROR(__xludf.DUMMYFUNCTION("""COMPUTED_VALUE"""),60.75)</f>
        <v>60.75</v>
      </c>
      <c r="C2709" s="1">
        <f>IFERROR(__xludf.DUMMYFUNCTION("""COMPUTED_VALUE"""),60.99)</f>
        <v>60.99</v>
      </c>
      <c r="D2709" s="1">
        <f>IFERROR(__xludf.DUMMYFUNCTION("""COMPUTED_VALUE"""),60.66)</f>
        <v>60.66</v>
      </c>
      <c r="E2709" s="1">
        <f>IFERROR(__xludf.DUMMYFUNCTION("""COMPUTED_VALUE"""),60.79)</f>
        <v>60.79</v>
      </c>
      <c r="F2709" s="1">
        <f>IFERROR(__xludf.DUMMYFUNCTION("""COMPUTED_VALUE"""),5157900.0)</f>
        <v>5157900</v>
      </c>
    </row>
    <row r="2710">
      <c r="A2710" s="2">
        <f>IFERROR(__xludf.DUMMYFUNCTION("""COMPUTED_VALUE"""),40458.666666666664)</f>
        <v>40458.66667</v>
      </c>
      <c r="B2710" s="1">
        <f>IFERROR(__xludf.DUMMYFUNCTION("""COMPUTED_VALUE"""),60.99)</f>
        <v>60.99</v>
      </c>
      <c r="C2710" s="1">
        <f>IFERROR(__xludf.DUMMYFUNCTION("""COMPUTED_VALUE"""),61.14)</f>
        <v>61.14</v>
      </c>
      <c r="D2710" s="1">
        <f>IFERROR(__xludf.DUMMYFUNCTION("""COMPUTED_VALUE"""),60.75)</f>
        <v>60.75</v>
      </c>
      <c r="E2710" s="1">
        <f>IFERROR(__xludf.DUMMYFUNCTION("""COMPUTED_VALUE"""),60.8)</f>
        <v>60.8</v>
      </c>
      <c r="F2710" s="1">
        <f>IFERROR(__xludf.DUMMYFUNCTION("""COMPUTED_VALUE"""),2.325696E7)</f>
        <v>23256960</v>
      </c>
    </row>
    <row r="2711">
      <c r="A2711" s="2">
        <f>IFERROR(__xludf.DUMMYFUNCTION("""COMPUTED_VALUE"""),40459.666666666664)</f>
        <v>40459.66667</v>
      </c>
      <c r="B2711" s="1">
        <f>IFERROR(__xludf.DUMMYFUNCTION("""COMPUTED_VALUE"""),61.0)</f>
        <v>61</v>
      </c>
      <c r="C2711" s="1">
        <f>IFERROR(__xludf.DUMMYFUNCTION("""COMPUTED_VALUE"""),62.0)</f>
        <v>62</v>
      </c>
      <c r="D2711" s="1">
        <f>IFERROR(__xludf.DUMMYFUNCTION("""COMPUTED_VALUE"""),60.9)</f>
        <v>60.9</v>
      </c>
      <c r="E2711" s="1">
        <f>IFERROR(__xludf.DUMMYFUNCTION("""COMPUTED_VALUE"""),61.86)</f>
        <v>61.86</v>
      </c>
      <c r="F2711" s="1">
        <f>IFERROR(__xludf.DUMMYFUNCTION("""COMPUTED_VALUE"""),3.069504E7)</f>
        <v>30695040</v>
      </c>
    </row>
    <row r="2712">
      <c r="A2712" s="2">
        <f>IFERROR(__xludf.DUMMYFUNCTION("""COMPUTED_VALUE"""),40462.666666666664)</f>
        <v>40462.66667</v>
      </c>
      <c r="B2712" s="1">
        <f>IFERROR(__xludf.DUMMYFUNCTION("""COMPUTED_VALUE"""),61.92)</f>
        <v>61.92</v>
      </c>
      <c r="C2712" s="1">
        <f>IFERROR(__xludf.DUMMYFUNCTION("""COMPUTED_VALUE"""),62.21)</f>
        <v>62.21</v>
      </c>
      <c r="D2712" s="1">
        <f>IFERROR(__xludf.DUMMYFUNCTION("""COMPUTED_VALUE"""),61.86)</f>
        <v>61.86</v>
      </c>
      <c r="E2712" s="1">
        <f>IFERROR(__xludf.DUMMYFUNCTION("""COMPUTED_VALUE"""),62.14)</f>
        <v>62.14</v>
      </c>
      <c r="F2712" s="1">
        <f>IFERROR(__xludf.DUMMYFUNCTION("""COMPUTED_VALUE"""),7425409.0)</f>
        <v>7425409</v>
      </c>
    </row>
    <row r="2713">
      <c r="A2713" s="2">
        <f>IFERROR(__xludf.DUMMYFUNCTION("""COMPUTED_VALUE"""),40463.666666666664)</f>
        <v>40463.66667</v>
      </c>
      <c r="B2713" s="1">
        <f>IFERROR(__xludf.DUMMYFUNCTION("""COMPUTED_VALUE"""),62.01)</f>
        <v>62.01</v>
      </c>
      <c r="C2713" s="1">
        <f>IFERROR(__xludf.DUMMYFUNCTION("""COMPUTED_VALUE"""),62.18)</f>
        <v>62.18</v>
      </c>
      <c r="D2713" s="1">
        <f>IFERROR(__xludf.DUMMYFUNCTION("""COMPUTED_VALUE"""),61.56)</f>
        <v>61.56</v>
      </c>
      <c r="E2713" s="1">
        <f>IFERROR(__xludf.DUMMYFUNCTION("""COMPUTED_VALUE"""),62.02)</f>
        <v>62.02</v>
      </c>
      <c r="F2713" s="1">
        <f>IFERROR(__xludf.DUMMYFUNCTION("""COMPUTED_VALUE"""),2.4975296E7)</f>
        <v>24975296</v>
      </c>
    </row>
    <row r="2714">
      <c r="A2714" s="2">
        <f>IFERROR(__xludf.DUMMYFUNCTION("""COMPUTED_VALUE"""),40464.666666666664)</f>
        <v>40464.66667</v>
      </c>
      <c r="B2714" s="1">
        <f>IFERROR(__xludf.DUMMYFUNCTION("""COMPUTED_VALUE"""),62.23)</f>
        <v>62.23</v>
      </c>
      <c r="C2714" s="1">
        <f>IFERROR(__xludf.DUMMYFUNCTION("""COMPUTED_VALUE"""),62.93)</f>
        <v>62.93</v>
      </c>
      <c r="D2714" s="1">
        <f>IFERROR(__xludf.DUMMYFUNCTION("""COMPUTED_VALUE"""),62.08)</f>
        <v>62.08</v>
      </c>
      <c r="E2714" s="1">
        <f>IFERROR(__xludf.DUMMYFUNCTION("""COMPUTED_VALUE"""),62.63)</f>
        <v>62.63</v>
      </c>
      <c r="F2714" s="1">
        <f>IFERROR(__xludf.DUMMYFUNCTION("""COMPUTED_VALUE"""),9910046.0)</f>
        <v>9910046</v>
      </c>
    </row>
    <row r="2715">
      <c r="A2715" s="2">
        <f>IFERROR(__xludf.DUMMYFUNCTION("""COMPUTED_VALUE"""),40465.666666666664)</f>
        <v>40465.66667</v>
      </c>
      <c r="B2715" s="1">
        <f>IFERROR(__xludf.DUMMYFUNCTION("""COMPUTED_VALUE"""),62.67)</f>
        <v>62.67</v>
      </c>
      <c r="C2715" s="1">
        <f>IFERROR(__xludf.DUMMYFUNCTION("""COMPUTED_VALUE"""),62.84)</f>
        <v>62.84</v>
      </c>
      <c r="D2715" s="1">
        <f>IFERROR(__xludf.DUMMYFUNCTION("""COMPUTED_VALUE"""),62.52)</f>
        <v>62.52</v>
      </c>
      <c r="E2715" s="1">
        <f>IFERROR(__xludf.DUMMYFUNCTION("""COMPUTED_VALUE"""),62.8)</f>
        <v>62.8</v>
      </c>
      <c r="F2715" s="1">
        <f>IFERROR(__xludf.DUMMYFUNCTION("""COMPUTED_VALUE"""),8775219.0)</f>
        <v>8775219</v>
      </c>
    </row>
    <row r="2716">
      <c r="A2716" s="2">
        <f>IFERROR(__xludf.DUMMYFUNCTION("""COMPUTED_VALUE"""),40466.666666666664)</f>
        <v>40466.66667</v>
      </c>
      <c r="B2716" s="1">
        <f>IFERROR(__xludf.DUMMYFUNCTION("""COMPUTED_VALUE"""),62.97)</f>
        <v>62.97</v>
      </c>
      <c r="C2716" s="1">
        <f>IFERROR(__xludf.DUMMYFUNCTION("""COMPUTED_VALUE"""),63.0)</f>
        <v>63</v>
      </c>
      <c r="D2716" s="1">
        <f>IFERROR(__xludf.DUMMYFUNCTION("""COMPUTED_VALUE"""),62.55)</f>
        <v>62.55</v>
      </c>
      <c r="E2716" s="1">
        <f>IFERROR(__xludf.DUMMYFUNCTION("""COMPUTED_VALUE"""),62.76)</f>
        <v>62.76</v>
      </c>
      <c r="F2716" s="1">
        <f>IFERROR(__xludf.DUMMYFUNCTION("""COMPUTED_VALUE"""),9945512.0)</f>
        <v>9945512</v>
      </c>
    </row>
    <row r="2717">
      <c r="A2717" s="2">
        <f>IFERROR(__xludf.DUMMYFUNCTION("""COMPUTED_VALUE"""),40469.666666666664)</f>
        <v>40469.66667</v>
      </c>
      <c r="B2717" s="1">
        <f>IFERROR(__xludf.DUMMYFUNCTION("""COMPUTED_VALUE"""),62.88)</f>
        <v>62.88</v>
      </c>
      <c r="C2717" s="1">
        <f>IFERROR(__xludf.DUMMYFUNCTION("""COMPUTED_VALUE"""),63.52)</f>
        <v>63.52</v>
      </c>
      <c r="D2717" s="1">
        <f>IFERROR(__xludf.DUMMYFUNCTION("""COMPUTED_VALUE"""),62.64)</f>
        <v>62.64</v>
      </c>
      <c r="E2717" s="1">
        <f>IFERROR(__xludf.DUMMYFUNCTION("""COMPUTED_VALUE"""),63.35)</f>
        <v>63.35</v>
      </c>
      <c r="F2717" s="1">
        <f>IFERROR(__xludf.DUMMYFUNCTION("""COMPUTED_VALUE"""),1.1453591E7)</f>
        <v>11453591</v>
      </c>
    </row>
    <row r="2718">
      <c r="A2718" s="2">
        <f>IFERROR(__xludf.DUMMYFUNCTION("""COMPUTED_VALUE"""),40470.666666666664)</f>
        <v>40470.66667</v>
      </c>
      <c r="B2718" s="1">
        <f>IFERROR(__xludf.DUMMYFUNCTION("""COMPUTED_VALUE"""),62.98)</f>
        <v>62.98</v>
      </c>
      <c r="C2718" s="1">
        <f>IFERROR(__xludf.DUMMYFUNCTION("""COMPUTED_VALUE"""),63.56)</f>
        <v>63.56</v>
      </c>
      <c r="D2718" s="1">
        <f>IFERROR(__xludf.DUMMYFUNCTION("""COMPUTED_VALUE"""),62.9)</f>
        <v>62.9</v>
      </c>
      <c r="E2718" s="1">
        <f>IFERROR(__xludf.DUMMYFUNCTION("""COMPUTED_VALUE"""),63.18)</f>
        <v>63.18</v>
      </c>
      <c r="F2718" s="1">
        <f>IFERROR(__xludf.DUMMYFUNCTION("""COMPUTED_VALUE"""),1.2109071E7)</f>
        <v>12109071</v>
      </c>
    </row>
    <row r="2719">
      <c r="A2719" s="2">
        <f>IFERROR(__xludf.DUMMYFUNCTION("""COMPUTED_VALUE"""),40471.666666666664)</f>
        <v>40471.66667</v>
      </c>
      <c r="B2719" s="1">
        <f>IFERROR(__xludf.DUMMYFUNCTION("""COMPUTED_VALUE"""),62.88)</f>
        <v>62.88</v>
      </c>
      <c r="C2719" s="1">
        <f>IFERROR(__xludf.DUMMYFUNCTION("""COMPUTED_VALUE"""),63.62)</f>
        <v>63.62</v>
      </c>
      <c r="D2719" s="1">
        <f>IFERROR(__xludf.DUMMYFUNCTION("""COMPUTED_VALUE"""),62.77)</f>
        <v>62.77</v>
      </c>
      <c r="E2719" s="1">
        <f>IFERROR(__xludf.DUMMYFUNCTION("""COMPUTED_VALUE"""),63.37)</f>
        <v>63.37</v>
      </c>
      <c r="F2719" s="1">
        <f>IFERROR(__xludf.DUMMYFUNCTION("""COMPUTED_VALUE"""),1.0347571E7)</f>
        <v>10347571</v>
      </c>
    </row>
    <row r="2720">
      <c r="A2720" s="2">
        <f>IFERROR(__xludf.DUMMYFUNCTION("""COMPUTED_VALUE"""),40472.666666666664)</f>
        <v>40472.66667</v>
      </c>
      <c r="B2720" s="1">
        <f>IFERROR(__xludf.DUMMYFUNCTION("""COMPUTED_VALUE"""),63.59)</f>
        <v>63.59</v>
      </c>
      <c r="C2720" s="1">
        <f>IFERROR(__xludf.DUMMYFUNCTION("""COMPUTED_VALUE"""),63.98)</f>
        <v>63.98</v>
      </c>
      <c r="D2720" s="1">
        <f>IFERROR(__xludf.DUMMYFUNCTION("""COMPUTED_VALUE"""),62.6)</f>
        <v>62.6</v>
      </c>
      <c r="E2720" s="1">
        <f>IFERROR(__xludf.DUMMYFUNCTION("""COMPUTED_VALUE"""),63.51)</f>
        <v>63.51</v>
      </c>
      <c r="F2720" s="1">
        <f>IFERROR(__xludf.DUMMYFUNCTION("""COMPUTED_VALUE"""),9645035.0)</f>
        <v>9645035</v>
      </c>
    </row>
    <row r="2721">
      <c r="A2721" s="2">
        <f>IFERROR(__xludf.DUMMYFUNCTION("""COMPUTED_VALUE"""),40473.666666666664)</f>
        <v>40473.66667</v>
      </c>
      <c r="B2721" s="1">
        <f>IFERROR(__xludf.DUMMYFUNCTION("""COMPUTED_VALUE"""),63.53)</f>
        <v>63.53</v>
      </c>
      <c r="C2721" s="1">
        <f>IFERROR(__xludf.DUMMYFUNCTION("""COMPUTED_VALUE"""),63.7)</f>
        <v>63.7</v>
      </c>
      <c r="D2721" s="1">
        <f>IFERROR(__xludf.DUMMYFUNCTION("""COMPUTED_VALUE"""),63.13)</f>
        <v>63.13</v>
      </c>
      <c r="E2721" s="1">
        <f>IFERROR(__xludf.DUMMYFUNCTION("""COMPUTED_VALUE"""),63.4)</f>
        <v>63.4</v>
      </c>
      <c r="F2721" s="1">
        <f>IFERROR(__xludf.DUMMYFUNCTION("""COMPUTED_VALUE"""),5933316.0)</f>
        <v>5933316</v>
      </c>
    </row>
    <row r="2722">
      <c r="A2722" s="2">
        <f>IFERROR(__xludf.DUMMYFUNCTION("""COMPUTED_VALUE"""),40476.666666666664)</f>
        <v>40476.66667</v>
      </c>
      <c r="B2722" s="1">
        <f>IFERROR(__xludf.DUMMYFUNCTION("""COMPUTED_VALUE"""),63.73)</f>
        <v>63.73</v>
      </c>
      <c r="C2722" s="1">
        <f>IFERROR(__xludf.DUMMYFUNCTION("""COMPUTED_VALUE"""),63.81)</f>
        <v>63.81</v>
      </c>
      <c r="D2722" s="1">
        <f>IFERROR(__xludf.DUMMYFUNCTION("""COMPUTED_VALUE"""),63.48)</f>
        <v>63.48</v>
      </c>
      <c r="E2722" s="1">
        <f>IFERROR(__xludf.DUMMYFUNCTION("""COMPUTED_VALUE"""),63.54)</f>
        <v>63.54</v>
      </c>
      <c r="F2722" s="1">
        <f>IFERROR(__xludf.DUMMYFUNCTION("""COMPUTED_VALUE"""),8928504.0)</f>
        <v>8928504</v>
      </c>
    </row>
    <row r="2723">
      <c r="A2723" s="2">
        <f>IFERROR(__xludf.DUMMYFUNCTION("""COMPUTED_VALUE"""),40477.666666666664)</f>
        <v>40477.66667</v>
      </c>
      <c r="B2723" s="1">
        <f>IFERROR(__xludf.DUMMYFUNCTION("""COMPUTED_VALUE"""),63.12)</f>
        <v>63.12</v>
      </c>
      <c r="C2723" s="1">
        <f>IFERROR(__xludf.DUMMYFUNCTION("""COMPUTED_VALUE"""),63.44)</f>
        <v>63.44</v>
      </c>
      <c r="D2723" s="1">
        <f>IFERROR(__xludf.DUMMYFUNCTION("""COMPUTED_VALUE"""),62.52)</f>
        <v>62.52</v>
      </c>
      <c r="E2723" s="1">
        <f>IFERROR(__xludf.DUMMYFUNCTION("""COMPUTED_VALUE"""),62.86)</f>
        <v>62.86</v>
      </c>
      <c r="F2723" s="1">
        <f>IFERROR(__xludf.DUMMYFUNCTION("""COMPUTED_VALUE"""),1.2938847E7)</f>
        <v>12938847</v>
      </c>
    </row>
    <row r="2724">
      <c r="A2724" s="2">
        <f>IFERROR(__xludf.DUMMYFUNCTION("""COMPUTED_VALUE"""),40478.666666666664)</f>
        <v>40478.66667</v>
      </c>
      <c r="B2724" s="1">
        <f>IFERROR(__xludf.DUMMYFUNCTION("""COMPUTED_VALUE"""),63.33)</f>
        <v>63.33</v>
      </c>
      <c r="C2724" s="1">
        <f>IFERROR(__xludf.DUMMYFUNCTION("""COMPUTED_VALUE"""),63.35)</f>
        <v>63.35</v>
      </c>
      <c r="D2724" s="1">
        <f>IFERROR(__xludf.DUMMYFUNCTION("""COMPUTED_VALUE"""),62.73)</f>
        <v>62.73</v>
      </c>
      <c r="E2724" s="1">
        <f>IFERROR(__xludf.DUMMYFUNCTION("""COMPUTED_VALUE"""),63.08)</f>
        <v>63.08</v>
      </c>
      <c r="F2724" s="1">
        <f>IFERROR(__xludf.DUMMYFUNCTION("""COMPUTED_VALUE"""),1.3355568E7)</f>
        <v>13355568</v>
      </c>
    </row>
    <row r="2725">
      <c r="A2725" s="2">
        <f>IFERROR(__xludf.DUMMYFUNCTION("""COMPUTED_VALUE"""),40479.666666666664)</f>
        <v>40479.66667</v>
      </c>
      <c r="B2725" s="1">
        <f>IFERROR(__xludf.DUMMYFUNCTION("""COMPUTED_VALUE"""),63.13)</f>
        <v>63.13</v>
      </c>
      <c r="C2725" s="1">
        <f>IFERROR(__xludf.DUMMYFUNCTION("""COMPUTED_VALUE"""),63.56)</f>
        <v>63.56</v>
      </c>
      <c r="D2725" s="1">
        <f>IFERROR(__xludf.DUMMYFUNCTION("""COMPUTED_VALUE"""),63.07)</f>
        <v>63.07</v>
      </c>
      <c r="E2725" s="1">
        <f>IFERROR(__xludf.DUMMYFUNCTION("""COMPUTED_VALUE"""),63.19)</f>
        <v>63.19</v>
      </c>
      <c r="F2725" s="1">
        <f>IFERROR(__xludf.DUMMYFUNCTION("""COMPUTED_VALUE"""),9232024.0)</f>
        <v>9232024</v>
      </c>
    </row>
    <row r="2726">
      <c r="A2726" s="2">
        <f>IFERROR(__xludf.DUMMYFUNCTION("""COMPUTED_VALUE"""),40480.666666666664)</f>
        <v>40480.66667</v>
      </c>
      <c r="B2726" s="1">
        <f>IFERROR(__xludf.DUMMYFUNCTION("""COMPUTED_VALUE"""),63.23)</f>
        <v>63.23</v>
      </c>
      <c r="C2726" s="1">
        <f>IFERROR(__xludf.DUMMYFUNCTION("""COMPUTED_VALUE"""),63.85)</f>
        <v>63.85</v>
      </c>
      <c r="D2726" s="1">
        <f>IFERROR(__xludf.DUMMYFUNCTION("""COMPUTED_VALUE"""),63.19)</f>
        <v>63.19</v>
      </c>
      <c r="E2726" s="1">
        <f>IFERROR(__xludf.DUMMYFUNCTION("""COMPUTED_VALUE"""),63.57)</f>
        <v>63.57</v>
      </c>
      <c r="F2726" s="1">
        <f>IFERROR(__xludf.DUMMYFUNCTION("""COMPUTED_VALUE"""),1.137224E7)</f>
        <v>11372240</v>
      </c>
    </row>
    <row r="2727">
      <c r="A2727" s="2">
        <f>IFERROR(__xludf.DUMMYFUNCTION("""COMPUTED_VALUE"""),40483.666666666664)</f>
        <v>40483.66667</v>
      </c>
      <c r="B2727" s="1">
        <f>IFERROR(__xludf.DUMMYFUNCTION("""COMPUTED_VALUE"""),63.88)</f>
        <v>63.88</v>
      </c>
      <c r="C2727" s="1">
        <f>IFERROR(__xludf.DUMMYFUNCTION("""COMPUTED_VALUE"""),64.14)</f>
        <v>64.14</v>
      </c>
      <c r="D2727" s="1">
        <f>IFERROR(__xludf.DUMMYFUNCTION("""COMPUTED_VALUE"""),63.4)</f>
        <v>63.4</v>
      </c>
      <c r="E2727" s="1">
        <f>IFERROR(__xludf.DUMMYFUNCTION("""COMPUTED_VALUE"""),63.62)</f>
        <v>63.62</v>
      </c>
      <c r="F2727" s="1">
        <f>IFERROR(__xludf.DUMMYFUNCTION("""COMPUTED_VALUE"""),1.1929284E7)</f>
        <v>11929284</v>
      </c>
    </row>
    <row r="2728">
      <c r="A2728" s="2">
        <f>IFERROR(__xludf.DUMMYFUNCTION("""COMPUTED_VALUE"""),40484.666666666664)</f>
        <v>40484.66667</v>
      </c>
      <c r="B2728" s="1">
        <f>IFERROR(__xludf.DUMMYFUNCTION("""COMPUTED_VALUE"""),63.87)</f>
        <v>63.87</v>
      </c>
      <c r="C2728" s="1">
        <f>IFERROR(__xludf.DUMMYFUNCTION("""COMPUTED_VALUE"""),64.28)</f>
        <v>64.28</v>
      </c>
      <c r="D2728" s="1">
        <f>IFERROR(__xludf.DUMMYFUNCTION("""COMPUTED_VALUE"""),63.85)</f>
        <v>63.85</v>
      </c>
      <c r="E2728" s="1">
        <f>IFERROR(__xludf.DUMMYFUNCTION("""COMPUTED_VALUE"""),64.02)</f>
        <v>64.02</v>
      </c>
      <c r="F2728" s="1">
        <f>IFERROR(__xludf.DUMMYFUNCTION("""COMPUTED_VALUE"""),8128909.0)</f>
        <v>8128909</v>
      </c>
    </row>
    <row r="2729">
      <c r="A2729" s="2">
        <f>IFERROR(__xludf.DUMMYFUNCTION("""COMPUTED_VALUE"""),40485.666666666664)</f>
        <v>40485.66667</v>
      </c>
      <c r="B2729" s="1">
        <f>IFERROR(__xludf.DUMMYFUNCTION("""COMPUTED_VALUE"""),64.0)</f>
        <v>64</v>
      </c>
      <c r="C2729" s="1">
        <f>IFERROR(__xludf.DUMMYFUNCTION("""COMPUTED_VALUE"""),64.36)</f>
        <v>64.36</v>
      </c>
      <c r="D2729" s="1">
        <f>IFERROR(__xludf.DUMMYFUNCTION("""COMPUTED_VALUE"""),63.83)</f>
        <v>63.83</v>
      </c>
      <c r="E2729" s="1">
        <f>IFERROR(__xludf.DUMMYFUNCTION("""COMPUTED_VALUE"""),64.31)</f>
        <v>64.31</v>
      </c>
      <c r="F2729" s="1">
        <f>IFERROR(__xludf.DUMMYFUNCTION("""COMPUTED_VALUE"""),8622079.0)</f>
        <v>8622079</v>
      </c>
    </row>
    <row r="2730">
      <c r="A2730" s="2">
        <f>IFERROR(__xludf.DUMMYFUNCTION("""COMPUTED_VALUE"""),40486.666666666664)</f>
        <v>40486.66667</v>
      </c>
      <c r="B2730" s="1">
        <f>IFERROR(__xludf.DUMMYFUNCTION("""COMPUTED_VALUE"""),64.53)</f>
        <v>64.53</v>
      </c>
      <c r="C2730" s="1">
        <f>IFERROR(__xludf.DUMMYFUNCTION("""COMPUTED_VALUE"""),65.0)</f>
        <v>65</v>
      </c>
      <c r="D2730" s="1">
        <f>IFERROR(__xludf.DUMMYFUNCTION("""COMPUTED_VALUE"""),64.39)</f>
        <v>64.39</v>
      </c>
      <c r="E2730" s="1">
        <f>IFERROR(__xludf.DUMMYFUNCTION("""COMPUTED_VALUE"""),65.0)</f>
        <v>65</v>
      </c>
      <c r="F2730" s="1">
        <f>IFERROR(__xludf.DUMMYFUNCTION("""COMPUTED_VALUE"""),1.1807437E7)</f>
        <v>11807437</v>
      </c>
    </row>
    <row r="2731">
      <c r="A2731" s="2">
        <f>IFERROR(__xludf.DUMMYFUNCTION("""COMPUTED_VALUE"""),40487.666666666664)</f>
        <v>40487.66667</v>
      </c>
      <c r="B2731" s="1">
        <f>IFERROR(__xludf.DUMMYFUNCTION("""COMPUTED_VALUE"""),64.91)</f>
        <v>64.91</v>
      </c>
      <c r="C2731" s="1">
        <f>IFERROR(__xludf.DUMMYFUNCTION("""COMPUTED_VALUE"""),65.0)</f>
        <v>65</v>
      </c>
      <c r="D2731" s="1">
        <f>IFERROR(__xludf.DUMMYFUNCTION("""COMPUTED_VALUE"""),64.62)</f>
        <v>64.62</v>
      </c>
      <c r="E2731" s="1">
        <f>IFERROR(__xludf.DUMMYFUNCTION("""COMPUTED_VALUE"""),65.0)</f>
        <v>65</v>
      </c>
      <c r="F2731" s="1">
        <f>IFERROR(__xludf.DUMMYFUNCTION("""COMPUTED_VALUE"""),9749649.0)</f>
        <v>9749649</v>
      </c>
    </row>
    <row r="2732">
      <c r="A2732" s="2">
        <f>IFERROR(__xludf.DUMMYFUNCTION("""COMPUTED_VALUE"""),40490.666666666664)</f>
        <v>40490.66667</v>
      </c>
      <c r="B2732" s="1">
        <f>IFERROR(__xludf.DUMMYFUNCTION("""COMPUTED_VALUE"""),64.87)</f>
        <v>64.87</v>
      </c>
      <c r="C2732" s="1">
        <f>IFERROR(__xludf.DUMMYFUNCTION("""COMPUTED_VALUE"""),64.92)</f>
        <v>64.92</v>
      </c>
      <c r="D2732" s="1">
        <f>IFERROR(__xludf.DUMMYFUNCTION("""COMPUTED_VALUE"""),64.57)</f>
        <v>64.57</v>
      </c>
      <c r="E2732" s="1">
        <f>IFERROR(__xludf.DUMMYFUNCTION("""COMPUTED_VALUE"""),64.75)</f>
        <v>64.75</v>
      </c>
      <c r="F2732" s="1">
        <f>IFERROR(__xludf.DUMMYFUNCTION("""COMPUTED_VALUE"""),7203529.0)</f>
        <v>7203529</v>
      </c>
    </row>
    <row r="2733">
      <c r="A2733" s="2">
        <f>IFERROR(__xludf.DUMMYFUNCTION("""COMPUTED_VALUE"""),40491.666666666664)</f>
        <v>40491.66667</v>
      </c>
      <c r="B2733" s="1">
        <f>IFERROR(__xludf.DUMMYFUNCTION("""COMPUTED_VALUE"""),64.78)</f>
        <v>64.78</v>
      </c>
      <c r="C2733" s="1">
        <f>IFERROR(__xludf.DUMMYFUNCTION("""COMPUTED_VALUE"""),64.94)</f>
        <v>64.94</v>
      </c>
      <c r="D2733" s="1">
        <f>IFERROR(__xludf.DUMMYFUNCTION("""COMPUTED_VALUE"""),64.61)</f>
        <v>64.61</v>
      </c>
      <c r="E2733" s="1">
        <f>IFERROR(__xludf.DUMMYFUNCTION("""COMPUTED_VALUE"""),64.81)</f>
        <v>64.81</v>
      </c>
      <c r="F2733" s="1">
        <f>IFERROR(__xludf.DUMMYFUNCTION("""COMPUTED_VALUE"""),8463160.0)</f>
        <v>8463160</v>
      </c>
    </row>
    <row r="2734">
      <c r="A2734" s="2">
        <f>IFERROR(__xludf.DUMMYFUNCTION("""COMPUTED_VALUE"""),40492.666666666664)</f>
        <v>40492.66667</v>
      </c>
      <c r="B2734" s="1">
        <f>IFERROR(__xludf.DUMMYFUNCTION("""COMPUTED_VALUE"""),64.67)</f>
        <v>64.67</v>
      </c>
      <c r="C2734" s="1">
        <f>IFERROR(__xludf.DUMMYFUNCTION("""COMPUTED_VALUE"""),64.8)</f>
        <v>64.8</v>
      </c>
      <c r="D2734" s="1">
        <f>IFERROR(__xludf.DUMMYFUNCTION("""COMPUTED_VALUE"""),64.36)</f>
        <v>64.36</v>
      </c>
      <c r="E2734" s="1">
        <f>IFERROR(__xludf.DUMMYFUNCTION("""COMPUTED_VALUE"""),64.57)</f>
        <v>64.57</v>
      </c>
      <c r="F2734" s="1">
        <f>IFERROR(__xludf.DUMMYFUNCTION("""COMPUTED_VALUE"""),8153140.0)</f>
        <v>8153140</v>
      </c>
    </row>
    <row r="2735">
      <c r="A2735" s="2">
        <f>IFERROR(__xludf.DUMMYFUNCTION("""COMPUTED_VALUE"""),40493.666666666664)</f>
        <v>40493.66667</v>
      </c>
      <c r="B2735" s="1">
        <f>IFERROR(__xludf.DUMMYFUNCTION("""COMPUTED_VALUE"""),64.32)</f>
        <v>64.32</v>
      </c>
      <c r="C2735" s="1">
        <f>IFERROR(__xludf.DUMMYFUNCTION("""COMPUTED_VALUE"""),64.58)</f>
        <v>64.58</v>
      </c>
      <c r="D2735" s="1">
        <f>IFERROR(__xludf.DUMMYFUNCTION("""COMPUTED_VALUE"""),64.06)</f>
        <v>64.06</v>
      </c>
      <c r="E2735" s="1">
        <f>IFERROR(__xludf.DUMMYFUNCTION("""COMPUTED_VALUE"""),64.36)</f>
        <v>64.36</v>
      </c>
      <c r="F2735" s="1">
        <f>IFERROR(__xludf.DUMMYFUNCTION("""COMPUTED_VALUE"""),7003881.0)</f>
        <v>7003881</v>
      </c>
    </row>
    <row r="2736">
      <c r="A2736" s="2">
        <f>IFERROR(__xludf.DUMMYFUNCTION("""COMPUTED_VALUE"""),40494.666666666664)</f>
        <v>40494.66667</v>
      </c>
      <c r="B2736" s="1">
        <f>IFERROR(__xludf.DUMMYFUNCTION("""COMPUTED_VALUE"""),64.26)</f>
        <v>64.26</v>
      </c>
      <c r="C2736" s="1">
        <f>IFERROR(__xludf.DUMMYFUNCTION("""COMPUTED_VALUE"""),64.52)</f>
        <v>64.52</v>
      </c>
      <c r="D2736" s="1">
        <f>IFERROR(__xludf.DUMMYFUNCTION("""COMPUTED_VALUE"""),64.02)</f>
        <v>64.02</v>
      </c>
      <c r="E2736" s="1">
        <f>IFERROR(__xludf.DUMMYFUNCTION("""COMPUTED_VALUE"""),64.33)</f>
        <v>64.33</v>
      </c>
      <c r="F2736" s="1">
        <f>IFERROR(__xludf.DUMMYFUNCTION("""COMPUTED_VALUE"""),9284549.0)</f>
        <v>9284549</v>
      </c>
    </row>
    <row r="2737">
      <c r="A2737" s="2">
        <f>IFERROR(__xludf.DUMMYFUNCTION("""COMPUTED_VALUE"""),40497.666666666664)</f>
        <v>40497.66667</v>
      </c>
      <c r="B2737" s="1">
        <f>IFERROR(__xludf.DUMMYFUNCTION("""COMPUTED_VALUE"""),64.55)</f>
        <v>64.55</v>
      </c>
      <c r="C2737" s="1">
        <f>IFERROR(__xludf.DUMMYFUNCTION("""COMPUTED_VALUE"""),64.91)</f>
        <v>64.91</v>
      </c>
      <c r="D2737" s="1">
        <f>IFERROR(__xludf.DUMMYFUNCTION("""COMPUTED_VALUE"""),64.14)</f>
        <v>64.14</v>
      </c>
      <c r="E2737" s="1">
        <f>IFERROR(__xludf.DUMMYFUNCTION("""COMPUTED_VALUE"""),64.29)</f>
        <v>64.29</v>
      </c>
      <c r="F2737" s="1">
        <f>IFERROR(__xludf.DUMMYFUNCTION("""COMPUTED_VALUE"""),1.0862429E7)</f>
        <v>10862429</v>
      </c>
    </row>
    <row r="2738">
      <c r="A2738" s="2">
        <f>IFERROR(__xludf.DUMMYFUNCTION("""COMPUTED_VALUE"""),40498.666666666664)</f>
        <v>40498.66667</v>
      </c>
      <c r="B2738" s="1">
        <f>IFERROR(__xludf.DUMMYFUNCTION("""COMPUTED_VALUE"""),64.36)</f>
        <v>64.36</v>
      </c>
      <c r="C2738" s="1">
        <f>IFERROR(__xludf.DUMMYFUNCTION("""COMPUTED_VALUE"""),64.37)</f>
        <v>64.37</v>
      </c>
      <c r="D2738" s="1">
        <f>IFERROR(__xludf.DUMMYFUNCTION("""COMPUTED_VALUE"""),63.1)</f>
        <v>63.1</v>
      </c>
      <c r="E2738" s="1">
        <f>IFERROR(__xludf.DUMMYFUNCTION("""COMPUTED_VALUE"""),63.45)</f>
        <v>63.45</v>
      </c>
      <c r="F2738" s="1">
        <f>IFERROR(__xludf.DUMMYFUNCTION("""COMPUTED_VALUE"""),1.4400503E7)</f>
        <v>14400503</v>
      </c>
    </row>
    <row r="2739">
      <c r="A2739" s="2">
        <f>IFERROR(__xludf.DUMMYFUNCTION("""COMPUTED_VALUE"""),40499.666666666664)</f>
        <v>40499.66667</v>
      </c>
      <c r="B2739" s="1">
        <f>IFERROR(__xludf.DUMMYFUNCTION("""COMPUTED_VALUE"""),63.39)</f>
        <v>63.39</v>
      </c>
      <c r="C2739" s="1">
        <f>IFERROR(__xludf.DUMMYFUNCTION("""COMPUTED_VALUE"""),63.5)</f>
        <v>63.5</v>
      </c>
      <c r="D2739" s="1">
        <f>IFERROR(__xludf.DUMMYFUNCTION("""COMPUTED_VALUE"""),63.14)</f>
        <v>63.14</v>
      </c>
      <c r="E2739" s="1">
        <f>IFERROR(__xludf.DUMMYFUNCTION("""COMPUTED_VALUE"""),63.27)</f>
        <v>63.27</v>
      </c>
      <c r="F2739" s="1">
        <f>IFERROR(__xludf.DUMMYFUNCTION("""COMPUTED_VALUE"""),7939224.0)</f>
        <v>7939224</v>
      </c>
    </row>
    <row r="2740">
      <c r="A2740" s="2">
        <f>IFERROR(__xludf.DUMMYFUNCTION("""COMPUTED_VALUE"""),40500.666666666664)</f>
        <v>40500.66667</v>
      </c>
      <c r="B2740" s="1">
        <f>IFERROR(__xludf.DUMMYFUNCTION("""COMPUTED_VALUE"""),63.59)</f>
        <v>63.59</v>
      </c>
      <c r="C2740" s="1">
        <f>IFERROR(__xludf.DUMMYFUNCTION("""COMPUTED_VALUE"""),64.27)</f>
        <v>64.27</v>
      </c>
      <c r="D2740" s="1">
        <f>IFERROR(__xludf.DUMMYFUNCTION("""COMPUTED_VALUE"""),63.51)</f>
        <v>63.51</v>
      </c>
      <c r="E2740" s="1">
        <f>IFERROR(__xludf.DUMMYFUNCTION("""COMPUTED_VALUE"""),64.02)</f>
        <v>64.02</v>
      </c>
      <c r="F2740" s="1">
        <f>IFERROR(__xludf.DUMMYFUNCTION("""COMPUTED_VALUE"""),1.1296673E7)</f>
        <v>11296673</v>
      </c>
    </row>
    <row r="2741">
      <c r="A2741" s="2">
        <f>IFERROR(__xludf.DUMMYFUNCTION("""COMPUTED_VALUE"""),40501.666666666664)</f>
        <v>40501.66667</v>
      </c>
      <c r="B2741" s="1">
        <f>IFERROR(__xludf.DUMMYFUNCTION("""COMPUTED_VALUE"""),64.23)</f>
        <v>64.23</v>
      </c>
      <c r="C2741" s="1">
        <f>IFERROR(__xludf.DUMMYFUNCTION("""COMPUTED_VALUE"""),64.24)</f>
        <v>64.24</v>
      </c>
      <c r="D2741" s="1">
        <f>IFERROR(__xludf.DUMMYFUNCTION("""COMPUTED_VALUE"""),63.61)</f>
        <v>63.61</v>
      </c>
      <c r="E2741" s="1">
        <f>IFERROR(__xludf.DUMMYFUNCTION("""COMPUTED_VALUE"""),64.05)</f>
        <v>64.05</v>
      </c>
      <c r="F2741" s="1">
        <f>IFERROR(__xludf.DUMMYFUNCTION("""COMPUTED_VALUE"""),9495782.0)</f>
        <v>9495782</v>
      </c>
    </row>
    <row r="2742">
      <c r="A2742" s="2">
        <f>IFERROR(__xludf.DUMMYFUNCTION("""COMPUTED_VALUE"""),40504.666666666664)</f>
        <v>40504.66667</v>
      </c>
      <c r="B2742" s="1">
        <f>IFERROR(__xludf.DUMMYFUNCTION("""COMPUTED_VALUE"""),63.58)</f>
        <v>63.58</v>
      </c>
      <c r="C2742" s="1">
        <f>IFERROR(__xludf.DUMMYFUNCTION("""COMPUTED_VALUE"""),63.79)</f>
        <v>63.79</v>
      </c>
      <c r="D2742" s="1">
        <f>IFERROR(__xludf.DUMMYFUNCTION("""COMPUTED_VALUE"""),63.03)</f>
        <v>63.03</v>
      </c>
      <c r="E2742" s="1">
        <f>IFERROR(__xludf.DUMMYFUNCTION("""COMPUTED_VALUE"""),63.56)</f>
        <v>63.56</v>
      </c>
      <c r="F2742" s="1">
        <f>IFERROR(__xludf.DUMMYFUNCTION("""COMPUTED_VALUE"""),9142312.0)</f>
        <v>9142312</v>
      </c>
    </row>
    <row r="2743">
      <c r="A2743" s="2">
        <f>IFERROR(__xludf.DUMMYFUNCTION("""COMPUTED_VALUE"""),40505.666666666664)</f>
        <v>40505.66667</v>
      </c>
      <c r="B2743" s="1">
        <f>IFERROR(__xludf.DUMMYFUNCTION("""COMPUTED_VALUE"""),63.07)</f>
        <v>63.07</v>
      </c>
      <c r="C2743" s="1">
        <f>IFERROR(__xludf.DUMMYFUNCTION("""COMPUTED_VALUE"""),63.13)</f>
        <v>63.13</v>
      </c>
      <c r="D2743" s="1">
        <f>IFERROR(__xludf.DUMMYFUNCTION("""COMPUTED_VALUE"""),62.32)</f>
        <v>62.32</v>
      </c>
      <c r="E2743" s="1">
        <f>IFERROR(__xludf.DUMMYFUNCTION("""COMPUTED_VALUE"""),62.61)</f>
        <v>62.61</v>
      </c>
      <c r="F2743" s="1">
        <f>IFERROR(__xludf.DUMMYFUNCTION("""COMPUTED_VALUE"""),1.0489591E7)</f>
        <v>10489591</v>
      </c>
    </row>
    <row r="2744">
      <c r="A2744" s="2">
        <f>IFERROR(__xludf.DUMMYFUNCTION("""COMPUTED_VALUE"""),40506.666666666664)</f>
        <v>40506.66667</v>
      </c>
      <c r="B2744" s="1">
        <f>IFERROR(__xludf.DUMMYFUNCTION("""COMPUTED_VALUE"""),62.96)</f>
        <v>62.96</v>
      </c>
      <c r="C2744" s="1">
        <f>IFERROR(__xludf.DUMMYFUNCTION("""COMPUTED_VALUE"""),62.97)</f>
        <v>62.97</v>
      </c>
      <c r="D2744" s="1">
        <f>IFERROR(__xludf.DUMMYFUNCTION("""COMPUTED_VALUE"""),62.4)</f>
        <v>62.4</v>
      </c>
      <c r="E2744" s="1">
        <f>IFERROR(__xludf.DUMMYFUNCTION("""COMPUTED_VALUE"""),62.6)</f>
        <v>62.6</v>
      </c>
      <c r="F2744" s="1">
        <f>IFERROR(__xludf.DUMMYFUNCTION("""COMPUTED_VALUE"""),8770331.0)</f>
        <v>8770331</v>
      </c>
    </row>
    <row r="2745">
      <c r="A2745" s="2">
        <f>IFERROR(__xludf.DUMMYFUNCTION("""COMPUTED_VALUE"""),40508.666666666664)</f>
        <v>40508.66667</v>
      </c>
      <c r="B2745" s="1">
        <f>IFERROR(__xludf.DUMMYFUNCTION("""COMPUTED_VALUE"""),62.28)</f>
        <v>62.28</v>
      </c>
      <c r="C2745" s="1">
        <f>IFERROR(__xludf.DUMMYFUNCTION("""COMPUTED_VALUE"""),62.5)</f>
        <v>62.5</v>
      </c>
      <c r="D2745" s="1">
        <f>IFERROR(__xludf.DUMMYFUNCTION("""COMPUTED_VALUE"""),62.03)</f>
        <v>62.03</v>
      </c>
      <c r="E2745" s="1">
        <f>IFERROR(__xludf.DUMMYFUNCTION("""COMPUTED_VALUE"""),62.13)</f>
        <v>62.13</v>
      </c>
      <c r="F2745" s="1">
        <f>IFERROR(__xludf.DUMMYFUNCTION("""COMPUTED_VALUE"""),3916474.0)</f>
        <v>3916474</v>
      </c>
    </row>
    <row r="2746">
      <c r="A2746" s="2">
        <f>IFERROR(__xludf.DUMMYFUNCTION("""COMPUTED_VALUE"""),40511.666666666664)</f>
        <v>40511.66667</v>
      </c>
      <c r="B2746" s="1">
        <f>IFERROR(__xludf.DUMMYFUNCTION("""COMPUTED_VALUE"""),62.05)</f>
        <v>62.05</v>
      </c>
      <c r="C2746" s="1">
        <f>IFERROR(__xludf.DUMMYFUNCTION("""COMPUTED_VALUE"""),62.24)</f>
        <v>62.24</v>
      </c>
      <c r="D2746" s="1">
        <f>IFERROR(__xludf.DUMMYFUNCTION("""COMPUTED_VALUE"""),61.67)</f>
        <v>61.67</v>
      </c>
      <c r="E2746" s="1">
        <f>IFERROR(__xludf.DUMMYFUNCTION("""COMPUTED_VALUE"""),62.13)</f>
        <v>62.13</v>
      </c>
      <c r="F2746" s="1">
        <f>IFERROR(__xludf.DUMMYFUNCTION("""COMPUTED_VALUE"""),8433850.0)</f>
        <v>8433850</v>
      </c>
    </row>
    <row r="2747">
      <c r="A2747" s="2">
        <f>IFERROR(__xludf.DUMMYFUNCTION("""COMPUTED_VALUE"""),40512.666666666664)</f>
        <v>40512.66667</v>
      </c>
      <c r="B2747" s="1">
        <f>IFERROR(__xludf.DUMMYFUNCTION("""COMPUTED_VALUE"""),61.51)</f>
        <v>61.51</v>
      </c>
      <c r="C2747" s="1">
        <f>IFERROR(__xludf.DUMMYFUNCTION("""COMPUTED_VALUE"""),61.66)</f>
        <v>61.66</v>
      </c>
      <c r="D2747" s="1">
        <f>IFERROR(__xludf.DUMMYFUNCTION("""COMPUTED_VALUE"""),61.02)</f>
        <v>61.02</v>
      </c>
      <c r="E2747" s="1">
        <f>IFERROR(__xludf.DUMMYFUNCTION("""COMPUTED_VALUE"""),61.07)</f>
        <v>61.07</v>
      </c>
      <c r="F2747" s="1">
        <f>IFERROR(__xludf.DUMMYFUNCTION("""COMPUTED_VALUE"""),1.7678966E7)</f>
        <v>17678966</v>
      </c>
    </row>
    <row r="2748">
      <c r="A2748" s="2">
        <f>IFERROR(__xludf.DUMMYFUNCTION("""COMPUTED_VALUE"""),40513.666666666664)</f>
        <v>40513.66667</v>
      </c>
      <c r="B2748" s="1">
        <f>IFERROR(__xludf.DUMMYFUNCTION("""COMPUTED_VALUE"""),61.57)</f>
        <v>61.57</v>
      </c>
      <c r="C2748" s="1">
        <f>IFERROR(__xludf.DUMMYFUNCTION("""COMPUTED_VALUE"""),62.34)</f>
        <v>62.34</v>
      </c>
      <c r="D2748" s="1">
        <f>IFERROR(__xludf.DUMMYFUNCTION("""COMPUTED_VALUE"""),61.5)</f>
        <v>61.5</v>
      </c>
      <c r="E2748" s="1">
        <f>IFERROR(__xludf.DUMMYFUNCTION("""COMPUTED_VALUE"""),62.15)</f>
        <v>62.15</v>
      </c>
      <c r="F2748" s="1">
        <f>IFERROR(__xludf.DUMMYFUNCTION("""COMPUTED_VALUE"""),1.1599218E7)</f>
        <v>11599218</v>
      </c>
    </row>
    <row r="2749">
      <c r="A2749" s="2">
        <f>IFERROR(__xludf.DUMMYFUNCTION("""COMPUTED_VALUE"""),40514.666666666664)</f>
        <v>40514.66667</v>
      </c>
      <c r="B2749" s="1">
        <f>IFERROR(__xludf.DUMMYFUNCTION("""COMPUTED_VALUE"""),62.15)</f>
        <v>62.15</v>
      </c>
      <c r="C2749" s="1">
        <f>IFERROR(__xludf.DUMMYFUNCTION("""COMPUTED_VALUE"""),62.49)</f>
        <v>62.49</v>
      </c>
      <c r="D2749" s="1">
        <f>IFERROR(__xludf.DUMMYFUNCTION("""COMPUTED_VALUE"""),61.96)</f>
        <v>61.96</v>
      </c>
      <c r="E2749" s="1">
        <f>IFERROR(__xludf.DUMMYFUNCTION("""COMPUTED_VALUE"""),62.36)</f>
        <v>62.36</v>
      </c>
      <c r="F2749" s="1">
        <f>IFERROR(__xludf.DUMMYFUNCTION("""COMPUTED_VALUE"""),7869159.0)</f>
        <v>7869159</v>
      </c>
    </row>
    <row r="2750">
      <c r="A2750" s="2">
        <f>IFERROR(__xludf.DUMMYFUNCTION("""COMPUTED_VALUE"""),40515.666666666664)</f>
        <v>40515.66667</v>
      </c>
      <c r="B2750" s="1">
        <f>IFERROR(__xludf.DUMMYFUNCTION("""COMPUTED_VALUE"""),62.45)</f>
        <v>62.45</v>
      </c>
      <c r="C2750" s="1">
        <f>IFERROR(__xludf.DUMMYFUNCTION("""COMPUTED_VALUE"""),62.5)</f>
        <v>62.5</v>
      </c>
      <c r="D2750" s="1">
        <f>IFERROR(__xludf.DUMMYFUNCTION("""COMPUTED_VALUE"""),61.97)</f>
        <v>61.97</v>
      </c>
      <c r="E2750" s="1">
        <f>IFERROR(__xludf.DUMMYFUNCTION("""COMPUTED_VALUE"""),62.33)</f>
        <v>62.33</v>
      </c>
      <c r="F2750" s="1">
        <f>IFERROR(__xludf.DUMMYFUNCTION("""COMPUTED_VALUE"""),8974165.0)</f>
        <v>8974165</v>
      </c>
    </row>
    <row r="2751">
      <c r="A2751" s="2">
        <f>IFERROR(__xludf.DUMMYFUNCTION("""COMPUTED_VALUE"""),40518.666666666664)</f>
        <v>40518.66667</v>
      </c>
      <c r="B2751" s="1">
        <f>IFERROR(__xludf.DUMMYFUNCTION("""COMPUTED_VALUE"""),62.25)</f>
        <v>62.25</v>
      </c>
      <c r="C2751" s="1">
        <f>IFERROR(__xludf.DUMMYFUNCTION("""COMPUTED_VALUE"""),62.33)</f>
        <v>62.33</v>
      </c>
      <c r="D2751" s="1">
        <f>IFERROR(__xludf.DUMMYFUNCTION("""COMPUTED_VALUE"""),62.05)</f>
        <v>62.05</v>
      </c>
      <c r="E2751" s="1">
        <f>IFERROR(__xludf.DUMMYFUNCTION("""COMPUTED_VALUE"""),62.06)</f>
        <v>62.06</v>
      </c>
      <c r="F2751" s="1">
        <f>IFERROR(__xludf.DUMMYFUNCTION("""COMPUTED_VALUE"""),5849483.0)</f>
        <v>5849483</v>
      </c>
    </row>
    <row r="2752">
      <c r="A2752" s="2">
        <f>IFERROR(__xludf.DUMMYFUNCTION("""COMPUTED_VALUE"""),40519.666666666664)</f>
        <v>40519.66667</v>
      </c>
      <c r="B2752" s="1">
        <f>IFERROR(__xludf.DUMMYFUNCTION("""COMPUTED_VALUE"""),62.19)</f>
        <v>62.19</v>
      </c>
      <c r="C2752" s="1">
        <f>IFERROR(__xludf.DUMMYFUNCTION("""COMPUTED_VALUE"""),62.63)</f>
        <v>62.63</v>
      </c>
      <c r="D2752" s="1">
        <f>IFERROR(__xludf.DUMMYFUNCTION("""COMPUTED_VALUE"""),62.01)</f>
        <v>62.01</v>
      </c>
      <c r="E2752" s="1">
        <f>IFERROR(__xludf.DUMMYFUNCTION("""COMPUTED_VALUE"""),62.15)</f>
        <v>62.15</v>
      </c>
      <c r="F2752" s="1">
        <f>IFERROR(__xludf.DUMMYFUNCTION("""COMPUTED_VALUE"""),9883138.0)</f>
        <v>9883138</v>
      </c>
    </row>
    <row r="2753">
      <c r="A2753" s="2">
        <f>IFERROR(__xludf.DUMMYFUNCTION("""COMPUTED_VALUE"""),40520.666666666664)</f>
        <v>40520.66667</v>
      </c>
      <c r="B2753" s="1">
        <f>IFERROR(__xludf.DUMMYFUNCTION("""COMPUTED_VALUE"""),62.28)</f>
        <v>62.28</v>
      </c>
      <c r="C2753" s="1">
        <f>IFERROR(__xludf.DUMMYFUNCTION("""COMPUTED_VALUE"""),62.68)</f>
        <v>62.68</v>
      </c>
      <c r="D2753" s="1">
        <f>IFERROR(__xludf.DUMMYFUNCTION("""COMPUTED_VALUE"""),62.28)</f>
        <v>62.28</v>
      </c>
      <c r="E2753" s="1">
        <f>IFERROR(__xludf.DUMMYFUNCTION("""COMPUTED_VALUE"""),62.63)</f>
        <v>62.63</v>
      </c>
      <c r="F2753" s="1">
        <f>IFERROR(__xludf.DUMMYFUNCTION("""COMPUTED_VALUE"""),8347941.0)</f>
        <v>8347941</v>
      </c>
    </row>
    <row r="2754">
      <c r="A2754" s="2">
        <f>IFERROR(__xludf.DUMMYFUNCTION("""COMPUTED_VALUE"""),40521.666666666664)</f>
        <v>40521.66667</v>
      </c>
      <c r="B2754" s="1">
        <f>IFERROR(__xludf.DUMMYFUNCTION("""COMPUTED_VALUE"""),62.66)</f>
        <v>62.66</v>
      </c>
      <c r="C2754" s="1">
        <f>IFERROR(__xludf.DUMMYFUNCTION("""COMPUTED_VALUE"""),62.97)</f>
        <v>62.97</v>
      </c>
      <c r="D2754" s="1">
        <f>IFERROR(__xludf.DUMMYFUNCTION("""COMPUTED_VALUE"""),62.53)</f>
        <v>62.53</v>
      </c>
      <c r="E2754" s="1">
        <f>IFERROR(__xludf.DUMMYFUNCTION("""COMPUTED_VALUE"""),62.87)</f>
        <v>62.87</v>
      </c>
      <c r="F2754" s="1">
        <f>IFERROR(__xludf.DUMMYFUNCTION("""COMPUTED_VALUE"""),8541118.0)</f>
        <v>8541118</v>
      </c>
    </row>
    <row r="2755">
      <c r="A2755" s="2">
        <f>IFERROR(__xludf.DUMMYFUNCTION("""COMPUTED_VALUE"""),40522.666666666664)</f>
        <v>40522.66667</v>
      </c>
      <c r="B2755" s="1">
        <f>IFERROR(__xludf.DUMMYFUNCTION("""COMPUTED_VALUE"""),63.3)</f>
        <v>63.3</v>
      </c>
      <c r="C2755" s="1">
        <f>IFERROR(__xludf.DUMMYFUNCTION("""COMPUTED_VALUE"""),63.79)</f>
        <v>63.79</v>
      </c>
      <c r="D2755" s="1">
        <f>IFERROR(__xludf.DUMMYFUNCTION("""COMPUTED_VALUE"""),63.06)</f>
        <v>63.06</v>
      </c>
      <c r="E2755" s="1">
        <f>IFERROR(__xludf.DUMMYFUNCTION("""COMPUTED_VALUE"""),63.2)</f>
        <v>63.2</v>
      </c>
      <c r="F2755" s="1">
        <f>IFERROR(__xludf.DUMMYFUNCTION("""COMPUTED_VALUE"""),1.1510727E7)</f>
        <v>11510727</v>
      </c>
    </row>
    <row r="2756">
      <c r="A2756" s="2">
        <f>IFERROR(__xludf.DUMMYFUNCTION("""COMPUTED_VALUE"""),40525.666666666664)</f>
        <v>40525.66667</v>
      </c>
      <c r="B2756" s="1">
        <f>IFERROR(__xludf.DUMMYFUNCTION("""COMPUTED_VALUE"""),63.31)</f>
        <v>63.31</v>
      </c>
      <c r="C2756" s="1">
        <f>IFERROR(__xludf.DUMMYFUNCTION("""COMPUTED_VALUE"""),63.52)</f>
        <v>63.52</v>
      </c>
      <c r="D2756" s="1">
        <f>IFERROR(__xludf.DUMMYFUNCTION("""COMPUTED_VALUE"""),63.15)</f>
        <v>63.15</v>
      </c>
      <c r="E2756" s="1">
        <f>IFERROR(__xludf.DUMMYFUNCTION("""COMPUTED_VALUE"""),63.19)</f>
        <v>63.19</v>
      </c>
      <c r="F2756" s="1">
        <f>IFERROR(__xludf.DUMMYFUNCTION("""COMPUTED_VALUE"""),8785193.0)</f>
        <v>8785193</v>
      </c>
    </row>
    <row r="2757">
      <c r="A2757" s="2">
        <f>IFERROR(__xludf.DUMMYFUNCTION("""COMPUTED_VALUE"""),40526.666666666664)</f>
        <v>40526.66667</v>
      </c>
      <c r="B2757" s="1">
        <f>IFERROR(__xludf.DUMMYFUNCTION("""COMPUTED_VALUE"""),63.33)</f>
        <v>63.33</v>
      </c>
      <c r="C2757" s="1">
        <f>IFERROR(__xludf.DUMMYFUNCTION("""COMPUTED_VALUE"""),63.7)</f>
        <v>63.7</v>
      </c>
      <c r="D2757" s="1">
        <f>IFERROR(__xludf.DUMMYFUNCTION("""COMPUTED_VALUE"""),63.2)</f>
        <v>63.2</v>
      </c>
      <c r="E2757" s="1">
        <f>IFERROR(__xludf.DUMMYFUNCTION("""COMPUTED_VALUE"""),63.55)</f>
        <v>63.55</v>
      </c>
      <c r="F2757" s="1">
        <f>IFERROR(__xludf.DUMMYFUNCTION("""COMPUTED_VALUE"""),8626318.0)</f>
        <v>8626318</v>
      </c>
    </row>
    <row r="2758">
      <c r="A2758" s="2">
        <f>IFERROR(__xludf.DUMMYFUNCTION("""COMPUTED_VALUE"""),40527.666666666664)</f>
        <v>40527.66667</v>
      </c>
      <c r="B2758" s="1">
        <f>IFERROR(__xludf.DUMMYFUNCTION("""COMPUTED_VALUE"""),63.61)</f>
        <v>63.61</v>
      </c>
      <c r="C2758" s="1">
        <f>IFERROR(__xludf.DUMMYFUNCTION("""COMPUTED_VALUE"""),63.91)</f>
        <v>63.91</v>
      </c>
      <c r="D2758" s="1">
        <f>IFERROR(__xludf.DUMMYFUNCTION("""COMPUTED_VALUE"""),63.56)</f>
        <v>63.56</v>
      </c>
      <c r="E2758" s="1">
        <f>IFERROR(__xludf.DUMMYFUNCTION("""COMPUTED_VALUE"""),63.64)</f>
        <v>63.64</v>
      </c>
      <c r="F2758" s="1">
        <f>IFERROR(__xludf.DUMMYFUNCTION("""COMPUTED_VALUE"""),1.1074403E7)</f>
        <v>11074403</v>
      </c>
    </row>
    <row r="2759">
      <c r="A2759" s="2">
        <f>IFERROR(__xludf.DUMMYFUNCTION("""COMPUTED_VALUE"""),40528.666666666664)</f>
        <v>40528.66667</v>
      </c>
      <c r="B2759" s="1">
        <f>IFERROR(__xludf.DUMMYFUNCTION("""COMPUTED_VALUE"""),63.86)</f>
        <v>63.86</v>
      </c>
      <c r="C2759" s="1">
        <f>IFERROR(__xludf.DUMMYFUNCTION("""COMPUTED_VALUE"""),64.75)</f>
        <v>64.75</v>
      </c>
      <c r="D2759" s="1">
        <f>IFERROR(__xludf.DUMMYFUNCTION("""COMPUTED_VALUE"""),63.15)</f>
        <v>63.15</v>
      </c>
      <c r="E2759" s="1">
        <f>IFERROR(__xludf.DUMMYFUNCTION("""COMPUTED_VALUE"""),64.5)</f>
        <v>64.5</v>
      </c>
      <c r="F2759" s="1">
        <f>IFERROR(__xludf.DUMMYFUNCTION("""COMPUTED_VALUE"""),1.4337389E7)</f>
        <v>14337389</v>
      </c>
    </row>
    <row r="2760">
      <c r="A2760" s="2">
        <f>IFERROR(__xludf.DUMMYFUNCTION("""COMPUTED_VALUE"""),40529.666666666664)</f>
        <v>40529.66667</v>
      </c>
      <c r="B2760" s="1">
        <f>IFERROR(__xludf.DUMMYFUNCTION("""COMPUTED_VALUE"""),64.54)</f>
        <v>64.54</v>
      </c>
      <c r="C2760" s="1">
        <f>IFERROR(__xludf.DUMMYFUNCTION("""COMPUTED_VALUE"""),65.04)</f>
        <v>65.04</v>
      </c>
      <c r="D2760" s="1">
        <f>IFERROR(__xludf.DUMMYFUNCTION("""COMPUTED_VALUE"""),64.29)</f>
        <v>64.29</v>
      </c>
      <c r="E2760" s="1">
        <f>IFERROR(__xludf.DUMMYFUNCTION("""COMPUTED_VALUE"""),64.81)</f>
        <v>64.81</v>
      </c>
      <c r="F2760" s="1">
        <f>IFERROR(__xludf.DUMMYFUNCTION("""COMPUTED_VALUE"""),2.3534608E7)</f>
        <v>23534608</v>
      </c>
    </row>
    <row r="2761">
      <c r="A2761" s="2">
        <f>IFERROR(__xludf.DUMMYFUNCTION("""COMPUTED_VALUE"""),40532.666666666664)</f>
        <v>40532.66667</v>
      </c>
      <c r="B2761" s="1">
        <f>IFERROR(__xludf.DUMMYFUNCTION("""COMPUTED_VALUE"""),64.86)</f>
        <v>64.86</v>
      </c>
      <c r="C2761" s="1">
        <f>IFERROR(__xludf.DUMMYFUNCTION("""COMPUTED_VALUE"""),65.31)</f>
        <v>65.31</v>
      </c>
      <c r="D2761" s="1">
        <f>IFERROR(__xludf.DUMMYFUNCTION("""COMPUTED_VALUE"""),64.67)</f>
        <v>64.67</v>
      </c>
      <c r="E2761" s="1">
        <f>IFERROR(__xludf.DUMMYFUNCTION("""COMPUTED_VALUE"""),64.97)</f>
        <v>64.97</v>
      </c>
      <c r="F2761" s="1">
        <f>IFERROR(__xludf.DUMMYFUNCTION("""COMPUTED_VALUE"""),1.06161E7)</f>
        <v>10616100</v>
      </c>
    </row>
    <row r="2762">
      <c r="A2762" s="2">
        <f>IFERROR(__xludf.DUMMYFUNCTION("""COMPUTED_VALUE"""),40533.666666666664)</f>
        <v>40533.66667</v>
      </c>
      <c r="B2762" s="1">
        <f>IFERROR(__xludf.DUMMYFUNCTION("""COMPUTED_VALUE"""),65.22)</f>
        <v>65.22</v>
      </c>
      <c r="C2762" s="1">
        <f>IFERROR(__xludf.DUMMYFUNCTION("""COMPUTED_VALUE"""),65.38)</f>
        <v>65.38</v>
      </c>
      <c r="D2762" s="1">
        <f>IFERROR(__xludf.DUMMYFUNCTION("""COMPUTED_VALUE"""),64.64)</f>
        <v>64.64</v>
      </c>
      <c r="E2762" s="1">
        <f>IFERROR(__xludf.DUMMYFUNCTION("""COMPUTED_VALUE"""),64.87)</f>
        <v>64.87</v>
      </c>
      <c r="F2762" s="1">
        <f>IFERROR(__xludf.DUMMYFUNCTION("""COMPUTED_VALUE"""),8197114.0)</f>
        <v>8197114</v>
      </c>
    </row>
    <row r="2763">
      <c r="A2763" s="2">
        <f>IFERROR(__xludf.DUMMYFUNCTION("""COMPUTED_VALUE"""),40534.666666666664)</f>
        <v>40534.66667</v>
      </c>
      <c r="B2763" s="1">
        <f>IFERROR(__xludf.DUMMYFUNCTION("""COMPUTED_VALUE"""),64.28)</f>
        <v>64.28</v>
      </c>
      <c r="C2763" s="1">
        <f>IFERROR(__xludf.DUMMYFUNCTION("""COMPUTED_VALUE"""),64.97)</f>
        <v>64.97</v>
      </c>
      <c r="D2763" s="1">
        <f>IFERROR(__xludf.DUMMYFUNCTION("""COMPUTED_VALUE"""),64.27)</f>
        <v>64.27</v>
      </c>
      <c r="E2763" s="1">
        <f>IFERROR(__xludf.DUMMYFUNCTION("""COMPUTED_VALUE"""),64.95)</f>
        <v>64.95</v>
      </c>
      <c r="F2763" s="1">
        <f>IFERROR(__xludf.DUMMYFUNCTION("""COMPUTED_VALUE"""),7083331.0)</f>
        <v>7083331</v>
      </c>
    </row>
    <row r="2764">
      <c r="A2764" s="2">
        <f>IFERROR(__xludf.DUMMYFUNCTION("""COMPUTED_VALUE"""),40535.666666666664)</f>
        <v>40535.66667</v>
      </c>
      <c r="B2764" s="1">
        <f>IFERROR(__xludf.DUMMYFUNCTION("""COMPUTED_VALUE"""),64.76)</f>
        <v>64.76</v>
      </c>
      <c r="C2764" s="1">
        <f>IFERROR(__xludf.DUMMYFUNCTION("""COMPUTED_VALUE"""),65.29)</f>
        <v>65.29</v>
      </c>
      <c r="D2764" s="1">
        <f>IFERROR(__xludf.DUMMYFUNCTION("""COMPUTED_VALUE"""),64.76)</f>
        <v>64.76</v>
      </c>
      <c r="E2764" s="1">
        <f>IFERROR(__xludf.DUMMYFUNCTION("""COMPUTED_VALUE"""),65.24)</f>
        <v>65.24</v>
      </c>
      <c r="F2764" s="1">
        <f>IFERROR(__xludf.DUMMYFUNCTION("""COMPUTED_VALUE"""),5953258.0)</f>
        <v>5953258</v>
      </c>
    </row>
    <row r="2765">
      <c r="A2765" s="2">
        <f>IFERROR(__xludf.DUMMYFUNCTION("""COMPUTED_VALUE"""),40539.666666666664)</f>
        <v>40539.66667</v>
      </c>
      <c r="B2765" s="1">
        <f>IFERROR(__xludf.DUMMYFUNCTION("""COMPUTED_VALUE"""),65.04)</f>
        <v>65.04</v>
      </c>
      <c r="C2765" s="1">
        <f>IFERROR(__xludf.DUMMYFUNCTION("""COMPUTED_VALUE"""),65.11)</f>
        <v>65.11</v>
      </c>
      <c r="D2765" s="1">
        <f>IFERROR(__xludf.DUMMYFUNCTION("""COMPUTED_VALUE"""),64.37)</f>
        <v>64.37</v>
      </c>
      <c r="E2765" s="1">
        <f>IFERROR(__xludf.DUMMYFUNCTION("""COMPUTED_VALUE"""),64.67)</f>
        <v>64.67</v>
      </c>
      <c r="F2765" s="1">
        <f>IFERROR(__xludf.DUMMYFUNCTION("""COMPUTED_VALUE"""),7195784.0)</f>
        <v>7195784</v>
      </c>
    </row>
    <row r="2766">
      <c r="A2766" s="2">
        <f>IFERROR(__xludf.DUMMYFUNCTION("""COMPUTED_VALUE"""),40540.666666666664)</f>
        <v>40540.66667</v>
      </c>
      <c r="B2766" s="1">
        <f>IFERROR(__xludf.DUMMYFUNCTION("""COMPUTED_VALUE"""),64.8)</f>
        <v>64.8</v>
      </c>
      <c r="C2766" s="1">
        <f>IFERROR(__xludf.DUMMYFUNCTION("""COMPUTED_VALUE"""),64.83)</f>
        <v>64.83</v>
      </c>
      <c r="D2766" s="1">
        <f>IFERROR(__xludf.DUMMYFUNCTION("""COMPUTED_VALUE"""),64.4)</f>
        <v>64.4</v>
      </c>
      <c r="E2766" s="1">
        <f>IFERROR(__xludf.DUMMYFUNCTION("""COMPUTED_VALUE"""),64.76)</f>
        <v>64.76</v>
      </c>
      <c r="F2766" s="1">
        <f>IFERROR(__xludf.DUMMYFUNCTION("""COMPUTED_VALUE"""),4649441.0)</f>
        <v>4649441</v>
      </c>
    </row>
    <row r="2767">
      <c r="A2767" s="2">
        <f>IFERROR(__xludf.DUMMYFUNCTION("""COMPUTED_VALUE"""),40541.666666666664)</f>
        <v>40541.66667</v>
      </c>
      <c r="B2767" s="1">
        <f>IFERROR(__xludf.DUMMYFUNCTION("""COMPUTED_VALUE"""),64.72)</f>
        <v>64.72</v>
      </c>
      <c r="C2767" s="1">
        <f>IFERROR(__xludf.DUMMYFUNCTION("""COMPUTED_VALUE"""),64.8)</f>
        <v>64.8</v>
      </c>
      <c r="D2767" s="1">
        <f>IFERROR(__xludf.DUMMYFUNCTION("""COMPUTED_VALUE"""),64.35)</f>
        <v>64.35</v>
      </c>
      <c r="E2767" s="1">
        <f>IFERROR(__xludf.DUMMYFUNCTION("""COMPUTED_VALUE"""),64.4)</f>
        <v>64.4</v>
      </c>
      <c r="F2767" s="1">
        <f>IFERROR(__xludf.DUMMYFUNCTION("""COMPUTED_VALUE"""),4918744.0)</f>
        <v>4918744</v>
      </c>
    </row>
    <row r="2768">
      <c r="A2768" s="2">
        <f>IFERROR(__xludf.DUMMYFUNCTION("""COMPUTED_VALUE"""),40542.666666666664)</f>
        <v>40542.66667</v>
      </c>
      <c r="B2768" s="1">
        <f>IFERROR(__xludf.DUMMYFUNCTION("""COMPUTED_VALUE"""),64.48)</f>
        <v>64.48</v>
      </c>
      <c r="C2768" s="1">
        <f>IFERROR(__xludf.DUMMYFUNCTION("""COMPUTED_VALUE"""),64.49)</f>
        <v>64.49</v>
      </c>
      <c r="D2768" s="1">
        <f>IFERROR(__xludf.DUMMYFUNCTION("""COMPUTED_VALUE"""),64.06)</f>
        <v>64.06</v>
      </c>
      <c r="E2768" s="1">
        <f>IFERROR(__xludf.DUMMYFUNCTION("""COMPUTED_VALUE"""),64.28)</f>
        <v>64.28</v>
      </c>
      <c r="F2768" s="1">
        <f>IFERROR(__xludf.DUMMYFUNCTION("""COMPUTED_VALUE"""),3819864.0)</f>
        <v>3819864</v>
      </c>
    </row>
    <row r="2769">
      <c r="A2769" s="2">
        <f>IFERROR(__xludf.DUMMYFUNCTION("""COMPUTED_VALUE"""),40543.666666666664)</f>
        <v>40543.66667</v>
      </c>
      <c r="B2769" s="1">
        <f>IFERROR(__xludf.DUMMYFUNCTION("""COMPUTED_VALUE"""),64.08)</f>
        <v>64.08</v>
      </c>
      <c r="C2769" s="1">
        <f>IFERROR(__xludf.DUMMYFUNCTION("""COMPUTED_VALUE"""),64.45)</f>
        <v>64.45</v>
      </c>
      <c r="D2769" s="1">
        <f>IFERROR(__xludf.DUMMYFUNCTION("""COMPUTED_VALUE"""),64.01)</f>
        <v>64.01</v>
      </c>
      <c r="E2769" s="1">
        <f>IFERROR(__xludf.DUMMYFUNCTION("""COMPUTED_VALUE"""),64.33)</f>
        <v>64.33</v>
      </c>
      <c r="F2769" s="1">
        <f>IFERROR(__xludf.DUMMYFUNCTION("""COMPUTED_VALUE"""),5245635.0)</f>
        <v>5245635</v>
      </c>
    </row>
    <row r="2770">
      <c r="A2770" s="2">
        <f>IFERROR(__xludf.DUMMYFUNCTION("""COMPUTED_VALUE"""),40546.666666666664)</f>
        <v>40546.66667</v>
      </c>
      <c r="B2770" s="1">
        <f>IFERROR(__xludf.DUMMYFUNCTION("""COMPUTED_VALUE"""),64.39)</f>
        <v>64.39</v>
      </c>
      <c r="C2770" s="1">
        <f>IFERROR(__xludf.DUMMYFUNCTION("""COMPUTED_VALUE"""),64.89)</f>
        <v>64.89</v>
      </c>
      <c r="D2770" s="1">
        <f>IFERROR(__xludf.DUMMYFUNCTION("""COMPUTED_VALUE"""),64.0)</f>
        <v>64</v>
      </c>
      <c r="E2770" s="1">
        <f>IFERROR(__xludf.DUMMYFUNCTION("""COMPUTED_VALUE"""),64.77)</f>
        <v>64.77</v>
      </c>
      <c r="F2770" s="1">
        <f>IFERROR(__xludf.DUMMYFUNCTION("""COMPUTED_VALUE"""),1.0003963E7)</f>
        <v>10003963</v>
      </c>
    </row>
    <row r="2771">
      <c r="A2771" s="2">
        <f>IFERROR(__xludf.DUMMYFUNCTION("""COMPUTED_VALUE"""),40547.666666666664)</f>
        <v>40547.66667</v>
      </c>
      <c r="B2771" s="1">
        <f>IFERROR(__xludf.DUMMYFUNCTION("""COMPUTED_VALUE"""),64.41)</f>
        <v>64.41</v>
      </c>
      <c r="C2771" s="1">
        <f>IFERROR(__xludf.DUMMYFUNCTION("""COMPUTED_VALUE"""),64.96)</f>
        <v>64.96</v>
      </c>
      <c r="D2771" s="1">
        <f>IFERROR(__xludf.DUMMYFUNCTION("""COMPUTED_VALUE"""),64.35)</f>
        <v>64.35</v>
      </c>
      <c r="E2771" s="1">
        <f>IFERROR(__xludf.DUMMYFUNCTION("""COMPUTED_VALUE"""),64.95)</f>
        <v>64.95</v>
      </c>
      <c r="F2771" s="1">
        <f>IFERROR(__xludf.DUMMYFUNCTION("""COMPUTED_VALUE"""),1.1333175E7)</f>
        <v>11333175</v>
      </c>
    </row>
    <row r="2772">
      <c r="A2772" s="2">
        <f>IFERROR(__xludf.DUMMYFUNCTION("""COMPUTED_VALUE"""),40548.666666666664)</f>
        <v>40548.66667</v>
      </c>
      <c r="B2772" s="1">
        <f>IFERROR(__xludf.DUMMYFUNCTION("""COMPUTED_VALUE"""),64.67)</f>
        <v>64.67</v>
      </c>
      <c r="C2772" s="1">
        <f>IFERROR(__xludf.DUMMYFUNCTION("""COMPUTED_VALUE"""),65.08)</f>
        <v>65.08</v>
      </c>
      <c r="D2772" s="1">
        <f>IFERROR(__xludf.DUMMYFUNCTION("""COMPUTED_VALUE"""),64.64)</f>
        <v>64.64</v>
      </c>
      <c r="E2772" s="1">
        <f>IFERROR(__xludf.DUMMYFUNCTION("""COMPUTED_VALUE"""),64.8)</f>
        <v>64.8</v>
      </c>
      <c r="F2772" s="1">
        <f>IFERROR(__xludf.DUMMYFUNCTION("""COMPUTED_VALUE"""),7460132.0)</f>
        <v>7460132</v>
      </c>
    </row>
    <row r="2773">
      <c r="A2773" s="2">
        <f>IFERROR(__xludf.DUMMYFUNCTION("""COMPUTED_VALUE"""),40549.666666666664)</f>
        <v>40549.66667</v>
      </c>
      <c r="B2773" s="1">
        <f>IFERROR(__xludf.DUMMYFUNCTION("""COMPUTED_VALUE"""),64.69)</f>
        <v>64.69</v>
      </c>
      <c r="C2773" s="1">
        <f>IFERROR(__xludf.DUMMYFUNCTION("""COMPUTED_VALUE"""),64.78)</f>
        <v>64.78</v>
      </c>
      <c r="D2773" s="1">
        <f>IFERROR(__xludf.DUMMYFUNCTION("""COMPUTED_VALUE"""),64.31)</f>
        <v>64.31</v>
      </c>
      <c r="E2773" s="1">
        <f>IFERROR(__xludf.DUMMYFUNCTION("""COMPUTED_VALUE"""),64.69)</f>
        <v>64.69</v>
      </c>
      <c r="F2773" s="1">
        <f>IFERROR(__xludf.DUMMYFUNCTION("""COMPUTED_VALUE"""),1.1586007E7)</f>
        <v>11586007</v>
      </c>
    </row>
    <row r="2774">
      <c r="A2774" s="2">
        <f>IFERROR(__xludf.DUMMYFUNCTION("""COMPUTED_VALUE"""),40550.666666666664)</f>
        <v>40550.66667</v>
      </c>
      <c r="B2774" s="1">
        <f>IFERROR(__xludf.DUMMYFUNCTION("""COMPUTED_VALUE"""),64.63)</f>
        <v>64.63</v>
      </c>
      <c r="C2774" s="1">
        <f>IFERROR(__xludf.DUMMYFUNCTION("""COMPUTED_VALUE"""),64.87)</f>
        <v>64.87</v>
      </c>
      <c r="D2774" s="1">
        <f>IFERROR(__xludf.DUMMYFUNCTION("""COMPUTED_VALUE"""),64.17)</f>
        <v>64.17</v>
      </c>
      <c r="E2774" s="1">
        <f>IFERROR(__xludf.DUMMYFUNCTION("""COMPUTED_VALUE"""),64.5)</f>
        <v>64.5</v>
      </c>
      <c r="F2774" s="1">
        <f>IFERROR(__xludf.DUMMYFUNCTION("""COMPUTED_VALUE"""),1.1940075E7)</f>
        <v>11940075</v>
      </c>
    </row>
    <row r="2775">
      <c r="A2775" s="2">
        <f>IFERROR(__xludf.DUMMYFUNCTION("""COMPUTED_VALUE"""),40553.666666666664)</f>
        <v>40553.66667</v>
      </c>
      <c r="B2775" s="1">
        <f>IFERROR(__xludf.DUMMYFUNCTION("""COMPUTED_VALUE"""),64.4)</f>
        <v>64.4</v>
      </c>
      <c r="C2775" s="1">
        <f>IFERROR(__xludf.DUMMYFUNCTION("""COMPUTED_VALUE"""),64.53)</f>
        <v>64.53</v>
      </c>
      <c r="D2775" s="1">
        <f>IFERROR(__xludf.DUMMYFUNCTION("""COMPUTED_VALUE"""),64.15)</f>
        <v>64.15</v>
      </c>
      <c r="E2775" s="1">
        <f>IFERROR(__xludf.DUMMYFUNCTION("""COMPUTED_VALUE"""),64.36)</f>
        <v>64.36</v>
      </c>
      <c r="F2775" s="1">
        <f>IFERROR(__xludf.DUMMYFUNCTION("""COMPUTED_VALUE"""),1.2255881E7)</f>
        <v>12255881</v>
      </c>
    </row>
    <row r="2776">
      <c r="A2776" s="2">
        <f>IFERROR(__xludf.DUMMYFUNCTION("""COMPUTED_VALUE"""),40554.666666666664)</f>
        <v>40554.66667</v>
      </c>
      <c r="B2776" s="1">
        <f>IFERROR(__xludf.DUMMYFUNCTION("""COMPUTED_VALUE"""),64.5)</f>
        <v>64.5</v>
      </c>
      <c r="C2776" s="1">
        <f>IFERROR(__xludf.DUMMYFUNCTION("""COMPUTED_VALUE"""),64.6)</f>
        <v>64.6</v>
      </c>
      <c r="D2776" s="1">
        <f>IFERROR(__xludf.DUMMYFUNCTION("""COMPUTED_VALUE"""),63.74)</f>
        <v>63.74</v>
      </c>
      <c r="E2776" s="1">
        <f>IFERROR(__xludf.DUMMYFUNCTION("""COMPUTED_VALUE"""),64.04)</f>
        <v>64.04</v>
      </c>
      <c r="F2776" s="1">
        <f>IFERROR(__xludf.DUMMYFUNCTION("""COMPUTED_VALUE"""),9627013.0)</f>
        <v>9627013</v>
      </c>
    </row>
    <row r="2777">
      <c r="A2777" s="2">
        <f>IFERROR(__xludf.DUMMYFUNCTION("""COMPUTED_VALUE"""),40555.666666666664)</f>
        <v>40555.66667</v>
      </c>
      <c r="B2777" s="1">
        <f>IFERROR(__xludf.DUMMYFUNCTION("""COMPUTED_VALUE"""),64.41)</f>
        <v>64.41</v>
      </c>
      <c r="C2777" s="1">
        <f>IFERROR(__xludf.DUMMYFUNCTION("""COMPUTED_VALUE"""),65.0)</f>
        <v>65</v>
      </c>
      <c r="D2777" s="1">
        <f>IFERROR(__xludf.DUMMYFUNCTION("""COMPUTED_VALUE"""),63.4)</f>
        <v>63.4</v>
      </c>
      <c r="E2777" s="1">
        <f>IFERROR(__xludf.DUMMYFUNCTION("""COMPUTED_VALUE"""),64.97)</f>
        <v>64.97</v>
      </c>
      <c r="F2777" s="1">
        <f>IFERROR(__xludf.DUMMYFUNCTION("""COMPUTED_VALUE"""),1.0150506E7)</f>
        <v>10150506</v>
      </c>
    </row>
    <row r="2778">
      <c r="A2778" s="2">
        <f>IFERROR(__xludf.DUMMYFUNCTION("""COMPUTED_VALUE"""),40556.666666666664)</f>
        <v>40556.66667</v>
      </c>
      <c r="B2778" s="1">
        <f>IFERROR(__xludf.DUMMYFUNCTION("""COMPUTED_VALUE"""),64.92)</f>
        <v>64.92</v>
      </c>
      <c r="C2778" s="1">
        <f>IFERROR(__xludf.DUMMYFUNCTION("""COMPUTED_VALUE"""),65.5)</f>
        <v>65.5</v>
      </c>
      <c r="D2778" s="1">
        <f>IFERROR(__xludf.DUMMYFUNCTION("""COMPUTED_VALUE"""),64.91)</f>
        <v>64.91</v>
      </c>
      <c r="E2778" s="1">
        <f>IFERROR(__xludf.DUMMYFUNCTION("""COMPUTED_VALUE"""),65.48)</f>
        <v>65.48</v>
      </c>
      <c r="F2778" s="1">
        <f>IFERROR(__xludf.DUMMYFUNCTION("""COMPUTED_VALUE"""),9899073.0)</f>
        <v>9899073</v>
      </c>
    </row>
    <row r="2779">
      <c r="A2779" s="2">
        <f>IFERROR(__xludf.DUMMYFUNCTION("""COMPUTED_VALUE"""),40557.666666666664)</f>
        <v>40557.66667</v>
      </c>
      <c r="B2779" s="1">
        <f>IFERROR(__xludf.DUMMYFUNCTION("""COMPUTED_VALUE"""),65.35)</f>
        <v>65.35</v>
      </c>
      <c r="C2779" s="1">
        <f>IFERROR(__xludf.DUMMYFUNCTION("""COMPUTED_VALUE"""),65.66)</f>
        <v>65.66</v>
      </c>
      <c r="D2779" s="1">
        <f>IFERROR(__xludf.DUMMYFUNCTION("""COMPUTED_VALUE"""),65.27)</f>
        <v>65.27</v>
      </c>
      <c r="E2779" s="1">
        <f>IFERROR(__xludf.DUMMYFUNCTION("""COMPUTED_VALUE"""),65.53)</f>
        <v>65.53</v>
      </c>
      <c r="F2779" s="1">
        <f>IFERROR(__xludf.DUMMYFUNCTION("""COMPUTED_VALUE"""),1.094868E7)</f>
        <v>10948680</v>
      </c>
    </row>
    <row r="2780">
      <c r="A2780" s="2">
        <f>IFERROR(__xludf.DUMMYFUNCTION("""COMPUTED_VALUE"""),40561.666666666664)</f>
        <v>40561.66667</v>
      </c>
      <c r="B2780" s="1">
        <f>IFERROR(__xludf.DUMMYFUNCTION("""COMPUTED_VALUE"""),65.65)</f>
        <v>65.65</v>
      </c>
      <c r="C2780" s="1">
        <f>IFERROR(__xludf.DUMMYFUNCTION("""COMPUTED_VALUE"""),65.94)</f>
        <v>65.94</v>
      </c>
      <c r="D2780" s="1">
        <f>IFERROR(__xludf.DUMMYFUNCTION("""COMPUTED_VALUE"""),65.44)</f>
        <v>65.44</v>
      </c>
      <c r="E2780" s="1">
        <f>IFERROR(__xludf.DUMMYFUNCTION("""COMPUTED_VALUE"""),65.5)</f>
        <v>65.5</v>
      </c>
      <c r="F2780" s="1">
        <f>IFERROR(__xludf.DUMMYFUNCTION("""COMPUTED_VALUE"""),1.2397593E7)</f>
        <v>12397593</v>
      </c>
    </row>
    <row r="2781">
      <c r="A2781" s="2">
        <f>IFERROR(__xludf.DUMMYFUNCTION("""COMPUTED_VALUE"""),40562.666666666664)</f>
        <v>40562.66667</v>
      </c>
      <c r="B2781" s="1">
        <f>IFERROR(__xludf.DUMMYFUNCTION("""COMPUTED_VALUE"""),65.11)</f>
        <v>65.11</v>
      </c>
      <c r="C2781" s="1">
        <f>IFERROR(__xludf.DUMMYFUNCTION("""COMPUTED_VALUE"""),65.67)</f>
        <v>65.67</v>
      </c>
      <c r="D2781" s="1">
        <f>IFERROR(__xludf.DUMMYFUNCTION("""COMPUTED_VALUE"""),65.05)</f>
        <v>65.05</v>
      </c>
      <c r="E2781" s="1">
        <f>IFERROR(__xludf.DUMMYFUNCTION("""COMPUTED_VALUE"""),65.35)</f>
        <v>65.35</v>
      </c>
      <c r="F2781" s="1">
        <f>IFERROR(__xludf.DUMMYFUNCTION("""COMPUTED_VALUE"""),1.1767081E7)</f>
        <v>11767081</v>
      </c>
    </row>
    <row r="2782">
      <c r="A2782" s="2">
        <f>IFERROR(__xludf.DUMMYFUNCTION("""COMPUTED_VALUE"""),40563.666666666664)</f>
        <v>40563.66667</v>
      </c>
      <c r="B2782" s="1">
        <f>IFERROR(__xludf.DUMMYFUNCTION("""COMPUTED_VALUE"""),65.44)</f>
        <v>65.44</v>
      </c>
      <c r="C2782" s="1">
        <f>IFERROR(__xludf.DUMMYFUNCTION("""COMPUTED_VALUE"""),65.9)</f>
        <v>65.9</v>
      </c>
      <c r="D2782" s="1">
        <f>IFERROR(__xludf.DUMMYFUNCTION("""COMPUTED_VALUE"""),65.35)</f>
        <v>65.35</v>
      </c>
      <c r="E2782" s="1">
        <f>IFERROR(__xludf.DUMMYFUNCTION("""COMPUTED_VALUE"""),65.8)</f>
        <v>65.8</v>
      </c>
      <c r="F2782" s="1">
        <f>IFERROR(__xludf.DUMMYFUNCTION("""COMPUTED_VALUE"""),1.2495002E7)</f>
        <v>12495002</v>
      </c>
    </row>
    <row r="2783">
      <c r="A2783" s="2">
        <f>IFERROR(__xludf.DUMMYFUNCTION("""COMPUTED_VALUE"""),40564.666666666664)</f>
        <v>40564.66667</v>
      </c>
      <c r="B2783" s="1">
        <f>IFERROR(__xludf.DUMMYFUNCTION("""COMPUTED_VALUE"""),65.9)</f>
        <v>65.9</v>
      </c>
      <c r="C2783" s="1">
        <f>IFERROR(__xludf.DUMMYFUNCTION("""COMPUTED_VALUE"""),65.95)</f>
        <v>65.95</v>
      </c>
      <c r="D2783" s="1">
        <f>IFERROR(__xludf.DUMMYFUNCTION("""COMPUTED_VALUE"""),65.52)</f>
        <v>65.52</v>
      </c>
      <c r="E2783" s="1">
        <f>IFERROR(__xludf.DUMMYFUNCTION("""COMPUTED_VALUE"""),65.91)</f>
        <v>65.91</v>
      </c>
      <c r="F2783" s="1">
        <f>IFERROR(__xludf.DUMMYFUNCTION("""COMPUTED_VALUE"""),9554286.0)</f>
        <v>9554286</v>
      </c>
    </row>
    <row r="2784">
      <c r="A2784" s="2">
        <f>IFERROR(__xludf.DUMMYFUNCTION("""COMPUTED_VALUE"""),40567.666666666664)</f>
        <v>40567.66667</v>
      </c>
      <c r="B2784" s="1">
        <f>IFERROR(__xludf.DUMMYFUNCTION("""COMPUTED_VALUE"""),65.9)</f>
        <v>65.9</v>
      </c>
      <c r="C2784" s="1">
        <f>IFERROR(__xludf.DUMMYFUNCTION("""COMPUTED_VALUE"""),66.7)</f>
        <v>66.7</v>
      </c>
      <c r="D2784" s="1">
        <f>IFERROR(__xludf.DUMMYFUNCTION("""COMPUTED_VALUE"""),65.79)</f>
        <v>65.79</v>
      </c>
      <c r="E2784" s="1">
        <f>IFERROR(__xludf.DUMMYFUNCTION("""COMPUTED_VALUE"""),66.58)</f>
        <v>66.58</v>
      </c>
      <c r="F2784" s="1">
        <f>IFERROR(__xludf.DUMMYFUNCTION("""COMPUTED_VALUE"""),1.0571053E7)</f>
        <v>10571053</v>
      </c>
    </row>
    <row r="2785">
      <c r="A2785" s="2">
        <f>IFERROR(__xludf.DUMMYFUNCTION("""COMPUTED_VALUE"""),40568.666666666664)</f>
        <v>40568.66667</v>
      </c>
      <c r="B2785" s="1">
        <f>IFERROR(__xludf.DUMMYFUNCTION("""COMPUTED_VALUE"""),66.57)</f>
        <v>66.57</v>
      </c>
      <c r="C2785" s="1">
        <f>IFERROR(__xludf.DUMMYFUNCTION("""COMPUTED_VALUE"""),66.95)</f>
        <v>66.95</v>
      </c>
      <c r="D2785" s="1">
        <f>IFERROR(__xludf.DUMMYFUNCTION("""COMPUTED_VALUE"""),66.47)</f>
        <v>66.47</v>
      </c>
      <c r="E2785" s="1">
        <f>IFERROR(__xludf.DUMMYFUNCTION("""COMPUTED_VALUE"""),66.7)</f>
        <v>66.7</v>
      </c>
      <c r="F2785" s="1">
        <f>IFERROR(__xludf.DUMMYFUNCTION("""COMPUTED_VALUE"""),1.1065043E7)</f>
        <v>11065043</v>
      </c>
    </row>
    <row r="2786">
      <c r="A2786" s="2">
        <f>IFERROR(__xludf.DUMMYFUNCTION("""COMPUTED_VALUE"""),40569.666666666664)</f>
        <v>40569.66667</v>
      </c>
      <c r="B2786" s="1">
        <f>IFERROR(__xludf.DUMMYFUNCTION("""COMPUTED_VALUE"""),66.89)</f>
        <v>66.89</v>
      </c>
      <c r="C2786" s="1">
        <f>IFERROR(__xludf.DUMMYFUNCTION("""COMPUTED_VALUE"""),66.92)</f>
        <v>66.92</v>
      </c>
      <c r="D2786" s="1">
        <f>IFERROR(__xludf.DUMMYFUNCTION("""COMPUTED_VALUE"""),66.07)</f>
        <v>66.07</v>
      </c>
      <c r="E2786" s="1">
        <f>IFERROR(__xludf.DUMMYFUNCTION("""COMPUTED_VALUE"""),66.11)</f>
        <v>66.11</v>
      </c>
      <c r="F2786" s="1">
        <f>IFERROR(__xludf.DUMMYFUNCTION("""COMPUTED_VALUE"""),9503540.0)</f>
        <v>9503540</v>
      </c>
    </row>
    <row r="2787">
      <c r="A2787" s="2">
        <f>IFERROR(__xludf.DUMMYFUNCTION("""COMPUTED_VALUE"""),40570.666666666664)</f>
        <v>40570.66667</v>
      </c>
      <c r="B2787" s="1">
        <f>IFERROR(__xludf.DUMMYFUNCTION("""COMPUTED_VALUE"""),64.36)</f>
        <v>64.36</v>
      </c>
      <c r="C2787" s="1">
        <f>IFERROR(__xludf.DUMMYFUNCTION("""COMPUTED_VALUE"""),64.5)</f>
        <v>64.5</v>
      </c>
      <c r="D2787" s="1">
        <f>IFERROR(__xludf.DUMMYFUNCTION("""COMPUTED_VALUE"""),63.14)</f>
        <v>63.14</v>
      </c>
      <c r="E2787" s="1">
        <f>IFERROR(__xludf.DUMMYFUNCTION("""COMPUTED_VALUE"""),64.18)</f>
        <v>64.18</v>
      </c>
      <c r="F2787" s="1">
        <f>IFERROR(__xludf.DUMMYFUNCTION("""COMPUTED_VALUE"""),2.3975024E7)</f>
        <v>23975024</v>
      </c>
    </row>
    <row r="2788">
      <c r="A2788" s="2">
        <f>IFERROR(__xludf.DUMMYFUNCTION("""COMPUTED_VALUE"""),40571.666666666664)</f>
        <v>40571.66667</v>
      </c>
      <c r="B2788" s="1">
        <f>IFERROR(__xludf.DUMMYFUNCTION("""COMPUTED_VALUE"""),63.9)</f>
        <v>63.9</v>
      </c>
      <c r="C2788" s="1">
        <f>IFERROR(__xludf.DUMMYFUNCTION("""COMPUTED_VALUE"""),64.34)</f>
        <v>64.34</v>
      </c>
      <c r="D2788" s="1">
        <f>IFERROR(__xludf.DUMMYFUNCTION("""COMPUTED_VALUE"""),63.84)</f>
        <v>63.84</v>
      </c>
      <c r="E2788" s="1">
        <f>IFERROR(__xludf.DUMMYFUNCTION("""COMPUTED_VALUE"""),64.2)</f>
        <v>64.2</v>
      </c>
      <c r="F2788" s="1">
        <f>IFERROR(__xludf.DUMMYFUNCTION("""COMPUTED_VALUE"""),1.4927501E7)</f>
        <v>14927501</v>
      </c>
    </row>
    <row r="2789">
      <c r="A2789" s="2">
        <f>IFERROR(__xludf.DUMMYFUNCTION("""COMPUTED_VALUE"""),40574.666666666664)</f>
        <v>40574.66667</v>
      </c>
      <c r="B2789" s="1">
        <f>IFERROR(__xludf.DUMMYFUNCTION("""COMPUTED_VALUE"""),64.35)</f>
        <v>64.35</v>
      </c>
      <c r="C2789" s="1">
        <f>IFERROR(__xludf.DUMMYFUNCTION("""COMPUTED_VALUE"""),64.36)</f>
        <v>64.36</v>
      </c>
      <c r="D2789" s="1">
        <f>IFERROR(__xludf.DUMMYFUNCTION("""COMPUTED_VALUE"""),63.01)</f>
        <v>63.01</v>
      </c>
      <c r="E2789" s="1">
        <f>IFERROR(__xludf.DUMMYFUNCTION("""COMPUTED_VALUE"""),63.13)</f>
        <v>63.13</v>
      </c>
      <c r="F2789" s="1">
        <f>IFERROR(__xludf.DUMMYFUNCTION("""COMPUTED_VALUE"""),1.2568324E7)</f>
        <v>12568324</v>
      </c>
    </row>
    <row r="2790">
      <c r="A2790" s="2">
        <f>IFERROR(__xludf.DUMMYFUNCTION("""COMPUTED_VALUE"""),40575.666666666664)</f>
        <v>40575.66667</v>
      </c>
      <c r="B2790" s="1">
        <f>IFERROR(__xludf.DUMMYFUNCTION("""COMPUTED_VALUE"""),63.43)</f>
        <v>63.43</v>
      </c>
      <c r="C2790" s="1">
        <f>IFERROR(__xludf.DUMMYFUNCTION("""COMPUTED_VALUE"""),63.61)</f>
        <v>63.61</v>
      </c>
      <c r="D2790" s="1">
        <f>IFERROR(__xludf.DUMMYFUNCTION("""COMPUTED_VALUE"""),62.72)</f>
        <v>62.72</v>
      </c>
      <c r="E2790" s="1">
        <f>IFERROR(__xludf.DUMMYFUNCTION("""COMPUTED_VALUE"""),62.92)</f>
        <v>62.92</v>
      </c>
      <c r="F2790" s="1">
        <f>IFERROR(__xludf.DUMMYFUNCTION("""COMPUTED_VALUE"""),1.4630632E7)</f>
        <v>14630632</v>
      </c>
    </row>
    <row r="2791">
      <c r="A2791" s="2">
        <f>IFERROR(__xludf.DUMMYFUNCTION("""COMPUTED_VALUE"""),40576.666666666664)</f>
        <v>40576.66667</v>
      </c>
      <c r="B2791" s="1">
        <f>IFERROR(__xludf.DUMMYFUNCTION("""COMPUTED_VALUE"""),62.76)</f>
        <v>62.76</v>
      </c>
      <c r="C2791" s="1">
        <f>IFERROR(__xludf.DUMMYFUNCTION("""COMPUTED_VALUE"""),62.95)</f>
        <v>62.95</v>
      </c>
      <c r="D2791" s="1">
        <f>IFERROR(__xludf.DUMMYFUNCTION("""COMPUTED_VALUE"""),62.3)</f>
        <v>62.3</v>
      </c>
      <c r="E2791" s="1">
        <f>IFERROR(__xludf.DUMMYFUNCTION("""COMPUTED_VALUE"""),62.79)</f>
        <v>62.79</v>
      </c>
      <c r="F2791" s="1">
        <f>IFERROR(__xludf.DUMMYFUNCTION("""COMPUTED_VALUE"""),1.1626181E7)</f>
        <v>11626181</v>
      </c>
    </row>
    <row r="2792">
      <c r="A2792" s="2">
        <f>IFERROR(__xludf.DUMMYFUNCTION("""COMPUTED_VALUE"""),40577.666666666664)</f>
        <v>40577.66667</v>
      </c>
      <c r="B2792" s="1">
        <f>IFERROR(__xludf.DUMMYFUNCTION("""COMPUTED_VALUE"""),62.66)</f>
        <v>62.66</v>
      </c>
      <c r="C2792" s="1">
        <f>IFERROR(__xludf.DUMMYFUNCTION("""COMPUTED_VALUE"""),63.13)</f>
        <v>63.13</v>
      </c>
      <c r="D2792" s="1">
        <f>IFERROR(__xludf.DUMMYFUNCTION("""COMPUTED_VALUE"""),62.65)</f>
        <v>62.65</v>
      </c>
      <c r="E2792" s="1">
        <f>IFERROR(__xludf.DUMMYFUNCTION("""COMPUTED_VALUE"""),62.9)</f>
        <v>62.9</v>
      </c>
      <c r="F2792" s="1">
        <f>IFERROR(__xludf.DUMMYFUNCTION("""COMPUTED_VALUE"""),8546692.0)</f>
        <v>8546692</v>
      </c>
    </row>
    <row r="2793">
      <c r="A2793" s="2">
        <f>IFERROR(__xludf.DUMMYFUNCTION("""COMPUTED_VALUE"""),40578.666666666664)</f>
        <v>40578.66667</v>
      </c>
      <c r="B2793" s="1">
        <f>IFERROR(__xludf.DUMMYFUNCTION("""COMPUTED_VALUE"""),62.83)</f>
        <v>62.83</v>
      </c>
      <c r="C2793" s="1">
        <f>IFERROR(__xludf.DUMMYFUNCTION("""COMPUTED_VALUE"""),63.71)</f>
        <v>63.71</v>
      </c>
      <c r="D2793" s="1">
        <f>IFERROR(__xludf.DUMMYFUNCTION("""COMPUTED_VALUE"""),62.77)</f>
        <v>62.77</v>
      </c>
      <c r="E2793" s="1">
        <f>IFERROR(__xludf.DUMMYFUNCTION("""COMPUTED_VALUE"""),63.61)</f>
        <v>63.61</v>
      </c>
      <c r="F2793" s="1">
        <f>IFERROR(__xludf.DUMMYFUNCTION("""COMPUTED_VALUE"""),9829710.0)</f>
        <v>9829710</v>
      </c>
    </row>
    <row r="2794">
      <c r="A2794" s="2">
        <f>IFERROR(__xludf.DUMMYFUNCTION("""COMPUTED_VALUE"""),40581.666666666664)</f>
        <v>40581.66667</v>
      </c>
      <c r="B2794" s="1">
        <f>IFERROR(__xludf.DUMMYFUNCTION("""COMPUTED_VALUE"""),63.95)</f>
        <v>63.95</v>
      </c>
      <c r="C2794" s="1">
        <f>IFERROR(__xludf.DUMMYFUNCTION("""COMPUTED_VALUE"""),64.8)</f>
        <v>64.8</v>
      </c>
      <c r="D2794" s="1">
        <f>IFERROR(__xludf.DUMMYFUNCTION("""COMPUTED_VALUE"""),63.8)</f>
        <v>63.8</v>
      </c>
      <c r="E2794" s="1">
        <f>IFERROR(__xludf.DUMMYFUNCTION("""COMPUTED_VALUE"""),64.55)</f>
        <v>64.55</v>
      </c>
      <c r="F2794" s="1">
        <f>IFERROR(__xludf.DUMMYFUNCTION("""COMPUTED_VALUE"""),1.2851094E7)</f>
        <v>12851094</v>
      </c>
    </row>
    <row r="2795">
      <c r="A2795" s="2">
        <f>IFERROR(__xludf.DUMMYFUNCTION("""COMPUTED_VALUE"""),40582.666666666664)</f>
        <v>40582.66667</v>
      </c>
      <c r="B2795" s="1">
        <f>IFERROR(__xludf.DUMMYFUNCTION("""COMPUTED_VALUE"""),64.39)</f>
        <v>64.39</v>
      </c>
      <c r="C2795" s="1">
        <f>IFERROR(__xludf.DUMMYFUNCTION("""COMPUTED_VALUE"""),64.75)</f>
        <v>64.75</v>
      </c>
      <c r="D2795" s="1">
        <f>IFERROR(__xludf.DUMMYFUNCTION("""COMPUTED_VALUE"""),64.3)</f>
        <v>64.3</v>
      </c>
      <c r="E2795" s="1">
        <f>IFERROR(__xludf.DUMMYFUNCTION("""COMPUTED_VALUE"""),64.64)</f>
        <v>64.64</v>
      </c>
      <c r="F2795" s="1">
        <f>IFERROR(__xludf.DUMMYFUNCTION("""COMPUTED_VALUE"""),8194004.0)</f>
        <v>8194004</v>
      </c>
    </row>
    <row r="2796">
      <c r="A2796" s="2">
        <f>IFERROR(__xludf.DUMMYFUNCTION("""COMPUTED_VALUE"""),40583.666666666664)</f>
        <v>40583.66667</v>
      </c>
      <c r="B2796" s="1">
        <f>IFERROR(__xludf.DUMMYFUNCTION("""COMPUTED_VALUE"""),64.64)</f>
        <v>64.64</v>
      </c>
      <c r="C2796" s="1">
        <f>IFERROR(__xludf.DUMMYFUNCTION("""COMPUTED_VALUE"""),64.88)</f>
        <v>64.88</v>
      </c>
      <c r="D2796" s="1">
        <f>IFERROR(__xludf.DUMMYFUNCTION("""COMPUTED_VALUE"""),64.08)</f>
        <v>64.08</v>
      </c>
      <c r="E2796" s="1">
        <f>IFERROR(__xludf.DUMMYFUNCTION("""COMPUTED_VALUE"""),64.39)</f>
        <v>64.39</v>
      </c>
      <c r="F2796" s="1">
        <f>IFERROR(__xludf.DUMMYFUNCTION("""COMPUTED_VALUE"""),1.102208E7)</f>
        <v>11022080</v>
      </c>
    </row>
    <row r="2797">
      <c r="A2797" s="2">
        <f>IFERROR(__xludf.DUMMYFUNCTION("""COMPUTED_VALUE"""),40584.666666666664)</f>
        <v>40584.66667</v>
      </c>
      <c r="B2797" s="1">
        <f>IFERROR(__xludf.DUMMYFUNCTION("""COMPUTED_VALUE"""),64.63)</f>
        <v>64.63</v>
      </c>
      <c r="C2797" s="1">
        <f>IFERROR(__xludf.DUMMYFUNCTION("""COMPUTED_VALUE"""),64.79)</f>
        <v>64.79</v>
      </c>
      <c r="D2797" s="1">
        <f>IFERROR(__xludf.DUMMYFUNCTION("""COMPUTED_VALUE"""),64.08)</f>
        <v>64.08</v>
      </c>
      <c r="E2797" s="1">
        <f>IFERROR(__xludf.DUMMYFUNCTION("""COMPUTED_VALUE"""),64.58)</f>
        <v>64.58</v>
      </c>
      <c r="F2797" s="1">
        <f>IFERROR(__xludf.DUMMYFUNCTION("""COMPUTED_VALUE"""),1.0980678E7)</f>
        <v>10980678</v>
      </c>
    </row>
    <row r="2798">
      <c r="A2798" s="2">
        <f>IFERROR(__xludf.DUMMYFUNCTION("""COMPUTED_VALUE"""),40585.666666666664)</f>
        <v>40585.66667</v>
      </c>
      <c r="B2798" s="1">
        <f>IFERROR(__xludf.DUMMYFUNCTION("""COMPUTED_VALUE"""),64.08)</f>
        <v>64.08</v>
      </c>
      <c r="C2798" s="1">
        <f>IFERROR(__xludf.DUMMYFUNCTION("""COMPUTED_VALUE"""),64.97)</f>
        <v>64.97</v>
      </c>
      <c r="D2798" s="1">
        <f>IFERROR(__xludf.DUMMYFUNCTION("""COMPUTED_VALUE"""),64.08)</f>
        <v>64.08</v>
      </c>
      <c r="E2798" s="1">
        <f>IFERROR(__xludf.DUMMYFUNCTION("""COMPUTED_VALUE"""),64.73)</f>
        <v>64.73</v>
      </c>
      <c r="F2798" s="1">
        <f>IFERROR(__xludf.DUMMYFUNCTION("""COMPUTED_VALUE"""),8951956.0)</f>
        <v>8951956</v>
      </c>
    </row>
    <row r="2799">
      <c r="A2799" s="2">
        <f>IFERROR(__xludf.DUMMYFUNCTION("""COMPUTED_VALUE"""),40588.666666666664)</f>
        <v>40588.66667</v>
      </c>
      <c r="B2799" s="1">
        <f>IFERROR(__xludf.DUMMYFUNCTION("""COMPUTED_VALUE"""),64.81)</f>
        <v>64.81</v>
      </c>
      <c r="C2799" s="1">
        <f>IFERROR(__xludf.DUMMYFUNCTION("""COMPUTED_VALUE"""),64.87)</f>
        <v>64.87</v>
      </c>
      <c r="D2799" s="1">
        <f>IFERROR(__xludf.DUMMYFUNCTION("""COMPUTED_VALUE"""),64.35)</f>
        <v>64.35</v>
      </c>
      <c r="E2799" s="1">
        <f>IFERROR(__xludf.DUMMYFUNCTION("""COMPUTED_VALUE"""),64.54)</f>
        <v>64.54</v>
      </c>
      <c r="F2799" s="1">
        <f>IFERROR(__xludf.DUMMYFUNCTION("""COMPUTED_VALUE"""),7096249.0)</f>
        <v>7096249</v>
      </c>
    </row>
    <row r="2800">
      <c r="A2800" s="2">
        <f>IFERROR(__xludf.DUMMYFUNCTION("""COMPUTED_VALUE"""),40589.666666666664)</f>
        <v>40589.66667</v>
      </c>
      <c r="B2800" s="1">
        <f>IFERROR(__xludf.DUMMYFUNCTION("""COMPUTED_VALUE"""),64.7)</f>
        <v>64.7</v>
      </c>
      <c r="C2800" s="1">
        <f>IFERROR(__xludf.DUMMYFUNCTION("""COMPUTED_VALUE"""),64.7)</f>
        <v>64.7</v>
      </c>
      <c r="D2800" s="1">
        <f>IFERROR(__xludf.DUMMYFUNCTION("""COMPUTED_VALUE"""),63.67)</f>
        <v>63.67</v>
      </c>
      <c r="E2800" s="1">
        <f>IFERROR(__xludf.DUMMYFUNCTION("""COMPUTED_VALUE"""),63.92)</f>
        <v>63.92</v>
      </c>
      <c r="F2800" s="1">
        <f>IFERROR(__xludf.DUMMYFUNCTION("""COMPUTED_VALUE"""),1.1784997E7)</f>
        <v>11784997</v>
      </c>
    </row>
    <row r="2801">
      <c r="A2801" s="2">
        <f>IFERROR(__xludf.DUMMYFUNCTION("""COMPUTED_VALUE"""),40590.666666666664)</f>
        <v>40590.66667</v>
      </c>
      <c r="B2801" s="1">
        <f>IFERROR(__xludf.DUMMYFUNCTION("""COMPUTED_VALUE"""),64.1)</f>
        <v>64.1</v>
      </c>
      <c r="C2801" s="1">
        <f>IFERROR(__xludf.DUMMYFUNCTION("""COMPUTED_VALUE"""),64.11)</f>
        <v>64.11</v>
      </c>
      <c r="D2801" s="1">
        <f>IFERROR(__xludf.DUMMYFUNCTION("""COMPUTED_VALUE"""),63.7)</f>
        <v>63.7</v>
      </c>
      <c r="E2801" s="1">
        <f>IFERROR(__xludf.DUMMYFUNCTION("""COMPUTED_VALUE"""),63.76)</f>
        <v>63.76</v>
      </c>
      <c r="F2801" s="1">
        <f>IFERROR(__xludf.DUMMYFUNCTION("""COMPUTED_VALUE"""),9852792.0)</f>
        <v>9852792</v>
      </c>
    </row>
    <row r="2802">
      <c r="A2802" s="2">
        <f>IFERROR(__xludf.DUMMYFUNCTION("""COMPUTED_VALUE"""),40591.666666666664)</f>
        <v>40591.66667</v>
      </c>
      <c r="B2802" s="1">
        <f>IFERROR(__xludf.DUMMYFUNCTION("""COMPUTED_VALUE"""),63.58)</f>
        <v>63.58</v>
      </c>
      <c r="C2802" s="1">
        <f>IFERROR(__xludf.DUMMYFUNCTION("""COMPUTED_VALUE"""),64.21)</f>
        <v>64.21</v>
      </c>
      <c r="D2802" s="1">
        <f>IFERROR(__xludf.DUMMYFUNCTION("""COMPUTED_VALUE"""),63.45)</f>
        <v>63.45</v>
      </c>
      <c r="E2802" s="1">
        <f>IFERROR(__xludf.DUMMYFUNCTION("""COMPUTED_VALUE"""),64.0)</f>
        <v>64</v>
      </c>
      <c r="F2802" s="1">
        <f>IFERROR(__xludf.DUMMYFUNCTION("""COMPUTED_VALUE"""),7364935.0)</f>
        <v>7364935</v>
      </c>
    </row>
    <row r="2803">
      <c r="A2803" s="2">
        <f>IFERROR(__xludf.DUMMYFUNCTION("""COMPUTED_VALUE"""),40592.666666666664)</f>
        <v>40592.66667</v>
      </c>
      <c r="B2803" s="1">
        <f>IFERROR(__xludf.DUMMYFUNCTION("""COMPUTED_VALUE"""),64.14)</f>
        <v>64.14</v>
      </c>
      <c r="C2803" s="1">
        <f>IFERROR(__xludf.DUMMYFUNCTION("""COMPUTED_VALUE"""),64.38)</f>
        <v>64.38</v>
      </c>
      <c r="D2803" s="1">
        <f>IFERROR(__xludf.DUMMYFUNCTION("""COMPUTED_VALUE"""),63.93)</f>
        <v>63.93</v>
      </c>
      <c r="E2803" s="1">
        <f>IFERROR(__xludf.DUMMYFUNCTION("""COMPUTED_VALUE"""),64.3)</f>
        <v>64.3</v>
      </c>
      <c r="F2803" s="1">
        <f>IFERROR(__xludf.DUMMYFUNCTION("""COMPUTED_VALUE"""),9093680.0)</f>
        <v>9093680</v>
      </c>
    </row>
    <row r="2804">
      <c r="A2804" s="2">
        <f>IFERROR(__xludf.DUMMYFUNCTION("""COMPUTED_VALUE"""),40596.666666666664)</f>
        <v>40596.66667</v>
      </c>
      <c r="B2804" s="1">
        <f>IFERROR(__xludf.DUMMYFUNCTION("""COMPUTED_VALUE"""),63.73)</f>
        <v>63.73</v>
      </c>
      <c r="C2804" s="1">
        <f>IFERROR(__xludf.DUMMYFUNCTION("""COMPUTED_VALUE"""),64.37)</f>
        <v>64.37</v>
      </c>
      <c r="D2804" s="1">
        <f>IFERROR(__xludf.DUMMYFUNCTION("""COMPUTED_VALUE"""),63.62)</f>
        <v>63.62</v>
      </c>
      <c r="E2804" s="1">
        <f>IFERROR(__xludf.DUMMYFUNCTION("""COMPUTED_VALUE"""),64.07)</f>
        <v>64.07</v>
      </c>
      <c r="F2804" s="1">
        <f>IFERROR(__xludf.DUMMYFUNCTION("""COMPUTED_VALUE"""),9437638.0)</f>
        <v>9437638</v>
      </c>
    </row>
    <row r="2805">
      <c r="A2805" s="2">
        <f>IFERROR(__xludf.DUMMYFUNCTION("""COMPUTED_VALUE"""),40597.666666666664)</f>
        <v>40597.66667</v>
      </c>
      <c r="B2805" s="1">
        <f>IFERROR(__xludf.DUMMYFUNCTION("""COMPUTED_VALUE"""),64.01)</f>
        <v>64.01</v>
      </c>
      <c r="C2805" s="1">
        <f>IFERROR(__xludf.DUMMYFUNCTION("""COMPUTED_VALUE"""),64.4)</f>
        <v>64.4</v>
      </c>
      <c r="D2805" s="1">
        <f>IFERROR(__xludf.DUMMYFUNCTION("""COMPUTED_VALUE"""),63.9)</f>
        <v>63.9</v>
      </c>
      <c r="E2805" s="1">
        <f>IFERROR(__xludf.DUMMYFUNCTION("""COMPUTED_VALUE"""),64.15)</f>
        <v>64.15</v>
      </c>
      <c r="F2805" s="1">
        <f>IFERROR(__xludf.DUMMYFUNCTION("""COMPUTED_VALUE"""),1.1717337E7)</f>
        <v>11717337</v>
      </c>
    </row>
    <row r="2806">
      <c r="A2806" s="2">
        <f>IFERROR(__xludf.DUMMYFUNCTION("""COMPUTED_VALUE"""),40598.666666666664)</f>
        <v>40598.66667</v>
      </c>
      <c r="B2806" s="1">
        <f>IFERROR(__xludf.DUMMYFUNCTION("""COMPUTED_VALUE"""),64.32)</f>
        <v>64.32</v>
      </c>
      <c r="C2806" s="1">
        <f>IFERROR(__xludf.DUMMYFUNCTION("""COMPUTED_VALUE"""),64.39)</f>
        <v>64.39</v>
      </c>
      <c r="D2806" s="1">
        <f>IFERROR(__xludf.DUMMYFUNCTION("""COMPUTED_VALUE"""),62.83)</f>
        <v>62.83</v>
      </c>
      <c r="E2806" s="1">
        <f>IFERROR(__xludf.DUMMYFUNCTION("""COMPUTED_VALUE"""),63.05)</f>
        <v>63.05</v>
      </c>
      <c r="F2806" s="1">
        <f>IFERROR(__xludf.DUMMYFUNCTION("""COMPUTED_VALUE"""),1.5218873E7)</f>
        <v>15218873</v>
      </c>
    </row>
    <row r="2807">
      <c r="A2807" s="2">
        <f>IFERROR(__xludf.DUMMYFUNCTION("""COMPUTED_VALUE"""),40599.666666666664)</f>
        <v>40599.66667</v>
      </c>
      <c r="B2807" s="1">
        <f>IFERROR(__xludf.DUMMYFUNCTION("""COMPUTED_VALUE"""),62.96)</f>
        <v>62.96</v>
      </c>
      <c r="C2807" s="1">
        <f>IFERROR(__xludf.DUMMYFUNCTION("""COMPUTED_VALUE"""),63.11)</f>
        <v>63.11</v>
      </c>
      <c r="D2807" s="1">
        <f>IFERROR(__xludf.DUMMYFUNCTION("""COMPUTED_VALUE"""),62.53)</f>
        <v>62.53</v>
      </c>
      <c r="E2807" s="1">
        <f>IFERROR(__xludf.DUMMYFUNCTION("""COMPUTED_VALUE"""),62.84)</f>
        <v>62.84</v>
      </c>
      <c r="F2807" s="1">
        <f>IFERROR(__xludf.DUMMYFUNCTION("""COMPUTED_VALUE"""),1.1375006E7)</f>
        <v>11375006</v>
      </c>
    </row>
    <row r="2808">
      <c r="A2808" s="2">
        <f>IFERROR(__xludf.DUMMYFUNCTION("""COMPUTED_VALUE"""),40602.666666666664)</f>
        <v>40602.66667</v>
      </c>
      <c r="B2808" s="1">
        <f>IFERROR(__xludf.DUMMYFUNCTION("""COMPUTED_VALUE"""),62.8)</f>
        <v>62.8</v>
      </c>
      <c r="C2808" s="1">
        <f>IFERROR(__xludf.DUMMYFUNCTION("""COMPUTED_VALUE"""),63.24)</f>
        <v>63.24</v>
      </c>
      <c r="D2808" s="1">
        <f>IFERROR(__xludf.DUMMYFUNCTION("""COMPUTED_VALUE"""),62.62)</f>
        <v>62.62</v>
      </c>
      <c r="E2808" s="1">
        <f>IFERROR(__xludf.DUMMYFUNCTION("""COMPUTED_VALUE"""),63.05)</f>
        <v>63.05</v>
      </c>
      <c r="F2808" s="1">
        <f>IFERROR(__xludf.DUMMYFUNCTION("""COMPUTED_VALUE"""),1.1565803E7)</f>
        <v>11565803</v>
      </c>
    </row>
    <row r="2809">
      <c r="A2809" s="2">
        <f>IFERROR(__xludf.DUMMYFUNCTION("""COMPUTED_VALUE"""),40603.666666666664)</f>
        <v>40603.66667</v>
      </c>
      <c r="B2809" s="1">
        <f>IFERROR(__xludf.DUMMYFUNCTION("""COMPUTED_VALUE"""),63.43)</f>
        <v>63.43</v>
      </c>
      <c r="C2809" s="1">
        <f>IFERROR(__xludf.DUMMYFUNCTION("""COMPUTED_VALUE"""),63.65)</f>
        <v>63.65</v>
      </c>
      <c r="D2809" s="1">
        <f>IFERROR(__xludf.DUMMYFUNCTION("""COMPUTED_VALUE"""),62.65)</f>
        <v>62.65</v>
      </c>
      <c r="E2809" s="1">
        <f>IFERROR(__xludf.DUMMYFUNCTION("""COMPUTED_VALUE"""),62.74)</f>
        <v>62.74</v>
      </c>
      <c r="F2809" s="1">
        <f>IFERROR(__xludf.DUMMYFUNCTION("""COMPUTED_VALUE"""),1.2137423E7)</f>
        <v>12137423</v>
      </c>
    </row>
    <row r="2810">
      <c r="A2810" s="2">
        <f>IFERROR(__xludf.DUMMYFUNCTION("""COMPUTED_VALUE"""),40604.666666666664)</f>
        <v>40604.66667</v>
      </c>
      <c r="B2810" s="1">
        <f>IFERROR(__xludf.DUMMYFUNCTION("""COMPUTED_VALUE"""),62.6)</f>
        <v>62.6</v>
      </c>
      <c r="C2810" s="1">
        <f>IFERROR(__xludf.DUMMYFUNCTION("""COMPUTED_VALUE"""),62.84)</f>
        <v>62.84</v>
      </c>
      <c r="D2810" s="1">
        <f>IFERROR(__xludf.DUMMYFUNCTION("""COMPUTED_VALUE"""),62.32)</f>
        <v>62.32</v>
      </c>
      <c r="E2810" s="1">
        <f>IFERROR(__xludf.DUMMYFUNCTION("""COMPUTED_VALUE"""),62.41)</f>
        <v>62.41</v>
      </c>
      <c r="F2810" s="1">
        <f>IFERROR(__xludf.DUMMYFUNCTION("""COMPUTED_VALUE"""),1.002113E7)</f>
        <v>10021130</v>
      </c>
    </row>
    <row r="2811">
      <c r="A2811" s="2">
        <f>IFERROR(__xludf.DUMMYFUNCTION("""COMPUTED_VALUE"""),40605.666666666664)</f>
        <v>40605.66667</v>
      </c>
      <c r="B2811" s="1">
        <f>IFERROR(__xludf.DUMMYFUNCTION("""COMPUTED_VALUE"""),62.7)</f>
        <v>62.7</v>
      </c>
      <c r="C2811" s="1">
        <f>IFERROR(__xludf.DUMMYFUNCTION("""COMPUTED_VALUE"""),62.95)</f>
        <v>62.95</v>
      </c>
      <c r="D2811" s="1">
        <f>IFERROR(__xludf.DUMMYFUNCTION("""COMPUTED_VALUE"""),62.11)</f>
        <v>62.11</v>
      </c>
      <c r="E2811" s="1">
        <f>IFERROR(__xludf.DUMMYFUNCTION("""COMPUTED_VALUE"""),62.55)</f>
        <v>62.55</v>
      </c>
      <c r="F2811" s="1">
        <f>IFERROR(__xludf.DUMMYFUNCTION("""COMPUTED_VALUE"""),1.4195863E7)</f>
        <v>14195863</v>
      </c>
    </row>
    <row r="2812">
      <c r="A2812" s="2">
        <f>IFERROR(__xludf.DUMMYFUNCTION("""COMPUTED_VALUE"""),40606.666666666664)</f>
        <v>40606.66667</v>
      </c>
      <c r="B2812" s="1">
        <f>IFERROR(__xludf.DUMMYFUNCTION("""COMPUTED_VALUE"""),62.51)</f>
        <v>62.51</v>
      </c>
      <c r="C2812" s="1">
        <f>IFERROR(__xludf.DUMMYFUNCTION("""COMPUTED_VALUE"""),62.73)</f>
        <v>62.73</v>
      </c>
      <c r="D2812" s="1">
        <f>IFERROR(__xludf.DUMMYFUNCTION("""COMPUTED_VALUE"""),61.56)</f>
        <v>61.56</v>
      </c>
      <c r="E2812" s="1">
        <f>IFERROR(__xludf.DUMMYFUNCTION("""COMPUTED_VALUE"""),62.03)</f>
        <v>62.03</v>
      </c>
      <c r="F2812" s="1">
        <f>IFERROR(__xludf.DUMMYFUNCTION("""COMPUTED_VALUE"""),1.1880941E7)</f>
        <v>11880941</v>
      </c>
    </row>
    <row r="2813">
      <c r="A2813" s="2">
        <f>IFERROR(__xludf.DUMMYFUNCTION("""COMPUTED_VALUE"""),40609.666666666664)</f>
        <v>40609.66667</v>
      </c>
      <c r="B2813" s="1">
        <f>IFERROR(__xludf.DUMMYFUNCTION("""COMPUTED_VALUE"""),62.0)</f>
        <v>62</v>
      </c>
      <c r="C2813" s="1">
        <f>IFERROR(__xludf.DUMMYFUNCTION("""COMPUTED_VALUE"""),62.13)</f>
        <v>62.13</v>
      </c>
      <c r="D2813" s="1">
        <f>IFERROR(__xludf.DUMMYFUNCTION("""COMPUTED_VALUE"""),61.47)</f>
        <v>61.47</v>
      </c>
      <c r="E2813" s="1">
        <f>IFERROR(__xludf.DUMMYFUNCTION("""COMPUTED_VALUE"""),61.71)</f>
        <v>61.71</v>
      </c>
      <c r="F2813" s="1">
        <f>IFERROR(__xludf.DUMMYFUNCTION("""COMPUTED_VALUE"""),1.130642E7)</f>
        <v>11306420</v>
      </c>
    </row>
    <row r="2814">
      <c r="A2814" s="2">
        <f>IFERROR(__xludf.DUMMYFUNCTION("""COMPUTED_VALUE"""),40610.666666666664)</f>
        <v>40610.66667</v>
      </c>
      <c r="B2814" s="1">
        <f>IFERROR(__xludf.DUMMYFUNCTION("""COMPUTED_VALUE"""),61.75)</f>
        <v>61.75</v>
      </c>
      <c r="C2814" s="1">
        <f>IFERROR(__xludf.DUMMYFUNCTION("""COMPUTED_VALUE"""),62.25)</f>
        <v>62.25</v>
      </c>
      <c r="D2814" s="1">
        <f>IFERROR(__xludf.DUMMYFUNCTION("""COMPUTED_VALUE"""),61.73)</f>
        <v>61.73</v>
      </c>
      <c r="E2814" s="1">
        <f>IFERROR(__xludf.DUMMYFUNCTION("""COMPUTED_VALUE"""),62.05)</f>
        <v>62.05</v>
      </c>
      <c r="F2814" s="1">
        <f>IFERROR(__xludf.DUMMYFUNCTION("""COMPUTED_VALUE"""),1.0959409E7)</f>
        <v>10959409</v>
      </c>
    </row>
    <row r="2815">
      <c r="A2815" s="2">
        <f>IFERROR(__xludf.DUMMYFUNCTION("""COMPUTED_VALUE"""),40611.666666666664)</f>
        <v>40611.66667</v>
      </c>
      <c r="B2815" s="1">
        <f>IFERROR(__xludf.DUMMYFUNCTION("""COMPUTED_VALUE"""),62.09)</f>
        <v>62.09</v>
      </c>
      <c r="C2815" s="1">
        <f>IFERROR(__xludf.DUMMYFUNCTION("""COMPUTED_VALUE"""),62.3)</f>
        <v>62.3</v>
      </c>
      <c r="D2815" s="1">
        <f>IFERROR(__xludf.DUMMYFUNCTION("""COMPUTED_VALUE"""),61.75)</f>
        <v>61.75</v>
      </c>
      <c r="E2815" s="1">
        <f>IFERROR(__xludf.DUMMYFUNCTION("""COMPUTED_VALUE"""),62.0)</f>
        <v>62</v>
      </c>
      <c r="F2815" s="1">
        <f>IFERROR(__xludf.DUMMYFUNCTION("""COMPUTED_VALUE"""),8776537.0)</f>
        <v>8776537</v>
      </c>
    </row>
    <row r="2816">
      <c r="A2816" s="2">
        <f>IFERROR(__xludf.DUMMYFUNCTION("""COMPUTED_VALUE"""),40612.666666666664)</f>
        <v>40612.66667</v>
      </c>
      <c r="B2816" s="1">
        <f>IFERROR(__xludf.DUMMYFUNCTION("""COMPUTED_VALUE"""),61.72)</f>
        <v>61.72</v>
      </c>
      <c r="C2816" s="1">
        <f>IFERROR(__xludf.DUMMYFUNCTION("""COMPUTED_VALUE"""),61.92)</f>
        <v>61.92</v>
      </c>
      <c r="D2816" s="1">
        <f>IFERROR(__xludf.DUMMYFUNCTION("""COMPUTED_VALUE"""),61.21)</f>
        <v>61.21</v>
      </c>
      <c r="E2816" s="1">
        <f>IFERROR(__xludf.DUMMYFUNCTION("""COMPUTED_VALUE"""),61.49)</f>
        <v>61.49</v>
      </c>
      <c r="F2816" s="1">
        <f>IFERROR(__xludf.DUMMYFUNCTION("""COMPUTED_VALUE"""),1.2107592E7)</f>
        <v>12107592</v>
      </c>
    </row>
    <row r="2817">
      <c r="A2817" s="2">
        <f>IFERROR(__xludf.DUMMYFUNCTION("""COMPUTED_VALUE"""),40613.666666666664)</f>
        <v>40613.66667</v>
      </c>
      <c r="B2817" s="1">
        <f>IFERROR(__xludf.DUMMYFUNCTION("""COMPUTED_VALUE"""),61.2)</f>
        <v>61.2</v>
      </c>
      <c r="C2817" s="1">
        <f>IFERROR(__xludf.DUMMYFUNCTION("""COMPUTED_VALUE"""),61.7)</f>
        <v>61.7</v>
      </c>
      <c r="D2817" s="1">
        <f>IFERROR(__xludf.DUMMYFUNCTION("""COMPUTED_VALUE"""),61.12)</f>
        <v>61.12</v>
      </c>
      <c r="E2817" s="1">
        <f>IFERROR(__xludf.DUMMYFUNCTION("""COMPUTED_VALUE"""),61.49)</f>
        <v>61.49</v>
      </c>
      <c r="F2817" s="1">
        <f>IFERROR(__xludf.DUMMYFUNCTION("""COMPUTED_VALUE"""),9581839.0)</f>
        <v>9581839</v>
      </c>
    </row>
    <row r="2818">
      <c r="A2818" s="2">
        <f>IFERROR(__xludf.DUMMYFUNCTION("""COMPUTED_VALUE"""),40616.666666666664)</f>
        <v>40616.66667</v>
      </c>
      <c r="B2818" s="1">
        <f>IFERROR(__xludf.DUMMYFUNCTION("""COMPUTED_VALUE"""),61.04)</f>
        <v>61.04</v>
      </c>
      <c r="C2818" s="1">
        <f>IFERROR(__xludf.DUMMYFUNCTION("""COMPUTED_VALUE"""),61.39)</f>
        <v>61.39</v>
      </c>
      <c r="D2818" s="1">
        <f>IFERROR(__xludf.DUMMYFUNCTION("""COMPUTED_VALUE"""),60.79)</f>
        <v>60.79</v>
      </c>
      <c r="E2818" s="1">
        <f>IFERROR(__xludf.DUMMYFUNCTION("""COMPUTED_VALUE"""),61.35)</f>
        <v>61.35</v>
      </c>
      <c r="F2818" s="1">
        <f>IFERROR(__xludf.DUMMYFUNCTION("""COMPUTED_VALUE"""),9127918.0)</f>
        <v>9127918</v>
      </c>
    </row>
    <row r="2819">
      <c r="A2819" s="2">
        <f>IFERROR(__xludf.DUMMYFUNCTION("""COMPUTED_VALUE"""),40617.666666666664)</f>
        <v>40617.66667</v>
      </c>
      <c r="B2819" s="1">
        <f>IFERROR(__xludf.DUMMYFUNCTION("""COMPUTED_VALUE"""),60.62)</f>
        <v>60.62</v>
      </c>
      <c r="C2819" s="1">
        <f>IFERROR(__xludf.DUMMYFUNCTION("""COMPUTED_VALUE"""),60.86)</f>
        <v>60.86</v>
      </c>
      <c r="D2819" s="1">
        <f>IFERROR(__xludf.DUMMYFUNCTION("""COMPUTED_VALUE"""),60.31)</f>
        <v>60.31</v>
      </c>
      <c r="E2819" s="1">
        <f>IFERROR(__xludf.DUMMYFUNCTION("""COMPUTED_VALUE"""),60.66)</f>
        <v>60.66</v>
      </c>
      <c r="F2819" s="1">
        <f>IFERROR(__xludf.DUMMYFUNCTION("""COMPUTED_VALUE"""),1.3100791E7)</f>
        <v>13100791</v>
      </c>
    </row>
    <row r="2820">
      <c r="A2820" s="2">
        <f>IFERROR(__xludf.DUMMYFUNCTION("""COMPUTED_VALUE"""),40618.666666666664)</f>
        <v>40618.66667</v>
      </c>
      <c r="B2820" s="1">
        <f>IFERROR(__xludf.DUMMYFUNCTION("""COMPUTED_VALUE"""),60.48)</f>
        <v>60.48</v>
      </c>
      <c r="C2820" s="1">
        <f>IFERROR(__xludf.DUMMYFUNCTION("""COMPUTED_VALUE"""),60.51)</f>
        <v>60.51</v>
      </c>
      <c r="D2820" s="1">
        <f>IFERROR(__xludf.DUMMYFUNCTION("""COMPUTED_VALUE"""),59.7)</f>
        <v>59.7</v>
      </c>
      <c r="E2820" s="1">
        <f>IFERROR(__xludf.DUMMYFUNCTION("""COMPUTED_VALUE"""),59.73)</f>
        <v>59.73</v>
      </c>
      <c r="F2820" s="1">
        <f>IFERROR(__xludf.DUMMYFUNCTION("""COMPUTED_VALUE"""),1.6394211E7)</f>
        <v>16394211</v>
      </c>
    </row>
    <row r="2821">
      <c r="A2821" s="2">
        <f>IFERROR(__xludf.DUMMYFUNCTION("""COMPUTED_VALUE"""),40619.666666666664)</f>
        <v>40619.66667</v>
      </c>
      <c r="B2821" s="1">
        <f>IFERROR(__xludf.DUMMYFUNCTION("""COMPUTED_VALUE"""),60.7)</f>
        <v>60.7</v>
      </c>
      <c r="C2821" s="1">
        <f>IFERROR(__xludf.DUMMYFUNCTION("""COMPUTED_VALUE"""),60.7)</f>
        <v>60.7</v>
      </c>
      <c r="D2821" s="1">
        <f>IFERROR(__xludf.DUMMYFUNCTION("""COMPUTED_VALUE"""),60.0)</f>
        <v>60</v>
      </c>
      <c r="E2821" s="1">
        <f>IFERROR(__xludf.DUMMYFUNCTION("""COMPUTED_VALUE"""),60.43)</f>
        <v>60.43</v>
      </c>
      <c r="F2821" s="1">
        <f>IFERROR(__xludf.DUMMYFUNCTION("""COMPUTED_VALUE"""),1.0652577E7)</f>
        <v>10652577</v>
      </c>
    </row>
    <row r="2822">
      <c r="A2822" s="2">
        <f>IFERROR(__xludf.DUMMYFUNCTION("""COMPUTED_VALUE"""),40620.666666666664)</f>
        <v>40620.66667</v>
      </c>
      <c r="B2822" s="1">
        <f>IFERROR(__xludf.DUMMYFUNCTION("""COMPUTED_VALUE"""),60.92)</f>
        <v>60.92</v>
      </c>
      <c r="C2822" s="1">
        <f>IFERROR(__xludf.DUMMYFUNCTION("""COMPUTED_VALUE"""),61.07)</f>
        <v>61.07</v>
      </c>
      <c r="D2822" s="1">
        <f>IFERROR(__xludf.DUMMYFUNCTION("""COMPUTED_VALUE"""),60.12)</f>
        <v>60.12</v>
      </c>
      <c r="E2822" s="1">
        <f>IFERROR(__xludf.DUMMYFUNCTION("""COMPUTED_VALUE"""),60.6)</f>
        <v>60.6</v>
      </c>
      <c r="F2822" s="1">
        <f>IFERROR(__xludf.DUMMYFUNCTION("""COMPUTED_VALUE"""),1.7026524E7)</f>
        <v>17026524</v>
      </c>
    </row>
    <row r="2823">
      <c r="A2823" s="2">
        <f>IFERROR(__xludf.DUMMYFUNCTION("""COMPUTED_VALUE"""),40623.666666666664)</f>
        <v>40623.66667</v>
      </c>
      <c r="B2823" s="1">
        <f>IFERROR(__xludf.DUMMYFUNCTION("""COMPUTED_VALUE"""),60.96)</f>
        <v>60.96</v>
      </c>
      <c r="C2823" s="1">
        <f>IFERROR(__xludf.DUMMYFUNCTION("""COMPUTED_VALUE"""),61.52)</f>
        <v>61.52</v>
      </c>
      <c r="D2823" s="1">
        <f>IFERROR(__xludf.DUMMYFUNCTION("""COMPUTED_VALUE"""),60.8)</f>
        <v>60.8</v>
      </c>
      <c r="E2823" s="1">
        <f>IFERROR(__xludf.DUMMYFUNCTION("""COMPUTED_VALUE"""),61.3)</f>
        <v>61.3</v>
      </c>
      <c r="F2823" s="1">
        <f>IFERROR(__xludf.DUMMYFUNCTION("""COMPUTED_VALUE"""),9602755.0)</f>
        <v>9602755</v>
      </c>
    </row>
    <row r="2824">
      <c r="A2824" s="2">
        <f>IFERROR(__xludf.DUMMYFUNCTION("""COMPUTED_VALUE"""),40624.666666666664)</f>
        <v>40624.66667</v>
      </c>
      <c r="B2824" s="1">
        <f>IFERROR(__xludf.DUMMYFUNCTION("""COMPUTED_VALUE"""),61.05)</f>
        <v>61.05</v>
      </c>
      <c r="C2824" s="1">
        <f>IFERROR(__xludf.DUMMYFUNCTION("""COMPUTED_VALUE"""),61.42)</f>
        <v>61.42</v>
      </c>
      <c r="D2824" s="1">
        <f>IFERROR(__xludf.DUMMYFUNCTION("""COMPUTED_VALUE"""),60.88)</f>
        <v>60.88</v>
      </c>
      <c r="E2824" s="1">
        <f>IFERROR(__xludf.DUMMYFUNCTION("""COMPUTED_VALUE"""),60.93)</f>
        <v>60.93</v>
      </c>
      <c r="F2824" s="1">
        <f>IFERROR(__xludf.DUMMYFUNCTION("""COMPUTED_VALUE"""),7783605.0)</f>
        <v>7783605</v>
      </c>
    </row>
    <row r="2825">
      <c r="A2825" s="2">
        <f>IFERROR(__xludf.DUMMYFUNCTION("""COMPUTED_VALUE"""),40625.666666666664)</f>
        <v>40625.66667</v>
      </c>
      <c r="B2825" s="1">
        <f>IFERROR(__xludf.DUMMYFUNCTION("""COMPUTED_VALUE"""),60.84)</f>
        <v>60.84</v>
      </c>
      <c r="C2825" s="1">
        <f>IFERROR(__xludf.DUMMYFUNCTION("""COMPUTED_VALUE"""),61.09)</f>
        <v>61.09</v>
      </c>
      <c r="D2825" s="1">
        <f>IFERROR(__xludf.DUMMYFUNCTION("""COMPUTED_VALUE"""),60.54)</f>
        <v>60.54</v>
      </c>
      <c r="E2825" s="1">
        <f>IFERROR(__xludf.DUMMYFUNCTION("""COMPUTED_VALUE"""),60.91)</f>
        <v>60.91</v>
      </c>
      <c r="F2825" s="1">
        <f>IFERROR(__xludf.DUMMYFUNCTION("""COMPUTED_VALUE"""),7998760.0)</f>
        <v>7998760</v>
      </c>
    </row>
    <row r="2826">
      <c r="A2826" s="2">
        <f>IFERROR(__xludf.DUMMYFUNCTION("""COMPUTED_VALUE"""),40626.666666666664)</f>
        <v>40626.66667</v>
      </c>
      <c r="B2826" s="1">
        <f>IFERROR(__xludf.DUMMYFUNCTION("""COMPUTED_VALUE"""),61.23)</f>
        <v>61.23</v>
      </c>
      <c r="C2826" s="1">
        <f>IFERROR(__xludf.DUMMYFUNCTION("""COMPUTED_VALUE"""),61.28)</f>
        <v>61.28</v>
      </c>
      <c r="D2826" s="1">
        <f>IFERROR(__xludf.DUMMYFUNCTION("""COMPUTED_VALUE"""),60.75)</f>
        <v>60.75</v>
      </c>
      <c r="E2826" s="1">
        <f>IFERROR(__xludf.DUMMYFUNCTION("""COMPUTED_VALUE"""),61.14)</f>
        <v>61.14</v>
      </c>
      <c r="F2826" s="1">
        <f>IFERROR(__xludf.DUMMYFUNCTION("""COMPUTED_VALUE"""),8201472.0)</f>
        <v>8201472</v>
      </c>
    </row>
    <row r="2827">
      <c r="A2827" s="2">
        <f>IFERROR(__xludf.DUMMYFUNCTION("""COMPUTED_VALUE"""),40627.666666666664)</f>
        <v>40627.66667</v>
      </c>
      <c r="B2827" s="1">
        <f>IFERROR(__xludf.DUMMYFUNCTION("""COMPUTED_VALUE"""),61.18)</f>
        <v>61.18</v>
      </c>
      <c r="C2827" s="1">
        <f>IFERROR(__xludf.DUMMYFUNCTION("""COMPUTED_VALUE"""),61.38)</f>
        <v>61.38</v>
      </c>
      <c r="D2827" s="1">
        <f>IFERROR(__xludf.DUMMYFUNCTION("""COMPUTED_VALUE"""),60.71)</f>
        <v>60.71</v>
      </c>
      <c r="E2827" s="1">
        <f>IFERROR(__xludf.DUMMYFUNCTION("""COMPUTED_VALUE"""),60.88)</f>
        <v>60.88</v>
      </c>
      <c r="F2827" s="1">
        <f>IFERROR(__xludf.DUMMYFUNCTION("""COMPUTED_VALUE"""),7764563.0)</f>
        <v>7764563</v>
      </c>
    </row>
    <row r="2828">
      <c r="A2828" s="2">
        <f>IFERROR(__xludf.DUMMYFUNCTION("""COMPUTED_VALUE"""),40630.666666666664)</f>
        <v>40630.66667</v>
      </c>
      <c r="B2828" s="1">
        <f>IFERROR(__xludf.DUMMYFUNCTION("""COMPUTED_VALUE"""),61.08)</f>
        <v>61.08</v>
      </c>
      <c r="C2828" s="1">
        <f>IFERROR(__xludf.DUMMYFUNCTION("""COMPUTED_VALUE"""),61.34)</f>
        <v>61.34</v>
      </c>
      <c r="D2828" s="1">
        <f>IFERROR(__xludf.DUMMYFUNCTION("""COMPUTED_VALUE"""),60.61)</f>
        <v>60.61</v>
      </c>
      <c r="E2828" s="1">
        <f>IFERROR(__xludf.DUMMYFUNCTION("""COMPUTED_VALUE"""),60.66)</f>
        <v>60.66</v>
      </c>
      <c r="F2828" s="1">
        <f>IFERROR(__xludf.DUMMYFUNCTION("""COMPUTED_VALUE"""),8382346.0)</f>
        <v>8382346</v>
      </c>
    </row>
    <row r="2829">
      <c r="A2829" s="2">
        <f>IFERROR(__xludf.DUMMYFUNCTION("""COMPUTED_VALUE"""),40631.666666666664)</f>
        <v>40631.66667</v>
      </c>
      <c r="B2829" s="1">
        <f>IFERROR(__xludf.DUMMYFUNCTION("""COMPUTED_VALUE"""),60.61)</f>
        <v>60.61</v>
      </c>
      <c r="C2829" s="1">
        <f>IFERROR(__xludf.DUMMYFUNCTION("""COMPUTED_VALUE"""),61.42)</f>
        <v>61.42</v>
      </c>
      <c r="D2829" s="1">
        <f>IFERROR(__xludf.DUMMYFUNCTION("""COMPUTED_VALUE"""),60.61)</f>
        <v>60.61</v>
      </c>
      <c r="E2829" s="1">
        <f>IFERROR(__xludf.DUMMYFUNCTION("""COMPUTED_VALUE"""),61.28)</f>
        <v>61.28</v>
      </c>
      <c r="F2829" s="1">
        <f>IFERROR(__xludf.DUMMYFUNCTION("""COMPUTED_VALUE"""),7688374.0)</f>
        <v>7688374</v>
      </c>
    </row>
    <row r="2830">
      <c r="A2830" s="2">
        <f>IFERROR(__xludf.DUMMYFUNCTION("""COMPUTED_VALUE"""),40632.666666666664)</f>
        <v>40632.66667</v>
      </c>
      <c r="B2830" s="1">
        <f>IFERROR(__xludf.DUMMYFUNCTION("""COMPUTED_VALUE"""),61.46)</f>
        <v>61.46</v>
      </c>
      <c r="C2830" s="1">
        <f>IFERROR(__xludf.DUMMYFUNCTION("""COMPUTED_VALUE"""),61.97)</f>
        <v>61.97</v>
      </c>
      <c r="D2830" s="1">
        <f>IFERROR(__xludf.DUMMYFUNCTION("""COMPUTED_VALUE"""),61.38)</f>
        <v>61.38</v>
      </c>
      <c r="E2830" s="1">
        <f>IFERROR(__xludf.DUMMYFUNCTION("""COMPUTED_VALUE"""),61.97)</f>
        <v>61.97</v>
      </c>
      <c r="F2830" s="1">
        <f>IFERROR(__xludf.DUMMYFUNCTION("""COMPUTED_VALUE"""),7559888.0)</f>
        <v>7559888</v>
      </c>
    </row>
    <row r="2831">
      <c r="A2831" s="2">
        <f>IFERROR(__xludf.DUMMYFUNCTION("""COMPUTED_VALUE"""),40633.666666666664)</f>
        <v>40633.66667</v>
      </c>
      <c r="B2831" s="1">
        <f>IFERROR(__xludf.DUMMYFUNCTION("""COMPUTED_VALUE"""),61.76)</f>
        <v>61.76</v>
      </c>
      <c r="C2831" s="1">
        <f>IFERROR(__xludf.DUMMYFUNCTION("""COMPUTED_VALUE"""),62.0)</f>
        <v>62</v>
      </c>
      <c r="D2831" s="1">
        <f>IFERROR(__xludf.DUMMYFUNCTION("""COMPUTED_VALUE"""),61.59)</f>
        <v>61.59</v>
      </c>
      <c r="E2831" s="1">
        <f>IFERROR(__xludf.DUMMYFUNCTION("""COMPUTED_VALUE"""),61.6)</f>
        <v>61.6</v>
      </c>
      <c r="F2831" s="1">
        <f>IFERROR(__xludf.DUMMYFUNCTION("""COMPUTED_VALUE"""),1.1571881E7)</f>
        <v>11571881</v>
      </c>
    </row>
    <row r="2832">
      <c r="A2832" s="2">
        <f>IFERROR(__xludf.DUMMYFUNCTION("""COMPUTED_VALUE"""),40634.666666666664)</f>
        <v>40634.66667</v>
      </c>
      <c r="B2832" s="1">
        <f>IFERROR(__xludf.DUMMYFUNCTION("""COMPUTED_VALUE"""),61.88)</f>
        <v>61.88</v>
      </c>
      <c r="C2832" s="1">
        <f>IFERROR(__xludf.DUMMYFUNCTION("""COMPUTED_VALUE"""),62.3)</f>
        <v>62.3</v>
      </c>
      <c r="D2832" s="1">
        <f>IFERROR(__xludf.DUMMYFUNCTION("""COMPUTED_VALUE"""),61.74)</f>
        <v>61.74</v>
      </c>
      <c r="E2832" s="1">
        <f>IFERROR(__xludf.DUMMYFUNCTION("""COMPUTED_VALUE"""),62.08)</f>
        <v>62.08</v>
      </c>
      <c r="F2832" s="1">
        <f>IFERROR(__xludf.DUMMYFUNCTION("""COMPUTED_VALUE"""),8251212.0)</f>
        <v>8251212</v>
      </c>
    </row>
    <row r="2833">
      <c r="A2833" s="2">
        <f>IFERROR(__xludf.DUMMYFUNCTION("""COMPUTED_VALUE"""),40637.666666666664)</f>
        <v>40637.66667</v>
      </c>
      <c r="B2833" s="1">
        <f>IFERROR(__xludf.DUMMYFUNCTION("""COMPUTED_VALUE"""),62.17)</f>
        <v>62.17</v>
      </c>
      <c r="C2833" s="1">
        <f>IFERROR(__xludf.DUMMYFUNCTION("""COMPUTED_VALUE"""),62.33)</f>
        <v>62.33</v>
      </c>
      <c r="D2833" s="1">
        <f>IFERROR(__xludf.DUMMYFUNCTION("""COMPUTED_VALUE"""),61.93)</f>
        <v>61.93</v>
      </c>
      <c r="E2833" s="1">
        <f>IFERROR(__xludf.DUMMYFUNCTION("""COMPUTED_VALUE"""),62.26)</f>
        <v>62.26</v>
      </c>
      <c r="F2833" s="1">
        <f>IFERROR(__xludf.DUMMYFUNCTION("""COMPUTED_VALUE"""),6440482.0)</f>
        <v>6440482</v>
      </c>
    </row>
    <row r="2834">
      <c r="A2834" s="2">
        <f>IFERROR(__xludf.DUMMYFUNCTION("""COMPUTED_VALUE"""),40638.666666666664)</f>
        <v>40638.66667</v>
      </c>
      <c r="B2834" s="1">
        <f>IFERROR(__xludf.DUMMYFUNCTION("""COMPUTED_VALUE"""),62.02)</f>
        <v>62.02</v>
      </c>
      <c r="C2834" s="1">
        <f>IFERROR(__xludf.DUMMYFUNCTION("""COMPUTED_VALUE"""),62.26)</f>
        <v>62.26</v>
      </c>
      <c r="D2834" s="1">
        <f>IFERROR(__xludf.DUMMYFUNCTION("""COMPUTED_VALUE"""),61.6)</f>
        <v>61.6</v>
      </c>
      <c r="E2834" s="1">
        <f>IFERROR(__xludf.DUMMYFUNCTION("""COMPUTED_VALUE"""),61.67)</f>
        <v>61.67</v>
      </c>
      <c r="F2834" s="1">
        <f>IFERROR(__xludf.DUMMYFUNCTION("""COMPUTED_VALUE"""),9118051.0)</f>
        <v>9118051</v>
      </c>
    </row>
    <row r="2835">
      <c r="A2835" s="2">
        <f>IFERROR(__xludf.DUMMYFUNCTION("""COMPUTED_VALUE"""),40639.666666666664)</f>
        <v>40639.66667</v>
      </c>
      <c r="B2835" s="1">
        <f>IFERROR(__xludf.DUMMYFUNCTION("""COMPUTED_VALUE"""),61.88)</f>
        <v>61.88</v>
      </c>
      <c r="C2835" s="1">
        <f>IFERROR(__xludf.DUMMYFUNCTION("""COMPUTED_VALUE"""),61.94)</f>
        <v>61.94</v>
      </c>
      <c r="D2835" s="1">
        <f>IFERROR(__xludf.DUMMYFUNCTION("""COMPUTED_VALUE"""),61.54)</f>
        <v>61.54</v>
      </c>
      <c r="E2835" s="1">
        <f>IFERROR(__xludf.DUMMYFUNCTION("""COMPUTED_VALUE"""),61.76)</f>
        <v>61.76</v>
      </c>
      <c r="F2835" s="1">
        <f>IFERROR(__xludf.DUMMYFUNCTION("""COMPUTED_VALUE"""),8251507.0)</f>
        <v>8251507</v>
      </c>
    </row>
    <row r="2836">
      <c r="A2836" s="2">
        <f>IFERROR(__xludf.DUMMYFUNCTION("""COMPUTED_VALUE"""),40640.666666666664)</f>
        <v>40640.66667</v>
      </c>
      <c r="B2836" s="1">
        <f>IFERROR(__xludf.DUMMYFUNCTION("""COMPUTED_VALUE"""),61.62)</f>
        <v>61.62</v>
      </c>
      <c r="C2836" s="1">
        <f>IFERROR(__xludf.DUMMYFUNCTION("""COMPUTED_VALUE"""),62.15)</f>
        <v>62.15</v>
      </c>
      <c r="D2836" s="1">
        <f>IFERROR(__xludf.DUMMYFUNCTION("""COMPUTED_VALUE"""),61.47)</f>
        <v>61.47</v>
      </c>
      <c r="E2836" s="1">
        <f>IFERROR(__xludf.DUMMYFUNCTION("""COMPUTED_VALUE"""),62.13)</f>
        <v>62.13</v>
      </c>
      <c r="F2836" s="1">
        <f>IFERROR(__xludf.DUMMYFUNCTION("""COMPUTED_VALUE"""),7704711.0)</f>
        <v>7704711</v>
      </c>
    </row>
    <row r="2837">
      <c r="A2837" s="2">
        <f>IFERROR(__xludf.DUMMYFUNCTION("""COMPUTED_VALUE"""),40641.666666666664)</f>
        <v>40641.66667</v>
      </c>
      <c r="B2837" s="1">
        <f>IFERROR(__xludf.DUMMYFUNCTION("""COMPUTED_VALUE"""),62.2)</f>
        <v>62.2</v>
      </c>
      <c r="C2837" s="1">
        <f>IFERROR(__xludf.DUMMYFUNCTION("""COMPUTED_VALUE"""),62.23)</f>
        <v>62.23</v>
      </c>
      <c r="D2837" s="1">
        <f>IFERROR(__xludf.DUMMYFUNCTION("""COMPUTED_VALUE"""),61.63)</f>
        <v>61.63</v>
      </c>
      <c r="E2837" s="1">
        <f>IFERROR(__xludf.DUMMYFUNCTION("""COMPUTED_VALUE"""),61.9)</f>
        <v>61.9</v>
      </c>
      <c r="F2837" s="1">
        <f>IFERROR(__xludf.DUMMYFUNCTION("""COMPUTED_VALUE"""),7277321.0)</f>
        <v>7277321</v>
      </c>
    </row>
    <row r="2838">
      <c r="A2838" s="2">
        <f>IFERROR(__xludf.DUMMYFUNCTION("""COMPUTED_VALUE"""),40644.666666666664)</f>
        <v>40644.66667</v>
      </c>
      <c r="B2838" s="1">
        <f>IFERROR(__xludf.DUMMYFUNCTION("""COMPUTED_VALUE"""),62.02)</f>
        <v>62.02</v>
      </c>
      <c r="C2838" s="1">
        <f>IFERROR(__xludf.DUMMYFUNCTION("""COMPUTED_VALUE"""),62.5)</f>
        <v>62.5</v>
      </c>
      <c r="D2838" s="1">
        <f>IFERROR(__xludf.DUMMYFUNCTION("""COMPUTED_VALUE"""),61.9)</f>
        <v>61.9</v>
      </c>
      <c r="E2838" s="1">
        <f>IFERROR(__xludf.DUMMYFUNCTION("""COMPUTED_VALUE"""),62.19)</f>
        <v>62.19</v>
      </c>
      <c r="F2838" s="1">
        <f>IFERROR(__xludf.DUMMYFUNCTION("""COMPUTED_VALUE"""),7655811.0)</f>
        <v>7655811</v>
      </c>
    </row>
    <row r="2839">
      <c r="A2839" s="2">
        <f>IFERROR(__xludf.DUMMYFUNCTION("""COMPUTED_VALUE"""),40645.666666666664)</f>
        <v>40645.66667</v>
      </c>
      <c r="B2839" s="1">
        <f>IFERROR(__xludf.DUMMYFUNCTION("""COMPUTED_VALUE"""),62.03)</f>
        <v>62.03</v>
      </c>
      <c r="C2839" s="1">
        <f>IFERROR(__xludf.DUMMYFUNCTION("""COMPUTED_VALUE"""),62.99)</f>
        <v>62.99</v>
      </c>
      <c r="D2839" s="1">
        <f>IFERROR(__xludf.DUMMYFUNCTION("""COMPUTED_VALUE"""),62.0)</f>
        <v>62</v>
      </c>
      <c r="E2839" s="1">
        <f>IFERROR(__xludf.DUMMYFUNCTION("""COMPUTED_VALUE"""),62.89)</f>
        <v>62.89</v>
      </c>
      <c r="F2839" s="1">
        <f>IFERROR(__xludf.DUMMYFUNCTION("""COMPUTED_VALUE"""),1.1423564E7)</f>
        <v>11423564</v>
      </c>
    </row>
    <row r="2840">
      <c r="A2840" s="2">
        <f>IFERROR(__xludf.DUMMYFUNCTION("""COMPUTED_VALUE"""),40646.666666666664)</f>
        <v>40646.66667</v>
      </c>
      <c r="B2840" s="1">
        <f>IFERROR(__xludf.DUMMYFUNCTION("""COMPUTED_VALUE"""),62.84)</f>
        <v>62.84</v>
      </c>
      <c r="C2840" s="1">
        <f>IFERROR(__xludf.DUMMYFUNCTION("""COMPUTED_VALUE"""),63.07)</f>
        <v>63.07</v>
      </c>
      <c r="D2840" s="1">
        <f>IFERROR(__xludf.DUMMYFUNCTION("""COMPUTED_VALUE"""),62.72)</f>
        <v>62.72</v>
      </c>
      <c r="E2840" s="1">
        <f>IFERROR(__xludf.DUMMYFUNCTION("""COMPUTED_VALUE"""),62.99)</f>
        <v>62.99</v>
      </c>
      <c r="F2840" s="1">
        <f>IFERROR(__xludf.DUMMYFUNCTION("""COMPUTED_VALUE"""),1.0428915E7)</f>
        <v>10428915</v>
      </c>
    </row>
    <row r="2841">
      <c r="A2841" s="2">
        <f>IFERROR(__xludf.DUMMYFUNCTION("""COMPUTED_VALUE"""),40647.666666666664)</f>
        <v>40647.66667</v>
      </c>
      <c r="B2841" s="1">
        <f>IFERROR(__xludf.DUMMYFUNCTION("""COMPUTED_VALUE"""),62.76)</f>
        <v>62.76</v>
      </c>
      <c r="C2841" s="1">
        <f>IFERROR(__xludf.DUMMYFUNCTION("""COMPUTED_VALUE"""),63.49)</f>
        <v>63.49</v>
      </c>
      <c r="D2841" s="1">
        <f>IFERROR(__xludf.DUMMYFUNCTION("""COMPUTED_VALUE"""),62.76)</f>
        <v>62.76</v>
      </c>
      <c r="E2841" s="1">
        <f>IFERROR(__xludf.DUMMYFUNCTION("""COMPUTED_VALUE"""),63.3)</f>
        <v>63.3</v>
      </c>
      <c r="F2841" s="1">
        <f>IFERROR(__xludf.DUMMYFUNCTION("""COMPUTED_VALUE"""),1.0028634E7)</f>
        <v>10028634</v>
      </c>
    </row>
    <row r="2842">
      <c r="A2842" s="2">
        <f>IFERROR(__xludf.DUMMYFUNCTION("""COMPUTED_VALUE"""),40648.666666666664)</f>
        <v>40648.66667</v>
      </c>
      <c r="B2842" s="1">
        <f>IFERROR(__xludf.DUMMYFUNCTION("""COMPUTED_VALUE"""),63.46)</f>
        <v>63.46</v>
      </c>
      <c r="C2842" s="1">
        <f>IFERROR(__xludf.DUMMYFUNCTION("""COMPUTED_VALUE"""),64.21)</f>
        <v>64.21</v>
      </c>
      <c r="D2842" s="1">
        <f>IFERROR(__xludf.DUMMYFUNCTION("""COMPUTED_VALUE"""),63.09)</f>
        <v>63.09</v>
      </c>
      <c r="E2842" s="1">
        <f>IFERROR(__xludf.DUMMYFUNCTION("""COMPUTED_VALUE"""),64.18)</f>
        <v>64.18</v>
      </c>
      <c r="F2842" s="1">
        <f>IFERROR(__xludf.DUMMYFUNCTION("""COMPUTED_VALUE"""),1.2381093E7)</f>
        <v>12381093</v>
      </c>
    </row>
    <row r="2843">
      <c r="A2843" s="2">
        <f>IFERROR(__xludf.DUMMYFUNCTION("""COMPUTED_VALUE"""),40651.666666666664)</f>
        <v>40651.66667</v>
      </c>
      <c r="B2843" s="1">
        <f>IFERROR(__xludf.DUMMYFUNCTION("""COMPUTED_VALUE"""),63.67)</f>
        <v>63.67</v>
      </c>
      <c r="C2843" s="1">
        <f>IFERROR(__xludf.DUMMYFUNCTION("""COMPUTED_VALUE"""),64.15)</f>
        <v>64.15</v>
      </c>
      <c r="D2843" s="1">
        <f>IFERROR(__xludf.DUMMYFUNCTION("""COMPUTED_VALUE"""),63.57)</f>
        <v>63.57</v>
      </c>
      <c r="E2843" s="1">
        <f>IFERROR(__xludf.DUMMYFUNCTION("""COMPUTED_VALUE"""),64.0)</f>
        <v>64</v>
      </c>
      <c r="F2843" s="1">
        <f>IFERROR(__xludf.DUMMYFUNCTION("""COMPUTED_VALUE"""),1.1334769E7)</f>
        <v>11334769</v>
      </c>
    </row>
    <row r="2844">
      <c r="A2844" s="2">
        <f>IFERROR(__xludf.DUMMYFUNCTION("""COMPUTED_VALUE"""),40652.666666666664)</f>
        <v>40652.66667</v>
      </c>
      <c r="B2844" s="1">
        <f>IFERROR(__xludf.DUMMYFUNCTION("""COMPUTED_VALUE"""),64.22)</f>
        <v>64.22</v>
      </c>
      <c r="C2844" s="1">
        <f>IFERROR(__xludf.DUMMYFUNCTION("""COMPUTED_VALUE"""),64.32)</f>
        <v>64.32</v>
      </c>
      <c r="D2844" s="1">
        <f>IFERROR(__xludf.DUMMYFUNCTION("""COMPUTED_VALUE"""),63.56)</f>
        <v>63.56</v>
      </c>
      <c r="E2844" s="1">
        <f>IFERROR(__xludf.DUMMYFUNCTION("""COMPUTED_VALUE"""),63.86)</f>
        <v>63.86</v>
      </c>
      <c r="F2844" s="1">
        <f>IFERROR(__xludf.DUMMYFUNCTION("""COMPUTED_VALUE"""),9292389.0)</f>
        <v>9292389</v>
      </c>
    </row>
    <row r="2845">
      <c r="A2845" s="2">
        <f>IFERROR(__xludf.DUMMYFUNCTION("""COMPUTED_VALUE"""),40653.666666666664)</f>
        <v>40653.66667</v>
      </c>
      <c r="B2845" s="1">
        <f>IFERROR(__xludf.DUMMYFUNCTION("""COMPUTED_VALUE"""),64.26)</f>
        <v>64.26</v>
      </c>
      <c r="C2845" s="1">
        <f>IFERROR(__xludf.DUMMYFUNCTION("""COMPUTED_VALUE"""),64.34)</f>
        <v>64.34</v>
      </c>
      <c r="D2845" s="1">
        <f>IFERROR(__xludf.DUMMYFUNCTION("""COMPUTED_VALUE"""),63.56)</f>
        <v>63.56</v>
      </c>
      <c r="E2845" s="1">
        <f>IFERROR(__xludf.DUMMYFUNCTION("""COMPUTED_VALUE"""),63.72)</f>
        <v>63.72</v>
      </c>
      <c r="F2845" s="1">
        <f>IFERROR(__xludf.DUMMYFUNCTION("""COMPUTED_VALUE"""),8860175.0)</f>
        <v>8860175</v>
      </c>
    </row>
    <row r="2846">
      <c r="A2846" s="2">
        <f>IFERROR(__xludf.DUMMYFUNCTION("""COMPUTED_VALUE"""),40654.666666666664)</f>
        <v>40654.66667</v>
      </c>
      <c r="B2846" s="1">
        <f>IFERROR(__xludf.DUMMYFUNCTION("""COMPUTED_VALUE"""),63.61)</f>
        <v>63.61</v>
      </c>
      <c r="C2846" s="1">
        <f>IFERROR(__xludf.DUMMYFUNCTION("""COMPUTED_VALUE"""),63.75)</f>
        <v>63.75</v>
      </c>
      <c r="D2846" s="1">
        <f>IFERROR(__xludf.DUMMYFUNCTION("""COMPUTED_VALUE"""),63.0)</f>
        <v>63</v>
      </c>
      <c r="E2846" s="1">
        <f>IFERROR(__xludf.DUMMYFUNCTION("""COMPUTED_VALUE"""),63.27)</f>
        <v>63.27</v>
      </c>
      <c r="F2846" s="1">
        <f>IFERROR(__xludf.DUMMYFUNCTION("""COMPUTED_VALUE"""),1.0616885E7)</f>
        <v>10616885</v>
      </c>
    </row>
    <row r="2847">
      <c r="A2847" s="2">
        <f>IFERROR(__xludf.DUMMYFUNCTION("""COMPUTED_VALUE"""),40658.666666666664)</f>
        <v>40658.66667</v>
      </c>
      <c r="B2847" s="1">
        <f>IFERROR(__xludf.DUMMYFUNCTION("""COMPUTED_VALUE"""),63.08)</f>
        <v>63.08</v>
      </c>
      <c r="C2847" s="1">
        <f>IFERROR(__xludf.DUMMYFUNCTION("""COMPUTED_VALUE"""),63.39)</f>
        <v>63.39</v>
      </c>
      <c r="D2847" s="1">
        <f>IFERROR(__xludf.DUMMYFUNCTION("""COMPUTED_VALUE"""),62.6)</f>
        <v>62.6</v>
      </c>
      <c r="E2847" s="1">
        <f>IFERROR(__xludf.DUMMYFUNCTION("""COMPUTED_VALUE"""),63.37)</f>
        <v>63.37</v>
      </c>
      <c r="F2847" s="1">
        <f>IFERROR(__xludf.DUMMYFUNCTION("""COMPUTED_VALUE"""),7363767.0)</f>
        <v>7363767</v>
      </c>
    </row>
    <row r="2848">
      <c r="A2848" s="2">
        <f>IFERROR(__xludf.DUMMYFUNCTION("""COMPUTED_VALUE"""),40659.666666666664)</f>
        <v>40659.66667</v>
      </c>
      <c r="B2848" s="1">
        <f>IFERROR(__xludf.DUMMYFUNCTION("""COMPUTED_VALUE"""),63.45)</f>
        <v>63.45</v>
      </c>
      <c r="C2848" s="1">
        <f>IFERROR(__xludf.DUMMYFUNCTION("""COMPUTED_VALUE"""),64.0)</f>
        <v>64</v>
      </c>
      <c r="D2848" s="1">
        <f>IFERROR(__xludf.DUMMYFUNCTION("""COMPUTED_VALUE"""),63.28)</f>
        <v>63.28</v>
      </c>
      <c r="E2848" s="1">
        <f>IFERROR(__xludf.DUMMYFUNCTION("""COMPUTED_VALUE"""),63.83)</f>
        <v>63.83</v>
      </c>
      <c r="F2848" s="1">
        <f>IFERROR(__xludf.DUMMYFUNCTION("""COMPUTED_VALUE"""),9546969.0)</f>
        <v>9546969</v>
      </c>
    </row>
    <row r="2849">
      <c r="A2849" s="2">
        <f>IFERROR(__xludf.DUMMYFUNCTION("""COMPUTED_VALUE"""),40660.666666666664)</f>
        <v>40660.66667</v>
      </c>
      <c r="B2849" s="1">
        <f>IFERROR(__xludf.DUMMYFUNCTION("""COMPUTED_VALUE"""),63.64)</f>
        <v>63.64</v>
      </c>
      <c r="C2849" s="1">
        <f>IFERROR(__xludf.DUMMYFUNCTION("""COMPUTED_VALUE"""),64.16)</f>
        <v>64.16</v>
      </c>
      <c r="D2849" s="1">
        <f>IFERROR(__xludf.DUMMYFUNCTION("""COMPUTED_VALUE"""),63.57)</f>
        <v>63.57</v>
      </c>
      <c r="E2849" s="1">
        <f>IFERROR(__xludf.DUMMYFUNCTION("""COMPUTED_VALUE"""),64.02)</f>
        <v>64.02</v>
      </c>
      <c r="F2849" s="1">
        <f>IFERROR(__xludf.DUMMYFUNCTION("""COMPUTED_VALUE"""),9898582.0)</f>
        <v>9898582</v>
      </c>
    </row>
    <row r="2850">
      <c r="A2850" s="2">
        <f>IFERROR(__xludf.DUMMYFUNCTION("""COMPUTED_VALUE"""),40661.666666666664)</f>
        <v>40661.66667</v>
      </c>
      <c r="B2850" s="1">
        <f>IFERROR(__xludf.DUMMYFUNCTION("""COMPUTED_VALUE"""),63.24)</f>
        <v>63.24</v>
      </c>
      <c r="C2850" s="1">
        <f>IFERROR(__xludf.DUMMYFUNCTION("""COMPUTED_VALUE"""),64.59)</f>
        <v>64.59</v>
      </c>
      <c r="D2850" s="1">
        <f>IFERROR(__xludf.DUMMYFUNCTION("""COMPUTED_VALUE"""),62.93)</f>
        <v>62.93</v>
      </c>
      <c r="E2850" s="1">
        <f>IFERROR(__xludf.DUMMYFUNCTION("""COMPUTED_VALUE"""),64.5)</f>
        <v>64.5</v>
      </c>
      <c r="F2850" s="1">
        <f>IFERROR(__xludf.DUMMYFUNCTION("""COMPUTED_VALUE"""),1.3369178E7)</f>
        <v>13369178</v>
      </c>
    </row>
    <row r="2851">
      <c r="A2851" s="2">
        <f>IFERROR(__xludf.DUMMYFUNCTION("""COMPUTED_VALUE"""),40662.666666666664)</f>
        <v>40662.66667</v>
      </c>
      <c r="B2851" s="1">
        <f>IFERROR(__xludf.DUMMYFUNCTION("""COMPUTED_VALUE"""),64.58)</f>
        <v>64.58</v>
      </c>
      <c r="C2851" s="1">
        <f>IFERROR(__xludf.DUMMYFUNCTION("""COMPUTED_VALUE"""),65.1)</f>
        <v>65.1</v>
      </c>
      <c r="D2851" s="1">
        <f>IFERROR(__xludf.DUMMYFUNCTION("""COMPUTED_VALUE"""),64.41)</f>
        <v>64.41</v>
      </c>
      <c r="E2851" s="1">
        <f>IFERROR(__xludf.DUMMYFUNCTION("""COMPUTED_VALUE"""),64.9)</f>
        <v>64.9</v>
      </c>
      <c r="F2851" s="1">
        <f>IFERROR(__xludf.DUMMYFUNCTION("""COMPUTED_VALUE"""),1.3366128E7)</f>
        <v>13366128</v>
      </c>
    </row>
    <row r="2852">
      <c r="A2852" s="2">
        <f>IFERROR(__xludf.DUMMYFUNCTION("""COMPUTED_VALUE"""),40665.666666666664)</f>
        <v>40665.66667</v>
      </c>
      <c r="B2852" s="1">
        <f>IFERROR(__xludf.DUMMYFUNCTION("""COMPUTED_VALUE"""),65.24)</f>
        <v>65.24</v>
      </c>
      <c r="C2852" s="1">
        <f>IFERROR(__xludf.DUMMYFUNCTION("""COMPUTED_VALUE"""),65.45)</f>
        <v>65.45</v>
      </c>
      <c r="D2852" s="1">
        <f>IFERROR(__xludf.DUMMYFUNCTION("""COMPUTED_VALUE"""),65.0)</f>
        <v>65</v>
      </c>
      <c r="E2852" s="1">
        <f>IFERROR(__xludf.DUMMYFUNCTION("""COMPUTED_VALUE"""),65.18)</f>
        <v>65.18</v>
      </c>
      <c r="F2852" s="1">
        <f>IFERROR(__xludf.DUMMYFUNCTION("""COMPUTED_VALUE"""),8911533.0)</f>
        <v>8911533</v>
      </c>
    </row>
    <row r="2853">
      <c r="A2853" s="2">
        <f>IFERROR(__xludf.DUMMYFUNCTION("""COMPUTED_VALUE"""),40666.666666666664)</f>
        <v>40666.66667</v>
      </c>
      <c r="B2853" s="1">
        <f>IFERROR(__xludf.DUMMYFUNCTION("""COMPUTED_VALUE"""),65.26)</f>
        <v>65.26</v>
      </c>
      <c r="C2853" s="1">
        <f>IFERROR(__xludf.DUMMYFUNCTION("""COMPUTED_VALUE"""),65.79)</f>
        <v>65.79</v>
      </c>
      <c r="D2853" s="1">
        <f>IFERROR(__xludf.DUMMYFUNCTION("""COMPUTED_VALUE"""),65.16)</f>
        <v>65.16</v>
      </c>
      <c r="E2853" s="1">
        <f>IFERROR(__xludf.DUMMYFUNCTION("""COMPUTED_VALUE"""),65.71)</f>
        <v>65.71</v>
      </c>
      <c r="F2853" s="1">
        <f>IFERROR(__xludf.DUMMYFUNCTION("""COMPUTED_VALUE"""),9926242.0)</f>
        <v>9926242</v>
      </c>
    </row>
    <row r="2854">
      <c r="A2854" s="2">
        <f>IFERROR(__xludf.DUMMYFUNCTION("""COMPUTED_VALUE"""),40667.666666666664)</f>
        <v>40667.66667</v>
      </c>
      <c r="B2854" s="1">
        <f>IFERROR(__xludf.DUMMYFUNCTION("""COMPUTED_VALUE"""),65.7)</f>
        <v>65.7</v>
      </c>
      <c r="C2854" s="1">
        <f>IFERROR(__xludf.DUMMYFUNCTION("""COMPUTED_VALUE"""),66.5)</f>
        <v>66.5</v>
      </c>
      <c r="D2854" s="1">
        <f>IFERROR(__xludf.DUMMYFUNCTION("""COMPUTED_VALUE"""),65.58)</f>
        <v>65.58</v>
      </c>
      <c r="E2854" s="1">
        <f>IFERROR(__xludf.DUMMYFUNCTION("""COMPUTED_VALUE"""),66.47)</f>
        <v>66.47</v>
      </c>
      <c r="F2854" s="1">
        <f>IFERROR(__xludf.DUMMYFUNCTION("""COMPUTED_VALUE"""),1.425589E7)</f>
        <v>14255890</v>
      </c>
    </row>
    <row r="2855">
      <c r="A2855" s="2">
        <f>IFERROR(__xludf.DUMMYFUNCTION("""COMPUTED_VALUE"""),40668.666666666664)</f>
        <v>40668.66667</v>
      </c>
      <c r="B2855" s="1">
        <f>IFERROR(__xludf.DUMMYFUNCTION("""COMPUTED_VALUE"""),66.08)</f>
        <v>66.08</v>
      </c>
      <c r="C2855" s="1">
        <f>IFERROR(__xludf.DUMMYFUNCTION("""COMPUTED_VALUE"""),66.39)</f>
        <v>66.39</v>
      </c>
      <c r="D2855" s="1">
        <f>IFERROR(__xludf.DUMMYFUNCTION("""COMPUTED_VALUE"""),65.63)</f>
        <v>65.63</v>
      </c>
      <c r="E2855" s="1">
        <f>IFERROR(__xludf.DUMMYFUNCTION("""COMPUTED_VALUE"""),65.88)</f>
        <v>65.88</v>
      </c>
      <c r="F2855" s="1">
        <f>IFERROR(__xludf.DUMMYFUNCTION("""COMPUTED_VALUE"""),1.0813453E7)</f>
        <v>10813453</v>
      </c>
    </row>
    <row r="2856">
      <c r="A2856" s="2">
        <f>IFERROR(__xludf.DUMMYFUNCTION("""COMPUTED_VALUE"""),40669.666666666664)</f>
        <v>40669.66667</v>
      </c>
      <c r="B2856" s="1">
        <f>IFERROR(__xludf.DUMMYFUNCTION("""COMPUTED_VALUE"""),66.21)</f>
        <v>66.21</v>
      </c>
      <c r="C2856" s="1">
        <f>IFERROR(__xludf.DUMMYFUNCTION("""COMPUTED_VALUE"""),66.34)</f>
        <v>66.34</v>
      </c>
      <c r="D2856" s="1">
        <f>IFERROR(__xludf.DUMMYFUNCTION("""COMPUTED_VALUE"""),65.04)</f>
        <v>65.04</v>
      </c>
      <c r="E2856" s="1">
        <f>IFERROR(__xludf.DUMMYFUNCTION("""COMPUTED_VALUE"""),65.27)</f>
        <v>65.27</v>
      </c>
      <c r="F2856" s="1">
        <f>IFERROR(__xludf.DUMMYFUNCTION("""COMPUTED_VALUE"""),1.1139361E7)</f>
        <v>11139361</v>
      </c>
    </row>
    <row r="2857">
      <c r="A2857" s="2">
        <f>IFERROR(__xludf.DUMMYFUNCTION("""COMPUTED_VALUE"""),40672.666666666664)</f>
        <v>40672.66667</v>
      </c>
      <c r="B2857" s="1">
        <f>IFERROR(__xludf.DUMMYFUNCTION("""COMPUTED_VALUE"""),64.93)</f>
        <v>64.93</v>
      </c>
      <c r="C2857" s="1">
        <f>IFERROR(__xludf.DUMMYFUNCTION("""COMPUTED_VALUE"""),65.39)</f>
        <v>65.39</v>
      </c>
      <c r="D2857" s="1">
        <f>IFERROR(__xludf.DUMMYFUNCTION("""COMPUTED_VALUE"""),64.86)</f>
        <v>64.86</v>
      </c>
      <c r="E2857" s="1">
        <f>IFERROR(__xludf.DUMMYFUNCTION("""COMPUTED_VALUE"""),65.14)</f>
        <v>65.14</v>
      </c>
      <c r="F2857" s="1">
        <f>IFERROR(__xludf.DUMMYFUNCTION("""COMPUTED_VALUE"""),8700843.0)</f>
        <v>8700843</v>
      </c>
    </row>
    <row r="2858">
      <c r="A2858" s="2">
        <f>IFERROR(__xludf.DUMMYFUNCTION("""COMPUTED_VALUE"""),40673.666666666664)</f>
        <v>40673.66667</v>
      </c>
      <c r="B2858" s="1">
        <f>IFERROR(__xludf.DUMMYFUNCTION("""COMPUTED_VALUE"""),65.29)</f>
        <v>65.29</v>
      </c>
      <c r="C2858" s="1">
        <f>IFERROR(__xludf.DUMMYFUNCTION("""COMPUTED_VALUE"""),65.89)</f>
        <v>65.89</v>
      </c>
      <c r="D2858" s="1">
        <f>IFERROR(__xludf.DUMMYFUNCTION("""COMPUTED_VALUE"""),65.25)</f>
        <v>65.25</v>
      </c>
      <c r="E2858" s="1">
        <f>IFERROR(__xludf.DUMMYFUNCTION("""COMPUTED_VALUE"""),65.73)</f>
        <v>65.73</v>
      </c>
      <c r="F2858" s="1">
        <f>IFERROR(__xludf.DUMMYFUNCTION("""COMPUTED_VALUE"""),8080086.0)</f>
        <v>8080086</v>
      </c>
    </row>
    <row r="2859">
      <c r="A2859" s="2">
        <f>IFERROR(__xludf.DUMMYFUNCTION("""COMPUTED_VALUE"""),40674.666666666664)</f>
        <v>40674.66667</v>
      </c>
      <c r="B2859" s="1">
        <f>IFERROR(__xludf.DUMMYFUNCTION("""COMPUTED_VALUE"""),65.79)</f>
        <v>65.79</v>
      </c>
      <c r="C2859" s="1">
        <f>IFERROR(__xludf.DUMMYFUNCTION("""COMPUTED_VALUE"""),66.12)</f>
        <v>66.12</v>
      </c>
      <c r="D2859" s="1">
        <f>IFERROR(__xludf.DUMMYFUNCTION("""COMPUTED_VALUE"""),65.65)</f>
        <v>65.65</v>
      </c>
      <c r="E2859" s="1">
        <f>IFERROR(__xludf.DUMMYFUNCTION("""COMPUTED_VALUE"""),65.92)</f>
        <v>65.92</v>
      </c>
      <c r="F2859" s="1">
        <f>IFERROR(__xludf.DUMMYFUNCTION("""COMPUTED_VALUE"""),9181886.0)</f>
        <v>9181886</v>
      </c>
    </row>
    <row r="2860">
      <c r="A2860" s="2">
        <f>IFERROR(__xludf.DUMMYFUNCTION("""COMPUTED_VALUE"""),40675.666666666664)</f>
        <v>40675.66667</v>
      </c>
      <c r="B2860" s="1">
        <f>IFERROR(__xludf.DUMMYFUNCTION("""COMPUTED_VALUE"""),66.03)</f>
        <v>66.03</v>
      </c>
      <c r="C2860" s="1">
        <f>IFERROR(__xludf.DUMMYFUNCTION("""COMPUTED_VALUE"""),66.99)</f>
        <v>66.99</v>
      </c>
      <c r="D2860" s="1">
        <f>IFERROR(__xludf.DUMMYFUNCTION("""COMPUTED_VALUE"""),65.82)</f>
        <v>65.82</v>
      </c>
      <c r="E2860" s="1">
        <f>IFERROR(__xludf.DUMMYFUNCTION("""COMPUTED_VALUE"""),66.84)</f>
        <v>66.84</v>
      </c>
      <c r="F2860" s="1">
        <f>IFERROR(__xludf.DUMMYFUNCTION("""COMPUTED_VALUE"""),1.1107591E7)</f>
        <v>11107591</v>
      </c>
    </row>
    <row r="2861">
      <c r="A2861" s="2">
        <f>IFERROR(__xludf.DUMMYFUNCTION("""COMPUTED_VALUE"""),40676.666666666664)</f>
        <v>40676.66667</v>
      </c>
      <c r="B2861" s="1">
        <f>IFERROR(__xludf.DUMMYFUNCTION("""COMPUTED_VALUE"""),66.67)</f>
        <v>66.67</v>
      </c>
      <c r="C2861" s="1">
        <f>IFERROR(__xludf.DUMMYFUNCTION("""COMPUTED_VALUE"""),67.31)</f>
        <v>67.31</v>
      </c>
      <c r="D2861" s="1">
        <f>IFERROR(__xludf.DUMMYFUNCTION("""COMPUTED_VALUE"""),66.55)</f>
        <v>66.55</v>
      </c>
      <c r="E2861" s="1">
        <f>IFERROR(__xludf.DUMMYFUNCTION("""COMPUTED_VALUE"""),66.86)</f>
        <v>66.86</v>
      </c>
      <c r="F2861" s="1">
        <f>IFERROR(__xludf.DUMMYFUNCTION("""COMPUTED_VALUE"""),1.2606896E7)</f>
        <v>12606896</v>
      </c>
    </row>
    <row r="2862">
      <c r="A2862" s="2">
        <f>IFERROR(__xludf.DUMMYFUNCTION("""COMPUTED_VALUE"""),40679.666666666664)</f>
        <v>40679.66667</v>
      </c>
      <c r="B2862" s="1">
        <f>IFERROR(__xludf.DUMMYFUNCTION("""COMPUTED_VALUE"""),66.66)</f>
        <v>66.66</v>
      </c>
      <c r="C2862" s="1">
        <f>IFERROR(__xludf.DUMMYFUNCTION("""COMPUTED_VALUE"""),67.3)</f>
        <v>67.3</v>
      </c>
      <c r="D2862" s="1">
        <f>IFERROR(__xludf.DUMMYFUNCTION("""COMPUTED_VALUE"""),66.51)</f>
        <v>66.51</v>
      </c>
      <c r="E2862" s="1">
        <f>IFERROR(__xludf.DUMMYFUNCTION("""COMPUTED_VALUE"""),66.94)</f>
        <v>66.94</v>
      </c>
      <c r="F2862" s="1">
        <f>IFERROR(__xludf.DUMMYFUNCTION("""COMPUTED_VALUE"""),9878317.0)</f>
        <v>9878317</v>
      </c>
    </row>
    <row r="2863">
      <c r="A2863" s="2">
        <f>IFERROR(__xludf.DUMMYFUNCTION("""COMPUTED_VALUE"""),40680.666666666664)</f>
        <v>40680.66667</v>
      </c>
      <c r="B2863" s="1">
        <f>IFERROR(__xludf.DUMMYFUNCTION("""COMPUTED_VALUE"""),66.64)</f>
        <v>66.64</v>
      </c>
      <c r="C2863" s="1">
        <f>IFERROR(__xludf.DUMMYFUNCTION("""COMPUTED_VALUE"""),67.72)</f>
        <v>67.72</v>
      </c>
      <c r="D2863" s="1">
        <f>IFERROR(__xludf.DUMMYFUNCTION("""COMPUTED_VALUE"""),66.64)</f>
        <v>66.64</v>
      </c>
      <c r="E2863" s="1">
        <f>IFERROR(__xludf.DUMMYFUNCTION("""COMPUTED_VALUE"""),67.42)</f>
        <v>67.42</v>
      </c>
      <c r="F2863" s="1">
        <f>IFERROR(__xludf.DUMMYFUNCTION("""COMPUTED_VALUE"""),1.2180987E7)</f>
        <v>12180987</v>
      </c>
    </row>
    <row r="2864">
      <c r="A2864" s="2">
        <f>IFERROR(__xludf.DUMMYFUNCTION("""COMPUTED_VALUE"""),40681.666666666664)</f>
        <v>40681.66667</v>
      </c>
      <c r="B2864" s="1">
        <f>IFERROR(__xludf.DUMMYFUNCTION("""COMPUTED_VALUE"""),67.4)</f>
        <v>67.4</v>
      </c>
      <c r="C2864" s="1">
        <f>IFERROR(__xludf.DUMMYFUNCTION("""COMPUTED_VALUE"""),67.5)</f>
        <v>67.5</v>
      </c>
      <c r="D2864" s="1">
        <f>IFERROR(__xludf.DUMMYFUNCTION("""COMPUTED_VALUE"""),66.97)</f>
        <v>66.97</v>
      </c>
      <c r="E2864" s="1">
        <f>IFERROR(__xludf.DUMMYFUNCTION("""COMPUTED_VALUE"""),67.38)</f>
        <v>67.38</v>
      </c>
      <c r="F2864" s="1">
        <f>IFERROR(__xludf.DUMMYFUNCTION("""COMPUTED_VALUE"""),8870963.0)</f>
        <v>8870963</v>
      </c>
    </row>
    <row r="2865">
      <c r="A2865" s="2">
        <f>IFERROR(__xludf.DUMMYFUNCTION("""COMPUTED_VALUE"""),40682.666666666664)</f>
        <v>40682.66667</v>
      </c>
      <c r="B2865" s="1">
        <f>IFERROR(__xludf.DUMMYFUNCTION("""COMPUTED_VALUE"""),67.29)</f>
        <v>67.29</v>
      </c>
      <c r="C2865" s="1">
        <f>IFERROR(__xludf.DUMMYFUNCTION("""COMPUTED_VALUE"""),67.46)</f>
        <v>67.46</v>
      </c>
      <c r="D2865" s="1">
        <f>IFERROR(__xludf.DUMMYFUNCTION("""COMPUTED_VALUE"""),66.9)</f>
        <v>66.9</v>
      </c>
      <c r="E2865" s="1">
        <f>IFERROR(__xludf.DUMMYFUNCTION("""COMPUTED_VALUE"""),67.46)</f>
        <v>67.46</v>
      </c>
      <c r="F2865" s="1">
        <f>IFERROR(__xludf.DUMMYFUNCTION("""COMPUTED_VALUE"""),7444225.0)</f>
        <v>7444225</v>
      </c>
    </row>
    <row r="2866">
      <c r="A2866" s="2">
        <f>IFERROR(__xludf.DUMMYFUNCTION("""COMPUTED_VALUE"""),40683.666666666664)</f>
        <v>40683.66667</v>
      </c>
      <c r="B2866" s="1">
        <f>IFERROR(__xludf.DUMMYFUNCTION("""COMPUTED_VALUE"""),67.42)</f>
        <v>67.42</v>
      </c>
      <c r="C2866" s="1">
        <f>IFERROR(__xludf.DUMMYFUNCTION("""COMPUTED_VALUE"""),67.6)</f>
        <v>67.6</v>
      </c>
      <c r="D2866" s="1">
        <f>IFERROR(__xludf.DUMMYFUNCTION("""COMPUTED_VALUE"""),67.18)</f>
        <v>67.18</v>
      </c>
      <c r="E2866" s="1">
        <f>IFERROR(__xludf.DUMMYFUNCTION("""COMPUTED_VALUE"""),67.36)</f>
        <v>67.36</v>
      </c>
      <c r="F2866" s="1">
        <f>IFERROR(__xludf.DUMMYFUNCTION("""COMPUTED_VALUE"""),9364047.0)</f>
        <v>9364047</v>
      </c>
    </row>
    <row r="2867">
      <c r="A2867" s="2">
        <f>IFERROR(__xludf.DUMMYFUNCTION("""COMPUTED_VALUE"""),40686.666666666664)</f>
        <v>40686.66667</v>
      </c>
      <c r="B2867" s="1">
        <f>IFERROR(__xludf.DUMMYFUNCTION("""COMPUTED_VALUE"""),66.88)</f>
        <v>66.88</v>
      </c>
      <c r="C2867" s="1">
        <f>IFERROR(__xludf.DUMMYFUNCTION("""COMPUTED_VALUE"""),67.23)</f>
        <v>67.23</v>
      </c>
      <c r="D2867" s="1">
        <f>IFERROR(__xludf.DUMMYFUNCTION("""COMPUTED_VALUE"""),66.71)</f>
        <v>66.71</v>
      </c>
      <c r="E2867" s="1">
        <f>IFERROR(__xludf.DUMMYFUNCTION("""COMPUTED_VALUE"""),67.05)</f>
        <v>67.05</v>
      </c>
      <c r="F2867" s="1">
        <f>IFERROR(__xludf.DUMMYFUNCTION("""COMPUTED_VALUE"""),9410557.0)</f>
        <v>9410557</v>
      </c>
    </row>
    <row r="2868">
      <c r="A2868" s="2">
        <f>IFERROR(__xludf.DUMMYFUNCTION("""COMPUTED_VALUE"""),40687.666666666664)</f>
        <v>40687.66667</v>
      </c>
      <c r="B2868" s="1">
        <f>IFERROR(__xludf.DUMMYFUNCTION("""COMPUTED_VALUE"""),66.98)</f>
        <v>66.98</v>
      </c>
      <c r="C2868" s="1">
        <f>IFERROR(__xludf.DUMMYFUNCTION("""COMPUTED_VALUE"""),67.25)</f>
        <v>67.25</v>
      </c>
      <c r="D2868" s="1">
        <f>IFERROR(__xludf.DUMMYFUNCTION("""COMPUTED_VALUE"""),66.8)</f>
        <v>66.8</v>
      </c>
      <c r="E2868" s="1">
        <f>IFERROR(__xludf.DUMMYFUNCTION("""COMPUTED_VALUE"""),67.01)</f>
        <v>67.01</v>
      </c>
      <c r="F2868" s="1">
        <f>IFERROR(__xludf.DUMMYFUNCTION("""COMPUTED_VALUE"""),7105192.0)</f>
        <v>7105192</v>
      </c>
    </row>
    <row r="2869">
      <c r="A2869" s="2">
        <f>IFERROR(__xludf.DUMMYFUNCTION("""COMPUTED_VALUE"""),40688.666666666664)</f>
        <v>40688.66667</v>
      </c>
      <c r="B2869" s="1">
        <f>IFERROR(__xludf.DUMMYFUNCTION("""COMPUTED_VALUE"""),66.6)</f>
        <v>66.6</v>
      </c>
      <c r="C2869" s="1">
        <f>IFERROR(__xludf.DUMMYFUNCTION("""COMPUTED_VALUE"""),66.83)</f>
        <v>66.83</v>
      </c>
      <c r="D2869" s="1">
        <f>IFERROR(__xludf.DUMMYFUNCTION("""COMPUTED_VALUE"""),65.9)</f>
        <v>65.9</v>
      </c>
      <c r="E2869" s="1">
        <f>IFERROR(__xludf.DUMMYFUNCTION("""COMPUTED_VALUE"""),66.38)</f>
        <v>66.38</v>
      </c>
      <c r="F2869" s="1">
        <f>IFERROR(__xludf.DUMMYFUNCTION("""COMPUTED_VALUE"""),1.1644321E7)</f>
        <v>11644321</v>
      </c>
    </row>
    <row r="2870">
      <c r="A2870" s="2">
        <f>IFERROR(__xludf.DUMMYFUNCTION("""COMPUTED_VALUE"""),40689.666666666664)</f>
        <v>40689.66667</v>
      </c>
      <c r="B2870" s="1">
        <f>IFERROR(__xludf.DUMMYFUNCTION("""COMPUTED_VALUE"""),66.19)</f>
        <v>66.19</v>
      </c>
      <c r="C2870" s="1">
        <f>IFERROR(__xludf.DUMMYFUNCTION("""COMPUTED_VALUE"""),66.3)</f>
        <v>66.3</v>
      </c>
      <c r="D2870" s="1">
        <f>IFERROR(__xludf.DUMMYFUNCTION("""COMPUTED_VALUE"""),65.76)</f>
        <v>65.76</v>
      </c>
      <c r="E2870" s="1">
        <f>IFERROR(__xludf.DUMMYFUNCTION("""COMPUTED_VALUE"""),66.19)</f>
        <v>66.19</v>
      </c>
      <c r="F2870" s="1">
        <f>IFERROR(__xludf.DUMMYFUNCTION("""COMPUTED_VALUE"""),8954195.0)</f>
        <v>8954195</v>
      </c>
    </row>
    <row r="2871">
      <c r="A2871" s="2">
        <f>IFERROR(__xludf.DUMMYFUNCTION("""COMPUTED_VALUE"""),40690.666666666664)</f>
        <v>40690.66667</v>
      </c>
      <c r="B2871" s="1">
        <f>IFERROR(__xludf.DUMMYFUNCTION("""COMPUTED_VALUE"""),66.04)</f>
        <v>66.04</v>
      </c>
      <c r="C2871" s="1">
        <f>IFERROR(__xludf.DUMMYFUNCTION("""COMPUTED_VALUE"""),66.72)</f>
        <v>66.72</v>
      </c>
      <c r="D2871" s="1">
        <f>IFERROR(__xludf.DUMMYFUNCTION("""COMPUTED_VALUE"""),66.01)</f>
        <v>66.01</v>
      </c>
      <c r="E2871" s="1">
        <f>IFERROR(__xludf.DUMMYFUNCTION("""COMPUTED_VALUE"""),66.2)</f>
        <v>66.2</v>
      </c>
      <c r="F2871" s="1">
        <f>IFERROR(__xludf.DUMMYFUNCTION("""COMPUTED_VALUE"""),7973390.0)</f>
        <v>7973390</v>
      </c>
    </row>
    <row r="2872">
      <c r="A2872" s="2">
        <f>IFERROR(__xludf.DUMMYFUNCTION("""COMPUTED_VALUE"""),40694.666666666664)</f>
        <v>40694.66667</v>
      </c>
      <c r="B2872" s="1">
        <f>IFERROR(__xludf.DUMMYFUNCTION("""COMPUTED_VALUE"""),66.33)</f>
        <v>66.33</v>
      </c>
      <c r="C2872" s="1">
        <f>IFERROR(__xludf.DUMMYFUNCTION("""COMPUTED_VALUE"""),67.0)</f>
        <v>67</v>
      </c>
      <c r="D2872" s="1">
        <f>IFERROR(__xludf.DUMMYFUNCTION("""COMPUTED_VALUE"""),66.33)</f>
        <v>66.33</v>
      </c>
      <c r="E2872" s="1">
        <f>IFERROR(__xludf.DUMMYFUNCTION("""COMPUTED_VALUE"""),67.0)</f>
        <v>67</v>
      </c>
      <c r="F2872" s="1">
        <f>IFERROR(__xludf.DUMMYFUNCTION("""COMPUTED_VALUE"""),1.0613528E7)</f>
        <v>10613528</v>
      </c>
    </row>
    <row r="2873">
      <c r="A2873" s="2">
        <f>IFERROR(__xludf.DUMMYFUNCTION("""COMPUTED_VALUE"""),40695.666666666664)</f>
        <v>40695.66667</v>
      </c>
      <c r="B2873" s="1">
        <f>IFERROR(__xludf.DUMMYFUNCTION("""COMPUTED_VALUE"""),66.96)</f>
        <v>66.96</v>
      </c>
      <c r="C2873" s="1">
        <f>IFERROR(__xludf.DUMMYFUNCTION("""COMPUTED_VALUE"""),66.99)</f>
        <v>66.99</v>
      </c>
      <c r="D2873" s="1">
        <f>IFERROR(__xludf.DUMMYFUNCTION("""COMPUTED_VALUE"""),66.34)</f>
        <v>66.34</v>
      </c>
      <c r="E2873" s="1">
        <f>IFERROR(__xludf.DUMMYFUNCTION("""COMPUTED_VALUE"""),66.4)</f>
        <v>66.4</v>
      </c>
      <c r="F2873" s="1">
        <f>IFERROR(__xludf.DUMMYFUNCTION("""COMPUTED_VALUE"""),9579488.0)</f>
        <v>9579488</v>
      </c>
    </row>
    <row r="2874">
      <c r="A2874" s="2">
        <f>IFERROR(__xludf.DUMMYFUNCTION("""COMPUTED_VALUE"""),40696.666666666664)</f>
        <v>40696.66667</v>
      </c>
      <c r="B2874" s="1">
        <f>IFERROR(__xludf.DUMMYFUNCTION("""COMPUTED_VALUE"""),66.46)</f>
        <v>66.46</v>
      </c>
      <c r="C2874" s="1">
        <f>IFERROR(__xludf.DUMMYFUNCTION("""COMPUTED_VALUE"""),66.5)</f>
        <v>66.5</v>
      </c>
      <c r="D2874" s="1">
        <f>IFERROR(__xludf.DUMMYFUNCTION("""COMPUTED_VALUE"""),65.66)</f>
        <v>65.66</v>
      </c>
      <c r="E2874" s="1">
        <f>IFERROR(__xludf.DUMMYFUNCTION("""COMPUTED_VALUE"""),66.01)</f>
        <v>66.01</v>
      </c>
      <c r="F2874" s="1">
        <f>IFERROR(__xludf.DUMMYFUNCTION("""COMPUTED_VALUE"""),8540337.0)</f>
        <v>8540337</v>
      </c>
    </row>
    <row r="2875">
      <c r="A2875" s="2">
        <f>IFERROR(__xludf.DUMMYFUNCTION("""COMPUTED_VALUE"""),40697.666666666664)</f>
        <v>40697.66667</v>
      </c>
      <c r="B2875" s="1">
        <f>IFERROR(__xludf.DUMMYFUNCTION("""COMPUTED_VALUE"""),65.56)</f>
        <v>65.56</v>
      </c>
      <c r="C2875" s="1">
        <f>IFERROR(__xludf.DUMMYFUNCTION("""COMPUTED_VALUE"""),65.82)</f>
        <v>65.82</v>
      </c>
      <c r="D2875" s="1">
        <f>IFERROR(__xludf.DUMMYFUNCTION("""COMPUTED_VALUE"""),65.25)</f>
        <v>65.25</v>
      </c>
      <c r="E2875" s="1">
        <f>IFERROR(__xludf.DUMMYFUNCTION("""COMPUTED_VALUE"""),65.43)</f>
        <v>65.43</v>
      </c>
      <c r="F2875" s="1">
        <f>IFERROR(__xludf.DUMMYFUNCTION("""COMPUTED_VALUE"""),8579135.0)</f>
        <v>8579135</v>
      </c>
    </row>
    <row r="2876">
      <c r="A2876" s="2">
        <f>IFERROR(__xludf.DUMMYFUNCTION("""COMPUTED_VALUE"""),40700.666666666664)</f>
        <v>40700.66667</v>
      </c>
      <c r="B2876" s="1">
        <f>IFERROR(__xludf.DUMMYFUNCTION("""COMPUTED_VALUE"""),65.36)</f>
        <v>65.36</v>
      </c>
      <c r="C2876" s="1">
        <f>IFERROR(__xludf.DUMMYFUNCTION("""COMPUTED_VALUE"""),65.64)</f>
        <v>65.64</v>
      </c>
      <c r="D2876" s="1">
        <f>IFERROR(__xludf.DUMMYFUNCTION("""COMPUTED_VALUE"""),65.21)</f>
        <v>65.21</v>
      </c>
      <c r="E2876" s="1">
        <f>IFERROR(__xludf.DUMMYFUNCTION("""COMPUTED_VALUE"""),65.5)</f>
        <v>65.5</v>
      </c>
      <c r="F2876" s="1">
        <f>IFERROR(__xludf.DUMMYFUNCTION("""COMPUTED_VALUE"""),7664333.0)</f>
        <v>7664333</v>
      </c>
    </row>
    <row r="2877">
      <c r="A2877" s="2">
        <f>IFERROR(__xludf.DUMMYFUNCTION("""COMPUTED_VALUE"""),40701.666666666664)</f>
        <v>40701.66667</v>
      </c>
      <c r="B2877" s="1">
        <f>IFERROR(__xludf.DUMMYFUNCTION("""COMPUTED_VALUE"""),65.46)</f>
        <v>65.46</v>
      </c>
      <c r="C2877" s="1">
        <f>IFERROR(__xludf.DUMMYFUNCTION("""COMPUTED_VALUE"""),65.54)</f>
        <v>65.54</v>
      </c>
      <c r="D2877" s="1">
        <f>IFERROR(__xludf.DUMMYFUNCTION("""COMPUTED_VALUE"""),65.01)</f>
        <v>65.01</v>
      </c>
      <c r="E2877" s="1">
        <f>IFERROR(__xludf.DUMMYFUNCTION("""COMPUTED_VALUE"""),65.06)</f>
        <v>65.06</v>
      </c>
      <c r="F2877" s="1">
        <f>IFERROR(__xludf.DUMMYFUNCTION("""COMPUTED_VALUE"""),8907941.0)</f>
        <v>8907941</v>
      </c>
    </row>
    <row r="2878">
      <c r="A2878" s="2">
        <f>IFERROR(__xludf.DUMMYFUNCTION("""COMPUTED_VALUE"""),40702.666666666664)</f>
        <v>40702.66667</v>
      </c>
      <c r="B2878" s="1">
        <f>IFERROR(__xludf.DUMMYFUNCTION("""COMPUTED_VALUE"""),65.04)</f>
        <v>65.04</v>
      </c>
      <c r="C2878" s="1">
        <f>IFERROR(__xludf.DUMMYFUNCTION("""COMPUTED_VALUE"""),65.05)</f>
        <v>65.05</v>
      </c>
      <c r="D2878" s="1">
        <f>IFERROR(__xludf.DUMMYFUNCTION("""COMPUTED_VALUE"""),64.69)</f>
        <v>64.69</v>
      </c>
      <c r="E2878" s="1">
        <f>IFERROR(__xludf.DUMMYFUNCTION("""COMPUTED_VALUE"""),64.85)</f>
        <v>64.85</v>
      </c>
      <c r="F2878" s="1">
        <f>IFERROR(__xludf.DUMMYFUNCTION("""COMPUTED_VALUE"""),1.1292048E7)</f>
        <v>11292048</v>
      </c>
    </row>
    <row r="2879">
      <c r="A2879" s="2">
        <f>IFERROR(__xludf.DUMMYFUNCTION("""COMPUTED_VALUE"""),40703.666666666664)</f>
        <v>40703.66667</v>
      </c>
      <c r="B2879" s="1">
        <f>IFERROR(__xludf.DUMMYFUNCTION("""COMPUTED_VALUE"""),65.03)</f>
        <v>65.03</v>
      </c>
      <c r="C2879" s="1">
        <f>IFERROR(__xludf.DUMMYFUNCTION("""COMPUTED_VALUE"""),65.45)</f>
        <v>65.45</v>
      </c>
      <c r="D2879" s="1">
        <f>IFERROR(__xludf.DUMMYFUNCTION("""COMPUTED_VALUE"""),64.86)</f>
        <v>64.86</v>
      </c>
      <c r="E2879" s="1">
        <f>IFERROR(__xludf.DUMMYFUNCTION("""COMPUTED_VALUE"""),65.01)</f>
        <v>65.01</v>
      </c>
      <c r="F2879" s="1">
        <f>IFERROR(__xludf.DUMMYFUNCTION("""COMPUTED_VALUE"""),1.0220397E7)</f>
        <v>10220397</v>
      </c>
    </row>
    <row r="2880">
      <c r="A2880" s="2">
        <f>IFERROR(__xludf.DUMMYFUNCTION("""COMPUTED_VALUE"""),40704.666666666664)</f>
        <v>40704.66667</v>
      </c>
      <c r="B2880" s="1">
        <f>IFERROR(__xludf.DUMMYFUNCTION("""COMPUTED_VALUE"""),64.92)</f>
        <v>64.92</v>
      </c>
      <c r="C2880" s="1">
        <f>IFERROR(__xludf.DUMMYFUNCTION("""COMPUTED_VALUE"""),65.05)</f>
        <v>65.05</v>
      </c>
      <c r="D2880" s="1">
        <f>IFERROR(__xludf.DUMMYFUNCTION("""COMPUTED_VALUE"""),64.65)</f>
        <v>64.65</v>
      </c>
      <c r="E2880" s="1">
        <f>IFERROR(__xludf.DUMMYFUNCTION("""COMPUTED_VALUE"""),64.7)</f>
        <v>64.7</v>
      </c>
      <c r="F2880" s="1">
        <f>IFERROR(__xludf.DUMMYFUNCTION("""COMPUTED_VALUE"""),1.051465E7)</f>
        <v>10514650</v>
      </c>
    </row>
    <row r="2881">
      <c r="A2881" s="2">
        <f>IFERROR(__xludf.DUMMYFUNCTION("""COMPUTED_VALUE"""),40707.666666666664)</f>
        <v>40707.66667</v>
      </c>
      <c r="B2881" s="1">
        <f>IFERROR(__xludf.DUMMYFUNCTION("""COMPUTED_VALUE"""),64.65)</f>
        <v>64.65</v>
      </c>
      <c r="C2881" s="1">
        <f>IFERROR(__xludf.DUMMYFUNCTION("""COMPUTED_VALUE"""),65.18)</f>
        <v>65.18</v>
      </c>
      <c r="D2881" s="1">
        <f>IFERROR(__xludf.DUMMYFUNCTION("""COMPUTED_VALUE"""),64.51)</f>
        <v>64.51</v>
      </c>
      <c r="E2881" s="1">
        <f>IFERROR(__xludf.DUMMYFUNCTION("""COMPUTED_VALUE"""),64.77)</f>
        <v>64.77</v>
      </c>
      <c r="F2881" s="1">
        <f>IFERROR(__xludf.DUMMYFUNCTION("""COMPUTED_VALUE"""),8873141.0)</f>
        <v>8873141</v>
      </c>
    </row>
    <row r="2882">
      <c r="A2882" s="2">
        <f>IFERROR(__xludf.DUMMYFUNCTION("""COMPUTED_VALUE"""),40708.666666666664)</f>
        <v>40708.66667</v>
      </c>
      <c r="B2882" s="1">
        <f>IFERROR(__xludf.DUMMYFUNCTION("""COMPUTED_VALUE"""),65.03)</f>
        <v>65.03</v>
      </c>
      <c r="C2882" s="1">
        <f>IFERROR(__xludf.DUMMYFUNCTION("""COMPUTED_VALUE"""),65.22)</f>
        <v>65.22</v>
      </c>
      <c r="D2882" s="1">
        <f>IFERROR(__xludf.DUMMYFUNCTION("""COMPUTED_VALUE"""),64.66)</f>
        <v>64.66</v>
      </c>
      <c r="E2882" s="1">
        <f>IFERROR(__xludf.DUMMYFUNCTION("""COMPUTED_VALUE"""),64.76)</f>
        <v>64.76</v>
      </c>
      <c r="F2882" s="1">
        <f>IFERROR(__xludf.DUMMYFUNCTION("""COMPUTED_VALUE"""),7240069.0)</f>
        <v>7240069</v>
      </c>
    </row>
    <row r="2883">
      <c r="A2883" s="2">
        <f>IFERROR(__xludf.DUMMYFUNCTION("""COMPUTED_VALUE"""),40709.666666666664)</f>
        <v>40709.66667</v>
      </c>
      <c r="B2883" s="1">
        <f>IFERROR(__xludf.DUMMYFUNCTION("""COMPUTED_VALUE"""),64.51)</f>
        <v>64.51</v>
      </c>
      <c r="C2883" s="1">
        <f>IFERROR(__xludf.DUMMYFUNCTION("""COMPUTED_VALUE"""),64.52)</f>
        <v>64.52</v>
      </c>
      <c r="D2883" s="1">
        <f>IFERROR(__xludf.DUMMYFUNCTION("""COMPUTED_VALUE"""),63.33)</f>
        <v>63.33</v>
      </c>
      <c r="E2883" s="1">
        <f>IFERROR(__xludf.DUMMYFUNCTION("""COMPUTED_VALUE"""),63.76)</f>
        <v>63.76</v>
      </c>
      <c r="F2883" s="1">
        <f>IFERROR(__xludf.DUMMYFUNCTION("""COMPUTED_VALUE"""),1.1790281E7)</f>
        <v>11790281</v>
      </c>
    </row>
    <row r="2884">
      <c r="A2884" s="2">
        <f>IFERROR(__xludf.DUMMYFUNCTION("""COMPUTED_VALUE"""),40710.666666666664)</f>
        <v>40710.66667</v>
      </c>
      <c r="B2884" s="1">
        <f>IFERROR(__xludf.DUMMYFUNCTION("""COMPUTED_VALUE"""),63.87)</f>
        <v>63.87</v>
      </c>
      <c r="C2884" s="1">
        <f>IFERROR(__xludf.DUMMYFUNCTION("""COMPUTED_VALUE"""),64.33)</f>
        <v>64.33</v>
      </c>
      <c r="D2884" s="1">
        <f>IFERROR(__xludf.DUMMYFUNCTION("""COMPUTED_VALUE"""),63.5)</f>
        <v>63.5</v>
      </c>
      <c r="E2884" s="1">
        <f>IFERROR(__xludf.DUMMYFUNCTION("""COMPUTED_VALUE"""),64.26)</f>
        <v>64.26</v>
      </c>
      <c r="F2884" s="1">
        <f>IFERROR(__xludf.DUMMYFUNCTION("""COMPUTED_VALUE"""),8895111.0)</f>
        <v>8895111</v>
      </c>
    </row>
    <row r="2885">
      <c r="A2885" s="2">
        <f>IFERROR(__xludf.DUMMYFUNCTION("""COMPUTED_VALUE"""),40711.666666666664)</f>
        <v>40711.66667</v>
      </c>
      <c r="B2885" s="1">
        <f>IFERROR(__xludf.DUMMYFUNCTION("""COMPUTED_VALUE"""),64.65)</f>
        <v>64.65</v>
      </c>
      <c r="C2885" s="1">
        <f>IFERROR(__xludf.DUMMYFUNCTION("""COMPUTED_VALUE"""),65.12)</f>
        <v>65.12</v>
      </c>
      <c r="D2885" s="1">
        <f>IFERROR(__xludf.DUMMYFUNCTION("""COMPUTED_VALUE"""),64.53)</f>
        <v>64.53</v>
      </c>
      <c r="E2885" s="1">
        <f>IFERROR(__xludf.DUMMYFUNCTION("""COMPUTED_VALUE"""),64.69)</f>
        <v>64.69</v>
      </c>
      <c r="F2885" s="1">
        <f>IFERROR(__xludf.DUMMYFUNCTION("""COMPUTED_VALUE"""),1.0062526E7)</f>
        <v>10062526</v>
      </c>
    </row>
    <row r="2886">
      <c r="A2886" s="2">
        <f>IFERROR(__xludf.DUMMYFUNCTION("""COMPUTED_VALUE"""),40714.666666666664)</f>
        <v>40714.66667</v>
      </c>
      <c r="B2886" s="1">
        <f>IFERROR(__xludf.DUMMYFUNCTION("""COMPUTED_VALUE"""),64.51)</f>
        <v>64.51</v>
      </c>
      <c r="C2886" s="1">
        <f>IFERROR(__xludf.DUMMYFUNCTION("""COMPUTED_VALUE"""),65.29)</f>
        <v>65.29</v>
      </c>
      <c r="D2886" s="1">
        <f>IFERROR(__xludf.DUMMYFUNCTION("""COMPUTED_VALUE"""),64.51)</f>
        <v>64.51</v>
      </c>
      <c r="E2886" s="1">
        <f>IFERROR(__xludf.DUMMYFUNCTION("""COMPUTED_VALUE"""),65.09)</f>
        <v>65.09</v>
      </c>
      <c r="F2886" s="1">
        <f>IFERROR(__xludf.DUMMYFUNCTION("""COMPUTED_VALUE"""),5911638.0)</f>
        <v>5911638</v>
      </c>
    </row>
    <row r="2887">
      <c r="A2887" s="2">
        <f>IFERROR(__xludf.DUMMYFUNCTION("""COMPUTED_VALUE"""),40715.666666666664)</f>
        <v>40715.66667</v>
      </c>
      <c r="B2887" s="1">
        <f>IFERROR(__xludf.DUMMYFUNCTION("""COMPUTED_VALUE"""),65.24)</f>
        <v>65.24</v>
      </c>
      <c r="C2887" s="1">
        <f>IFERROR(__xludf.DUMMYFUNCTION("""COMPUTED_VALUE"""),65.24)</f>
        <v>65.24</v>
      </c>
      <c r="D2887" s="1">
        <f>IFERROR(__xludf.DUMMYFUNCTION("""COMPUTED_VALUE"""),64.16)</f>
        <v>64.16</v>
      </c>
      <c r="E2887" s="1">
        <f>IFERROR(__xludf.DUMMYFUNCTION("""COMPUTED_VALUE"""),64.22)</f>
        <v>64.22</v>
      </c>
      <c r="F2887" s="1">
        <f>IFERROR(__xludf.DUMMYFUNCTION("""COMPUTED_VALUE"""),1.1024858E7)</f>
        <v>11024858</v>
      </c>
    </row>
    <row r="2888">
      <c r="A2888" s="2">
        <f>IFERROR(__xludf.DUMMYFUNCTION("""COMPUTED_VALUE"""),40716.666666666664)</f>
        <v>40716.66667</v>
      </c>
      <c r="B2888" s="1">
        <f>IFERROR(__xludf.DUMMYFUNCTION("""COMPUTED_VALUE"""),64.08)</f>
        <v>64.08</v>
      </c>
      <c r="C2888" s="1">
        <f>IFERROR(__xludf.DUMMYFUNCTION("""COMPUTED_VALUE"""),64.43)</f>
        <v>64.43</v>
      </c>
      <c r="D2888" s="1">
        <f>IFERROR(__xludf.DUMMYFUNCTION("""COMPUTED_VALUE"""),63.87)</f>
        <v>63.87</v>
      </c>
      <c r="E2888" s="1">
        <f>IFERROR(__xludf.DUMMYFUNCTION("""COMPUTED_VALUE"""),64.06)</f>
        <v>64.06</v>
      </c>
      <c r="F2888" s="1">
        <f>IFERROR(__xludf.DUMMYFUNCTION("""COMPUTED_VALUE"""),9115241.0)</f>
        <v>9115241</v>
      </c>
    </row>
    <row r="2889">
      <c r="A2889" s="2">
        <f>IFERROR(__xludf.DUMMYFUNCTION("""COMPUTED_VALUE"""),40717.666666666664)</f>
        <v>40717.66667</v>
      </c>
      <c r="B2889" s="1">
        <f>IFERROR(__xludf.DUMMYFUNCTION("""COMPUTED_VALUE"""),63.73)</f>
        <v>63.73</v>
      </c>
      <c r="C2889" s="1">
        <f>IFERROR(__xludf.DUMMYFUNCTION("""COMPUTED_VALUE"""),63.73)</f>
        <v>63.73</v>
      </c>
      <c r="D2889" s="1">
        <f>IFERROR(__xludf.DUMMYFUNCTION("""COMPUTED_VALUE"""),62.8)</f>
        <v>62.8</v>
      </c>
      <c r="E2889" s="1">
        <f>IFERROR(__xludf.DUMMYFUNCTION("""COMPUTED_VALUE"""),63.46)</f>
        <v>63.46</v>
      </c>
      <c r="F2889" s="1">
        <f>IFERROR(__xludf.DUMMYFUNCTION("""COMPUTED_VALUE"""),1.169487E7)</f>
        <v>11694870</v>
      </c>
    </row>
    <row r="2890">
      <c r="A2890" s="2">
        <f>IFERROR(__xludf.DUMMYFUNCTION("""COMPUTED_VALUE"""),40718.666666666664)</f>
        <v>40718.66667</v>
      </c>
      <c r="B2890" s="1">
        <f>IFERROR(__xludf.DUMMYFUNCTION("""COMPUTED_VALUE"""),63.45)</f>
        <v>63.45</v>
      </c>
      <c r="C2890" s="1">
        <f>IFERROR(__xludf.DUMMYFUNCTION("""COMPUTED_VALUE"""),63.5)</f>
        <v>63.5</v>
      </c>
      <c r="D2890" s="1">
        <f>IFERROR(__xludf.DUMMYFUNCTION("""COMPUTED_VALUE"""),62.44)</f>
        <v>62.44</v>
      </c>
      <c r="E2890" s="1">
        <f>IFERROR(__xludf.DUMMYFUNCTION("""COMPUTED_VALUE"""),62.59)</f>
        <v>62.59</v>
      </c>
      <c r="F2890" s="1">
        <f>IFERROR(__xludf.DUMMYFUNCTION("""COMPUTED_VALUE"""),1.5278579E7)</f>
        <v>15278579</v>
      </c>
    </row>
    <row r="2891">
      <c r="A2891" s="2">
        <f>IFERROR(__xludf.DUMMYFUNCTION("""COMPUTED_VALUE"""),40721.666666666664)</f>
        <v>40721.66667</v>
      </c>
      <c r="B2891" s="1">
        <f>IFERROR(__xludf.DUMMYFUNCTION("""COMPUTED_VALUE"""),62.76)</f>
        <v>62.76</v>
      </c>
      <c r="C2891" s="1">
        <f>IFERROR(__xludf.DUMMYFUNCTION("""COMPUTED_VALUE"""),63.25)</f>
        <v>63.25</v>
      </c>
      <c r="D2891" s="1">
        <f>IFERROR(__xludf.DUMMYFUNCTION("""COMPUTED_VALUE"""),62.63)</f>
        <v>62.63</v>
      </c>
      <c r="E2891" s="1">
        <f>IFERROR(__xludf.DUMMYFUNCTION("""COMPUTED_VALUE"""),62.82)</f>
        <v>62.82</v>
      </c>
      <c r="F2891" s="1">
        <f>IFERROR(__xludf.DUMMYFUNCTION("""COMPUTED_VALUE"""),6705487.0)</f>
        <v>6705487</v>
      </c>
    </row>
    <row r="2892">
      <c r="A2892" s="2">
        <f>IFERROR(__xludf.DUMMYFUNCTION("""COMPUTED_VALUE"""),40722.666666666664)</f>
        <v>40722.66667</v>
      </c>
      <c r="B2892" s="1">
        <f>IFERROR(__xludf.DUMMYFUNCTION("""COMPUTED_VALUE"""),63.11)</f>
        <v>63.11</v>
      </c>
      <c r="C2892" s="1">
        <f>IFERROR(__xludf.DUMMYFUNCTION("""COMPUTED_VALUE"""),63.34)</f>
        <v>63.34</v>
      </c>
      <c r="D2892" s="1">
        <f>IFERROR(__xludf.DUMMYFUNCTION("""COMPUTED_VALUE"""),62.53)</f>
        <v>62.53</v>
      </c>
      <c r="E2892" s="1">
        <f>IFERROR(__xludf.DUMMYFUNCTION("""COMPUTED_VALUE"""),62.72)</f>
        <v>62.72</v>
      </c>
      <c r="F2892" s="1">
        <f>IFERROR(__xludf.DUMMYFUNCTION("""COMPUTED_VALUE"""),8551446.0)</f>
        <v>8551446</v>
      </c>
    </row>
    <row r="2893">
      <c r="A2893" s="2">
        <f>IFERROR(__xludf.DUMMYFUNCTION("""COMPUTED_VALUE"""),40723.666666666664)</f>
        <v>40723.66667</v>
      </c>
      <c r="B2893" s="1">
        <f>IFERROR(__xludf.DUMMYFUNCTION("""COMPUTED_VALUE"""),62.87)</f>
        <v>62.87</v>
      </c>
      <c r="C2893" s="1">
        <f>IFERROR(__xludf.DUMMYFUNCTION("""COMPUTED_VALUE"""),62.9)</f>
        <v>62.9</v>
      </c>
      <c r="D2893" s="1">
        <f>IFERROR(__xludf.DUMMYFUNCTION("""COMPUTED_VALUE"""),62.36)</f>
        <v>62.36</v>
      </c>
      <c r="E2893" s="1">
        <f>IFERROR(__xludf.DUMMYFUNCTION("""COMPUTED_VALUE"""),62.55)</f>
        <v>62.55</v>
      </c>
      <c r="F2893" s="1">
        <f>IFERROR(__xludf.DUMMYFUNCTION("""COMPUTED_VALUE"""),1.1386119E7)</f>
        <v>11386119</v>
      </c>
    </row>
    <row r="2894">
      <c r="A2894" s="2">
        <f>IFERROR(__xludf.DUMMYFUNCTION("""COMPUTED_VALUE"""),40724.666666666664)</f>
        <v>40724.66667</v>
      </c>
      <c r="B2894" s="1">
        <f>IFERROR(__xludf.DUMMYFUNCTION("""COMPUTED_VALUE"""),62.73)</f>
        <v>62.73</v>
      </c>
      <c r="C2894" s="1">
        <f>IFERROR(__xludf.DUMMYFUNCTION("""COMPUTED_VALUE"""),63.65)</f>
        <v>63.65</v>
      </c>
      <c r="D2894" s="1">
        <f>IFERROR(__xludf.DUMMYFUNCTION("""COMPUTED_VALUE"""),62.58)</f>
        <v>62.58</v>
      </c>
      <c r="E2894" s="1">
        <f>IFERROR(__xludf.DUMMYFUNCTION("""COMPUTED_VALUE"""),63.57)</f>
        <v>63.57</v>
      </c>
      <c r="F2894" s="1">
        <f>IFERROR(__xludf.DUMMYFUNCTION("""COMPUTED_VALUE"""),1.1808847E7)</f>
        <v>11808847</v>
      </c>
    </row>
    <row r="2895">
      <c r="A2895" s="2">
        <f>IFERROR(__xludf.DUMMYFUNCTION("""COMPUTED_VALUE"""),40725.666666666664)</f>
        <v>40725.66667</v>
      </c>
      <c r="B2895" s="1">
        <f>IFERROR(__xludf.DUMMYFUNCTION("""COMPUTED_VALUE"""),63.47)</f>
        <v>63.47</v>
      </c>
      <c r="C2895" s="1">
        <f>IFERROR(__xludf.DUMMYFUNCTION("""COMPUTED_VALUE"""),64.44)</f>
        <v>64.44</v>
      </c>
      <c r="D2895" s="1">
        <f>IFERROR(__xludf.DUMMYFUNCTION("""COMPUTED_VALUE"""),63.34)</f>
        <v>63.34</v>
      </c>
      <c r="E2895" s="1">
        <f>IFERROR(__xludf.DUMMYFUNCTION("""COMPUTED_VALUE"""),64.27)</f>
        <v>64.27</v>
      </c>
      <c r="F2895" s="1">
        <f>IFERROR(__xludf.DUMMYFUNCTION("""COMPUTED_VALUE"""),9700704.0)</f>
        <v>9700704</v>
      </c>
    </row>
    <row r="2896">
      <c r="A2896" s="2">
        <f>IFERROR(__xludf.DUMMYFUNCTION("""COMPUTED_VALUE"""),40729.666666666664)</f>
        <v>40729.66667</v>
      </c>
      <c r="B2896" s="1">
        <f>IFERROR(__xludf.DUMMYFUNCTION("""COMPUTED_VALUE"""),64.1)</f>
        <v>64.1</v>
      </c>
      <c r="C2896" s="1">
        <f>IFERROR(__xludf.DUMMYFUNCTION("""COMPUTED_VALUE"""),64.5)</f>
        <v>64.5</v>
      </c>
      <c r="D2896" s="1">
        <f>IFERROR(__xludf.DUMMYFUNCTION("""COMPUTED_VALUE"""),63.95)</f>
        <v>63.95</v>
      </c>
      <c r="E2896" s="1">
        <f>IFERROR(__xludf.DUMMYFUNCTION("""COMPUTED_VALUE"""),64.26)</f>
        <v>64.26</v>
      </c>
      <c r="F2896" s="1">
        <f>IFERROR(__xludf.DUMMYFUNCTION("""COMPUTED_VALUE"""),9224100.0)</f>
        <v>9224100</v>
      </c>
    </row>
    <row r="2897">
      <c r="A2897" s="2">
        <f>IFERROR(__xludf.DUMMYFUNCTION("""COMPUTED_VALUE"""),40730.666666666664)</f>
        <v>40730.66667</v>
      </c>
      <c r="B2897" s="1">
        <f>IFERROR(__xludf.DUMMYFUNCTION("""COMPUTED_VALUE"""),64.53)</f>
        <v>64.53</v>
      </c>
      <c r="C2897" s="1">
        <f>IFERROR(__xludf.DUMMYFUNCTION("""COMPUTED_VALUE"""),64.94)</f>
        <v>64.94</v>
      </c>
      <c r="D2897" s="1">
        <f>IFERROR(__xludf.DUMMYFUNCTION("""COMPUTED_VALUE"""),64.34)</f>
        <v>64.34</v>
      </c>
      <c r="E2897" s="1">
        <f>IFERROR(__xludf.DUMMYFUNCTION("""COMPUTED_VALUE"""),64.7)</f>
        <v>64.7</v>
      </c>
      <c r="F2897" s="1">
        <f>IFERROR(__xludf.DUMMYFUNCTION("""COMPUTED_VALUE"""),9334612.0)</f>
        <v>9334612</v>
      </c>
    </row>
    <row r="2898">
      <c r="A2898" s="2">
        <f>IFERROR(__xludf.DUMMYFUNCTION("""COMPUTED_VALUE"""),40731.666666666664)</f>
        <v>40731.66667</v>
      </c>
      <c r="B2898" s="1">
        <f>IFERROR(__xludf.DUMMYFUNCTION("""COMPUTED_VALUE"""),64.98)</f>
        <v>64.98</v>
      </c>
      <c r="C2898" s="1">
        <f>IFERROR(__xludf.DUMMYFUNCTION("""COMPUTED_VALUE"""),65.14)</f>
        <v>65.14</v>
      </c>
      <c r="D2898" s="1">
        <f>IFERROR(__xludf.DUMMYFUNCTION("""COMPUTED_VALUE"""),64.72)</f>
        <v>64.72</v>
      </c>
      <c r="E2898" s="1">
        <f>IFERROR(__xludf.DUMMYFUNCTION("""COMPUTED_VALUE"""),64.95)</f>
        <v>64.95</v>
      </c>
      <c r="F2898" s="1">
        <f>IFERROR(__xludf.DUMMYFUNCTION("""COMPUTED_VALUE"""),8973694.0)</f>
        <v>8973694</v>
      </c>
    </row>
    <row r="2899">
      <c r="A2899" s="2">
        <f>IFERROR(__xludf.DUMMYFUNCTION("""COMPUTED_VALUE"""),40732.666666666664)</f>
        <v>40732.66667</v>
      </c>
      <c r="B2899" s="1">
        <f>IFERROR(__xludf.DUMMYFUNCTION("""COMPUTED_VALUE"""),65.04)</f>
        <v>65.04</v>
      </c>
      <c r="C2899" s="1">
        <f>IFERROR(__xludf.DUMMYFUNCTION("""COMPUTED_VALUE"""),65.11)</f>
        <v>65.11</v>
      </c>
      <c r="D2899" s="1">
        <f>IFERROR(__xludf.DUMMYFUNCTION("""COMPUTED_VALUE"""),64.53)</f>
        <v>64.53</v>
      </c>
      <c r="E2899" s="1">
        <f>IFERROR(__xludf.DUMMYFUNCTION("""COMPUTED_VALUE"""),64.93)</f>
        <v>64.93</v>
      </c>
      <c r="F2899" s="1">
        <f>IFERROR(__xludf.DUMMYFUNCTION("""COMPUTED_VALUE"""),9227754.0)</f>
        <v>9227754</v>
      </c>
    </row>
    <row r="2900">
      <c r="A2900" s="2">
        <f>IFERROR(__xludf.DUMMYFUNCTION("""COMPUTED_VALUE"""),40735.666666666664)</f>
        <v>40735.66667</v>
      </c>
      <c r="B2900" s="1">
        <f>IFERROR(__xludf.DUMMYFUNCTION("""COMPUTED_VALUE"""),64.29)</f>
        <v>64.29</v>
      </c>
      <c r="C2900" s="1">
        <f>IFERROR(__xludf.DUMMYFUNCTION("""COMPUTED_VALUE"""),64.74)</f>
        <v>64.74</v>
      </c>
      <c r="D2900" s="1">
        <f>IFERROR(__xludf.DUMMYFUNCTION("""COMPUTED_VALUE"""),64.26)</f>
        <v>64.26</v>
      </c>
      <c r="E2900" s="1">
        <f>IFERROR(__xludf.DUMMYFUNCTION("""COMPUTED_VALUE"""),64.72)</f>
        <v>64.72</v>
      </c>
      <c r="F2900" s="1">
        <f>IFERROR(__xludf.DUMMYFUNCTION("""COMPUTED_VALUE"""),9206933.0)</f>
        <v>9206933</v>
      </c>
    </row>
    <row r="2901">
      <c r="A2901" s="2">
        <f>IFERROR(__xludf.DUMMYFUNCTION("""COMPUTED_VALUE"""),40736.666666666664)</f>
        <v>40736.66667</v>
      </c>
      <c r="B2901" s="1">
        <f>IFERROR(__xludf.DUMMYFUNCTION("""COMPUTED_VALUE"""),64.48)</f>
        <v>64.48</v>
      </c>
      <c r="C2901" s="1">
        <f>IFERROR(__xludf.DUMMYFUNCTION("""COMPUTED_VALUE"""),65.06)</f>
        <v>65.06</v>
      </c>
      <c r="D2901" s="1">
        <f>IFERROR(__xludf.DUMMYFUNCTION("""COMPUTED_VALUE"""),64.39)</f>
        <v>64.39</v>
      </c>
      <c r="E2901" s="1">
        <f>IFERROR(__xludf.DUMMYFUNCTION("""COMPUTED_VALUE"""),64.53)</f>
        <v>64.53</v>
      </c>
      <c r="F2901" s="1">
        <f>IFERROR(__xludf.DUMMYFUNCTION("""COMPUTED_VALUE"""),1.1583612E7)</f>
        <v>11583612</v>
      </c>
    </row>
    <row r="2902">
      <c r="A2902" s="2">
        <f>IFERROR(__xludf.DUMMYFUNCTION("""COMPUTED_VALUE"""),40737.666666666664)</f>
        <v>40737.66667</v>
      </c>
      <c r="B2902" s="1">
        <f>IFERROR(__xludf.DUMMYFUNCTION("""COMPUTED_VALUE"""),64.84)</f>
        <v>64.84</v>
      </c>
      <c r="C2902" s="1">
        <f>IFERROR(__xludf.DUMMYFUNCTION("""COMPUTED_VALUE"""),65.02)</f>
        <v>65.02</v>
      </c>
      <c r="D2902" s="1">
        <f>IFERROR(__xludf.DUMMYFUNCTION("""COMPUTED_VALUE"""),64.49)</f>
        <v>64.49</v>
      </c>
      <c r="E2902" s="1">
        <f>IFERROR(__xludf.DUMMYFUNCTION("""COMPUTED_VALUE"""),64.64)</f>
        <v>64.64</v>
      </c>
      <c r="F2902" s="1">
        <f>IFERROR(__xludf.DUMMYFUNCTION("""COMPUTED_VALUE"""),9154137.0)</f>
        <v>9154137</v>
      </c>
    </row>
    <row r="2903">
      <c r="A2903" s="2">
        <f>IFERROR(__xludf.DUMMYFUNCTION("""COMPUTED_VALUE"""),40738.666666666664)</f>
        <v>40738.66667</v>
      </c>
      <c r="B2903" s="1">
        <f>IFERROR(__xludf.DUMMYFUNCTION("""COMPUTED_VALUE"""),64.55)</f>
        <v>64.55</v>
      </c>
      <c r="C2903" s="1">
        <f>IFERROR(__xludf.DUMMYFUNCTION("""COMPUTED_VALUE"""),64.8)</f>
        <v>64.8</v>
      </c>
      <c r="D2903" s="1">
        <f>IFERROR(__xludf.DUMMYFUNCTION("""COMPUTED_VALUE"""),64.36)</f>
        <v>64.36</v>
      </c>
      <c r="E2903" s="1">
        <f>IFERROR(__xludf.DUMMYFUNCTION("""COMPUTED_VALUE"""),64.6)</f>
        <v>64.6</v>
      </c>
      <c r="F2903" s="1">
        <f>IFERROR(__xludf.DUMMYFUNCTION("""COMPUTED_VALUE"""),1.3269338E7)</f>
        <v>13269338</v>
      </c>
    </row>
    <row r="2904">
      <c r="A2904" s="2">
        <f>IFERROR(__xludf.DUMMYFUNCTION("""COMPUTED_VALUE"""),40739.666666666664)</f>
        <v>40739.66667</v>
      </c>
      <c r="B2904" s="1">
        <f>IFERROR(__xludf.DUMMYFUNCTION("""COMPUTED_VALUE"""),64.68)</f>
        <v>64.68</v>
      </c>
      <c r="C2904" s="1">
        <f>IFERROR(__xludf.DUMMYFUNCTION("""COMPUTED_VALUE"""),64.85)</f>
        <v>64.85</v>
      </c>
      <c r="D2904" s="1">
        <f>IFERROR(__xludf.DUMMYFUNCTION("""COMPUTED_VALUE"""),64.33)</f>
        <v>64.33</v>
      </c>
      <c r="E2904" s="1">
        <f>IFERROR(__xludf.DUMMYFUNCTION("""COMPUTED_VALUE"""),64.83)</f>
        <v>64.83</v>
      </c>
      <c r="F2904" s="1">
        <f>IFERROR(__xludf.DUMMYFUNCTION("""COMPUTED_VALUE"""),2.0589632E7)</f>
        <v>20589632</v>
      </c>
    </row>
    <row r="2905">
      <c r="A2905" s="2">
        <f>IFERROR(__xludf.DUMMYFUNCTION("""COMPUTED_VALUE"""),40742.666666666664)</f>
        <v>40742.66667</v>
      </c>
      <c r="B2905" s="1">
        <f>IFERROR(__xludf.DUMMYFUNCTION("""COMPUTED_VALUE"""),64.69)</f>
        <v>64.69</v>
      </c>
      <c r="C2905" s="1">
        <f>IFERROR(__xludf.DUMMYFUNCTION("""COMPUTED_VALUE"""),64.79)</f>
        <v>64.79</v>
      </c>
      <c r="D2905" s="1">
        <f>IFERROR(__xludf.DUMMYFUNCTION("""COMPUTED_VALUE"""),64.28)</f>
        <v>64.28</v>
      </c>
      <c r="E2905" s="1">
        <f>IFERROR(__xludf.DUMMYFUNCTION("""COMPUTED_VALUE"""),64.55)</f>
        <v>64.55</v>
      </c>
      <c r="F2905" s="1">
        <f>IFERROR(__xludf.DUMMYFUNCTION("""COMPUTED_VALUE"""),1.3344198E7)</f>
        <v>13344198</v>
      </c>
    </row>
    <row r="2906">
      <c r="A2906" s="2">
        <f>IFERROR(__xludf.DUMMYFUNCTION("""COMPUTED_VALUE"""),40743.666666666664)</f>
        <v>40743.66667</v>
      </c>
      <c r="B2906" s="1">
        <f>IFERROR(__xludf.DUMMYFUNCTION("""COMPUTED_VALUE"""),64.6)</f>
        <v>64.6</v>
      </c>
      <c r="C2906" s="1">
        <f>IFERROR(__xludf.DUMMYFUNCTION("""COMPUTED_VALUE"""),64.79)</f>
        <v>64.79</v>
      </c>
      <c r="D2906" s="1">
        <f>IFERROR(__xludf.DUMMYFUNCTION("""COMPUTED_VALUE"""),64.32)</f>
        <v>64.32</v>
      </c>
      <c r="E2906" s="1">
        <f>IFERROR(__xludf.DUMMYFUNCTION("""COMPUTED_VALUE"""),64.61)</f>
        <v>64.61</v>
      </c>
      <c r="F2906" s="1">
        <f>IFERROR(__xludf.DUMMYFUNCTION("""COMPUTED_VALUE"""),8393837.0)</f>
        <v>8393837</v>
      </c>
    </row>
    <row r="2907">
      <c r="A2907" s="2">
        <f>IFERROR(__xludf.DUMMYFUNCTION("""COMPUTED_VALUE"""),40744.666666666664)</f>
        <v>40744.66667</v>
      </c>
      <c r="B2907" s="1">
        <f>IFERROR(__xludf.DUMMYFUNCTION("""COMPUTED_VALUE"""),64.26)</f>
        <v>64.26</v>
      </c>
      <c r="C2907" s="1">
        <f>IFERROR(__xludf.DUMMYFUNCTION("""COMPUTED_VALUE"""),64.44)</f>
        <v>64.44</v>
      </c>
      <c r="D2907" s="1">
        <f>IFERROR(__xludf.DUMMYFUNCTION("""COMPUTED_VALUE"""),64.04)</f>
        <v>64.04</v>
      </c>
      <c r="E2907" s="1">
        <f>IFERROR(__xludf.DUMMYFUNCTION("""COMPUTED_VALUE"""),64.2)</f>
        <v>64.2</v>
      </c>
      <c r="F2907" s="1">
        <f>IFERROR(__xludf.DUMMYFUNCTION("""COMPUTED_VALUE"""),1.3093422E7)</f>
        <v>13093422</v>
      </c>
    </row>
    <row r="2908">
      <c r="A2908" s="2">
        <f>IFERROR(__xludf.DUMMYFUNCTION("""COMPUTED_VALUE"""),40745.666666666664)</f>
        <v>40745.66667</v>
      </c>
      <c r="B2908" s="1">
        <f>IFERROR(__xludf.DUMMYFUNCTION("""COMPUTED_VALUE"""),64.35)</f>
        <v>64.35</v>
      </c>
      <c r="C2908" s="1">
        <f>IFERROR(__xludf.DUMMYFUNCTION("""COMPUTED_VALUE"""),64.85)</f>
        <v>64.85</v>
      </c>
      <c r="D2908" s="1">
        <f>IFERROR(__xludf.DUMMYFUNCTION("""COMPUTED_VALUE"""),64.24)</f>
        <v>64.24</v>
      </c>
      <c r="E2908" s="1">
        <f>IFERROR(__xludf.DUMMYFUNCTION("""COMPUTED_VALUE"""),64.49)</f>
        <v>64.49</v>
      </c>
      <c r="F2908" s="1">
        <f>IFERROR(__xludf.DUMMYFUNCTION("""COMPUTED_VALUE"""),8565356.0)</f>
        <v>8565356</v>
      </c>
    </row>
    <row r="2909">
      <c r="A2909" s="2">
        <f>IFERROR(__xludf.DUMMYFUNCTION("""COMPUTED_VALUE"""),40746.666666666664)</f>
        <v>40746.66667</v>
      </c>
      <c r="B2909" s="1">
        <f>IFERROR(__xludf.DUMMYFUNCTION("""COMPUTED_VALUE"""),64.46)</f>
        <v>64.46</v>
      </c>
      <c r="C2909" s="1">
        <f>IFERROR(__xludf.DUMMYFUNCTION("""COMPUTED_VALUE"""),64.74)</f>
        <v>64.74</v>
      </c>
      <c r="D2909" s="1">
        <f>IFERROR(__xludf.DUMMYFUNCTION("""COMPUTED_VALUE"""),64.14)</f>
        <v>64.14</v>
      </c>
      <c r="E2909" s="1">
        <f>IFERROR(__xludf.DUMMYFUNCTION("""COMPUTED_VALUE"""),64.25)</f>
        <v>64.25</v>
      </c>
      <c r="F2909" s="1">
        <f>IFERROR(__xludf.DUMMYFUNCTION("""COMPUTED_VALUE"""),6047490.0)</f>
        <v>6047490</v>
      </c>
    </row>
    <row r="2910">
      <c r="A2910" s="2">
        <f>IFERROR(__xludf.DUMMYFUNCTION("""COMPUTED_VALUE"""),40749.666666666664)</f>
        <v>40749.66667</v>
      </c>
      <c r="B2910" s="1">
        <f>IFERROR(__xludf.DUMMYFUNCTION("""COMPUTED_VALUE"""),63.96)</f>
        <v>63.96</v>
      </c>
      <c r="C2910" s="1">
        <f>IFERROR(__xludf.DUMMYFUNCTION("""COMPUTED_VALUE"""),63.98)</f>
        <v>63.98</v>
      </c>
      <c r="D2910" s="1">
        <f>IFERROR(__xludf.DUMMYFUNCTION("""COMPUTED_VALUE"""),63.22)</f>
        <v>63.22</v>
      </c>
      <c r="E2910" s="1">
        <f>IFERROR(__xludf.DUMMYFUNCTION("""COMPUTED_VALUE"""),63.31)</f>
        <v>63.31</v>
      </c>
      <c r="F2910" s="1">
        <f>IFERROR(__xludf.DUMMYFUNCTION("""COMPUTED_VALUE"""),8802109.0)</f>
        <v>8802109</v>
      </c>
    </row>
    <row r="2911">
      <c r="A2911" s="2">
        <f>IFERROR(__xludf.DUMMYFUNCTION("""COMPUTED_VALUE"""),40750.666666666664)</f>
        <v>40750.66667</v>
      </c>
      <c r="B2911" s="1">
        <f>IFERROR(__xludf.DUMMYFUNCTION("""COMPUTED_VALUE"""),63.47)</f>
        <v>63.47</v>
      </c>
      <c r="C2911" s="1">
        <f>IFERROR(__xludf.DUMMYFUNCTION("""COMPUTED_VALUE"""),63.7)</f>
        <v>63.7</v>
      </c>
      <c r="D2911" s="1">
        <f>IFERROR(__xludf.DUMMYFUNCTION("""COMPUTED_VALUE"""),63.08)</f>
        <v>63.08</v>
      </c>
      <c r="E2911" s="1">
        <f>IFERROR(__xludf.DUMMYFUNCTION("""COMPUTED_VALUE"""),63.09)</f>
        <v>63.09</v>
      </c>
      <c r="F2911" s="1">
        <f>IFERROR(__xludf.DUMMYFUNCTION("""COMPUTED_VALUE"""),8715505.0)</f>
        <v>8715505</v>
      </c>
    </row>
    <row r="2912">
      <c r="A2912" s="2">
        <f>IFERROR(__xludf.DUMMYFUNCTION("""COMPUTED_VALUE"""),40751.666666666664)</f>
        <v>40751.66667</v>
      </c>
      <c r="B2912" s="1">
        <f>IFERROR(__xludf.DUMMYFUNCTION("""COMPUTED_VALUE"""),63.03)</f>
        <v>63.03</v>
      </c>
      <c r="C2912" s="1">
        <f>IFERROR(__xludf.DUMMYFUNCTION("""COMPUTED_VALUE"""),63.12)</f>
        <v>63.12</v>
      </c>
      <c r="D2912" s="1">
        <f>IFERROR(__xludf.DUMMYFUNCTION("""COMPUTED_VALUE"""),62.15)</f>
        <v>62.15</v>
      </c>
      <c r="E2912" s="1">
        <f>IFERROR(__xludf.DUMMYFUNCTION("""COMPUTED_VALUE"""),62.2)</f>
        <v>62.2</v>
      </c>
      <c r="F2912" s="1">
        <f>IFERROR(__xludf.DUMMYFUNCTION("""COMPUTED_VALUE"""),1.1167024E7)</f>
        <v>11167024</v>
      </c>
    </row>
    <row r="2913">
      <c r="A2913" s="2">
        <f>IFERROR(__xludf.DUMMYFUNCTION("""COMPUTED_VALUE"""),40752.666666666664)</f>
        <v>40752.66667</v>
      </c>
      <c r="B2913" s="1">
        <f>IFERROR(__xludf.DUMMYFUNCTION("""COMPUTED_VALUE"""),62.16)</f>
        <v>62.16</v>
      </c>
      <c r="C2913" s="1">
        <f>IFERROR(__xludf.DUMMYFUNCTION("""COMPUTED_VALUE"""),62.43)</f>
        <v>62.43</v>
      </c>
      <c r="D2913" s="1">
        <f>IFERROR(__xludf.DUMMYFUNCTION("""COMPUTED_VALUE"""),61.85)</f>
        <v>61.85</v>
      </c>
      <c r="E2913" s="1">
        <f>IFERROR(__xludf.DUMMYFUNCTION("""COMPUTED_VALUE"""),61.92)</f>
        <v>61.92</v>
      </c>
      <c r="F2913" s="1">
        <f>IFERROR(__xludf.DUMMYFUNCTION("""COMPUTED_VALUE"""),7535697.0)</f>
        <v>7535697</v>
      </c>
    </row>
    <row r="2914">
      <c r="A2914" s="2">
        <f>IFERROR(__xludf.DUMMYFUNCTION("""COMPUTED_VALUE"""),40753.666666666664)</f>
        <v>40753.66667</v>
      </c>
      <c r="B2914" s="1">
        <f>IFERROR(__xludf.DUMMYFUNCTION("""COMPUTED_VALUE"""),61.68)</f>
        <v>61.68</v>
      </c>
      <c r="C2914" s="1">
        <f>IFERROR(__xludf.DUMMYFUNCTION("""COMPUTED_VALUE"""),62.18)</f>
        <v>62.18</v>
      </c>
      <c r="D2914" s="1">
        <f>IFERROR(__xludf.DUMMYFUNCTION("""COMPUTED_VALUE"""),61.49)</f>
        <v>61.49</v>
      </c>
      <c r="E2914" s="1">
        <f>IFERROR(__xludf.DUMMYFUNCTION("""COMPUTED_VALUE"""),61.49)</f>
        <v>61.49</v>
      </c>
      <c r="F2914" s="1">
        <f>IFERROR(__xludf.DUMMYFUNCTION("""COMPUTED_VALUE"""),1.0380271E7)</f>
        <v>10380271</v>
      </c>
    </row>
    <row r="2915">
      <c r="A2915" s="2">
        <f>IFERROR(__xludf.DUMMYFUNCTION("""COMPUTED_VALUE"""),40756.666666666664)</f>
        <v>40756.66667</v>
      </c>
      <c r="B2915" s="1">
        <f>IFERROR(__xludf.DUMMYFUNCTION("""COMPUTED_VALUE"""),62.16)</f>
        <v>62.16</v>
      </c>
      <c r="C2915" s="1">
        <f>IFERROR(__xludf.DUMMYFUNCTION("""COMPUTED_VALUE"""),62.31)</f>
        <v>62.31</v>
      </c>
      <c r="D2915" s="1">
        <f>IFERROR(__xludf.DUMMYFUNCTION("""COMPUTED_VALUE"""),61.0)</f>
        <v>61</v>
      </c>
      <c r="E2915" s="1">
        <f>IFERROR(__xludf.DUMMYFUNCTION("""COMPUTED_VALUE"""),61.43)</f>
        <v>61.43</v>
      </c>
      <c r="F2915" s="1">
        <f>IFERROR(__xludf.DUMMYFUNCTION("""COMPUTED_VALUE"""),1.0103932E7)</f>
        <v>10103932</v>
      </c>
    </row>
    <row r="2916">
      <c r="A2916" s="2">
        <f>IFERROR(__xludf.DUMMYFUNCTION("""COMPUTED_VALUE"""),40757.666666666664)</f>
        <v>40757.66667</v>
      </c>
      <c r="B2916" s="1">
        <f>IFERROR(__xludf.DUMMYFUNCTION("""COMPUTED_VALUE"""),61.13)</f>
        <v>61.13</v>
      </c>
      <c r="C2916" s="1">
        <f>IFERROR(__xludf.DUMMYFUNCTION("""COMPUTED_VALUE"""),61.35)</f>
        <v>61.35</v>
      </c>
      <c r="D2916" s="1">
        <f>IFERROR(__xludf.DUMMYFUNCTION("""COMPUTED_VALUE"""),60.75)</f>
        <v>60.75</v>
      </c>
      <c r="E2916" s="1">
        <f>IFERROR(__xludf.DUMMYFUNCTION("""COMPUTED_VALUE"""),60.87)</f>
        <v>60.87</v>
      </c>
      <c r="F2916" s="1">
        <f>IFERROR(__xludf.DUMMYFUNCTION("""COMPUTED_VALUE"""),9608961.0)</f>
        <v>9608961</v>
      </c>
    </row>
    <row r="2917">
      <c r="A2917" s="2">
        <f>IFERROR(__xludf.DUMMYFUNCTION("""COMPUTED_VALUE"""),40758.666666666664)</f>
        <v>40758.66667</v>
      </c>
      <c r="B2917" s="1">
        <f>IFERROR(__xludf.DUMMYFUNCTION("""COMPUTED_VALUE"""),60.76)</f>
        <v>60.76</v>
      </c>
      <c r="C2917" s="1">
        <f>IFERROR(__xludf.DUMMYFUNCTION("""COMPUTED_VALUE"""),60.99)</f>
        <v>60.99</v>
      </c>
      <c r="D2917" s="1">
        <f>IFERROR(__xludf.DUMMYFUNCTION("""COMPUTED_VALUE"""),60.49)</f>
        <v>60.49</v>
      </c>
      <c r="E2917" s="1">
        <f>IFERROR(__xludf.DUMMYFUNCTION("""COMPUTED_VALUE"""),60.73)</f>
        <v>60.73</v>
      </c>
      <c r="F2917" s="1">
        <f>IFERROR(__xludf.DUMMYFUNCTION("""COMPUTED_VALUE"""),1.3111996E7)</f>
        <v>13111996</v>
      </c>
    </row>
    <row r="2918">
      <c r="A2918" s="2">
        <f>IFERROR(__xludf.DUMMYFUNCTION("""COMPUTED_VALUE"""),40759.666666666664)</f>
        <v>40759.66667</v>
      </c>
      <c r="B2918" s="1">
        <f>IFERROR(__xludf.DUMMYFUNCTION("""COMPUTED_VALUE"""),60.37)</f>
        <v>60.37</v>
      </c>
      <c r="C2918" s="1">
        <f>IFERROR(__xludf.DUMMYFUNCTION("""COMPUTED_VALUE"""),61.0)</f>
        <v>61</v>
      </c>
      <c r="D2918" s="1">
        <f>IFERROR(__xludf.DUMMYFUNCTION("""COMPUTED_VALUE"""),59.5)</f>
        <v>59.5</v>
      </c>
      <c r="E2918" s="1">
        <f>IFERROR(__xludf.DUMMYFUNCTION("""COMPUTED_VALUE"""),59.58)</f>
        <v>59.58</v>
      </c>
      <c r="F2918" s="1">
        <f>IFERROR(__xludf.DUMMYFUNCTION("""COMPUTED_VALUE"""),1.7791668E7)</f>
        <v>17791668</v>
      </c>
    </row>
    <row r="2919">
      <c r="A2919" s="2">
        <f>IFERROR(__xludf.DUMMYFUNCTION("""COMPUTED_VALUE"""),40760.666666666664)</f>
        <v>40760.66667</v>
      </c>
      <c r="B2919" s="1">
        <f>IFERROR(__xludf.DUMMYFUNCTION("""COMPUTED_VALUE"""),61.06)</f>
        <v>61.06</v>
      </c>
      <c r="C2919" s="1">
        <f>IFERROR(__xludf.DUMMYFUNCTION("""COMPUTED_VALUE"""),61.4)</f>
        <v>61.4</v>
      </c>
      <c r="D2919" s="1">
        <f>IFERROR(__xludf.DUMMYFUNCTION("""COMPUTED_VALUE"""),59.32)</f>
        <v>59.32</v>
      </c>
      <c r="E2919" s="1">
        <f>IFERROR(__xludf.DUMMYFUNCTION("""COMPUTED_VALUE"""),60.59)</f>
        <v>60.59</v>
      </c>
      <c r="F2919" s="1">
        <f>IFERROR(__xludf.DUMMYFUNCTION("""COMPUTED_VALUE"""),2.3699412E7)</f>
        <v>23699412</v>
      </c>
    </row>
    <row r="2920">
      <c r="A2920" s="2">
        <f>IFERROR(__xludf.DUMMYFUNCTION("""COMPUTED_VALUE"""),40763.666666666664)</f>
        <v>40763.66667</v>
      </c>
      <c r="B2920" s="1">
        <f>IFERROR(__xludf.DUMMYFUNCTION("""COMPUTED_VALUE"""),60.12)</f>
        <v>60.12</v>
      </c>
      <c r="C2920" s="1">
        <f>IFERROR(__xludf.DUMMYFUNCTION("""COMPUTED_VALUE"""),61.35)</f>
        <v>61.35</v>
      </c>
      <c r="D2920" s="1">
        <f>IFERROR(__xludf.DUMMYFUNCTION("""COMPUTED_VALUE"""),59.24)</f>
        <v>59.24</v>
      </c>
      <c r="E2920" s="1">
        <f>IFERROR(__xludf.DUMMYFUNCTION("""COMPUTED_VALUE"""),59.29)</f>
        <v>59.29</v>
      </c>
      <c r="F2920" s="1">
        <f>IFERROR(__xludf.DUMMYFUNCTION("""COMPUTED_VALUE"""),3.0995464E7)</f>
        <v>30995464</v>
      </c>
    </row>
    <row r="2921">
      <c r="A2921" s="2">
        <f>IFERROR(__xludf.DUMMYFUNCTION("""COMPUTED_VALUE"""),40764.666666666664)</f>
        <v>40764.66667</v>
      </c>
      <c r="B2921" s="1">
        <f>IFERROR(__xludf.DUMMYFUNCTION("""COMPUTED_VALUE"""),60.52)</f>
        <v>60.52</v>
      </c>
      <c r="C2921" s="1">
        <f>IFERROR(__xludf.DUMMYFUNCTION("""COMPUTED_VALUE"""),60.9)</f>
        <v>60.9</v>
      </c>
      <c r="D2921" s="1">
        <f>IFERROR(__xludf.DUMMYFUNCTION("""COMPUTED_VALUE"""),57.56)</f>
        <v>57.56</v>
      </c>
      <c r="E2921" s="1">
        <f>IFERROR(__xludf.DUMMYFUNCTION("""COMPUTED_VALUE"""),60.22)</f>
        <v>60.22</v>
      </c>
      <c r="F2921" s="1">
        <f>IFERROR(__xludf.DUMMYFUNCTION("""COMPUTED_VALUE"""),3.1877486E7)</f>
        <v>31877486</v>
      </c>
    </row>
    <row r="2922">
      <c r="A2922" s="2">
        <f>IFERROR(__xludf.DUMMYFUNCTION("""COMPUTED_VALUE"""),40765.666666666664)</f>
        <v>40765.66667</v>
      </c>
      <c r="B2922" s="1">
        <f>IFERROR(__xludf.DUMMYFUNCTION("""COMPUTED_VALUE"""),59.97)</f>
        <v>59.97</v>
      </c>
      <c r="C2922" s="1">
        <f>IFERROR(__xludf.DUMMYFUNCTION("""COMPUTED_VALUE"""),60.09)</f>
        <v>60.09</v>
      </c>
      <c r="D2922" s="1">
        <f>IFERROR(__xludf.DUMMYFUNCTION("""COMPUTED_VALUE"""),58.31)</f>
        <v>58.31</v>
      </c>
      <c r="E2922" s="1">
        <f>IFERROR(__xludf.DUMMYFUNCTION("""COMPUTED_VALUE"""),58.51)</f>
        <v>58.51</v>
      </c>
      <c r="F2922" s="1">
        <f>IFERROR(__xludf.DUMMYFUNCTION("""COMPUTED_VALUE"""),2.3417636E7)</f>
        <v>23417636</v>
      </c>
    </row>
    <row r="2923">
      <c r="A2923" s="2">
        <f>IFERROR(__xludf.DUMMYFUNCTION("""COMPUTED_VALUE"""),40766.666666666664)</f>
        <v>40766.66667</v>
      </c>
      <c r="B2923" s="1">
        <f>IFERROR(__xludf.DUMMYFUNCTION("""COMPUTED_VALUE"""),58.72)</f>
        <v>58.72</v>
      </c>
      <c r="C2923" s="1">
        <f>IFERROR(__xludf.DUMMYFUNCTION("""COMPUTED_VALUE"""),61.09)</f>
        <v>61.09</v>
      </c>
      <c r="D2923" s="1">
        <f>IFERROR(__xludf.DUMMYFUNCTION("""COMPUTED_VALUE"""),58.61)</f>
        <v>58.61</v>
      </c>
      <c r="E2923" s="1">
        <f>IFERROR(__xludf.DUMMYFUNCTION("""COMPUTED_VALUE"""),60.45)</f>
        <v>60.45</v>
      </c>
      <c r="F2923" s="1">
        <f>IFERROR(__xludf.DUMMYFUNCTION("""COMPUTED_VALUE"""),1.8714292E7)</f>
        <v>18714292</v>
      </c>
    </row>
    <row r="2924">
      <c r="A2924" s="2">
        <f>IFERROR(__xludf.DUMMYFUNCTION("""COMPUTED_VALUE"""),40767.666666666664)</f>
        <v>40767.66667</v>
      </c>
      <c r="B2924" s="1">
        <f>IFERROR(__xludf.DUMMYFUNCTION("""COMPUTED_VALUE"""),60.78)</f>
        <v>60.78</v>
      </c>
      <c r="C2924" s="1">
        <f>IFERROR(__xludf.DUMMYFUNCTION("""COMPUTED_VALUE"""),61.72)</f>
        <v>61.72</v>
      </c>
      <c r="D2924" s="1">
        <f>IFERROR(__xludf.DUMMYFUNCTION("""COMPUTED_VALUE"""),60.59)</f>
        <v>60.59</v>
      </c>
      <c r="E2924" s="1">
        <f>IFERROR(__xludf.DUMMYFUNCTION("""COMPUTED_VALUE"""),61.14)</f>
        <v>61.14</v>
      </c>
      <c r="F2924" s="1">
        <f>IFERROR(__xludf.DUMMYFUNCTION("""COMPUTED_VALUE"""),1.3241493E7)</f>
        <v>13241493</v>
      </c>
    </row>
    <row r="2925">
      <c r="A2925" s="2">
        <f>IFERROR(__xludf.DUMMYFUNCTION("""COMPUTED_VALUE"""),40770.666666666664)</f>
        <v>40770.66667</v>
      </c>
      <c r="B2925" s="1">
        <f>IFERROR(__xludf.DUMMYFUNCTION("""COMPUTED_VALUE"""),61.87)</f>
        <v>61.87</v>
      </c>
      <c r="C2925" s="1">
        <f>IFERROR(__xludf.DUMMYFUNCTION("""COMPUTED_VALUE"""),61.96)</f>
        <v>61.96</v>
      </c>
      <c r="D2925" s="1">
        <f>IFERROR(__xludf.DUMMYFUNCTION("""COMPUTED_VALUE"""),61.06)</f>
        <v>61.06</v>
      </c>
      <c r="E2925" s="1">
        <f>IFERROR(__xludf.DUMMYFUNCTION("""COMPUTED_VALUE"""),61.88)</f>
        <v>61.88</v>
      </c>
      <c r="F2925" s="1">
        <f>IFERROR(__xludf.DUMMYFUNCTION("""COMPUTED_VALUE"""),1.2117222E7)</f>
        <v>12117222</v>
      </c>
    </row>
    <row r="2926">
      <c r="A2926" s="2">
        <f>IFERROR(__xludf.DUMMYFUNCTION("""COMPUTED_VALUE"""),40771.666666666664)</f>
        <v>40771.66667</v>
      </c>
      <c r="B2926" s="1">
        <f>IFERROR(__xludf.DUMMYFUNCTION("""COMPUTED_VALUE"""),61.47)</f>
        <v>61.47</v>
      </c>
      <c r="C2926" s="1">
        <f>IFERROR(__xludf.DUMMYFUNCTION("""COMPUTED_VALUE"""),61.87)</f>
        <v>61.87</v>
      </c>
      <c r="D2926" s="1">
        <f>IFERROR(__xludf.DUMMYFUNCTION("""COMPUTED_VALUE"""),61.17)</f>
        <v>61.17</v>
      </c>
      <c r="E2926" s="1">
        <f>IFERROR(__xludf.DUMMYFUNCTION("""COMPUTED_VALUE"""),61.62)</f>
        <v>61.62</v>
      </c>
      <c r="F2926" s="1">
        <f>IFERROR(__xludf.DUMMYFUNCTION("""COMPUTED_VALUE"""),9420937.0)</f>
        <v>9420937</v>
      </c>
    </row>
    <row r="2927">
      <c r="A2927" s="2">
        <f>IFERROR(__xludf.DUMMYFUNCTION("""COMPUTED_VALUE"""),40772.666666666664)</f>
        <v>40772.66667</v>
      </c>
      <c r="B2927" s="1">
        <f>IFERROR(__xludf.DUMMYFUNCTION("""COMPUTED_VALUE"""),61.78)</f>
        <v>61.78</v>
      </c>
      <c r="C2927" s="1">
        <f>IFERROR(__xludf.DUMMYFUNCTION("""COMPUTED_VALUE"""),62.12)</f>
        <v>62.12</v>
      </c>
      <c r="D2927" s="1">
        <f>IFERROR(__xludf.DUMMYFUNCTION("""COMPUTED_VALUE"""),61.25)</f>
        <v>61.25</v>
      </c>
      <c r="E2927" s="1">
        <f>IFERROR(__xludf.DUMMYFUNCTION("""COMPUTED_VALUE"""),61.67)</f>
        <v>61.67</v>
      </c>
      <c r="F2927" s="1">
        <f>IFERROR(__xludf.DUMMYFUNCTION("""COMPUTED_VALUE"""),7817619.0)</f>
        <v>7817619</v>
      </c>
    </row>
    <row r="2928">
      <c r="A2928" s="2">
        <f>IFERROR(__xludf.DUMMYFUNCTION("""COMPUTED_VALUE"""),40773.666666666664)</f>
        <v>40773.66667</v>
      </c>
      <c r="B2928" s="1">
        <f>IFERROR(__xludf.DUMMYFUNCTION("""COMPUTED_VALUE"""),60.82)</f>
        <v>60.82</v>
      </c>
      <c r="C2928" s="1">
        <f>IFERROR(__xludf.DUMMYFUNCTION("""COMPUTED_VALUE"""),61.27)</f>
        <v>61.27</v>
      </c>
      <c r="D2928" s="1">
        <f>IFERROR(__xludf.DUMMYFUNCTION("""COMPUTED_VALUE"""),60.05)</f>
        <v>60.05</v>
      </c>
      <c r="E2928" s="1">
        <f>IFERROR(__xludf.DUMMYFUNCTION("""COMPUTED_VALUE"""),60.86)</f>
        <v>60.86</v>
      </c>
      <c r="F2928" s="1">
        <f>IFERROR(__xludf.DUMMYFUNCTION("""COMPUTED_VALUE"""),1.7846142E7)</f>
        <v>17846142</v>
      </c>
    </row>
    <row r="2929">
      <c r="A2929" s="2">
        <f>IFERROR(__xludf.DUMMYFUNCTION("""COMPUTED_VALUE"""),40774.666666666664)</f>
        <v>40774.66667</v>
      </c>
      <c r="B2929" s="1">
        <f>IFERROR(__xludf.DUMMYFUNCTION("""COMPUTED_VALUE"""),60.51)</f>
        <v>60.51</v>
      </c>
      <c r="C2929" s="1">
        <f>IFERROR(__xludf.DUMMYFUNCTION("""COMPUTED_VALUE"""),61.51)</f>
        <v>61.51</v>
      </c>
      <c r="D2929" s="1">
        <f>IFERROR(__xludf.DUMMYFUNCTION("""COMPUTED_VALUE"""),60.23)</f>
        <v>60.23</v>
      </c>
      <c r="E2929" s="1">
        <f>IFERROR(__xludf.DUMMYFUNCTION("""COMPUTED_VALUE"""),60.96)</f>
        <v>60.96</v>
      </c>
      <c r="F2929" s="1">
        <f>IFERROR(__xludf.DUMMYFUNCTION("""COMPUTED_VALUE"""),1.6297915E7)</f>
        <v>16297915</v>
      </c>
    </row>
    <row r="2930">
      <c r="A2930" s="2">
        <f>IFERROR(__xludf.DUMMYFUNCTION("""COMPUTED_VALUE"""),40777.666666666664)</f>
        <v>40777.66667</v>
      </c>
      <c r="B2930" s="1">
        <f>IFERROR(__xludf.DUMMYFUNCTION("""COMPUTED_VALUE"""),61.74)</f>
        <v>61.74</v>
      </c>
      <c r="C2930" s="1">
        <f>IFERROR(__xludf.DUMMYFUNCTION("""COMPUTED_VALUE"""),61.91)</f>
        <v>61.91</v>
      </c>
      <c r="D2930" s="1">
        <f>IFERROR(__xludf.DUMMYFUNCTION("""COMPUTED_VALUE"""),61.45)</f>
        <v>61.45</v>
      </c>
      <c r="E2930" s="1">
        <f>IFERROR(__xludf.DUMMYFUNCTION("""COMPUTED_VALUE"""),61.71)</f>
        <v>61.71</v>
      </c>
      <c r="F2930" s="1">
        <f>IFERROR(__xludf.DUMMYFUNCTION("""COMPUTED_VALUE"""),1.2676552E7)</f>
        <v>12676552</v>
      </c>
    </row>
    <row r="2931">
      <c r="A2931" s="2">
        <f>IFERROR(__xludf.DUMMYFUNCTION("""COMPUTED_VALUE"""),40778.666666666664)</f>
        <v>40778.66667</v>
      </c>
      <c r="B2931" s="1">
        <f>IFERROR(__xludf.DUMMYFUNCTION("""COMPUTED_VALUE"""),61.95)</f>
        <v>61.95</v>
      </c>
      <c r="C2931" s="1">
        <f>IFERROR(__xludf.DUMMYFUNCTION("""COMPUTED_VALUE"""),63.22)</f>
        <v>63.22</v>
      </c>
      <c r="D2931" s="1">
        <f>IFERROR(__xludf.DUMMYFUNCTION("""COMPUTED_VALUE"""),61.76)</f>
        <v>61.76</v>
      </c>
      <c r="E2931" s="1">
        <f>IFERROR(__xludf.DUMMYFUNCTION("""COMPUTED_VALUE"""),63.02)</f>
        <v>63.02</v>
      </c>
      <c r="F2931" s="1">
        <f>IFERROR(__xludf.DUMMYFUNCTION("""COMPUTED_VALUE"""),1.5222401E7)</f>
        <v>15222401</v>
      </c>
    </row>
    <row r="2932">
      <c r="A2932" s="2">
        <f>IFERROR(__xludf.DUMMYFUNCTION("""COMPUTED_VALUE"""),40779.666666666664)</f>
        <v>40779.66667</v>
      </c>
      <c r="B2932" s="1">
        <f>IFERROR(__xludf.DUMMYFUNCTION("""COMPUTED_VALUE"""),62.72)</f>
        <v>62.72</v>
      </c>
      <c r="C2932" s="1">
        <f>IFERROR(__xludf.DUMMYFUNCTION("""COMPUTED_VALUE"""),63.38)</f>
        <v>63.38</v>
      </c>
      <c r="D2932" s="1">
        <f>IFERROR(__xludf.DUMMYFUNCTION("""COMPUTED_VALUE"""),62.38)</f>
        <v>62.38</v>
      </c>
      <c r="E2932" s="1">
        <f>IFERROR(__xludf.DUMMYFUNCTION("""COMPUTED_VALUE"""),63.31)</f>
        <v>63.31</v>
      </c>
      <c r="F2932" s="1">
        <f>IFERROR(__xludf.DUMMYFUNCTION("""COMPUTED_VALUE"""),8420215.0)</f>
        <v>8420215</v>
      </c>
    </row>
    <row r="2933">
      <c r="A2933" s="2">
        <f>IFERROR(__xludf.DUMMYFUNCTION("""COMPUTED_VALUE"""),40780.666666666664)</f>
        <v>40780.66667</v>
      </c>
      <c r="B2933" s="1">
        <f>IFERROR(__xludf.DUMMYFUNCTION("""COMPUTED_VALUE"""),63.25)</f>
        <v>63.25</v>
      </c>
      <c r="C2933" s="1">
        <f>IFERROR(__xludf.DUMMYFUNCTION("""COMPUTED_VALUE"""),63.47)</f>
        <v>63.47</v>
      </c>
      <c r="D2933" s="1">
        <f>IFERROR(__xludf.DUMMYFUNCTION("""COMPUTED_VALUE"""),62.2)</f>
        <v>62.2</v>
      </c>
      <c r="E2933" s="1">
        <f>IFERROR(__xludf.DUMMYFUNCTION("""COMPUTED_VALUE"""),62.53)</f>
        <v>62.53</v>
      </c>
      <c r="F2933" s="1">
        <f>IFERROR(__xludf.DUMMYFUNCTION("""COMPUTED_VALUE"""),1.5062968E7)</f>
        <v>15062968</v>
      </c>
    </row>
    <row r="2934">
      <c r="A2934" s="2">
        <f>IFERROR(__xludf.DUMMYFUNCTION("""COMPUTED_VALUE"""),40781.666666666664)</f>
        <v>40781.66667</v>
      </c>
      <c r="B2934" s="1">
        <f>IFERROR(__xludf.DUMMYFUNCTION("""COMPUTED_VALUE"""),62.24)</f>
        <v>62.24</v>
      </c>
      <c r="C2934" s="1">
        <f>IFERROR(__xludf.DUMMYFUNCTION("""COMPUTED_VALUE"""),62.65)</f>
        <v>62.65</v>
      </c>
      <c r="D2934" s="1">
        <f>IFERROR(__xludf.DUMMYFUNCTION("""COMPUTED_VALUE"""),61.17)</f>
        <v>61.17</v>
      </c>
      <c r="E2934" s="1">
        <f>IFERROR(__xludf.DUMMYFUNCTION("""COMPUTED_VALUE"""),62.57)</f>
        <v>62.57</v>
      </c>
      <c r="F2934" s="1">
        <f>IFERROR(__xludf.DUMMYFUNCTION("""COMPUTED_VALUE"""),1.0374234E7)</f>
        <v>10374234</v>
      </c>
    </row>
    <row r="2935">
      <c r="A2935" s="2">
        <f>IFERROR(__xludf.DUMMYFUNCTION("""COMPUTED_VALUE"""),40784.666666666664)</f>
        <v>40784.66667</v>
      </c>
      <c r="B2935" s="1">
        <f>IFERROR(__xludf.DUMMYFUNCTION("""COMPUTED_VALUE"""),62.78)</f>
        <v>62.78</v>
      </c>
      <c r="C2935" s="1">
        <f>IFERROR(__xludf.DUMMYFUNCTION("""COMPUTED_VALUE"""),63.29)</f>
        <v>63.29</v>
      </c>
      <c r="D2935" s="1">
        <f>IFERROR(__xludf.DUMMYFUNCTION("""COMPUTED_VALUE"""),62.78)</f>
        <v>62.78</v>
      </c>
      <c r="E2935" s="1">
        <f>IFERROR(__xludf.DUMMYFUNCTION("""COMPUTED_VALUE"""),63.09)</f>
        <v>63.09</v>
      </c>
      <c r="F2935" s="1">
        <f>IFERROR(__xludf.DUMMYFUNCTION("""COMPUTED_VALUE"""),9147913.0)</f>
        <v>9147913</v>
      </c>
    </row>
    <row r="2936">
      <c r="A2936" s="2">
        <f>IFERROR(__xludf.DUMMYFUNCTION("""COMPUTED_VALUE"""),40785.666666666664)</f>
        <v>40785.66667</v>
      </c>
      <c r="B2936" s="1">
        <f>IFERROR(__xludf.DUMMYFUNCTION("""COMPUTED_VALUE"""),63.09)</f>
        <v>63.09</v>
      </c>
      <c r="C2936" s="1">
        <f>IFERROR(__xludf.DUMMYFUNCTION("""COMPUTED_VALUE"""),63.89)</f>
        <v>63.89</v>
      </c>
      <c r="D2936" s="1">
        <f>IFERROR(__xludf.DUMMYFUNCTION("""COMPUTED_VALUE"""),62.89)</f>
        <v>62.89</v>
      </c>
      <c r="E2936" s="1">
        <f>IFERROR(__xludf.DUMMYFUNCTION("""COMPUTED_VALUE"""),63.5)</f>
        <v>63.5</v>
      </c>
      <c r="F2936" s="1">
        <f>IFERROR(__xludf.DUMMYFUNCTION("""COMPUTED_VALUE"""),9182105.0)</f>
        <v>9182105</v>
      </c>
    </row>
    <row r="2937">
      <c r="A2937" s="2">
        <f>IFERROR(__xludf.DUMMYFUNCTION("""COMPUTED_VALUE"""),40786.666666666664)</f>
        <v>40786.66667</v>
      </c>
      <c r="B2937" s="1">
        <f>IFERROR(__xludf.DUMMYFUNCTION("""COMPUTED_VALUE"""),63.46)</f>
        <v>63.46</v>
      </c>
      <c r="C2937" s="1">
        <f>IFERROR(__xludf.DUMMYFUNCTION("""COMPUTED_VALUE"""),63.95)</f>
        <v>63.95</v>
      </c>
      <c r="D2937" s="1">
        <f>IFERROR(__xludf.DUMMYFUNCTION("""COMPUTED_VALUE"""),63.39)</f>
        <v>63.39</v>
      </c>
      <c r="E2937" s="1">
        <f>IFERROR(__xludf.DUMMYFUNCTION("""COMPUTED_VALUE"""),63.68)</f>
        <v>63.68</v>
      </c>
      <c r="F2937" s="1">
        <f>IFERROR(__xludf.DUMMYFUNCTION("""COMPUTED_VALUE"""),8973129.0)</f>
        <v>8973129</v>
      </c>
    </row>
    <row r="2938">
      <c r="A2938" s="2">
        <f>IFERROR(__xludf.DUMMYFUNCTION("""COMPUTED_VALUE"""),40787.666666666664)</f>
        <v>40787.66667</v>
      </c>
      <c r="B2938" s="1">
        <f>IFERROR(__xludf.DUMMYFUNCTION("""COMPUTED_VALUE"""),63.62)</f>
        <v>63.62</v>
      </c>
      <c r="C2938" s="1">
        <f>IFERROR(__xludf.DUMMYFUNCTION("""COMPUTED_VALUE"""),64.25)</f>
        <v>64.25</v>
      </c>
      <c r="D2938" s="1">
        <f>IFERROR(__xludf.DUMMYFUNCTION("""COMPUTED_VALUE"""),63.19)</f>
        <v>63.19</v>
      </c>
      <c r="E2938" s="1">
        <f>IFERROR(__xludf.DUMMYFUNCTION("""COMPUTED_VALUE"""),63.26)</f>
        <v>63.26</v>
      </c>
      <c r="F2938" s="1">
        <f>IFERROR(__xludf.DUMMYFUNCTION("""COMPUTED_VALUE"""),8871520.0)</f>
        <v>8871520</v>
      </c>
    </row>
    <row r="2939">
      <c r="A2939" s="2">
        <f>IFERROR(__xludf.DUMMYFUNCTION("""COMPUTED_VALUE"""),40788.666666666664)</f>
        <v>40788.66667</v>
      </c>
      <c r="B2939" s="1">
        <f>IFERROR(__xludf.DUMMYFUNCTION("""COMPUTED_VALUE"""),62.8)</f>
        <v>62.8</v>
      </c>
      <c r="C2939" s="1">
        <f>IFERROR(__xludf.DUMMYFUNCTION("""COMPUTED_VALUE"""),63.07)</f>
        <v>63.07</v>
      </c>
      <c r="D2939" s="1">
        <f>IFERROR(__xludf.DUMMYFUNCTION("""COMPUTED_VALUE"""),62.41)</f>
        <v>62.41</v>
      </c>
      <c r="E2939" s="1">
        <f>IFERROR(__xludf.DUMMYFUNCTION("""COMPUTED_VALUE"""),62.55)</f>
        <v>62.55</v>
      </c>
      <c r="F2939" s="1">
        <f>IFERROR(__xludf.DUMMYFUNCTION("""COMPUTED_VALUE"""),8817358.0)</f>
        <v>8817358</v>
      </c>
    </row>
    <row r="2940">
      <c r="A2940" s="2">
        <f>IFERROR(__xludf.DUMMYFUNCTION("""COMPUTED_VALUE"""),40792.666666666664)</f>
        <v>40792.66667</v>
      </c>
      <c r="B2940" s="1">
        <f>IFERROR(__xludf.DUMMYFUNCTION("""COMPUTED_VALUE"""),61.18)</f>
        <v>61.18</v>
      </c>
      <c r="C2940" s="1">
        <f>IFERROR(__xludf.DUMMYFUNCTION("""COMPUTED_VALUE"""),62.55)</f>
        <v>62.55</v>
      </c>
      <c r="D2940" s="1">
        <f>IFERROR(__xludf.DUMMYFUNCTION("""COMPUTED_VALUE"""),61.1)</f>
        <v>61.1</v>
      </c>
      <c r="E2940" s="1">
        <f>IFERROR(__xludf.DUMMYFUNCTION("""COMPUTED_VALUE"""),62.38)</f>
        <v>62.38</v>
      </c>
      <c r="F2940" s="1">
        <f>IFERROR(__xludf.DUMMYFUNCTION("""COMPUTED_VALUE"""),1.1458185E7)</f>
        <v>11458185</v>
      </c>
    </row>
    <row r="2941">
      <c r="A2941" s="2">
        <f>IFERROR(__xludf.DUMMYFUNCTION("""COMPUTED_VALUE"""),40793.666666666664)</f>
        <v>40793.66667</v>
      </c>
      <c r="B2941" s="1">
        <f>IFERROR(__xludf.DUMMYFUNCTION("""COMPUTED_VALUE"""),62.75)</f>
        <v>62.75</v>
      </c>
      <c r="C2941" s="1">
        <f>IFERROR(__xludf.DUMMYFUNCTION("""COMPUTED_VALUE"""),63.05)</f>
        <v>63.05</v>
      </c>
      <c r="D2941" s="1">
        <f>IFERROR(__xludf.DUMMYFUNCTION("""COMPUTED_VALUE"""),62.62)</f>
        <v>62.62</v>
      </c>
      <c r="E2941" s="1">
        <f>IFERROR(__xludf.DUMMYFUNCTION("""COMPUTED_VALUE"""),62.72)</f>
        <v>62.72</v>
      </c>
      <c r="F2941" s="1">
        <f>IFERROR(__xludf.DUMMYFUNCTION("""COMPUTED_VALUE"""),8884309.0)</f>
        <v>8884309</v>
      </c>
    </row>
    <row r="2942">
      <c r="A2942" s="2">
        <f>IFERROR(__xludf.DUMMYFUNCTION("""COMPUTED_VALUE"""),40794.666666666664)</f>
        <v>40794.66667</v>
      </c>
      <c r="B2942" s="1">
        <f>IFERROR(__xludf.DUMMYFUNCTION("""COMPUTED_VALUE"""),62.59)</f>
        <v>62.59</v>
      </c>
      <c r="C2942" s="1">
        <f>IFERROR(__xludf.DUMMYFUNCTION("""COMPUTED_VALUE"""),63.83)</f>
        <v>63.83</v>
      </c>
      <c r="D2942" s="1">
        <f>IFERROR(__xludf.DUMMYFUNCTION("""COMPUTED_VALUE"""),62.39)</f>
        <v>62.39</v>
      </c>
      <c r="E2942" s="1">
        <f>IFERROR(__xludf.DUMMYFUNCTION("""COMPUTED_VALUE"""),62.91)</f>
        <v>62.91</v>
      </c>
      <c r="F2942" s="1">
        <f>IFERROR(__xludf.DUMMYFUNCTION("""COMPUTED_VALUE"""),1.112424E7)</f>
        <v>11124240</v>
      </c>
    </row>
    <row r="2943">
      <c r="A2943" s="2">
        <f>IFERROR(__xludf.DUMMYFUNCTION("""COMPUTED_VALUE"""),40795.666666666664)</f>
        <v>40795.66667</v>
      </c>
      <c r="B2943" s="1">
        <f>IFERROR(__xludf.DUMMYFUNCTION("""COMPUTED_VALUE"""),62.41)</f>
        <v>62.41</v>
      </c>
      <c r="C2943" s="1">
        <f>IFERROR(__xludf.DUMMYFUNCTION("""COMPUTED_VALUE"""),62.51)</f>
        <v>62.51</v>
      </c>
      <c r="D2943" s="1">
        <f>IFERROR(__xludf.DUMMYFUNCTION("""COMPUTED_VALUE"""),61.57)</f>
        <v>61.57</v>
      </c>
      <c r="E2943" s="1">
        <f>IFERROR(__xludf.DUMMYFUNCTION("""COMPUTED_VALUE"""),61.84)</f>
        <v>61.84</v>
      </c>
      <c r="F2943" s="1">
        <f>IFERROR(__xludf.DUMMYFUNCTION("""COMPUTED_VALUE"""),1.2286356E7)</f>
        <v>12286356</v>
      </c>
    </row>
    <row r="2944">
      <c r="A2944" s="2">
        <f>IFERROR(__xludf.DUMMYFUNCTION("""COMPUTED_VALUE"""),40798.666666666664)</f>
        <v>40798.66667</v>
      </c>
      <c r="B2944" s="1">
        <f>IFERROR(__xludf.DUMMYFUNCTION("""COMPUTED_VALUE"""),61.25)</f>
        <v>61.25</v>
      </c>
      <c r="C2944" s="1">
        <f>IFERROR(__xludf.DUMMYFUNCTION("""COMPUTED_VALUE"""),61.92)</f>
        <v>61.92</v>
      </c>
      <c r="D2944" s="1">
        <f>IFERROR(__xludf.DUMMYFUNCTION("""COMPUTED_VALUE"""),61.0)</f>
        <v>61</v>
      </c>
      <c r="E2944" s="1">
        <f>IFERROR(__xludf.DUMMYFUNCTION("""COMPUTED_VALUE"""),61.83)</f>
        <v>61.83</v>
      </c>
      <c r="F2944" s="1">
        <f>IFERROR(__xludf.DUMMYFUNCTION("""COMPUTED_VALUE"""),9867231.0)</f>
        <v>9867231</v>
      </c>
    </row>
    <row r="2945">
      <c r="A2945" s="2">
        <f>IFERROR(__xludf.DUMMYFUNCTION("""COMPUTED_VALUE"""),40799.666666666664)</f>
        <v>40799.66667</v>
      </c>
      <c r="B2945" s="1">
        <f>IFERROR(__xludf.DUMMYFUNCTION("""COMPUTED_VALUE"""),61.77)</f>
        <v>61.77</v>
      </c>
      <c r="C2945" s="1">
        <f>IFERROR(__xludf.DUMMYFUNCTION("""COMPUTED_VALUE"""),62.1)</f>
        <v>62.1</v>
      </c>
      <c r="D2945" s="1">
        <f>IFERROR(__xludf.DUMMYFUNCTION("""COMPUTED_VALUE"""),61.17)</f>
        <v>61.17</v>
      </c>
      <c r="E2945" s="1">
        <f>IFERROR(__xludf.DUMMYFUNCTION("""COMPUTED_VALUE"""),61.94)</f>
        <v>61.94</v>
      </c>
      <c r="F2945" s="1">
        <f>IFERROR(__xludf.DUMMYFUNCTION("""COMPUTED_VALUE"""),8329195.0)</f>
        <v>8329195</v>
      </c>
    </row>
    <row r="2946">
      <c r="A2946" s="2">
        <f>IFERROR(__xludf.DUMMYFUNCTION("""COMPUTED_VALUE"""),40800.666666666664)</f>
        <v>40800.66667</v>
      </c>
      <c r="B2946" s="1">
        <f>IFERROR(__xludf.DUMMYFUNCTION("""COMPUTED_VALUE"""),62.12)</f>
        <v>62.12</v>
      </c>
      <c r="C2946" s="1">
        <f>IFERROR(__xludf.DUMMYFUNCTION("""COMPUTED_VALUE"""),62.95)</f>
        <v>62.95</v>
      </c>
      <c r="D2946" s="1">
        <f>IFERROR(__xludf.DUMMYFUNCTION("""COMPUTED_VALUE"""),61.53)</f>
        <v>61.53</v>
      </c>
      <c r="E2946" s="1">
        <f>IFERROR(__xludf.DUMMYFUNCTION("""COMPUTED_VALUE"""),62.34)</f>
        <v>62.34</v>
      </c>
      <c r="F2946" s="1">
        <f>IFERROR(__xludf.DUMMYFUNCTION("""COMPUTED_VALUE"""),1.1547786E7)</f>
        <v>11547786</v>
      </c>
    </row>
    <row r="2947">
      <c r="A2947" s="2">
        <f>IFERROR(__xludf.DUMMYFUNCTION("""COMPUTED_VALUE"""),40801.666666666664)</f>
        <v>40801.66667</v>
      </c>
      <c r="B2947" s="1">
        <f>IFERROR(__xludf.DUMMYFUNCTION("""COMPUTED_VALUE"""),62.45)</f>
        <v>62.45</v>
      </c>
      <c r="C2947" s="1">
        <f>IFERROR(__xludf.DUMMYFUNCTION("""COMPUTED_VALUE"""),62.78)</f>
        <v>62.78</v>
      </c>
      <c r="D2947" s="1">
        <f>IFERROR(__xludf.DUMMYFUNCTION("""COMPUTED_VALUE"""),62.1)</f>
        <v>62.1</v>
      </c>
      <c r="E2947" s="1">
        <f>IFERROR(__xludf.DUMMYFUNCTION("""COMPUTED_VALUE"""),62.78)</f>
        <v>62.78</v>
      </c>
      <c r="F2947" s="1">
        <f>IFERROR(__xludf.DUMMYFUNCTION("""COMPUTED_VALUE"""),9161337.0)</f>
        <v>9161337</v>
      </c>
    </row>
    <row r="2948">
      <c r="A2948" s="2">
        <f>IFERROR(__xludf.DUMMYFUNCTION("""COMPUTED_VALUE"""),40802.666666666664)</f>
        <v>40802.66667</v>
      </c>
      <c r="B2948" s="1">
        <f>IFERROR(__xludf.DUMMYFUNCTION("""COMPUTED_VALUE"""),63.22)</f>
        <v>63.22</v>
      </c>
      <c r="C2948" s="1">
        <f>IFERROR(__xludf.DUMMYFUNCTION("""COMPUTED_VALUE"""),64.7)</f>
        <v>64.7</v>
      </c>
      <c r="D2948" s="1">
        <f>IFERROR(__xludf.DUMMYFUNCTION("""COMPUTED_VALUE"""),63.01)</f>
        <v>63.01</v>
      </c>
      <c r="E2948" s="1">
        <f>IFERROR(__xludf.DUMMYFUNCTION("""COMPUTED_VALUE"""),64.33)</f>
        <v>64.33</v>
      </c>
      <c r="F2948" s="1">
        <f>IFERROR(__xludf.DUMMYFUNCTION("""COMPUTED_VALUE"""),2.469111E7)</f>
        <v>24691110</v>
      </c>
    </row>
    <row r="2949">
      <c r="A2949" s="2">
        <f>IFERROR(__xludf.DUMMYFUNCTION("""COMPUTED_VALUE"""),40805.666666666664)</f>
        <v>40805.66667</v>
      </c>
      <c r="B2949" s="1">
        <f>IFERROR(__xludf.DUMMYFUNCTION("""COMPUTED_VALUE"""),63.64)</f>
        <v>63.64</v>
      </c>
      <c r="C2949" s="1">
        <f>IFERROR(__xludf.DUMMYFUNCTION("""COMPUTED_VALUE"""),64.1)</f>
        <v>64.1</v>
      </c>
      <c r="D2949" s="1">
        <f>IFERROR(__xludf.DUMMYFUNCTION("""COMPUTED_VALUE"""),63.52)</f>
        <v>63.52</v>
      </c>
      <c r="E2949" s="1">
        <f>IFERROR(__xludf.DUMMYFUNCTION("""COMPUTED_VALUE"""),63.81)</f>
        <v>63.81</v>
      </c>
      <c r="F2949" s="1">
        <f>IFERROR(__xludf.DUMMYFUNCTION("""COMPUTED_VALUE"""),1.1028899E7)</f>
        <v>11028899</v>
      </c>
    </row>
    <row r="2950">
      <c r="A2950" s="2">
        <f>IFERROR(__xludf.DUMMYFUNCTION("""COMPUTED_VALUE"""),40806.666666666664)</f>
        <v>40806.66667</v>
      </c>
      <c r="B2950" s="1">
        <f>IFERROR(__xludf.DUMMYFUNCTION("""COMPUTED_VALUE"""),63.85)</f>
        <v>63.85</v>
      </c>
      <c r="C2950" s="1">
        <f>IFERROR(__xludf.DUMMYFUNCTION("""COMPUTED_VALUE"""),64.68)</f>
        <v>64.68</v>
      </c>
      <c r="D2950" s="1">
        <f>IFERROR(__xludf.DUMMYFUNCTION("""COMPUTED_VALUE"""),63.48)</f>
        <v>63.48</v>
      </c>
      <c r="E2950" s="1">
        <f>IFERROR(__xludf.DUMMYFUNCTION("""COMPUTED_VALUE"""),64.08)</f>
        <v>64.08</v>
      </c>
      <c r="F2950" s="1">
        <f>IFERROR(__xludf.DUMMYFUNCTION("""COMPUTED_VALUE"""),8215733.0)</f>
        <v>8215733</v>
      </c>
    </row>
    <row r="2951">
      <c r="A2951" s="2">
        <f>IFERROR(__xludf.DUMMYFUNCTION("""COMPUTED_VALUE"""),40807.666666666664)</f>
        <v>40807.66667</v>
      </c>
      <c r="B2951" s="1">
        <f>IFERROR(__xludf.DUMMYFUNCTION("""COMPUTED_VALUE"""),64.37)</f>
        <v>64.37</v>
      </c>
      <c r="C2951" s="1">
        <f>IFERROR(__xludf.DUMMYFUNCTION("""COMPUTED_VALUE"""),64.46)</f>
        <v>64.46</v>
      </c>
      <c r="D2951" s="1">
        <f>IFERROR(__xludf.DUMMYFUNCTION("""COMPUTED_VALUE"""),62.96)</f>
        <v>62.96</v>
      </c>
      <c r="E2951" s="1">
        <f>IFERROR(__xludf.DUMMYFUNCTION("""COMPUTED_VALUE"""),63.02)</f>
        <v>63.02</v>
      </c>
      <c r="F2951" s="1">
        <f>IFERROR(__xludf.DUMMYFUNCTION("""COMPUTED_VALUE"""),9649424.0)</f>
        <v>9649424</v>
      </c>
    </row>
    <row r="2952">
      <c r="A2952" s="2">
        <f>IFERROR(__xludf.DUMMYFUNCTION("""COMPUTED_VALUE"""),40808.666666666664)</f>
        <v>40808.66667</v>
      </c>
      <c r="B2952" s="1">
        <f>IFERROR(__xludf.DUMMYFUNCTION("""COMPUTED_VALUE"""),61.58)</f>
        <v>61.58</v>
      </c>
      <c r="C2952" s="1">
        <f>IFERROR(__xludf.DUMMYFUNCTION("""COMPUTED_VALUE"""),61.91)</f>
        <v>61.91</v>
      </c>
      <c r="D2952" s="1">
        <f>IFERROR(__xludf.DUMMYFUNCTION("""COMPUTED_VALUE"""),60.3)</f>
        <v>60.3</v>
      </c>
      <c r="E2952" s="1">
        <f>IFERROR(__xludf.DUMMYFUNCTION("""COMPUTED_VALUE"""),61.17)</f>
        <v>61.17</v>
      </c>
      <c r="F2952" s="1">
        <f>IFERROR(__xludf.DUMMYFUNCTION("""COMPUTED_VALUE"""),1.7381328E7)</f>
        <v>17381328</v>
      </c>
    </row>
    <row r="2953">
      <c r="A2953" s="2">
        <f>IFERROR(__xludf.DUMMYFUNCTION("""COMPUTED_VALUE"""),40809.666666666664)</f>
        <v>40809.66667</v>
      </c>
      <c r="B2953" s="1">
        <f>IFERROR(__xludf.DUMMYFUNCTION("""COMPUTED_VALUE"""),60.94)</f>
        <v>60.94</v>
      </c>
      <c r="C2953" s="1">
        <f>IFERROR(__xludf.DUMMYFUNCTION("""COMPUTED_VALUE"""),61.27)</f>
        <v>61.27</v>
      </c>
      <c r="D2953" s="1">
        <f>IFERROR(__xludf.DUMMYFUNCTION("""COMPUTED_VALUE"""),60.4)</f>
        <v>60.4</v>
      </c>
      <c r="E2953" s="1">
        <f>IFERROR(__xludf.DUMMYFUNCTION("""COMPUTED_VALUE"""),61.25)</f>
        <v>61.25</v>
      </c>
      <c r="F2953" s="1">
        <f>IFERROR(__xludf.DUMMYFUNCTION("""COMPUTED_VALUE"""),9122422.0)</f>
        <v>9122422</v>
      </c>
    </row>
    <row r="2954">
      <c r="A2954" s="2">
        <f>IFERROR(__xludf.DUMMYFUNCTION("""COMPUTED_VALUE"""),40812.666666666664)</f>
        <v>40812.66667</v>
      </c>
      <c r="B2954" s="1">
        <f>IFERROR(__xludf.DUMMYFUNCTION("""COMPUTED_VALUE"""),61.67)</f>
        <v>61.67</v>
      </c>
      <c r="C2954" s="1">
        <f>IFERROR(__xludf.DUMMYFUNCTION("""COMPUTED_VALUE"""),62.79)</f>
        <v>62.79</v>
      </c>
      <c r="D2954" s="1">
        <f>IFERROR(__xludf.DUMMYFUNCTION("""COMPUTED_VALUE"""),61.63)</f>
        <v>61.63</v>
      </c>
      <c r="E2954" s="1">
        <f>IFERROR(__xludf.DUMMYFUNCTION("""COMPUTED_VALUE"""),62.54)</f>
        <v>62.54</v>
      </c>
      <c r="F2954" s="1">
        <f>IFERROR(__xludf.DUMMYFUNCTION("""COMPUTED_VALUE"""),1.3364042E7)</f>
        <v>13364042</v>
      </c>
    </row>
    <row r="2955">
      <c r="A2955" s="2">
        <f>IFERROR(__xludf.DUMMYFUNCTION("""COMPUTED_VALUE"""),40813.666666666664)</f>
        <v>40813.66667</v>
      </c>
      <c r="B2955" s="1">
        <f>IFERROR(__xludf.DUMMYFUNCTION("""COMPUTED_VALUE"""),63.08)</f>
        <v>63.08</v>
      </c>
      <c r="C2955" s="1">
        <f>IFERROR(__xludf.DUMMYFUNCTION("""COMPUTED_VALUE"""),63.98)</f>
        <v>63.98</v>
      </c>
      <c r="D2955" s="1">
        <f>IFERROR(__xludf.DUMMYFUNCTION("""COMPUTED_VALUE"""),62.76)</f>
        <v>62.76</v>
      </c>
      <c r="E2955" s="1">
        <f>IFERROR(__xludf.DUMMYFUNCTION("""COMPUTED_VALUE"""),63.26)</f>
        <v>63.26</v>
      </c>
      <c r="F2955" s="1">
        <f>IFERROR(__xludf.DUMMYFUNCTION("""COMPUTED_VALUE"""),1.0732339E7)</f>
        <v>10732339</v>
      </c>
    </row>
    <row r="2956">
      <c r="A2956" s="2">
        <f>IFERROR(__xludf.DUMMYFUNCTION("""COMPUTED_VALUE"""),40814.666666666664)</f>
        <v>40814.66667</v>
      </c>
      <c r="B2956" s="1">
        <f>IFERROR(__xludf.DUMMYFUNCTION("""COMPUTED_VALUE"""),63.36)</f>
        <v>63.36</v>
      </c>
      <c r="C2956" s="1">
        <f>IFERROR(__xludf.DUMMYFUNCTION("""COMPUTED_VALUE"""),63.88)</f>
        <v>63.88</v>
      </c>
      <c r="D2956" s="1">
        <f>IFERROR(__xludf.DUMMYFUNCTION("""COMPUTED_VALUE"""),62.57)</f>
        <v>62.57</v>
      </c>
      <c r="E2956" s="1">
        <f>IFERROR(__xludf.DUMMYFUNCTION("""COMPUTED_VALUE"""),62.73)</f>
        <v>62.73</v>
      </c>
      <c r="F2956" s="1">
        <f>IFERROR(__xludf.DUMMYFUNCTION("""COMPUTED_VALUE"""),9031727.0)</f>
        <v>9031727</v>
      </c>
    </row>
    <row r="2957">
      <c r="A2957" s="2">
        <f>IFERROR(__xludf.DUMMYFUNCTION("""COMPUTED_VALUE"""),40815.666666666664)</f>
        <v>40815.66667</v>
      </c>
      <c r="B2957" s="1">
        <f>IFERROR(__xludf.DUMMYFUNCTION("""COMPUTED_VALUE"""),63.54)</f>
        <v>63.54</v>
      </c>
      <c r="C2957" s="1">
        <f>IFERROR(__xludf.DUMMYFUNCTION("""COMPUTED_VALUE"""),64.05)</f>
        <v>64.05</v>
      </c>
      <c r="D2957" s="1">
        <f>IFERROR(__xludf.DUMMYFUNCTION("""COMPUTED_VALUE"""),62.99)</f>
        <v>62.99</v>
      </c>
      <c r="E2957" s="1">
        <f>IFERROR(__xludf.DUMMYFUNCTION("""COMPUTED_VALUE"""),63.7)</f>
        <v>63.7</v>
      </c>
      <c r="F2957" s="1">
        <f>IFERROR(__xludf.DUMMYFUNCTION("""COMPUTED_VALUE"""),9798536.0)</f>
        <v>9798536</v>
      </c>
    </row>
    <row r="2958">
      <c r="A2958" s="2">
        <f>IFERROR(__xludf.DUMMYFUNCTION("""COMPUTED_VALUE"""),40816.666666666664)</f>
        <v>40816.66667</v>
      </c>
      <c r="B2958" s="1">
        <f>IFERROR(__xludf.DUMMYFUNCTION("""COMPUTED_VALUE"""),63.4)</f>
        <v>63.4</v>
      </c>
      <c r="C2958" s="1">
        <f>IFERROR(__xludf.DUMMYFUNCTION("""COMPUTED_VALUE"""),64.4)</f>
        <v>64.4</v>
      </c>
      <c r="D2958" s="1">
        <f>IFERROR(__xludf.DUMMYFUNCTION("""COMPUTED_VALUE"""),63.17)</f>
        <v>63.17</v>
      </c>
      <c r="E2958" s="1">
        <f>IFERROR(__xludf.DUMMYFUNCTION("""COMPUTED_VALUE"""),63.18)</f>
        <v>63.18</v>
      </c>
      <c r="F2958" s="1">
        <f>IFERROR(__xludf.DUMMYFUNCTION("""COMPUTED_VALUE"""),1.1361835E7)</f>
        <v>11361835</v>
      </c>
    </row>
    <row r="2959">
      <c r="A2959" s="2">
        <f>IFERROR(__xludf.DUMMYFUNCTION("""COMPUTED_VALUE"""),40819.666666666664)</f>
        <v>40819.66667</v>
      </c>
      <c r="B2959" s="1">
        <f>IFERROR(__xludf.DUMMYFUNCTION("""COMPUTED_VALUE"""),63.69)</f>
        <v>63.69</v>
      </c>
      <c r="C2959" s="1">
        <f>IFERROR(__xludf.DUMMYFUNCTION("""COMPUTED_VALUE"""),64.22)</f>
        <v>64.22</v>
      </c>
      <c r="D2959" s="1">
        <f>IFERROR(__xludf.DUMMYFUNCTION("""COMPUTED_VALUE"""),62.75)</f>
        <v>62.75</v>
      </c>
      <c r="E2959" s="1">
        <f>IFERROR(__xludf.DUMMYFUNCTION("""COMPUTED_VALUE"""),62.84)</f>
        <v>62.84</v>
      </c>
      <c r="F2959" s="1">
        <f>IFERROR(__xludf.DUMMYFUNCTION("""COMPUTED_VALUE"""),1.2324744E7)</f>
        <v>12324744</v>
      </c>
    </row>
    <row r="2960">
      <c r="A2960" s="2">
        <f>IFERROR(__xludf.DUMMYFUNCTION("""COMPUTED_VALUE"""),40820.666666666664)</f>
        <v>40820.66667</v>
      </c>
      <c r="B2960" s="1">
        <f>IFERROR(__xludf.DUMMYFUNCTION("""COMPUTED_VALUE"""),62.3)</f>
        <v>62.3</v>
      </c>
      <c r="C2960" s="1">
        <f>IFERROR(__xludf.DUMMYFUNCTION("""COMPUTED_VALUE"""),63.49)</f>
        <v>63.49</v>
      </c>
      <c r="D2960" s="1">
        <f>IFERROR(__xludf.DUMMYFUNCTION("""COMPUTED_VALUE"""),61.78)</f>
        <v>61.78</v>
      </c>
      <c r="E2960" s="1">
        <f>IFERROR(__xludf.DUMMYFUNCTION("""COMPUTED_VALUE"""),63.37)</f>
        <v>63.37</v>
      </c>
      <c r="F2960" s="1">
        <f>IFERROR(__xludf.DUMMYFUNCTION("""COMPUTED_VALUE"""),1.2836356E7)</f>
        <v>12836356</v>
      </c>
    </row>
    <row r="2961">
      <c r="A2961" s="2">
        <f>IFERROR(__xludf.DUMMYFUNCTION("""COMPUTED_VALUE"""),40821.666666666664)</f>
        <v>40821.66667</v>
      </c>
      <c r="B2961" s="1">
        <f>IFERROR(__xludf.DUMMYFUNCTION("""COMPUTED_VALUE"""),63.25)</f>
        <v>63.25</v>
      </c>
      <c r="C2961" s="1">
        <f>IFERROR(__xludf.DUMMYFUNCTION("""COMPUTED_VALUE"""),63.64)</f>
        <v>63.64</v>
      </c>
      <c r="D2961" s="1">
        <f>IFERROR(__xludf.DUMMYFUNCTION("""COMPUTED_VALUE"""),62.79)</f>
        <v>62.79</v>
      </c>
      <c r="E2961" s="1">
        <f>IFERROR(__xludf.DUMMYFUNCTION("""COMPUTED_VALUE"""),63.34)</f>
        <v>63.34</v>
      </c>
      <c r="F2961" s="1">
        <f>IFERROR(__xludf.DUMMYFUNCTION("""COMPUTED_VALUE"""),1.2023579E7)</f>
        <v>12023579</v>
      </c>
    </row>
    <row r="2962">
      <c r="A2962" s="2">
        <f>IFERROR(__xludf.DUMMYFUNCTION("""COMPUTED_VALUE"""),40822.666666666664)</f>
        <v>40822.66667</v>
      </c>
      <c r="B2962" s="1">
        <f>IFERROR(__xludf.DUMMYFUNCTION("""COMPUTED_VALUE"""),63.06)</f>
        <v>63.06</v>
      </c>
      <c r="C2962" s="1">
        <f>IFERROR(__xludf.DUMMYFUNCTION("""COMPUTED_VALUE"""),63.66)</f>
        <v>63.66</v>
      </c>
      <c r="D2962" s="1">
        <f>IFERROR(__xludf.DUMMYFUNCTION("""COMPUTED_VALUE"""),62.63)</f>
        <v>62.63</v>
      </c>
      <c r="E2962" s="1">
        <f>IFERROR(__xludf.DUMMYFUNCTION("""COMPUTED_VALUE"""),63.61)</f>
        <v>63.61</v>
      </c>
      <c r="F2962" s="1">
        <f>IFERROR(__xludf.DUMMYFUNCTION("""COMPUTED_VALUE"""),8691515.0)</f>
        <v>8691515</v>
      </c>
    </row>
    <row r="2963">
      <c r="A2963" s="2">
        <f>IFERROR(__xludf.DUMMYFUNCTION("""COMPUTED_VALUE"""),40823.666666666664)</f>
        <v>40823.66667</v>
      </c>
      <c r="B2963" s="1">
        <f>IFERROR(__xludf.DUMMYFUNCTION("""COMPUTED_VALUE"""),63.97)</f>
        <v>63.97</v>
      </c>
      <c r="C2963" s="1">
        <f>IFERROR(__xludf.DUMMYFUNCTION("""COMPUTED_VALUE"""),64.4)</f>
        <v>64.4</v>
      </c>
      <c r="D2963" s="1">
        <f>IFERROR(__xludf.DUMMYFUNCTION("""COMPUTED_VALUE"""),63.65)</f>
        <v>63.65</v>
      </c>
      <c r="E2963" s="1">
        <f>IFERROR(__xludf.DUMMYFUNCTION("""COMPUTED_VALUE"""),63.91)</f>
        <v>63.91</v>
      </c>
      <c r="F2963" s="1">
        <f>IFERROR(__xludf.DUMMYFUNCTION("""COMPUTED_VALUE"""),8901909.0)</f>
        <v>8901909</v>
      </c>
    </row>
    <row r="2964">
      <c r="A2964" s="2">
        <f>IFERROR(__xludf.DUMMYFUNCTION("""COMPUTED_VALUE"""),40826.666666666664)</f>
        <v>40826.66667</v>
      </c>
      <c r="B2964" s="1">
        <f>IFERROR(__xludf.DUMMYFUNCTION("""COMPUTED_VALUE"""),64.37)</f>
        <v>64.37</v>
      </c>
      <c r="C2964" s="1">
        <f>IFERROR(__xludf.DUMMYFUNCTION("""COMPUTED_VALUE"""),64.82)</f>
        <v>64.82</v>
      </c>
      <c r="D2964" s="1">
        <f>IFERROR(__xludf.DUMMYFUNCTION("""COMPUTED_VALUE"""),64.13)</f>
        <v>64.13</v>
      </c>
      <c r="E2964" s="1">
        <f>IFERROR(__xludf.DUMMYFUNCTION("""COMPUTED_VALUE"""),64.8)</f>
        <v>64.8</v>
      </c>
      <c r="F2964" s="1">
        <f>IFERROR(__xludf.DUMMYFUNCTION("""COMPUTED_VALUE"""),6663535.0)</f>
        <v>6663535</v>
      </c>
    </row>
    <row r="2965">
      <c r="A2965" s="2">
        <f>IFERROR(__xludf.DUMMYFUNCTION("""COMPUTED_VALUE"""),40827.666666666664)</f>
        <v>40827.66667</v>
      </c>
      <c r="B2965" s="1">
        <f>IFERROR(__xludf.DUMMYFUNCTION("""COMPUTED_VALUE"""),64.24)</f>
        <v>64.24</v>
      </c>
      <c r="C2965" s="1">
        <f>IFERROR(__xludf.DUMMYFUNCTION("""COMPUTED_VALUE"""),64.83)</f>
        <v>64.83</v>
      </c>
      <c r="D2965" s="1">
        <f>IFERROR(__xludf.DUMMYFUNCTION("""COMPUTED_VALUE"""),64.24)</f>
        <v>64.24</v>
      </c>
      <c r="E2965" s="1">
        <f>IFERROR(__xludf.DUMMYFUNCTION("""COMPUTED_VALUE"""),64.57)</f>
        <v>64.57</v>
      </c>
      <c r="F2965" s="1">
        <f>IFERROR(__xludf.DUMMYFUNCTION("""COMPUTED_VALUE"""),5706027.0)</f>
        <v>5706027</v>
      </c>
    </row>
    <row r="2966">
      <c r="A2966" s="2">
        <f>IFERROR(__xludf.DUMMYFUNCTION("""COMPUTED_VALUE"""),40828.666666666664)</f>
        <v>40828.66667</v>
      </c>
      <c r="B2966" s="1">
        <f>IFERROR(__xludf.DUMMYFUNCTION("""COMPUTED_VALUE"""),64.72)</f>
        <v>64.72</v>
      </c>
      <c r="C2966" s="1">
        <f>IFERROR(__xludf.DUMMYFUNCTION("""COMPUTED_VALUE"""),65.34)</f>
        <v>65.34</v>
      </c>
      <c r="D2966" s="1">
        <f>IFERROR(__xludf.DUMMYFUNCTION("""COMPUTED_VALUE"""),64.54)</f>
        <v>64.54</v>
      </c>
      <c r="E2966" s="1">
        <f>IFERROR(__xludf.DUMMYFUNCTION("""COMPUTED_VALUE"""),64.89)</f>
        <v>64.89</v>
      </c>
      <c r="F2966" s="1">
        <f>IFERROR(__xludf.DUMMYFUNCTION("""COMPUTED_VALUE"""),1.0206142E7)</f>
        <v>10206142</v>
      </c>
    </row>
    <row r="2967">
      <c r="A2967" s="2">
        <f>IFERROR(__xludf.DUMMYFUNCTION("""COMPUTED_VALUE"""),40829.666666666664)</f>
        <v>40829.66667</v>
      </c>
      <c r="B2967" s="1">
        <f>IFERROR(__xludf.DUMMYFUNCTION("""COMPUTED_VALUE"""),64.51)</f>
        <v>64.51</v>
      </c>
      <c r="C2967" s="1">
        <f>IFERROR(__xludf.DUMMYFUNCTION("""COMPUTED_VALUE"""),64.8)</f>
        <v>64.8</v>
      </c>
      <c r="D2967" s="1">
        <f>IFERROR(__xludf.DUMMYFUNCTION("""COMPUTED_VALUE"""),63.97)</f>
        <v>63.97</v>
      </c>
      <c r="E2967" s="1">
        <f>IFERROR(__xludf.DUMMYFUNCTION("""COMPUTED_VALUE"""),64.65)</f>
        <v>64.65</v>
      </c>
      <c r="F2967" s="1">
        <f>IFERROR(__xludf.DUMMYFUNCTION("""COMPUTED_VALUE"""),7305202.0)</f>
        <v>7305202</v>
      </c>
    </row>
    <row r="2968">
      <c r="A2968" s="2">
        <f>IFERROR(__xludf.DUMMYFUNCTION("""COMPUTED_VALUE"""),40830.666666666664)</f>
        <v>40830.66667</v>
      </c>
      <c r="B2968" s="1">
        <f>IFERROR(__xludf.DUMMYFUNCTION("""COMPUTED_VALUE"""),65.0)</f>
        <v>65</v>
      </c>
      <c r="C2968" s="1">
        <f>IFERROR(__xludf.DUMMYFUNCTION("""COMPUTED_VALUE"""),65.17)</f>
        <v>65.17</v>
      </c>
      <c r="D2968" s="1">
        <f>IFERROR(__xludf.DUMMYFUNCTION("""COMPUTED_VALUE"""),64.37)</f>
        <v>64.37</v>
      </c>
      <c r="E2968" s="1">
        <f>IFERROR(__xludf.DUMMYFUNCTION("""COMPUTED_VALUE"""),64.89)</f>
        <v>64.89</v>
      </c>
      <c r="F2968" s="1">
        <f>IFERROR(__xludf.DUMMYFUNCTION("""COMPUTED_VALUE"""),7485449.0)</f>
        <v>7485449</v>
      </c>
    </row>
    <row r="2969">
      <c r="A2969" s="2">
        <f>IFERROR(__xludf.DUMMYFUNCTION("""COMPUTED_VALUE"""),40833.666666666664)</f>
        <v>40833.66667</v>
      </c>
      <c r="B2969" s="1">
        <f>IFERROR(__xludf.DUMMYFUNCTION("""COMPUTED_VALUE"""),64.84)</f>
        <v>64.84</v>
      </c>
      <c r="C2969" s="1">
        <f>IFERROR(__xludf.DUMMYFUNCTION("""COMPUTED_VALUE"""),65.45)</f>
        <v>65.45</v>
      </c>
      <c r="D2969" s="1">
        <f>IFERROR(__xludf.DUMMYFUNCTION("""COMPUTED_VALUE"""),64.06)</f>
        <v>64.06</v>
      </c>
      <c r="E2969" s="1">
        <f>IFERROR(__xludf.DUMMYFUNCTION("""COMPUTED_VALUE"""),64.26)</f>
        <v>64.26</v>
      </c>
      <c r="F2969" s="1">
        <f>IFERROR(__xludf.DUMMYFUNCTION("""COMPUTED_VALUE"""),7164974.0)</f>
        <v>7164974</v>
      </c>
    </row>
    <row r="2970">
      <c r="A2970" s="2">
        <f>IFERROR(__xludf.DUMMYFUNCTION("""COMPUTED_VALUE"""),40834.666666666664)</f>
        <v>40834.66667</v>
      </c>
      <c r="B2970" s="1">
        <f>IFERROR(__xludf.DUMMYFUNCTION("""COMPUTED_VALUE"""),64.16)</f>
        <v>64.16</v>
      </c>
      <c r="C2970" s="1">
        <f>IFERROR(__xludf.DUMMYFUNCTION("""COMPUTED_VALUE"""),65.59)</f>
        <v>65.59</v>
      </c>
      <c r="D2970" s="1">
        <f>IFERROR(__xludf.DUMMYFUNCTION("""COMPUTED_VALUE"""),64.1)</f>
        <v>64.1</v>
      </c>
      <c r="E2970" s="1">
        <f>IFERROR(__xludf.DUMMYFUNCTION("""COMPUTED_VALUE"""),64.92)</f>
        <v>64.92</v>
      </c>
      <c r="F2970" s="1">
        <f>IFERROR(__xludf.DUMMYFUNCTION("""COMPUTED_VALUE"""),1.1797802E7)</f>
        <v>11797802</v>
      </c>
    </row>
    <row r="2971">
      <c r="A2971" s="2">
        <f>IFERROR(__xludf.DUMMYFUNCTION("""COMPUTED_VALUE"""),40835.666666666664)</f>
        <v>40835.66667</v>
      </c>
      <c r="B2971" s="1">
        <f>IFERROR(__xludf.DUMMYFUNCTION("""COMPUTED_VALUE"""),64.33)</f>
        <v>64.33</v>
      </c>
      <c r="C2971" s="1">
        <f>IFERROR(__xludf.DUMMYFUNCTION("""COMPUTED_VALUE"""),65.32)</f>
        <v>65.32</v>
      </c>
      <c r="D2971" s="1">
        <f>IFERROR(__xludf.DUMMYFUNCTION("""COMPUTED_VALUE"""),64.28)</f>
        <v>64.28</v>
      </c>
      <c r="E2971" s="1">
        <f>IFERROR(__xludf.DUMMYFUNCTION("""COMPUTED_VALUE"""),64.75)</f>
        <v>64.75</v>
      </c>
      <c r="F2971" s="1">
        <f>IFERROR(__xludf.DUMMYFUNCTION("""COMPUTED_VALUE"""),9099034.0)</f>
        <v>9099034</v>
      </c>
    </row>
    <row r="2972">
      <c r="A2972" s="2">
        <f>IFERROR(__xludf.DUMMYFUNCTION("""COMPUTED_VALUE"""),40836.666666666664)</f>
        <v>40836.66667</v>
      </c>
      <c r="B2972" s="1">
        <f>IFERROR(__xludf.DUMMYFUNCTION("""COMPUTED_VALUE"""),64.9)</f>
        <v>64.9</v>
      </c>
      <c r="C2972" s="1">
        <f>IFERROR(__xludf.DUMMYFUNCTION("""COMPUTED_VALUE"""),65.28)</f>
        <v>65.28</v>
      </c>
      <c r="D2972" s="1">
        <f>IFERROR(__xludf.DUMMYFUNCTION("""COMPUTED_VALUE"""),64.47)</f>
        <v>64.47</v>
      </c>
      <c r="E2972" s="1">
        <f>IFERROR(__xludf.DUMMYFUNCTION("""COMPUTED_VALUE"""),65.09)</f>
        <v>65.09</v>
      </c>
      <c r="F2972" s="1">
        <f>IFERROR(__xludf.DUMMYFUNCTION("""COMPUTED_VALUE"""),7728412.0)</f>
        <v>7728412</v>
      </c>
    </row>
    <row r="2973">
      <c r="A2973" s="2">
        <f>IFERROR(__xludf.DUMMYFUNCTION("""COMPUTED_VALUE"""),40837.666666666664)</f>
        <v>40837.66667</v>
      </c>
      <c r="B2973" s="1">
        <f>IFERROR(__xludf.DUMMYFUNCTION("""COMPUTED_VALUE"""),65.61)</f>
        <v>65.61</v>
      </c>
      <c r="C2973" s="1">
        <f>IFERROR(__xludf.DUMMYFUNCTION("""COMPUTED_VALUE"""),66.3)</f>
        <v>66.3</v>
      </c>
      <c r="D2973" s="1">
        <f>IFERROR(__xludf.DUMMYFUNCTION("""COMPUTED_VALUE"""),65.47)</f>
        <v>65.47</v>
      </c>
      <c r="E2973" s="1">
        <f>IFERROR(__xludf.DUMMYFUNCTION("""COMPUTED_VALUE"""),66.26)</f>
        <v>66.26</v>
      </c>
      <c r="F2973" s="1">
        <f>IFERROR(__xludf.DUMMYFUNCTION("""COMPUTED_VALUE"""),1.3027281E7)</f>
        <v>13027281</v>
      </c>
    </row>
    <row r="2974">
      <c r="A2974" s="2">
        <f>IFERROR(__xludf.DUMMYFUNCTION("""COMPUTED_VALUE"""),40840.666666666664)</f>
        <v>40840.66667</v>
      </c>
      <c r="B2974" s="1">
        <f>IFERROR(__xludf.DUMMYFUNCTION("""COMPUTED_VALUE"""),65.75)</f>
        <v>65.75</v>
      </c>
      <c r="C2974" s="1">
        <f>IFERROR(__xludf.DUMMYFUNCTION("""COMPUTED_VALUE"""),65.89)</f>
        <v>65.89</v>
      </c>
      <c r="D2974" s="1">
        <f>IFERROR(__xludf.DUMMYFUNCTION("""COMPUTED_VALUE"""),65.01)</f>
        <v>65.01</v>
      </c>
      <c r="E2974" s="1">
        <f>IFERROR(__xludf.DUMMYFUNCTION("""COMPUTED_VALUE"""),65.37)</f>
        <v>65.37</v>
      </c>
      <c r="F2974" s="1">
        <f>IFERROR(__xludf.DUMMYFUNCTION("""COMPUTED_VALUE"""),9818910.0)</f>
        <v>9818910</v>
      </c>
    </row>
    <row r="2975">
      <c r="A2975" s="2">
        <f>IFERROR(__xludf.DUMMYFUNCTION("""COMPUTED_VALUE"""),40841.666666666664)</f>
        <v>40841.66667</v>
      </c>
      <c r="B2975" s="1">
        <f>IFERROR(__xludf.DUMMYFUNCTION("""COMPUTED_VALUE"""),65.09)</f>
        <v>65.09</v>
      </c>
      <c r="C2975" s="1">
        <f>IFERROR(__xludf.DUMMYFUNCTION("""COMPUTED_VALUE"""),65.37)</f>
        <v>65.37</v>
      </c>
      <c r="D2975" s="1">
        <f>IFERROR(__xludf.DUMMYFUNCTION("""COMPUTED_VALUE"""),64.37)</f>
        <v>64.37</v>
      </c>
      <c r="E2975" s="1">
        <f>IFERROR(__xludf.DUMMYFUNCTION("""COMPUTED_VALUE"""),64.51)</f>
        <v>64.51</v>
      </c>
      <c r="F2975" s="1">
        <f>IFERROR(__xludf.DUMMYFUNCTION("""COMPUTED_VALUE"""),8919118.0)</f>
        <v>8919118</v>
      </c>
    </row>
    <row r="2976">
      <c r="A2976" s="2">
        <f>IFERROR(__xludf.DUMMYFUNCTION("""COMPUTED_VALUE"""),40842.666666666664)</f>
        <v>40842.66667</v>
      </c>
      <c r="B2976" s="1">
        <f>IFERROR(__xludf.DUMMYFUNCTION("""COMPUTED_VALUE"""),64.9)</f>
        <v>64.9</v>
      </c>
      <c r="C2976" s="1">
        <f>IFERROR(__xludf.DUMMYFUNCTION("""COMPUTED_VALUE"""),65.01)</f>
        <v>65.01</v>
      </c>
      <c r="D2976" s="1">
        <f>IFERROR(__xludf.DUMMYFUNCTION("""COMPUTED_VALUE"""),64.18)</f>
        <v>64.18</v>
      </c>
      <c r="E2976" s="1">
        <f>IFERROR(__xludf.DUMMYFUNCTION("""COMPUTED_VALUE"""),64.95)</f>
        <v>64.95</v>
      </c>
      <c r="F2976" s="1">
        <f>IFERROR(__xludf.DUMMYFUNCTION("""COMPUTED_VALUE"""),9401207.0)</f>
        <v>9401207</v>
      </c>
    </row>
    <row r="2977">
      <c r="A2977" s="2">
        <f>IFERROR(__xludf.DUMMYFUNCTION("""COMPUTED_VALUE"""),40843.666666666664)</f>
        <v>40843.66667</v>
      </c>
      <c r="B2977" s="1">
        <f>IFERROR(__xludf.DUMMYFUNCTION("""COMPUTED_VALUE"""),65.37)</f>
        <v>65.37</v>
      </c>
      <c r="C2977" s="1">
        <f>IFERROR(__xludf.DUMMYFUNCTION("""COMPUTED_VALUE"""),65.67)</f>
        <v>65.67</v>
      </c>
      <c r="D2977" s="1">
        <f>IFERROR(__xludf.DUMMYFUNCTION("""COMPUTED_VALUE"""),64.31)</f>
        <v>64.31</v>
      </c>
      <c r="E2977" s="1">
        <f>IFERROR(__xludf.DUMMYFUNCTION("""COMPUTED_VALUE"""),65.12)</f>
        <v>65.12</v>
      </c>
      <c r="F2977" s="1">
        <f>IFERROR(__xludf.DUMMYFUNCTION("""COMPUTED_VALUE"""),1.6775287E7)</f>
        <v>16775287</v>
      </c>
    </row>
    <row r="2978">
      <c r="A2978" s="2">
        <f>IFERROR(__xludf.DUMMYFUNCTION("""COMPUTED_VALUE"""),40844.666666666664)</f>
        <v>40844.66667</v>
      </c>
      <c r="B2978" s="1">
        <f>IFERROR(__xludf.DUMMYFUNCTION("""COMPUTED_VALUE"""),64.83)</f>
        <v>64.83</v>
      </c>
      <c r="C2978" s="1">
        <f>IFERROR(__xludf.DUMMYFUNCTION("""COMPUTED_VALUE"""),65.03)</f>
        <v>65.03</v>
      </c>
      <c r="D2978" s="1">
        <f>IFERROR(__xludf.DUMMYFUNCTION("""COMPUTED_VALUE"""),64.32)</f>
        <v>64.32</v>
      </c>
      <c r="E2978" s="1">
        <f>IFERROR(__xludf.DUMMYFUNCTION("""COMPUTED_VALUE"""),64.73)</f>
        <v>64.73</v>
      </c>
      <c r="F2978" s="1">
        <f>IFERROR(__xludf.DUMMYFUNCTION("""COMPUTED_VALUE"""),1.0656169E7)</f>
        <v>10656169</v>
      </c>
    </row>
    <row r="2979">
      <c r="A2979" s="2">
        <f>IFERROR(__xludf.DUMMYFUNCTION("""COMPUTED_VALUE"""),40847.666666666664)</f>
        <v>40847.66667</v>
      </c>
      <c r="B2979" s="1">
        <f>IFERROR(__xludf.DUMMYFUNCTION("""COMPUTED_VALUE"""),64.55)</f>
        <v>64.55</v>
      </c>
      <c r="C2979" s="1">
        <f>IFERROR(__xludf.DUMMYFUNCTION("""COMPUTED_VALUE"""),64.83)</f>
        <v>64.83</v>
      </c>
      <c r="D2979" s="1">
        <f>IFERROR(__xludf.DUMMYFUNCTION("""COMPUTED_VALUE"""),63.94)</f>
        <v>63.94</v>
      </c>
      <c r="E2979" s="1">
        <f>IFERROR(__xludf.DUMMYFUNCTION("""COMPUTED_VALUE"""),63.99)</f>
        <v>63.99</v>
      </c>
      <c r="F2979" s="1">
        <f>IFERROR(__xludf.DUMMYFUNCTION("""COMPUTED_VALUE"""),9438746.0)</f>
        <v>9438746</v>
      </c>
    </row>
    <row r="2980">
      <c r="A2980" s="2">
        <f>IFERROR(__xludf.DUMMYFUNCTION("""COMPUTED_VALUE"""),40848.666666666664)</f>
        <v>40848.66667</v>
      </c>
      <c r="B2980" s="1">
        <f>IFERROR(__xludf.DUMMYFUNCTION("""COMPUTED_VALUE"""),63.37)</f>
        <v>63.37</v>
      </c>
      <c r="C2980" s="1">
        <f>IFERROR(__xludf.DUMMYFUNCTION("""COMPUTED_VALUE"""),63.6)</f>
        <v>63.6</v>
      </c>
      <c r="D2980" s="1">
        <f>IFERROR(__xludf.DUMMYFUNCTION("""COMPUTED_VALUE"""),62.51)</f>
        <v>62.51</v>
      </c>
      <c r="E2980" s="1">
        <f>IFERROR(__xludf.DUMMYFUNCTION("""COMPUTED_VALUE"""),62.71)</f>
        <v>62.71</v>
      </c>
      <c r="F2980" s="1">
        <f>IFERROR(__xludf.DUMMYFUNCTION("""COMPUTED_VALUE"""),1.3466969E7)</f>
        <v>13466969</v>
      </c>
    </row>
    <row r="2981">
      <c r="A2981" s="2">
        <f>IFERROR(__xludf.DUMMYFUNCTION("""COMPUTED_VALUE"""),40849.666666666664)</f>
        <v>40849.66667</v>
      </c>
      <c r="B2981" s="1">
        <f>IFERROR(__xludf.DUMMYFUNCTION("""COMPUTED_VALUE"""),63.4)</f>
        <v>63.4</v>
      </c>
      <c r="C2981" s="1">
        <f>IFERROR(__xludf.DUMMYFUNCTION("""COMPUTED_VALUE"""),63.55)</f>
        <v>63.55</v>
      </c>
      <c r="D2981" s="1">
        <f>IFERROR(__xludf.DUMMYFUNCTION("""COMPUTED_VALUE"""),62.4)</f>
        <v>62.4</v>
      </c>
      <c r="E2981" s="1">
        <f>IFERROR(__xludf.DUMMYFUNCTION("""COMPUTED_VALUE"""),62.86)</f>
        <v>62.86</v>
      </c>
      <c r="F2981" s="1">
        <f>IFERROR(__xludf.DUMMYFUNCTION("""COMPUTED_VALUE"""),8783453.0)</f>
        <v>8783453</v>
      </c>
    </row>
    <row r="2982">
      <c r="A2982" s="2">
        <f>IFERROR(__xludf.DUMMYFUNCTION("""COMPUTED_VALUE"""),40850.666666666664)</f>
        <v>40850.66667</v>
      </c>
      <c r="B2982" s="1">
        <f>IFERROR(__xludf.DUMMYFUNCTION("""COMPUTED_VALUE"""),63.31)</f>
        <v>63.31</v>
      </c>
      <c r="C2982" s="1">
        <f>IFERROR(__xludf.DUMMYFUNCTION("""COMPUTED_VALUE"""),63.52)</f>
        <v>63.52</v>
      </c>
      <c r="D2982" s="1">
        <f>IFERROR(__xludf.DUMMYFUNCTION("""COMPUTED_VALUE"""),62.89)</f>
        <v>62.89</v>
      </c>
      <c r="E2982" s="1">
        <f>IFERROR(__xludf.DUMMYFUNCTION("""COMPUTED_VALUE"""),63.21)</f>
        <v>63.21</v>
      </c>
      <c r="F2982" s="1">
        <f>IFERROR(__xludf.DUMMYFUNCTION("""COMPUTED_VALUE"""),8532594.0)</f>
        <v>8532594</v>
      </c>
    </row>
    <row r="2983">
      <c r="A2983" s="2">
        <f>IFERROR(__xludf.DUMMYFUNCTION("""COMPUTED_VALUE"""),40851.666666666664)</f>
        <v>40851.66667</v>
      </c>
      <c r="B2983" s="1">
        <f>IFERROR(__xludf.DUMMYFUNCTION("""COMPUTED_VALUE"""),62.89)</f>
        <v>62.89</v>
      </c>
      <c r="C2983" s="1">
        <f>IFERROR(__xludf.DUMMYFUNCTION("""COMPUTED_VALUE"""),63.19)</f>
        <v>63.19</v>
      </c>
      <c r="D2983" s="1">
        <f>IFERROR(__xludf.DUMMYFUNCTION("""COMPUTED_VALUE"""),62.37)</f>
        <v>62.37</v>
      </c>
      <c r="E2983" s="1">
        <f>IFERROR(__xludf.DUMMYFUNCTION("""COMPUTED_VALUE"""),63.03)</f>
        <v>63.03</v>
      </c>
      <c r="F2983" s="1">
        <f>IFERROR(__xludf.DUMMYFUNCTION("""COMPUTED_VALUE"""),7758823.0)</f>
        <v>7758823</v>
      </c>
    </row>
    <row r="2984">
      <c r="A2984" s="2">
        <f>IFERROR(__xludf.DUMMYFUNCTION("""COMPUTED_VALUE"""),40854.666666666664)</f>
        <v>40854.66667</v>
      </c>
      <c r="B2984" s="1">
        <f>IFERROR(__xludf.DUMMYFUNCTION("""COMPUTED_VALUE"""),63.03)</f>
        <v>63.03</v>
      </c>
      <c r="C2984" s="1">
        <f>IFERROR(__xludf.DUMMYFUNCTION("""COMPUTED_VALUE"""),63.57)</f>
        <v>63.57</v>
      </c>
      <c r="D2984" s="1">
        <f>IFERROR(__xludf.DUMMYFUNCTION("""COMPUTED_VALUE"""),62.69)</f>
        <v>62.69</v>
      </c>
      <c r="E2984" s="1">
        <f>IFERROR(__xludf.DUMMYFUNCTION("""COMPUTED_VALUE"""),63.46)</f>
        <v>63.46</v>
      </c>
      <c r="F2984" s="1">
        <f>IFERROR(__xludf.DUMMYFUNCTION("""COMPUTED_VALUE"""),6559425.0)</f>
        <v>6559425</v>
      </c>
    </row>
    <row r="2985">
      <c r="A2985" s="2">
        <f>IFERROR(__xludf.DUMMYFUNCTION("""COMPUTED_VALUE"""),40855.666666666664)</f>
        <v>40855.66667</v>
      </c>
      <c r="B2985" s="1">
        <f>IFERROR(__xludf.DUMMYFUNCTION("""COMPUTED_VALUE"""),63.48)</f>
        <v>63.48</v>
      </c>
      <c r="C2985" s="1">
        <f>IFERROR(__xludf.DUMMYFUNCTION("""COMPUTED_VALUE"""),64.34)</f>
        <v>64.34</v>
      </c>
      <c r="D2985" s="1">
        <f>IFERROR(__xludf.DUMMYFUNCTION("""COMPUTED_VALUE"""),63.48)</f>
        <v>63.48</v>
      </c>
      <c r="E2985" s="1">
        <f>IFERROR(__xludf.DUMMYFUNCTION("""COMPUTED_VALUE"""),64.21)</f>
        <v>64.21</v>
      </c>
      <c r="F2985" s="1">
        <f>IFERROR(__xludf.DUMMYFUNCTION("""COMPUTED_VALUE"""),7421920.0)</f>
        <v>7421920</v>
      </c>
    </row>
    <row r="2986">
      <c r="A2986" s="2">
        <f>IFERROR(__xludf.DUMMYFUNCTION("""COMPUTED_VALUE"""),40856.666666666664)</f>
        <v>40856.66667</v>
      </c>
      <c r="B2986" s="1">
        <f>IFERROR(__xludf.DUMMYFUNCTION("""COMPUTED_VALUE"""),63.8)</f>
        <v>63.8</v>
      </c>
      <c r="C2986" s="1">
        <f>IFERROR(__xludf.DUMMYFUNCTION("""COMPUTED_VALUE"""),63.83)</f>
        <v>63.83</v>
      </c>
      <c r="D2986" s="1">
        <f>IFERROR(__xludf.DUMMYFUNCTION("""COMPUTED_VALUE"""),62.56)</f>
        <v>62.56</v>
      </c>
      <c r="E2986" s="1">
        <f>IFERROR(__xludf.DUMMYFUNCTION("""COMPUTED_VALUE"""),62.72)</f>
        <v>62.72</v>
      </c>
      <c r="F2986" s="1">
        <f>IFERROR(__xludf.DUMMYFUNCTION("""COMPUTED_VALUE"""),9701216.0)</f>
        <v>9701216</v>
      </c>
    </row>
    <row r="2987">
      <c r="A2987" s="2">
        <f>IFERROR(__xludf.DUMMYFUNCTION("""COMPUTED_VALUE"""),40857.666666666664)</f>
        <v>40857.66667</v>
      </c>
      <c r="B2987" s="1">
        <f>IFERROR(__xludf.DUMMYFUNCTION("""COMPUTED_VALUE"""),63.51)</f>
        <v>63.51</v>
      </c>
      <c r="C2987" s="1">
        <f>IFERROR(__xludf.DUMMYFUNCTION("""COMPUTED_VALUE"""),63.65)</f>
        <v>63.65</v>
      </c>
      <c r="D2987" s="1">
        <f>IFERROR(__xludf.DUMMYFUNCTION("""COMPUTED_VALUE"""),62.8)</f>
        <v>62.8</v>
      </c>
      <c r="E2987" s="1">
        <f>IFERROR(__xludf.DUMMYFUNCTION("""COMPUTED_VALUE"""),63.24)</f>
        <v>63.24</v>
      </c>
      <c r="F2987" s="1">
        <f>IFERROR(__xludf.DUMMYFUNCTION("""COMPUTED_VALUE"""),6143605.0)</f>
        <v>6143605</v>
      </c>
    </row>
    <row r="2988">
      <c r="A2988" s="2">
        <f>IFERROR(__xludf.DUMMYFUNCTION("""COMPUTED_VALUE"""),40858.666666666664)</f>
        <v>40858.66667</v>
      </c>
      <c r="B2988" s="1">
        <f>IFERROR(__xludf.DUMMYFUNCTION("""COMPUTED_VALUE"""),63.75)</f>
        <v>63.75</v>
      </c>
      <c r="C2988" s="1">
        <f>IFERROR(__xludf.DUMMYFUNCTION("""COMPUTED_VALUE"""),64.14)</f>
        <v>64.14</v>
      </c>
      <c r="D2988" s="1">
        <f>IFERROR(__xludf.DUMMYFUNCTION("""COMPUTED_VALUE"""),63.58)</f>
        <v>63.58</v>
      </c>
      <c r="E2988" s="1">
        <f>IFERROR(__xludf.DUMMYFUNCTION("""COMPUTED_VALUE"""),63.89)</f>
        <v>63.89</v>
      </c>
      <c r="F2988" s="1">
        <f>IFERROR(__xludf.DUMMYFUNCTION("""COMPUTED_VALUE"""),5731120.0)</f>
        <v>5731120</v>
      </c>
    </row>
    <row r="2989">
      <c r="A2989" s="2">
        <f>IFERROR(__xludf.DUMMYFUNCTION("""COMPUTED_VALUE"""),40861.666666666664)</f>
        <v>40861.66667</v>
      </c>
      <c r="B2989" s="1">
        <f>IFERROR(__xludf.DUMMYFUNCTION("""COMPUTED_VALUE"""),63.44)</f>
        <v>63.44</v>
      </c>
      <c r="C2989" s="1">
        <f>IFERROR(__xludf.DUMMYFUNCTION("""COMPUTED_VALUE"""),63.54)</f>
        <v>63.54</v>
      </c>
      <c r="D2989" s="1">
        <f>IFERROR(__xludf.DUMMYFUNCTION("""COMPUTED_VALUE"""),62.93)</f>
        <v>62.93</v>
      </c>
      <c r="E2989" s="1">
        <f>IFERROR(__xludf.DUMMYFUNCTION("""COMPUTED_VALUE"""),63.05)</f>
        <v>63.05</v>
      </c>
      <c r="F2989" s="1">
        <f>IFERROR(__xludf.DUMMYFUNCTION("""COMPUTED_VALUE"""),6833206.0)</f>
        <v>6833206</v>
      </c>
    </row>
    <row r="2990">
      <c r="A2990" s="2">
        <f>IFERROR(__xludf.DUMMYFUNCTION("""COMPUTED_VALUE"""),40862.666666666664)</f>
        <v>40862.66667</v>
      </c>
      <c r="B2990" s="1">
        <f>IFERROR(__xludf.DUMMYFUNCTION("""COMPUTED_VALUE"""),63.38)</f>
        <v>63.38</v>
      </c>
      <c r="C2990" s="1">
        <f>IFERROR(__xludf.DUMMYFUNCTION("""COMPUTED_VALUE"""),63.9)</f>
        <v>63.9</v>
      </c>
      <c r="D2990" s="1">
        <f>IFERROR(__xludf.DUMMYFUNCTION("""COMPUTED_VALUE"""),63.1)</f>
        <v>63.1</v>
      </c>
      <c r="E2990" s="1">
        <f>IFERROR(__xludf.DUMMYFUNCTION("""COMPUTED_VALUE"""),63.56)</f>
        <v>63.56</v>
      </c>
      <c r="F2990" s="1">
        <f>IFERROR(__xludf.DUMMYFUNCTION("""COMPUTED_VALUE"""),7673750.0)</f>
        <v>7673750</v>
      </c>
    </row>
    <row r="2991">
      <c r="A2991" s="2">
        <f>IFERROR(__xludf.DUMMYFUNCTION("""COMPUTED_VALUE"""),40863.666666666664)</f>
        <v>40863.66667</v>
      </c>
      <c r="B2991" s="1">
        <f>IFERROR(__xludf.DUMMYFUNCTION("""COMPUTED_VALUE"""),63.11)</f>
        <v>63.11</v>
      </c>
      <c r="C2991" s="1">
        <f>IFERROR(__xludf.DUMMYFUNCTION("""COMPUTED_VALUE"""),63.89)</f>
        <v>63.89</v>
      </c>
      <c r="D2991" s="1">
        <f>IFERROR(__xludf.DUMMYFUNCTION("""COMPUTED_VALUE"""),63.02)</f>
        <v>63.02</v>
      </c>
      <c r="E2991" s="1">
        <f>IFERROR(__xludf.DUMMYFUNCTION("""COMPUTED_VALUE"""),63.28)</f>
        <v>63.28</v>
      </c>
      <c r="F2991" s="1">
        <f>IFERROR(__xludf.DUMMYFUNCTION("""COMPUTED_VALUE"""),9227944.0)</f>
        <v>9227944</v>
      </c>
    </row>
    <row r="2992">
      <c r="A2992" s="2">
        <f>IFERROR(__xludf.DUMMYFUNCTION("""COMPUTED_VALUE"""),40864.666666666664)</f>
        <v>40864.66667</v>
      </c>
      <c r="B2992" s="1">
        <f>IFERROR(__xludf.DUMMYFUNCTION("""COMPUTED_VALUE"""),63.15)</f>
        <v>63.15</v>
      </c>
      <c r="C2992" s="1">
        <f>IFERROR(__xludf.DUMMYFUNCTION("""COMPUTED_VALUE"""),63.65)</f>
        <v>63.65</v>
      </c>
      <c r="D2992" s="1">
        <f>IFERROR(__xludf.DUMMYFUNCTION("""COMPUTED_VALUE"""),62.54)</f>
        <v>62.54</v>
      </c>
      <c r="E2992" s="1">
        <f>IFERROR(__xludf.DUMMYFUNCTION("""COMPUTED_VALUE"""),62.94)</f>
        <v>62.94</v>
      </c>
      <c r="F2992" s="1">
        <f>IFERROR(__xludf.DUMMYFUNCTION("""COMPUTED_VALUE"""),8525484.0)</f>
        <v>8525484</v>
      </c>
    </row>
    <row r="2993">
      <c r="A2993" s="2">
        <f>IFERROR(__xludf.DUMMYFUNCTION("""COMPUTED_VALUE"""),40865.666666666664)</f>
        <v>40865.66667</v>
      </c>
      <c r="B2993" s="1">
        <f>IFERROR(__xludf.DUMMYFUNCTION("""COMPUTED_VALUE"""),63.11)</f>
        <v>63.11</v>
      </c>
      <c r="C2993" s="1">
        <f>IFERROR(__xludf.DUMMYFUNCTION("""COMPUTED_VALUE"""),63.5)</f>
        <v>63.5</v>
      </c>
      <c r="D2993" s="1">
        <f>IFERROR(__xludf.DUMMYFUNCTION("""COMPUTED_VALUE"""),63.06)</f>
        <v>63.06</v>
      </c>
      <c r="E2993" s="1">
        <f>IFERROR(__xludf.DUMMYFUNCTION("""COMPUTED_VALUE"""),63.24)</f>
        <v>63.24</v>
      </c>
      <c r="F2993" s="1">
        <f>IFERROR(__xludf.DUMMYFUNCTION("""COMPUTED_VALUE"""),7623903.0)</f>
        <v>7623903</v>
      </c>
    </row>
    <row r="2994">
      <c r="A2994" s="2">
        <f>IFERROR(__xludf.DUMMYFUNCTION("""COMPUTED_VALUE"""),40868.666666666664)</f>
        <v>40868.66667</v>
      </c>
      <c r="B2994" s="1">
        <f>IFERROR(__xludf.DUMMYFUNCTION("""COMPUTED_VALUE"""),62.54)</f>
        <v>62.54</v>
      </c>
      <c r="C2994" s="1">
        <f>IFERROR(__xludf.DUMMYFUNCTION("""COMPUTED_VALUE"""),62.97)</f>
        <v>62.97</v>
      </c>
      <c r="D2994" s="1">
        <f>IFERROR(__xludf.DUMMYFUNCTION("""COMPUTED_VALUE"""),61.45)</f>
        <v>61.45</v>
      </c>
      <c r="E2994" s="1">
        <f>IFERROR(__xludf.DUMMYFUNCTION("""COMPUTED_VALUE"""),61.66)</f>
        <v>61.66</v>
      </c>
      <c r="F2994" s="1">
        <f>IFERROR(__xludf.DUMMYFUNCTION("""COMPUTED_VALUE"""),1.3254343E7)</f>
        <v>13254343</v>
      </c>
    </row>
    <row r="2995">
      <c r="A2995" s="2">
        <f>IFERROR(__xludf.DUMMYFUNCTION("""COMPUTED_VALUE"""),40869.666666666664)</f>
        <v>40869.66667</v>
      </c>
      <c r="B2995" s="1">
        <f>IFERROR(__xludf.DUMMYFUNCTION("""COMPUTED_VALUE"""),61.52)</f>
        <v>61.52</v>
      </c>
      <c r="C2995" s="1">
        <f>IFERROR(__xludf.DUMMYFUNCTION("""COMPUTED_VALUE"""),62.25)</f>
        <v>62.25</v>
      </c>
      <c r="D2995" s="1">
        <f>IFERROR(__xludf.DUMMYFUNCTION("""COMPUTED_VALUE"""),61.49)</f>
        <v>61.49</v>
      </c>
      <c r="E2995" s="1">
        <f>IFERROR(__xludf.DUMMYFUNCTION("""COMPUTED_VALUE"""),61.69)</f>
        <v>61.69</v>
      </c>
      <c r="F2995" s="1">
        <f>IFERROR(__xludf.DUMMYFUNCTION("""COMPUTED_VALUE"""),8322932.0)</f>
        <v>8322932</v>
      </c>
    </row>
    <row r="2996">
      <c r="A2996" s="2">
        <f>IFERROR(__xludf.DUMMYFUNCTION("""COMPUTED_VALUE"""),40870.666666666664)</f>
        <v>40870.66667</v>
      </c>
      <c r="B2996" s="1">
        <f>IFERROR(__xludf.DUMMYFUNCTION("""COMPUTED_VALUE"""),61.31)</f>
        <v>61.31</v>
      </c>
      <c r="C2996" s="1">
        <f>IFERROR(__xludf.DUMMYFUNCTION("""COMPUTED_VALUE"""),61.51)</f>
        <v>61.51</v>
      </c>
      <c r="D2996" s="1">
        <f>IFERROR(__xludf.DUMMYFUNCTION("""COMPUTED_VALUE"""),61.0)</f>
        <v>61</v>
      </c>
      <c r="E2996" s="1">
        <f>IFERROR(__xludf.DUMMYFUNCTION("""COMPUTED_VALUE"""),61.06)</f>
        <v>61.06</v>
      </c>
      <c r="F2996" s="1">
        <f>IFERROR(__xludf.DUMMYFUNCTION("""COMPUTED_VALUE"""),7488632.0)</f>
        <v>7488632</v>
      </c>
    </row>
    <row r="2997">
      <c r="A2997" s="2">
        <f>IFERROR(__xludf.DUMMYFUNCTION("""COMPUTED_VALUE"""),40872.666666666664)</f>
        <v>40872.66667</v>
      </c>
      <c r="B2997" s="1">
        <f>IFERROR(__xludf.DUMMYFUNCTION("""COMPUTED_VALUE"""),61.2)</f>
        <v>61.2</v>
      </c>
      <c r="C2997" s="1">
        <f>IFERROR(__xludf.DUMMYFUNCTION("""COMPUTED_VALUE"""),61.79)</f>
        <v>61.79</v>
      </c>
      <c r="D2997" s="1">
        <f>IFERROR(__xludf.DUMMYFUNCTION("""COMPUTED_VALUE"""),61.0)</f>
        <v>61</v>
      </c>
      <c r="E2997" s="1">
        <f>IFERROR(__xludf.DUMMYFUNCTION("""COMPUTED_VALUE"""),61.0)</f>
        <v>61</v>
      </c>
      <c r="F2997" s="1">
        <f>IFERROR(__xludf.DUMMYFUNCTION("""COMPUTED_VALUE"""),4734771.0)</f>
        <v>4734771</v>
      </c>
    </row>
    <row r="2998">
      <c r="A2998" s="2">
        <f>IFERROR(__xludf.DUMMYFUNCTION("""COMPUTED_VALUE"""),40875.666666666664)</f>
        <v>40875.66667</v>
      </c>
      <c r="B2998" s="1">
        <f>IFERROR(__xludf.DUMMYFUNCTION("""COMPUTED_VALUE"""),61.65)</f>
        <v>61.65</v>
      </c>
      <c r="C2998" s="1">
        <f>IFERROR(__xludf.DUMMYFUNCTION("""COMPUTED_VALUE"""),62.46)</f>
        <v>62.46</v>
      </c>
      <c r="D2998" s="1">
        <f>IFERROR(__xludf.DUMMYFUNCTION("""COMPUTED_VALUE"""),61.57)</f>
        <v>61.57</v>
      </c>
      <c r="E2998" s="1">
        <f>IFERROR(__xludf.DUMMYFUNCTION("""COMPUTED_VALUE"""),62.24)</f>
        <v>62.24</v>
      </c>
      <c r="F2998" s="1">
        <f>IFERROR(__xludf.DUMMYFUNCTION("""COMPUTED_VALUE"""),7673132.0)</f>
        <v>7673132</v>
      </c>
    </row>
    <row r="2999">
      <c r="A2999" s="2">
        <f>IFERROR(__xludf.DUMMYFUNCTION("""COMPUTED_VALUE"""),40876.666666666664)</f>
        <v>40876.66667</v>
      </c>
      <c r="B2999" s="1">
        <f>IFERROR(__xludf.DUMMYFUNCTION("""COMPUTED_VALUE"""),62.48)</f>
        <v>62.48</v>
      </c>
      <c r="C2999" s="1">
        <f>IFERROR(__xludf.DUMMYFUNCTION("""COMPUTED_VALUE"""),62.95)</f>
        <v>62.95</v>
      </c>
      <c r="D2999" s="1">
        <f>IFERROR(__xludf.DUMMYFUNCTION("""COMPUTED_VALUE"""),62.36)</f>
        <v>62.36</v>
      </c>
      <c r="E2999" s="1">
        <f>IFERROR(__xludf.DUMMYFUNCTION("""COMPUTED_VALUE"""),62.53)</f>
        <v>62.53</v>
      </c>
      <c r="F2999" s="1">
        <f>IFERROR(__xludf.DUMMYFUNCTION("""COMPUTED_VALUE"""),6442669.0)</f>
        <v>6442669</v>
      </c>
    </row>
    <row r="3000">
      <c r="A3000" s="2">
        <f>IFERROR(__xludf.DUMMYFUNCTION("""COMPUTED_VALUE"""),40877.666666666664)</f>
        <v>40877.66667</v>
      </c>
      <c r="B3000" s="1">
        <f>IFERROR(__xludf.DUMMYFUNCTION("""COMPUTED_VALUE"""),63.23)</f>
        <v>63.23</v>
      </c>
      <c r="C3000" s="1">
        <f>IFERROR(__xludf.DUMMYFUNCTION("""COMPUTED_VALUE"""),64.59)</f>
        <v>64.59</v>
      </c>
      <c r="D3000" s="1">
        <f>IFERROR(__xludf.DUMMYFUNCTION("""COMPUTED_VALUE"""),63.19)</f>
        <v>63.19</v>
      </c>
      <c r="E3000" s="1">
        <f>IFERROR(__xludf.DUMMYFUNCTION("""COMPUTED_VALUE"""),64.57)</f>
        <v>64.57</v>
      </c>
      <c r="F3000" s="1">
        <f>IFERROR(__xludf.DUMMYFUNCTION("""COMPUTED_VALUE"""),1.5034612E7)</f>
        <v>15034612</v>
      </c>
    </row>
    <row r="3001">
      <c r="A3001" s="2">
        <f>IFERROR(__xludf.DUMMYFUNCTION("""COMPUTED_VALUE"""),40878.666666666664)</f>
        <v>40878.66667</v>
      </c>
      <c r="B3001" s="1">
        <f>IFERROR(__xludf.DUMMYFUNCTION("""COMPUTED_VALUE"""),64.58)</f>
        <v>64.58</v>
      </c>
      <c r="C3001" s="1">
        <f>IFERROR(__xludf.DUMMYFUNCTION("""COMPUTED_VALUE"""),64.79)</f>
        <v>64.79</v>
      </c>
      <c r="D3001" s="1">
        <f>IFERROR(__xludf.DUMMYFUNCTION("""COMPUTED_VALUE"""),63.87)</f>
        <v>63.87</v>
      </c>
      <c r="E3001" s="1">
        <f>IFERROR(__xludf.DUMMYFUNCTION("""COMPUTED_VALUE"""),64.08)</f>
        <v>64.08</v>
      </c>
      <c r="F3001" s="1">
        <f>IFERROR(__xludf.DUMMYFUNCTION("""COMPUTED_VALUE"""),9387937.0)</f>
        <v>9387937</v>
      </c>
    </row>
    <row r="3002">
      <c r="A3002" s="2">
        <f>IFERROR(__xludf.DUMMYFUNCTION("""COMPUTED_VALUE"""),40879.666666666664)</f>
        <v>40879.66667</v>
      </c>
      <c r="B3002" s="1">
        <f>IFERROR(__xludf.DUMMYFUNCTION("""COMPUTED_VALUE"""),64.68)</f>
        <v>64.68</v>
      </c>
      <c r="C3002" s="1">
        <f>IFERROR(__xludf.DUMMYFUNCTION("""COMPUTED_VALUE"""),64.86)</f>
        <v>64.86</v>
      </c>
      <c r="D3002" s="1">
        <f>IFERROR(__xludf.DUMMYFUNCTION("""COMPUTED_VALUE"""),64.27)</f>
        <v>64.27</v>
      </c>
      <c r="E3002" s="1">
        <f>IFERROR(__xludf.DUMMYFUNCTION("""COMPUTED_VALUE"""),64.66)</f>
        <v>64.66</v>
      </c>
      <c r="F3002" s="1">
        <f>IFERROR(__xludf.DUMMYFUNCTION("""COMPUTED_VALUE"""),9952538.0)</f>
        <v>9952538</v>
      </c>
    </row>
    <row r="3003">
      <c r="A3003" s="2">
        <f>IFERROR(__xludf.DUMMYFUNCTION("""COMPUTED_VALUE"""),40882.666666666664)</f>
        <v>40882.66667</v>
      </c>
      <c r="B3003" s="1">
        <f>IFERROR(__xludf.DUMMYFUNCTION("""COMPUTED_VALUE"""),64.89)</f>
        <v>64.89</v>
      </c>
      <c r="C3003" s="1">
        <f>IFERROR(__xludf.DUMMYFUNCTION("""COMPUTED_VALUE"""),64.94)</f>
        <v>64.94</v>
      </c>
      <c r="D3003" s="1">
        <f>IFERROR(__xludf.DUMMYFUNCTION("""COMPUTED_VALUE"""),64.45)</f>
        <v>64.45</v>
      </c>
      <c r="E3003" s="1">
        <f>IFERROR(__xludf.DUMMYFUNCTION("""COMPUTED_VALUE"""),64.84)</f>
        <v>64.84</v>
      </c>
      <c r="F3003" s="1">
        <f>IFERROR(__xludf.DUMMYFUNCTION("""COMPUTED_VALUE"""),9820197.0)</f>
        <v>9820197</v>
      </c>
    </row>
    <row r="3004">
      <c r="A3004" s="2">
        <f>IFERROR(__xludf.DUMMYFUNCTION("""COMPUTED_VALUE"""),40883.666666666664)</f>
        <v>40883.66667</v>
      </c>
      <c r="B3004" s="1">
        <f>IFERROR(__xludf.DUMMYFUNCTION("""COMPUTED_VALUE"""),64.65)</f>
        <v>64.65</v>
      </c>
      <c r="C3004" s="1">
        <f>IFERROR(__xludf.DUMMYFUNCTION("""COMPUTED_VALUE"""),65.0)</f>
        <v>65</v>
      </c>
      <c r="D3004" s="1">
        <f>IFERROR(__xludf.DUMMYFUNCTION("""COMPUTED_VALUE"""),64.49)</f>
        <v>64.49</v>
      </c>
      <c r="E3004" s="1">
        <f>IFERROR(__xludf.DUMMYFUNCTION("""COMPUTED_VALUE"""),64.84)</f>
        <v>64.84</v>
      </c>
      <c r="F3004" s="1">
        <f>IFERROR(__xludf.DUMMYFUNCTION("""COMPUTED_VALUE"""),8315439.0)</f>
        <v>8315439</v>
      </c>
    </row>
    <row r="3005">
      <c r="A3005" s="2">
        <f>IFERROR(__xludf.DUMMYFUNCTION("""COMPUTED_VALUE"""),40884.666666666664)</f>
        <v>40884.66667</v>
      </c>
      <c r="B3005" s="1">
        <f>IFERROR(__xludf.DUMMYFUNCTION("""COMPUTED_VALUE"""),64.79)</f>
        <v>64.79</v>
      </c>
      <c r="C3005" s="1">
        <f>IFERROR(__xludf.DUMMYFUNCTION("""COMPUTED_VALUE"""),65.5)</f>
        <v>65.5</v>
      </c>
      <c r="D3005" s="1">
        <f>IFERROR(__xludf.DUMMYFUNCTION("""COMPUTED_VALUE"""),64.65)</f>
        <v>64.65</v>
      </c>
      <c r="E3005" s="1">
        <f>IFERROR(__xludf.DUMMYFUNCTION("""COMPUTED_VALUE"""),65.23)</f>
        <v>65.23</v>
      </c>
      <c r="F3005" s="1">
        <f>IFERROR(__xludf.DUMMYFUNCTION("""COMPUTED_VALUE"""),1.1144635E7)</f>
        <v>11144635</v>
      </c>
    </row>
    <row r="3006">
      <c r="A3006" s="2">
        <f>IFERROR(__xludf.DUMMYFUNCTION("""COMPUTED_VALUE"""),40885.666666666664)</f>
        <v>40885.66667</v>
      </c>
      <c r="B3006" s="1">
        <f>IFERROR(__xludf.DUMMYFUNCTION("""COMPUTED_VALUE"""),64.87)</f>
        <v>64.87</v>
      </c>
      <c r="C3006" s="1">
        <f>IFERROR(__xludf.DUMMYFUNCTION("""COMPUTED_VALUE"""),65.0)</f>
        <v>65</v>
      </c>
      <c r="D3006" s="1">
        <f>IFERROR(__xludf.DUMMYFUNCTION("""COMPUTED_VALUE"""),64.3)</f>
        <v>64.3</v>
      </c>
      <c r="E3006" s="1">
        <f>IFERROR(__xludf.DUMMYFUNCTION("""COMPUTED_VALUE"""),64.47)</f>
        <v>64.47</v>
      </c>
      <c r="F3006" s="1">
        <f>IFERROR(__xludf.DUMMYFUNCTION("""COMPUTED_VALUE"""),8352542.0)</f>
        <v>8352542</v>
      </c>
    </row>
    <row r="3007">
      <c r="A3007" s="2">
        <f>IFERROR(__xludf.DUMMYFUNCTION("""COMPUTED_VALUE"""),40886.666666666664)</f>
        <v>40886.66667</v>
      </c>
      <c r="B3007" s="1">
        <f>IFERROR(__xludf.DUMMYFUNCTION("""COMPUTED_VALUE"""),64.66)</f>
        <v>64.66</v>
      </c>
      <c r="C3007" s="1">
        <f>IFERROR(__xludf.DUMMYFUNCTION("""COMPUTED_VALUE"""),65.17)</f>
        <v>65.17</v>
      </c>
      <c r="D3007" s="1">
        <f>IFERROR(__xludf.DUMMYFUNCTION("""COMPUTED_VALUE"""),64.6)</f>
        <v>64.6</v>
      </c>
      <c r="E3007" s="1">
        <f>IFERROR(__xludf.DUMMYFUNCTION("""COMPUTED_VALUE"""),64.97)</f>
        <v>64.97</v>
      </c>
      <c r="F3007" s="1">
        <f>IFERROR(__xludf.DUMMYFUNCTION("""COMPUTED_VALUE"""),7648019.0)</f>
        <v>7648019</v>
      </c>
    </row>
    <row r="3008">
      <c r="A3008" s="2">
        <f>IFERROR(__xludf.DUMMYFUNCTION("""COMPUTED_VALUE"""),40889.666666666664)</f>
        <v>40889.66667</v>
      </c>
      <c r="B3008" s="1">
        <f>IFERROR(__xludf.DUMMYFUNCTION("""COMPUTED_VALUE"""),64.58)</f>
        <v>64.58</v>
      </c>
      <c r="C3008" s="1">
        <f>IFERROR(__xludf.DUMMYFUNCTION("""COMPUTED_VALUE"""),64.92)</f>
        <v>64.92</v>
      </c>
      <c r="D3008" s="1">
        <f>IFERROR(__xludf.DUMMYFUNCTION("""COMPUTED_VALUE"""),63.94)</f>
        <v>63.94</v>
      </c>
      <c r="E3008" s="1">
        <f>IFERROR(__xludf.DUMMYFUNCTION("""COMPUTED_VALUE"""),64.31)</f>
        <v>64.31</v>
      </c>
      <c r="F3008" s="1">
        <f>IFERROR(__xludf.DUMMYFUNCTION("""COMPUTED_VALUE"""),8793406.0)</f>
        <v>8793406</v>
      </c>
    </row>
    <row r="3009">
      <c r="A3009" s="2">
        <f>IFERROR(__xludf.DUMMYFUNCTION("""COMPUTED_VALUE"""),40890.666666666664)</f>
        <v>40890.66667</v>
      </c>
      <c r="B3009" s="1">
        <f>IFERROR(__xludf.DUMMYFUNCTION("""COMPUTED_VALUE"""),64.54)</f>
        <v>64.54</v>
      </c>
      <c r="C3009" s="1">
        <f>IFERROR(__xludf.DUMMYFUNCTION("""COMPUTED_VALUE"""),65.33)</f>
        <v>65.33</v>
      </c>
      <c r="D3009" s="1">
        <f>IFERROR(__xludf.DUMMYFUNCTION("""COMPUTED_VALUE"""),64.4)</f>
        <v>64.4</v>
      </c>
      <c r="E3009" s="1">
        <f>IFERROR(__xludf.DUMMYFUNCTION("""COMPUTED_VALUE"""),64.73)</f>
        <v>64.73</v>
      </c>
      <c r="F3009" s="1">
        <f>IFERROR(__xludf.DUMMYFUNCTION("""COMPUTED_VALUE"""),1.1132264E7)</f>
        <v>11132264</v>
      </c>
    </row>
    <row r="3010">
      <c r="A3010" s="2">
        <f>IFERROR(__xludf.DUMMYFUNCTION("""COMPUTED_VALUE"""),40891.666666666664)</f>
        <v>40891.66667</v>
      </c>
      <c r="B3010" s="1">
        <f>IFERROR(__xludf.DUMMYFUNCTION("""COMPUTED_VALUE"""),64.47)</f>
        <v>64.47</v>
      </c>
      <c r="C3010" s="1">
        <f>IFERROR(__xludf.DUMMYFUNCTION("""COMPUTED_VALUE"""),64.95)</f>
        <v>64.95</v>
      </c>
      <c r="D3010" s="1">
        <f>IFERROR(__xludf.DUMMYFUNCTION("""COMPUTED_VALUE"""),64.32)</f>
        <v>64.32</v>
      </c>
      <c r="E3010" s="1">
        <f>IFERROR(__xludf.DUMMYFUNCTION("""COMPUTED_VALUE"""),64.45)</f>
        <v>64.45</v>
      </c>
      <c r="F3010" s="1">
        <f>IFERROR(__xludf.DUMMYFUNCTION("""COMPUTED_VALUE"""),1.0326705E7)</f>
        <v>10326705</v>
      </c>
    </row>
    <row r="3011">
      <c r="A3011" s="2">
        <f>IFERROR(__xludf.DUMMYFUNCTION("""COMPUTED_VALUE"""),40892.666666666664)</f>
        <v>40892.66667</v>
      </c>
      <c r="B3011" s="1">
        <f>IFERROR(__xludf.DUMMYFUNCTION("""COMPUTED_VALUE"""),64.83)</f>
        <v>64.83</v>
      </c>
      <c r="C3011" s="1">
        <f>IFERROR(__xludf.DUMMYFUNCTION("""COMPUTED_VALUE"""),65.21)</f>
        <v>65.21</v>
      </c>
      <c r="D3011" s="1">
        <f>IFERROR(__xludf.DUMMYFUNCTION("""COMPUTED_VALUE"""),64.65)</f>
        <v>64.65</v>
      </c>
      <c r="E3011" s="1">
        <f>IFERROR(__xludf.DUMMYFUNCTION("""COMPUTED_VALUE"""),64.99)</f>
        <v>64.99</v>
      </c>
      <c r="F3011" s="1">
        <f>IFERROR(__xludf.DUMMYFUNCTION("""COMPUTED_VALUE"""),9654733.0)</f>
        <v>9654733</v>
      </c>
    </row>
    <row r="3012">
      <c r="A3012" s="2">
        <f>IFERROR(__xludf.DUMMYFUNCTION("""COMPUTED_VALUE"""),40893.666666666664)</f>
        <v>40893.66667</v>
      </c>
      <c r="B3012" s="1">
        <f>IFERROR(__xludf.DUMMYFUNCTION("""COMPUTED_VALUE"""),65.43)</f>
        <v>65.43</v>
      </c>
      <c r="C3012" s="1">
        <f>IFERROR(__xludf.DUMMYFUNCTION("""COMPUTED_VALUE"""),65.63)</f>
        <v>65.63</v>
      </c>
      <c r="D3012" s="1">
        <f>IFERROR(__xludf.DUMMYFUNCTION("""COMPUTED_VALUE"""),64.82)</f>
        <v>64.82</v>
      </c>
      <c r="E3012" s="1">
        <f>IFERROR(__xludf.DUMMYFUNCTION("""COMPUTED_VALUE"""),65.14)</f>
        <v>65.14</v>
      </c>
      <c r="F3012" s="1">
        <f>IFERROR(__xludf.DUMMYFUNCTION("""COMPUTED_VALUE"""),1.829232E7)</f>
        <v>18292320</v>
      </c>
    </row>
    <row r="3013">
      <c r="A3013" s="2">
        <f>IFERROR(__xludf.DUMMYFUNCTION("""COMPUTED_VALUE"""),40896.666666666664)</f>
        <v>40896.66667</v>
      </c>
      <c r="B3013" s="1">
        <f>IFERROR(__xludf.DUMMYFUNCTION("""COMPUTED_VALUE"""),65.35)</f>
        <v>65.35</v>
      </c>
      <c r="C3013" s="1">
        <f>IFERROR(__xludf.DUMMYFUNCTION("""COMPUTED_VALUE"""),65.59)</f>
        <v>65.59</v>
      </c>
      <c r="D3013" s="1">
        <f>IFERROR(__xludf.DUMMYFUNCTION("""COMPUTED_VALUE"""),64.74)</f>
        <v>64.74</v>
      </c>
      <c r="E3013" s="1">
        <f>IFERROR(__xludf.DUMMYFUNCTION("""COMPUTED_VALUE"""),64.95)</f>
        <v>64.95</v>
      </c>
      <c r="F3013" s="1">
        <f>IFERROR(__xludf.DUMMYFUNCTION("""COMPUTED_VALUE"""),8172644.0)</f>
        <v>8172644</v>
      </c>
    </row>
    <row r="3014">
      <c r="A3014" s="2">
        <f>IFERROR(__xludf.DUMMYFUNCTION("""COMPUTED_VALUE"""),40897.666666666664)</f>
        <v>40897.66667</v>
      </c>
      <c r="B3014" s="1">
        <f>IFERROR(__xludf.DUMMYFUNCTION("""COMPUTED_VALUE"""),65.24)</f>
        <v>65.24</v>
      </c>
      <c r="C3014" s="1">
        <f>IFERROR(__xludf.DUMMYFUNCTION("""COMPUTED_VALUE"""),65.91)</f>
        <v>65.91</v>
      </c>
      <c r="D3014" s="1">
        <f>IFERROR(__xludf.DUMMYFUNCTION("""COMPUTED_VALUE"""),65.21)</f>
        <v>65.21</v>
      </c>
      <c r="E3014" s="1">
        <f>IFERROR(__xludf.DUMMYFUNCTION("""COMPUTED_VALUE"""),65.79)</f>
        <v>65.79</v>
      </c>
      <c r="F3014" s="1">
        <f>IFERROR(__xludf.DUMMYFUNCTION("""COMPUTED_VALUE"""),9797184.0)</f>
        <v>9797184</v>
      </c>
    </row>
    <row r="3015">
      <c r="A3015" s="2">
        <f>IFERROR(__xludf.DUMMYFUNCTION("""COMPUTED_VALUE"""),40898.666666666664)</f>
        <v>40898.66667</v>
      </c>
      <c r="B3015" s="1">
        <f>IFERROR(__xludf.DUMMYFUNCTION("""COMPUTED_VALUE"""),65.5)</f>
        <v>65.5</v>
      </c>
      <c r="C3015" s="1">
        <f>IFERROR(__xludf.DUMMYFUNCTION("""COMPUTED_VALUE"""),66.0)</f>
        <v>66</v>
      </c>
      <c r="D3015" s="1">
        <f>IFERROR(__xludf.DUMMYFUNCTION("""COMPUTED_VALUE"""),65.5)</f>
        <v>65.5</v>
      </c>
      <c r="E3015" s="1">
        <f>IFERROR(__xludf.DUMMYFUNCTION("""COMPUTED_VALUE"""),66.0)</f>
        <v>66</v>
      </c>
      <c r="F3015" s="1">
        <f>IFERROR(__xludf.DUMMYFUNCTION("""COMPUTED_VALUE"""),9479303.0)</f>
        <v>9479303</v>
      </c>
    </row>
    <row r="3016">
      <c r="A3016" s="2">
        <f>IFERROR(__xludf.DUMMYFUNCTION("""COMPUTED_VALUE"""),40899.666666666664)</f>
        <v>40899.66667</v>
      </c>
      <c r="B3016" s="1">
        <f>IFERROR(__xludf.DUMMYFUNCTION("""COMPUTED_VALUE"""),65.84)</f>
        <v>65.84</v>
      </c>
      <c r="C3016" s="1">
        <f>IFERROR(__xludf.DUMMYFUNCTION("""COMPUTED_VALUE"""),66.24)</f>
        <v>66.24</v>
      </c>
      <c r="D3016" s="1">
        <f>IFERROR(__xludf.DUMMYFUNCTION("""COMPUTED_VALUE"""),65.79)</f>
        <v>65.79</v>
      </c>
      <c r="E3016" s="1">
        <f>IFERROR(__xludf.DUMMYFUNCTION("""COMPUTED_VALUE"""),66.19)</f>
        <v>66.19</v>
      </c>
      <c r="F3016" s="1">
        <f>IFERROR(__xludf.DUMMYFUNCTION("""COMPUTED_VALUE"""),7666229.0)</f>
        <v>7666229</v>
      </c>
    </row>
    <row r="3017">
      <c r="A3017" s="2">
        <f>IFERROR(__xludf.DUMMYFUNCTION("""COMPUTED_VALUE"""),40900.666666666664)</f>
        <v>40900.66667</v>
      </c>
      <c r="B3017" s="1">
        <f>IFERROR(__xludf.DUMMYFUNCTION("""COMPUTED_VALUE"""),66.21)</f>
        <v>66.21</v>
      </c>
      <c r="C3017" s="1">
        <f>IFERROR(__xludf.DUMMYFUNCTION("""COMPUTED_VALUE"""),66.69)</f>
        <v>66.69</v>
      </c>
      <c r="D3017" s="1">
        <f>IFERROR(__xludf.DUMMYFUNCTION("""COMPUTED_VALUE"""),66.01)</f>
        <v>66.01</v>
      </c>
      <c r="E3017" s="1">
        <f>IFERROR(__xludf.DUMMYFUNCTION("""COMPUTED_VALUE"""),66.67)</f>
        <v>66.67</v>
      </c>
      <c r="F3017" s="1">
        <f>IFERROR(__xludf.DUMMYFUNCTION("""COMPUTED_VALUE"""),5209768.0)</f>
        <v>5209768</v>
      </c>
    </row>
    <row r="3018">
      <c r="A3018" s="2">
        <f>IFERROR(__xludf.DUMMYFUNCTION("""COMPUTED_VALUE"""),40904.666666666664)</f>
        <v>40904.66667</v>
      </c>
      <c r="B3018" s="1">
        <f>IFERROR(__xludf.DUMMYFUNCTION("""COMPUTED_VALUE"""),66.13)</f>
        <v>66.13</v>
      </c>
      <c r="C3018" s="1">
        <f>IFERROR(__xludf.DUMMYFUNCTION("""COMPUTED_VALUE"""),66.95)</f>
        <v>66.95</v>
      </c>
      <c r="D3018" s="1">
        <f>IFERROR(__xludf.DUMMYFUNCTION("""COMPUTED_VALUE"""),66.07)</f>
        <v>66.07</v>
      </c>
      <c r="E3018" s="1">
        <f>IFERROR(__xludf.DUMMYFUNCTION("""COMPUTED_VALUE"""),66.79)</f>
        <v>66.79</v>
      </c>
      <c r="F3018" s="1">
        <f>IFERROR(__xludf.DUMMYFUNCTION("""COMPUTED_VALUE"""),5604668.0)</f>
        <v>5604668</v>
      </c>
    </row>
    <row r="3019">
      <c r="A3019" s="2">
        <f>IFERROR(__xludf.DUMMYFUNCTION("""COMPUTED_VALUE"""),40905.666666666664)</f>
        <v>40905.66667</v>
      </c>
      <c r="B3019" s="1">
        <f>IFERROR(__xludf.DUMMYFUNCTION("""COMPUTED_VALUE"""),66.91)</f>
        <v>66.91</v>
      </c>
      <c r="C3019" s="1">
        <f>IFERROR(__xludf.DUMMYFUNCTION("""COMPUTED_VALUE"""),66.95)</f>
        <v>66.95</v>
      </c>
      <c r="D3019" s="1">
        <f>IFERROR(__xludf.DUMMYFUNCTION("""COMPUTED_VALUE"""),66.45)</f>
        <v>66.45</v>
      </c>
      <c r="E3019" s="1">
        <f>IFERROR(__xludf.DUMMYFUNCTION("""COMPUTED_VALUE"""),66.54)</f>
        <v>66.54</v>
      </c>
      <c r="F3019" s="1">
        <f>IFERROR(__xludf.DUMMYFUNCTION("""COMPUTED_VALUE"""),4152511.0)</f>
        <v>4152511</v>
      </c>
    </row>
    <row r="3020">
      <c r="A3020" s="2">
        <f>IFERROR(__xludf.DUMMYFUNCTION("""COMPUTED_VALUE"""),40906.666666666664)</f>
        <v>40906.66667</v>
      </c>
      <c r="B3020" s="1">
        <f>IFERROR(__xludf.DUMMYFUNCTION("""COMPUTED_VALUE"""),66.73)</f>
        <v>66.73</v>
      </c>
      <c r="C3020" s="1">
        <f>IFERROR(__xludf.DUMMYFUNCTION("""COMPUTED_VALUE"""),66.98)</f>
        <v>66.98</v>
      </c>
      <c r="D3020" s="1">
        <f>IFERROR(__xludf.DUMMYFUNCTION("""COMPUTED_VALUE"""),66.65)</f>
        <v>66.65</v>
      </c>
      <c r="E3020" s="1">
        <f>IFERROR(__xludf.DUMMYFUNCTION("""COMPUTED_VALUE"""),66.97)</f>
        <v>66.97</v>
      </c>
      <c r="F3020" s="1">
        <f>IFERROR(__xludf.DUMMYFUNCTION("""COMPUTED_VALUE"""),4425852.0)</f>
        <v>4425852</v>
      </c>
    </row>
    <row r="3021">
      <c r="A3021" s="2">
        <f>IFERROR(__xludf.DUMMYFUNCTION("""COMPUTED_VALUE"""),40907.666666666664)</f>
        <v>40907.66667</v>
      </c>
      <c r="B3021" s="1">
        <f>IFERROR(__xludf.DUMMYFUNCTION("""COMPUTED_VALUE"""),66.88)</f>
        <v>66.88</v>
      </c>
      <c r="C3021" s="1">
        <f>IFERROR(__xludf.DUMMYFUNCTION("""COMPUTED_VALUE"""),66.96)</f>
        <v>66.96</v>
      </c>
      <c r="D3021" s="1">
        <f>IFERROR(__xludf.DUMMYFUNCTION("""COMPUTED_VALUE"""),66.59)</f>
        <v>66.59</v>
      </c>
      <c r="E3021" s="1">
        <f>IFERROR(__xludf.DUMMYFUNCTION("""COMPUTED_VALUE"""),66.71)</f>
        <v>66.71</v>
      </c>
      <c r="F3021" s="1">
        <f>IFERROR(__xludf.DUMMYFUNCTION("""COMPUTED_VALUE"""),4062913.0)</f>
        <v>4062913</v>
      </c>
    </row>
    <row r="3022">
      <c r="A3022" s="2">
        <f>IFERROR(__xludf.DUMMYFUNCTION("""COMPUTED_VALUE"""),40911.666666666664)</f>
        <v>40911.66667</v>
      </c>
      <c r="B3022" s="1">
        <f>IFERROR(__xludf.DUMMYFUNCTION("""COMPUTED_VALUE"""),66.3)</f>
        <v>66.3</v>
      </c>
      <c r="C3022" s="1">
        <f>IFERROR(__xludf.DUMMYFUNCTION("""COMPUTED_VALUE"""),67.0)</f>
        <v>67</v>
      </c>
      <c r="D3022" s="1">
        <f>IFERROR(__xludf.DUMMYFUNCTION("""COMPUTED_VALUE"""),66.27)</f>
        <v>66.27</v>
      </c>
      <c r="E3022" s="1">
        <f>IFERROR(__xludf.DUMMYFUNCTION("""COMPUTED_VALUE"""),66.83)</f>
        <v>66.83</v>
      </c>
      <c r="F3022" s="1">
        <f>IFERROR(__xludf.DUMMYFUNCTION("""COMPUTED_VALUE"""),1.1565833E7)</f>
        <v>11565833</v>
      </c>
    </row>
    <row r="3023">
      <c r="A3023" s="2">
        <f>IFERROR(__xludf.DUMMYFUNCTION("""COMPUTED_VALUE"""),40912.666666666664)</f>
        <v>40912.66667</v>
      </c>
      <c r="B3023" s="1">
        <f>IFERROR(__xludf.DUMMYFUNCTION("""COMPUTED_VALUE"""),66.63)</f>
        <v>66.63</v>
      </c>
      <c r="C3023" s="1">
        <f>IFERROR(__xludf.DUMMYFUNCTION("""COMPUTED_VALUE"""),66.88)</f>
        <v>66.88</v>
      </c>
      <c r="D3023" s="1">
        <f>IFERROR(__xludf.DUMMYFUNCTION("""COMPUTED_VALUE"""),66.34)</f>
        <v>66.34</v>
      </c>
      <c r="E3023" s="1">
        <f>IFERROR(__xludf.DUMMYFUNCTION("""COMPUTED_VALUE"""),66.8)</f>
        <v>66.8</v>
      </c>
      <c r="F3023" s="1">
        <f>IFERROR(__xludf.DUMMYFUNCTION("""COMPUTED_VALUE"""),1.0595334E7)</f>
        <v>10595334</v>
      </c>
    </row>
    <row r="3024">
      <c r="A3024" s="2">
        <f>IFERROR(__xludf.DUMMYFUNCTION("""COMPUTED_VALUE"""),40913.666666666664)</f>
        <v>40913.66667</v>
      </c>
      <c r="B3024" s="1">
        <f>IFERROR(__xludf.DUMMYFUNCTION("""COMPUTED_VALUE"""),66.44)</f>
        <v>66.44</v>
      </c>
      <c r="C3024" s="1">
        <f>IFERROR(__xludf.DUMMYFUNCTION("""COMPUTED_VALUE"""),66.65)</f>
        <v>66.65</v>
      </c>
      <c r="D3024" s="1">
        <f>IFERROR(__xludf.DUMMYFUNCTION("""COMPUTED_VALUE"""),66.25)</f>
        <v>66.25</v>
      </c>
      <c r="E3024" s="1">
        <f>IFERROR(__xludf.DUMMYFUNCTION("""COMPUTED_VALUE"""),66.52)</f>
        <v>66.52</v>
      </c>
      <c r="F3024" s="1">
        <f>IFERROR(__xludf.DUMMYFUNCTION("""COMPUTED_VALUE"""),1.0085298E7)</f>
        <v>10085298</v>
      </c>
    </row>
    <row r="3025">
      <c r="A3025" s="2">
        <f>IFERROR(__xludf.DUMMYFUNCTION("""COMPUTED_VALUE"""),40914.666666666664)</f>
        <v>40914.66667</v>
      </c>
      <c r="B3025" s="1">
        <f>IFERROR(__xludf.DUMMYFUNCTION("""COMPUTED_VALUE"""),66.51)</f>
        <v>66.51</v>
      </c>
      <c r="C3025" s="1">
        <f>IFERROR(__xludf.DUMMYFUNCTION("""COMPUTED_VALUE"""),66.63)</f>
        <v>66.63</v>
      </c>
      <c r="D3025" s="1">
        <f>IFERROR(__xludf.DUMMYFUNCTION("""COMPUTED_VALUE"""),65.93)</f>
        <v>65.93</v>
      </c>
      <c r="E3025" s="1">
        <f>IFERROR(__xludf.DUMMYFUNCTION("""COMPUTED_VALUE"""),66.36)</f>
        <v>66.36</v>
      </c>
      <c r="F3025" s="1">
        <f>IFERROR(__xludf.DUMMYFUNCTION("""COMPUTED_VALUE"""),8421160.0)</f>
        <v>8421160</v>
      </c>
    </row>
    <row r="3026">
      <c r="A3026" s="2">
        <f>IFERROR(__xludf.DUMMYFUNCTION("""COMPUTED_VALUE"""),40917.666666666664)</f>
        <v>40917.66667</v>
      </c>
      <c r="B3026" s="1">
        <f>IFERROR(__xludf.DUMMYFUNCTION("""COMPUTED_VALUE"""),66.25)</f>
        <v>66.25</v>
      </c>
      <c r="C3026" s="1">
        <f>IFERROR(__xludf.DUMMYFUNCTION("""COMPUTED_VALUE"""),66.75)</f>
        <v>66.75</v>
      </c>
      <c r="D3026" s="1">
        <f>IFERROR(__xludf.DUMMYFUNCTION("""COMPUTED_VALUE"""),66.22)</f>
        <v>66.22</v>
      </c>
      <c r="E3026" s="1">
        <f>IFERROR(__xludf.DUMMYFUNCTION("""COMPUTED_VALUE"""),66.64)</f>
        <v>66.64</v>
      </c>
      <c r="F3026" s="1">
        <f>IFERROR(__xludf.DUMMYFUNCTION("""COMPUTED_VALUE"""),7836014.0)</f>
        <v>7836014</v>
      </c>
    </row>
    <row r="3027">
      <c r="A3027" s="2">
        <f>IFERROR(__xludf.DUMMYFUNCTION("""COMPUTED_VALUE"""),40918.666666666664)</f>
        <v>40918.66667</v>
      </c>
      <c r="B3027" s="1">
        <f>IFERROR(__xludf.DUMMYFUNCTION("""COMPUTED_VALUE"""),66.85)</f>
        <v>66.85</v>
      </c>
      <c r="C3027" s="1">
        <f>IFERROR(__xludf.DUMMYFUNCTION("""COMPUTED_VALUE"""),66.87)</f>
        <v>66.87</v>
      </c>
      <c r="D3027" s="1">
        <f>IFERROR(__xludf.DUMMYFUNCTION("""COMPUTED_VALUE"""),66.07)</f>
        <v>66.07</v>
      </c>
      <c r="E3027" s="1">
        <f>IFERROR(__xludf.DUMMYFUNCTION("""COMPUTED_VALUE"""),66.33)</f>
        <v>66.33</v>
      </c>
      <c r="F3027" s="1">
        <f>IFERROR(__xludf.DUMMYFUNCTION("""COMPUTED_VALUE"""),1.031905E7)</f>
        <v>10319050</v>
      </c>
    </row>
    <row r="3028">
      <c r="A3028" s="2">
        <f>IFERROR(__xludf.DUMMYFUNCTION("""COMPUTED_VALUE"""),40919.666666666664)</f>
        <v>40919.66667</v>
      </c>
      <c r="B3028" s="1">
        <f>IFERROR(__xludf.DUMMYFUNCTION("""COMPUTED_VALUE"""),66.1)</f>
        <v>66.1</v>
      </c>
      <c r="C3028" s="1">
        <f>IFERROR(__xludf.DUMMYFUNCTION("""COMPUTED_VALUE"""),66.31)</f>
        <v>66.31</v>
      </c>
      <c r="D3028" s="1">
        <f>IFERROR(__xludf.DUMMYFUNCTION("""COMPUTED_VALUE"""),65.47)</f>
        <v>65.47</v>
      </c>
      <c r="E3028" s="1">
        <f>IFERROR(__xludf.DUMMYFUNCTION("""COMPUTED_VALUE"""),65.68)</f>
        <v>65.68</v>
      </c>
      <c r="F3028" s="1">
        <f>IFERROR(__xludf.DUMMYFUNCTION("""COMPUTED_VALUE"""),1.4677173E7)</f>
        <v>14677173</v>
      </c>
    </row>
    <row r="3029">
      <c r="A3029" s="2">
        <f>IFERROR(__xludf.DUMMYFUNCTION("""COMPUTED_VALUE"""),40920.666666666664)</f>
        <v>40920.66667</v>
      </c>
      <c r="B3029" s="1">
        <f>IFERROR(__xludf.DUMMYFUNCTION("""COMPUTED_VALUE"""),66.0)</f>
        <v>66</v>
      </c>
      <c r="C3029" s="1">
        <f>IFERROR(__xludf.DUMMYFUNCTION("""COMPUTED_VALUE"""),66.0)</f>
        <v>66</v>
      </c>
      <c r="D3029" s="1">
        <f>IFERROR(__xludf.DUMMYFUNCTION("""COMPUTED_VALUE"""),65.56)</f>
        <v>65.56</v>
      </c>
      <c r="E3029" s="1">
        <f>IFERROR(__xludf.DUMMYFUNCTION("""COMPUTED_VALUE"""),65.81)</f>
        <v>65.81</v>
      </c>
      <c r="F3029" s="1">
        <f>IFERROR(__xludf.DUMMYFUNCTION("""COMPUTED_VALUE"""),2.9758318E7)</f>
        <v>29758318</v>
      </c>
    </row>
    <row r="3030">
      <c r="A3030" s="2">
        <f>IFERROR(__xludf.DUMMYFUNCTION("""COMPUTED_VALUE"""),40921.666666666664)</f>
        <v>40921.66667</v>
      </c>
      <c r="B3030" s="1">
        <f>IFERROR(__xludf.DUMMYFUNCTION("""COMPUTED_VALUE"""),65.56)</f>
        <v>65.56</v>
      </c>
      <c r="C3030" s="1">
        <f>IFERROR(__xludf.DUMMYFUNCTION("""COMPUTED_VALUE"""),65.83)</f>
        <v>65.83</v>
      </c>
      <c r="D3030" s="1">
        <f>IFERROR(__xludf.DUMMYFUNCTION("""COMPUTED_VALUE"""),65.37)</f>
        <v>65.37</v>
      </c>
      <c r="E3030" s="1">
        <f>IFERROR(__xludf.DUMMYFUNCTION("""COMPUTED_VALUE"""),65.81)</f>
        <v>65.81</v>
      </c>
      <c r="F3030" s="1">
        <f>IFERROR(__xludf.DUMMYFUNCTION("""COMPUTED_VALUE"""),3.3539346E7)</f>
        <v>33539346</v>
      </c>
    </row>
    <row r="3031">
      <c r="A3031" s="2">
        <f>IFERROR(__xludf.DUMMYFUNCTION("""COMPUTED_VALUE"""),40925.666666666664)</f>
        <v>40925.66667</v>
      </c>
      <c r="B3031" s="1">
        <f>IFERROR(__xludf.DUMMYFUNCTION("""COMPUTED_VALUE"""),65.96)</f>
        <v>65.96</v>
      </c>
      <c r="C3031" s="1">
        <f>IFERROR(__xludf.DUMMYFUNCTION("""COMPUTED_VALUE"""),66.51)</f>
        <v>66.51</v>
      </c>
      <c r="D3031" s="1">
        <f>IFERROR(__xludf.DUMMYFUNCTION("""COMPUTED_VALUE"""),65.95)</f>
        <v>65.95</v>
      </c>
      <c r="E3031" s="1">
        <f>IFERROR(__xludf.DUMMYFUNCTION("""COMPUTED_VALUE"""),66.26)</f>
        <v>66.26</v>
      </c>
      <c r="F3031" s="1">
        <f>IFERROR(__xludf.DUMMYFUNCTION("""COMPUTED_VALUE"""),3.5728776E7)</f>
        <v>35728776</v>
      </c>
    </row>
    <row r="3032">
      <c r="A3032" s="2">
        <f>IFERROR(__xludf.DUMMYFUNCTION("""COMPUTED_VALUE"""),40926.666666666664)</f>
        <v>40926.66667</v>
      </c>
      <c r="B3032" s="1">
        <f>IFERROR(__xludf.DUMMYFUNCTION("""COMPUTED_VALUE"""),65.9)</f>
        <v>65.9</v>
      </c>
      <c r="C3032" s="1">
        <f>IFERROR(__xludf.DUMMYFUNCTION("""COMPUTED_VALUE"""),66.13)</f>
        <v>66.13</v>
      </c>
      <c r="D3032" s="1">
        <f>IFERROR(__xludf.DUMMYFUNCTION("""COMPUTED_VALUE"""),65.82)</f>
        <v>65.82</v>
      </c>
      <c r="E3032" s="1">
        <f>IFERROR(__xludf.DUMMYFUNCTION("""COMPUTED_VALUE"""),66.03)</f>
        <v>66.03</v>
      </c>
      <c r="F3032" s="1">
        <f>IFERROR(__xludf.DUMMYFUNCTION("""COMPUTED_VALUE"""),1.0386824E7)</f>
        <v>10386824</v>
      </c>
    </row>
    <row r="3033">
      <c r="A3033" s="2">
        <f>IFERROR(__xludf.DUMMYFUNCTION("""COMPUTED_VALUE"""),40927.666666666664)</f>
        <v>40927.66667</v>
      </c>
      <c r="B3033" s="1">
        <f>IFERROR(__xludf.DUMMYFUNCTION("""COMPUTED_VALUE"""),65.96)</f>
        <v>65.96</v>
      </c>
      <c r="C3033" s="1">
        <f>IFERROR(__xludf.DUMMYFUNCTION("""COMPUTED_VALUE"""),66.25)</f>
        <v>66.25</v>
      </c>
      <c r="D3033" s="1">
        <f>IFERROR(__xludf.DUMMYFUNCTION("""COMPUTED_VALUE"""),65.42)</f>
        <v>65.42</v>
      </c>
      <c r="E3033" s="1">
        <f>IFERROR(__xludf.DUMMYFUNCTION("""COMPUTED_VALUE"""),66.08)</f>
        <v>66.08</v>
      </c>
      <c r="F3033" s="1">
        <f>IFERROR(__xludf.DUMMYFUNCTION("""COMPUTED_VALUE"""),9346546.0)</f>
        <v>9346546</v>
      </c>
    </row>
    <row r="3034">
      <c r="A3034" s="2">
        <f>IFERROR(__xludf.DUMMYFUNCTION("""COMPUTED_VALUE"""),40928.666666666664)</f>
        <v>40928.66667</v>
      </c>
      <c r="B3034" s="1">
        <f>IFERROR(__xludf.DUMMYFUNCTION("""COMPUTED_VALUE"""),65.63)</f>
        <v>65.63</v>
      </c>
      <c r="C3034" s="1">
        <f>IFERROR(__xludf.DUMMYFUNCTION("""COMPUTED_VALUE"""),66.25)</f>
        <v>66.25</v>
      </c>
      <c r="D3034" s="1">
        <f>IFERROR(__xludf.DUMMYFUNCTION("""COMPUTED_VALUE"""),65.45)</f>
        <v>65.45</v>
      </c>
      <c r="E3034" s="1">
        <f>IFERROR(__xludf.DUMMYFUNCTION("""COMPUTED_VALUE"""),66.23)</f>
        <v>66.23</v>
      </c>
      <c r="F3034" s="1">
        <f>IFERROR(__xludf.DUMMYFUNCTION("""COMPUTED_VALUE"""),1.2190018E7)</f>
        <v>12190018</v>
      </c>
    </row>
    <row r="3035">
      <c r="A3035" s="2">
        <f>IFERROR(__xludf.DUMMYFUNCTION("""COMPUTED_VALUE"""),40931.666666666664)</f>
        <v>40931.66667</v>
      </c>
      <c r="B3035" s="1">
        <f>IFERROR(__xludf.DUMMYFUNCTION("""COMPUTED_VALUE"""),65.91)</f>
        <v>65.91</v>
      </c>
      <c r="C3035" s="1">
        <f>IFERROR(__xludf.DUMMYFUNCTION("""COMPUTED_VALUE"""),65.94)</f>
        <v>65.94</v>
      </c>
      <c r="D3035" s="1">
        <f>IFERROR(__xludf.DUMMYFUNCTION("""COMPUTED_VALUE"""),64.78)</f>
        <v>64.78</v>
      </c>
      <c r="E3035" s="1">
        <f>IFERROR(__xludf.DUMMYFUNCTION("""COMPUTED_VALUE"""),65.0)</f>
        <v>65</v>
      </c>
      <c r="F3035" s="1">
        <f>IFERROR(__xludf.DUMMYFUNCTION("""COMPUTED_VALUE"""),1.48283E7)</f>
        <v>14828300</v>
      </c>
    </row>
    <row r="3036">
      <c r="A3036" s="2">
        <f>IFERROR(__xludf.DUMMYFUNCTION("""COMPUTED_VALUE"""),40932.666666666664)</f>
        <v>40932.66667</v>
      </c>
      <c r="B3036" s="1">
        <f>IFERROR(__xludf.DUMMYFUNCTION("""COMPUTED_VALUE"""),64.64)</f>
        <v>64.64</v>
      </c>
      <c r="C3036" s="1">
        <f>IFERROR(__xludf.DUMMYFUNCTION("""COMPUTED_VALUE"""),64.75)</f>
        <v>64.75</v>
      </c>
      <c r="D3036" s="1">
        <f>IFERROR(__xludf.DUMMYFUNCTION("""COMPUTED_VALUE"""),64.04)</f>
        <v>64.04</v>
      </c>
      <c r="E3036" s="1">
        <f>IFERROR(__xludf.DUMMYFUNCTION("""COMPUTED_VALUE"""),64.5)</f>
        <v>64.5</v>
      </c>
      <c r="F3036" s="1">
        <f>IFERROR(__xludf.DUMMYFUNCTION("""COMPUTED_VALUE"""),9743773.0)</f>
        <v>9743773</v>
      </c>
    </row>
    <row r="3037">
      <c r="A3037" s="2">
        <f>IFERROR(__xludf.DUMMYFUNCTION("""COMPUTED_VALUE"""),40933.666666666664)</f>
        <v>40933.66667</v>
      </c>
      <c r="B3037" s="1">
        <f>IFERROR(__xludf.DUMMYFUNCTION("""COMPUTED_VALUE"""),64.38)</f>
        <v>64.38</v>
      </c>
      <c r="C3037" s="1">
        <f>IFERROR(__xludf.DUMMYFUNCTION("""COMPUTED_VALUE"""),65.15)</f>
        <v>65.15</v>
      </c>
      <c r="D3037" s="1">
        <f>IFERROR(__xludf.DUMMYFUNCTION("""COMPUTED_VALUE"""),64.18)</f>
        <v>64.18</v>
      </c>
      <c r="E3037" s="1">
        <f>IFERROR(__xludf.DUMMYFUNCTION("""COMPUTED_VALUE"""),64.98)</f>
        <v>64.98</v>
      </c>
      <c r="F3037" s="1">
        <f>IFERROR(__xludf.DUMMYFUNCTION("""COMPUTED_VALUE"""),1.0913092E7)</f>
        <v>10913092</v>
      </c>
    </row>
    <row r="3038">
      <c r="A3038" s="2">
        <f>IFERROR(__xludf.DUMMYFUNCTION("""COMPUTED_VALUE"""),40934.666666666664)</f>
        <v>40934.66667</v>
      </c>
      <c r="B3038" s="1">
        <f>IFERROR(__xludf.DUMMYFUNCTION("""COMPUTED_VALUE"""),65.1)</f>
        <v>65.1</v>
      </c>
      <c r="C3038" s="1">
        <f>IFERROR(__xludf.DUMMYFUNCTION("""COMPUTED_VALUE"""),65.38)</f>
        <v>65.38</v>
      </c>
      <c r="D3038" s="1">
        <f>IFERROR(__xludf.DUMMYFUNCTION("""COMPUTED_VALUE"""),64.73)</f>
        <v>64.73</v>
      </c>
      <c r="E3038" s="1">
        <f>IFERROR(__xludf.DUMMYFUNCTION("""COMPUTED_VALUE"""),64.8)</f>
        <v>64.8</v>
      </c>
      <c r="F3038" s="1">
        <f>IFERROR(__xludf.DUMMYFUNCTION("""COMPUTED_VALUE"""),1.193252E7)</f>
        <v>11932520</v>
      </c>
    </row>
    <row r="3039">
      <c r="A3039" s="2">
        <f>IFERROR(__xludf.DUMMYFUNCTION("""COMPUTED_VALUE"""),40935.666666666664)</f>
        <v>40935.66667</v>
      </c>
      <c r="B3039" s="1">
        <f>IFERROR(__xludf.DUMMYFUNCTION("""COMPUTED_VALUE"""),64.31)</f>
        <v>64.31</v>
      </c>
      <c r="C3039" s="1">
        <f>IFERROR(__xludf.DUMMYFUNCTION("""COMPUTED_VALUE"""),64.97)</f>
        <v>64.97</v>
      </c>
      <c r="D3039" s="1">
        <f>IFERROR(__xludf.DUMMYFUNCTION("""COMPUTED_VALUE"""),63.66)</f>
        <v>63.66</v>
      </c>
      <c r="E3039" s="1">
        <f>IFERROR(__xludf.DUMMYFUNCTION("""COMPUTED_VALUE"""),64.3)</f>
        <v>64.3</v>
      </c>
      <c r="F3039" s="1">
        <f>IFERROR(__xludf.DUMMYFUNCTION("""COMPUTED_VALUE"""),1.0980071E7)</f>
        <v>10980071</v>
      </c>
    </row>
    <row r="3040">
      <c r="A3040" s="2">
        <f>IFERROR(__xludf.DUMMYFUNCTION("""COMPUTED_VALUE"""),40938.666666666664)</f>
        <v>40938.66667</v>
      </c>
      <c r="B3040" s="1">
        <f>IFERROR(__xludf.DUMMYFUNCTION("""COMPUTED_VALUE"""),63.8)</f>
        <v>63.8</v>
      </c>
      <c r="C3040" s="1">
        <f>IFERROR(__xludf.DUMMYFUNCTION("""COMPUTED_VALUE"""),63.8)</f>
        <v>63.8</v>
      </c>
      <c r="D3040" s="1">
        <f>IFERROR(__xludf.DUMMYFUNCTION("""COMPUTED_VALUE"""),63.03)</f>
        <v>63.03</v>
      </c>
      <c r="E3040" s="1">
        <f>IFERROR(__xludf.DUMMYFUNCTION("""COMPUTED_VALUE"""),63.21)</f>
        <v>63.21</v>
      </c>
      <c r="F3040" s="1">
        <f>IFERROR(__xludf.DUMMYFUNCTION("""COMPUTED_VALUE"""),1.2492244E7)</f>
        <v>12492244</v>
      </c>
    </row>
    <row r="3041">
      <c r="A3041" s="2">
        <f>IFERROR(__xludf.DUMMYFUNCTION("""COMPUTED_VALUE"""),40939.666666666664)</f>
        <v>40939.66667</v>
      </c>
      <c r="B3041" s="1">
        <f>IFERROR(__xludf.DUMMYFUNCTION("""COMPUTED_VALUE"""),63.42)</f>
        <v>63.42</v>
      </c>
      <c r="C3041" s="1">
        <f>IFERROR(__xludf.DUMMYFUNCTION("""COMPUTED_VALUE"""),63.55)</f>
        <v>63.55</v>
      </c>
      <c r="D3041" s="1">
        <f>IFERROR(__xludf.DUMMYFUNCTION("""COMPUTED_VALUE"""),62.7)</f>
        <v>62.7</v>
      </c>
      <c r="E3041" s="1">
        <f>IFERROR(__xludf.DUMMYFUNCTION("""COMPUTED_VALUE"""),63.04)</f>
        <v>63.04</v>
      </c>
      <c r="F3041" s="1">
        <f>IFERROR(__xludf.DUMMYFUNCTION("""COMPUTED_VALUE"""),1.1360303E7)</f>
        <v>11360303</v>
      </c>
    </row>
    <row r="3042">
      <c r="A3042" s="2">
        <f>IFERROR(__xludf.DUMMYFUNCTION("""COMPUTED_VALUE"""),40940.666666666664)</f>
        <v>40940.66667</v>
      </c>
      <c r="B3042" s="1">
        <f>IFERROR(__xludf.DUMMYFUNCTION("""COMPUTED_VALUE"""),63.42)</f>
        <v>63.42</v>
      </c>
      <c r="C3042" s="1">
        <f>IFERROR(__xludf.DUMMYFUNCTION("""COMPUTED_VALUE"""),63.7)</f>
        <v>63.7</v>
      </c>
      <c r="D3042" s="1">
        <f>IFERROR(__xludf.DUMMYFUNCTION("""COMPUTED_VALUE"""),63.19)</f>
        <v>63.19</v>
      </c>
      <c r="E3042" s="1">
        <f>IFERROR(__xludf.DUMMYFUNCTION("""COMPUTED_VALUE"""),63.21)</f>
        <v>63.21</v>
      </c>
      <c r="F3042" s="1">
        <f>IFERROR(__xludf.DUMMYFUNCTION("""COMPUTED_VALUE"""),1.2903641E7)</f>
        <v>12903641</v>
      </c>
    </row>
    <row r="3043">
      <c r="A3043" s="2">
        <f>IFERROR(__xludf.DUMMYFUNCTION("""COMPUTED_VALUE"""),40941.666666666664)</f>
        <v>40941.66667</v>
      </c>
      <c r="B3043" s="1">
        <f>IFERROR(__xludf.DUMMYFUNCTION("""COMPUTED_VALUE"""),63.35)</f>
        <v>63.35</v>
      </c>
      <c r="C3043" s="1">
        <f>IFERROR(__xludf.DUMMYFUNCTION("""COMPUTED_VALUE"""),63.63)</f>
        <v>63.63</v>
      </c>
      <c r="D3043" s="1">
        <f>IFERROR(__xludf.DUMMYFUNCTION("""COMPUTED_VALUE"""),63.25)</f>
        <v>63.25</v>
      </c>
      <c r="E3043" s="1">
        <f>IFERROR(__xludf.DUMMYFUNCTION("""COMPUTED_VALUE"""),63.32)</f>
        <v>63.32</v>
      </c>
      <c r="F3043" s="1">
        <f>IFERROR(__xludf.DUMMYFUNCTION("""COMPUTED_VALUE"""),1.2613189E7)</f>
        <v>12613189</v>
      </c>
    </row>
    <row r="3044">
      <c r="A3044" s="2">
        <f>IFERROR(__xludf.DUMMYFUNCTION("""COMPUTED_VALUE"""),40942.666666666664)</f>
        <v>40942.66667</v>
      </c>
      <c r="B3044" s="1">
        <f>IFERROR(__xludf.DUMMYFUNCTION("""COMPUTED_VALUE"""),63.36)</f>
        <v>63.36</v>
      </c>
      <c r="C3044" s="1">
        <f>IFERROR(__xludf.DUMMYFUNCTION("""COMPUTED_VALUE"""),63.86)</f>
        <v>63.86</v>
      </c>
      <c r="D3044" s="1">
        <f>IFERROR(__xludf.DUMMYFUNCTION("""COMPUTED_VALUE"""),62.56)</f>
        <v>62.56</v>
      </c>
      <c r="E3044" s="1">
        <f>IFERROR(__xludf.DUMMYFUNCTION("""COMPUTED_VALUE"""),62.77)</f>
        <v>62.77</v>
      </c>
      <c r="F3044" s="1">
        <f>IFERROR(__xludf.DUMMYFUNCTION("""COMPUTED_VALUE"""),1.74406E7)</f>
        <v>17440600</v>
      </c>
    </row>
    <row r="3045">
      <c r="A3045" s="2">
        <f>IFERROR(__xludf.DUMMYFUNCTION("""COMPUTED_VALUE"""),40945.666666666664)</f>
        <v>40945.66667</v>
      </c>
      <c r="B3045" s="1">
        <f>IFERROR(__xludf.DUMMYFUNCTION("""COMPUTED_VALUE"""),62.86)</f>
        <v>62.86</v>
      </c>
      <c r="C3045" s="1">
        <f>IFERROR(__xludf.DUMMYFUNCTION("""COMPUTED_VALUE"""),63.61)</f>
        <v>63.61</v>
      </c>
      <c r="D3045" s="1">
        <f>IFERROR(__xludf.DUMMYFUNCTION("""COMPUTED_VALUE"""),62.78)</f>
        <v>62.78</v>
      </c>
      <c r="E3045" s="1">
        <f>IFERROR(__xludf.DUMMYFUNCTION("""COMPUTED_VALUE"""),63.51)</f>
        <v>63.51</v>
      </c>
      <c r="F3045" s="1">
        <f>IFERROR(__xludf.DUMMYFUNCTION("""COMPUTED_VALUE"""),9855148.0)</f>
        <v>9855148</v>
      </c>
    </row>
    <row r="3046">
      <c r="A3046" s="2">
        <f>IFERROR(__xludf.DUMMYFUNCTION("""COMPUTED_VALUE"""),40946.666666666664)</f>
        <v>40946.66667</v>
      </c>
      <c r="B3046" s="1">
        <f>IFERROR(__xludf.DUMMYFUNCTION("""COMPUTED_VALUE"""),63.56)</f>
        <v>63.56</v>
      </c>
      <c r="C3046" s="1">
        <f>IFERROR(__xludf.DUMMYFUNCTION("""COMPUTED_VALUE"""),63.91)</f>
        <v>63.91</v>
      </c>
      <c r="D3046" s="1">
        <f>IFERROR(__xludf.DUMMYFUNCTION("""COMPUTED_VALUE"""),63.37)</f>
        <v>63.37</v>
      </c>
      <c r="E3046" s="1">
        <f>IFERROR(__xludf.DUMMYFUNCTION("""COMPUTED_VALUE"""),63.7)</f>
        <v>63.7</v>
      </c>
      <c r="F3046" s="1">
        <f>IFERROR(__xludf.DUMMYFUNCTION("""COMPUTED_VALUE"""),8902547.0)</f>
        <v>8902547</v>
      </c>
    </row>
    <row r="3047">
      <c r="A3047" s="2">
        <f>IFERROR(__xludf.DUMMYFUNCTION("""COMPUTED_VALUE"""),40947.666666666664)</f>
        <v>40947.66667</v>
      </c>
      <c r="B3047" s="1">
        <f>IFERROR(__xludf.DUMMYFUNCTION("""COMPUTED_VALUE"""),63.72)</f>
        <v>63.72</v>
      </c>
      <c r="C3047" s="1">
        <f>IFERROR(__xludf.DUMMYFUNCTION("""COMPUTED_VALUE"""),63.78)</f>
        <v>63.78</v>
      </c>
      <c r="D3047" s="1">
        <f>IFERROR(__xludf.DUMMYFUNCTION("""COMPUTED_VALUE"""),63.44)</f>
        <v>63.44</v>
      </c>
      <c r="E3047" s="1">
        <f>IFERROR(__xludf.DUMMYFUNCTION("""COMPUTED_VALUE"""),63.64)</f>
        <v>63.64</v>
      </c>
      <c r="F3047" s="1">
        <f>IFERROR(__xludf.DUMMYFUNCTION("""COMPUTED_VALUE"""),8174742.0)</f>
        <v>8174742</v>
      </c>
    </row>
    <row r="3048">
      <c r="A3048" s="2">
        <f>IFERROR(__xludf.DUMMYFUNCTION("""COMPUTED_VALUE"""),40948.666666666664)</f>
        <v>40948.66667</v>
      </c>
      <c r="B3048" s="1">
        <f>IFERROR(__xludf.DUMMYFUNCTION("""COMPUTED_VALUE"""),63.84)</f>
        <v>63.84</v>
      </c>
      <c r="C3048" s="1">
        <f>IFERROR(__xludf.DUMMYFUNCTION("""COMPUTED_VALUE"""),64.1)</f>
        <v>64.1</v>
      </c>
      <c r="D3048" s="1">
        <f>IFERROR(__xludf.DUMMYFUNCTION("""COMPUTED_VALUE"""),63.53)</f>
        <v>63.53</v>
      </c>
      <c r="E3048" s="1">
        <f>IFERROR(__xludf.DUMMYFUNCTION("""COMPUTED_VALUE"""),64.04)</f>
        <v>64.04</v>
      </c>
      <c r="F3048" s="1">
        <f>IFERROR(__xludf.DUMMYFUNCTION("""COMPUTED_VALUE"""),9152666.0)</f>
        <v>9152666</v>
      </c>
    </row>
    <row r="3049">
      <c r="A3049" s="2">
        <f>IFERROR(__xludf.DUMMYFUNCTION("""COMPUTED_VALUE"""),40949.666666666664)</f>
        <v>40949.66667</v>
      </c>
      <c r="B3049" s="1">
        <f>IFERROR(__xludf.DUMMYFUNCTION("""COMPUTED_VALUE"""),63.6)</f>
        <v>63.6</v>
      </c>
      <c r="C3049" s="1">
        <f>IFERROR(__xludf.DUMMYFUNCTION("""COMPUTED_VALUE"""),63.98)</f>
        <v>63.98</v>
      </c>
      <c r="D3049" s="1">
        <f>IFERROR(__xludf.DUMMYFUNCTION("""COMPUTED_VALUE"""),63.55)</f>
        <v>63.55</v>
      </c>
      <c r="E3049" s="1">
        <f>IFERROR(__xludf.DUMMYFUNCTION("""COMPUTED_VALUE"""),63.88)</f>
        <v>63.88</v>
      </c>
      <c r="F3049" s="1">
        <f>IFERROR(__xludf.DUMMYFUNCTION("""COMPUTED_VALUE"""),8295506.0)</f>
        <v>8295506</v>
      </c>
    </row>
    <row r="3050">
      <c r="A3050" s="2">
        <f>IFERROR(__xludf.DUMMYFUNCTION("""COMPUTED_VALUE"""),40952.666666666664)</f>
        <v>40952.66667</v>
      </c>
      <c r="B3050" s="1">
        <f>IFERROR(__xludf.DUMMYFUNCTION("""COMPUTED_VALUE"""),64.15)</f>
        <v>64.15</v>
      </c>
      <c r="C3050" s="1">
        <f>IFERROR(__xludf.DUMMYFUNCTION("""COMPUTED_VALUE"""),64.38)</f>
        <v>64.38</v>
      </c>
      <c r="D3050" s="1">
        <f>IFERROR(__xludf.DUMMYFUNCTION("""COMPUTED_VALUE"""),64.06)</f>
        <v>64.06</v>
      </c>
      <c r="E3050" s="1">
        <f>IFERROR(__xludf.DUMMYFUNCTION("""COMPUTED_VALUE"""),64.23)</f>
        <v>64.23</v>
      </c>
      <c r="F3050" s="1">
        <f>IFERROR(__xludf.DUMMYFUNCTION("""COMPUTED_VALUE"""),6899319.0)</f>
        <v>6899319</v>
      </c>
    </row>
    <row r="3051">
      <c r="A3051" s="2">
        <f>IFERROR(__xludf.DUMMYFUNCTION("""COMPUTED_VALUE"""),40953.666666666664)</f>
        <v>40953.66667</v>
      </c>
      <c r="B3051" s="1">
        <f>IFERROR(__xludf.DUMMYFUNCTION("""COMPUTED_VALUE"""),64.1)</f>
        <v>64.1</v>
      </c>
      <c r="C3051" s="1">
        <f>IFERROR(__xludf.DUMMYFUNCTION("""COMPUTED_VALUE"""),64.48)</f>
        <v>64.48</v>
      </c>
      <c r="D3051" s="1">
        <f>IFERROR(__xludf.DUMMYFUNCTION("""COMPUTED_VALUE"""),64.09)</f>
        <v>64.09</v>
      </c>
      <c r="E3051" s="1">
        <f>IFERROR(__xludf.DUMMYFUNCTION("""COMPUTED_VALUE"""),64.48)</f>
        <v>64.48</v>
      </c>
      <c r="F3051" s="1">
        <f>IFERROR(__xludf.DUMMYFUNCTION("""COMPUTED_VALUE"""),6997713.0)</f>
        <v>6997713</v>
      </c>
    </row>
    <row r="3052">
      <c r="A3052" s="2">
        <f>IFERROR(__xludf.DUMMYFUNCTION("""COMPUTED_VALUE"""),40954.666666666664)</f>
        <v>40954.66667</v>
      </c>
      <c r="B3052" s="1">
        <f>IFERROR(__xludf.DUMMYFUNCTION("""COMPUTED_VALUE"""),64.82)</f>
        <v>64.82</v>
      </c>
      <c r="C3052" s="1">
        <f>IFERROR(__xludf.DUMMYFUNCTION("""COMPUTED_VALUE"""),64.94)</f>
        <v>64.94</v>
      </c>
      <c r="D3052" s="1">
        <f>IFERROR(__xludf.DUMMYFUNCTION("""COMPUTED_VALUE"""),64.38)</f>
        <v>64.38</v>
      </c>
      <c r="E3052" s="1">
        <f>IFERROR(__xludf.DUMMYFUNCTION("""COMPUTED_VALUE"""),64.55)</f>
        <v>64.55</v>
      </c>
      <c r="F3052" s="1">
        <f>IFERROR(__xludf.DUMMYFUNCTION("""COMPUTED_VALUE"""),1.1651661E7)</f>
        <v>11651661</v>
      </c>
    </row>
    <row r="3053">
      <c r="A3053" s="2">
        <f>IFERROR(__xludf.DUMMYFUNCTION("""COMPUTED_VALUE"""),40955.666666666664)</f>
        <v>40955.66667</v>
      </c>
      <c r="B3053" s="1">
        <f>IFERROR(__xludf.DUMMYFUNCTION("""COMPUTED_VALUE"""),64.78)</f>
        <v>64.78</v>
      </c>
      <c r="C3053" s="1">
        <f>IFERROR(__xludf.DUMMYFUNCTION("""COMPUTED_VALUE"""),65.4)</f>
        <v>65.4</v>
      </c>
      <c r="D3053" s="1">
        <f>IFERROR(__xludf.DUMMYFUNCTION("""COMPUTED_VALUE"""),64.65)</f>
        <v>64.65</v>
      </c>
      <c r="E3053" s="1">
        <f>IFERROR(__xludf.DUMMYFUNCTION("""COMPUTED_VALUE"""),65.2)</f>
        <v>65.2</v>
      </c>
      <c r="F3053" s="1">
        <f>IFERROR(__xludf.DUMMYFUNCTION("""COMPUTED_VALUE"""),1.083075E7)</f>
        <v>10830750</v>
      </c>
    </row>
    <row r="3054">
      <c r="A3054" s="2">
        <f>IFERROR(__xludf.DUMMYFUNCTION("""COMPUTED_VALUE"""),40956.666666666664)</f>
        <v>40956.66667</v>
      </c>
      <c r="B3054" s="1">
        <f>IFERROR(__xludf.DUMMYFUNCTION("""COMPUTED_VALUE"""),65.49)</f>
        <v>65.49</v>
      </c>
      <c r="C3054" s="1">
        <f>IFERROR(__xludf.DUMMYFUNCTION("""COMPUTED_VALUE"""),65.54)</f>
        <v>65.54</v>
      </c>
      <c r="D3054" s="1">
        <f>IFERROR(__xludf.DUMMYFUNCTION("""COMPUTED_VALUE"""),64.9)</f>
        <v>64.9</v>
      </c>
      <c r="E3054" s="1">
        <f>IFERROR(__xludf.DUMMYFUNCTION("""COMPUTED_VALUE"""),64.91)</f>
        <v>64.91</v>
      </c>
      <c r="F3054" s="1">
        <f>IFERROR(__xludf.DUMMYFUNCTION("""COMPUTED_VALUE"""),1.0281634E7)</f>
        <v>10281634</v>
      </c>
    </row>
    <row r="3055">
      <c r="A3055" s="2">
        <f>IFERROR(__xludf.DUMMYFUNCTION("""COMPUTED_VALUE"""),40960.666666666664)</f>
        <v>40960.66667</v>
      </c>
      <c r="B3055" s="1">
        <f>IFERROR(__xludf.DUMMYFUNCTION("""COMPUTED_VALUE"""),64.99)</f>
        <v>64.99</v>
      </c>
      <c r="C3055" s="1">
        <f>IFERROR(__xludf.DUMMYFUNCTION("""COMPUTED_VALUE"""),65.07)</f>
        <v>65.07</v>
      </c>
      <c r="D3055" s="1">
        <f>IFERROR(__xludf.DUMMYFUNCTION("""COMPUTED_VALUE"""),64.35)</f>
        <v>64.35</v>
      </c>
      <c r="E3055" s="1">
        <f>IFERROR(__xludf.DUMMYFUNCTION("""COMPUTED_VALUE"""),64.42)</f>
        <v>64.42</v>
      </c>
      <c r="F3055" s="1">
        <f>IFERROR(__xludf.DUMMYFUNCTION("""COMPUTED_VALUE"""),1.0038389E7)</f>
        <v>10038389</v>
      </c>
    </row>
    <row r="3056">
      <c r="A3056" s="2">
        <f>IFERROR(__xludf.DUMMYFUNCTION("""COMPUTED_VALUE"""),40961.666666666664)</f>
        <v>40961.66667</v>
      </c>
      <c r="B3056" s="1">
        <f>IFERROR(__xludf.DUMMYFUNCTION("""COMPUTED_VALUE"""),64.24)</f>
        <v>64.24</v>
      </c>
      <c r="C3056" s="1">
        <f>IFERROR(__xludf.DUMMYFUNCTION("""COMPUTED_VALUE"""),64.71)</f>
        <v>64.71</v>
      </c>
      <c r="D3056" s="1">
        <f>IFERROR(__xludf.DUMMYFUNCTION("""COMPUTED_VALUE"""),64.17)</f>
        <v>64.17</v>
      </c>
      <c r="E3056" s="1">
        <f>IFERROR(__xludf.DUMMYFUNCTION("""COMPUTED_VALUE"""),64.44)</f>
        <v>64.44</v>
      </c>
      <c r="F3056" s="1">
        <f>IFERROR(__xludf.DUMMYFUNCTION("""COMPUTED_VALUE"""),7029706.0)</f>
        <v>7029706</v>
      </c>
    </row>
    <row r="3057">
      <c r="A3057" s="2">
        <f>IFERROR(__xludf.DUMMYFUNCTION("""COMPUTED_VALUE"""),40962.666666666664)</f>
        <v>40962.66667</v>
      </c>
      <c r="B3057" s="1">
        <f>IFERROR(__xludf.DUMMYFUNCTION("""COMPUTED_VALUE"""),64.35)</f>
        <v>64.35</v>
      </c>
      <c r="C3057" s="1">
        <f>IFERROR(__xludf.DUMMYFUNCTION("""COMPUTED_VALUE"""),66.57)</f>
        <v>66.57</v>
      </c>
      <c r="D3057" s="1">
        <f>IFERROR(__xludf.DUMMYFUNCTION("""COMPUTED_VALUE"""),64.25)</f>
        <v>64.25</v>
      </c>
      <c r="E3057" s="1">
        <f>IFERROR(__xludf.DUMMYFUNCTION("""COMPUTED_VALUE"""),66.42)</f>
        <v>66.42</v>
      </c>
      <c r="F3057" s="1">
        <f>IFERROR(__xludf.DUMMYFUNCTION("""COMPUTED_VALUE"""),2.0167676E7)</f>
        <v>20167676</v>
      </c>
    </row>
    <row r="3058">
      <c r="A3058" s="2">
        <f>IFERROR(__xludf.DUMMYFUNCTION("""COMPUTED_VALUE"""),40963.666666666664)</f>
        <v>40963.66667</v>
      </c>
      <c r="B3058" s="1">
        <f>IFERROR(__xludf.DUMMYFUNCTION("""COMPUTED_VALUE"""),66.74)</f>
        <v>66.74</v>
      </c>
      <c r="C3058" s="1">
        <f>IFERROR(__xludf.DUMMYFUNCTION("""COMPUTED_VALUE"""),66.95)</f>
        <v>66.95</v>
      </c>
      <c r="D3058" s="1">
        <f>IFERROR(__xludf.DUMMYFUNCTION("""COMPUTED_VALUE"""),66.52)</f>
        <v>66.52</v>
      </c>
      <c r="E3058" s="1">
        <f>IFERROR(__xludf.DUMMYFUNCTION("""COMPUTED_VALUE"""),66.71)</f>
        <v>66.71</v>
      </c>
      <c r="F3058" s="1">
        <f>IFERROR(__xludf.DUMMYFUNCTION("""COMPUTED_VALUE"""),1.777704E7)</f>
        <v>17777040</v>
      </c>
    </row>
    <row r="3059">
      <c r="A3059" s="2">
        <f>IFERROR(__xludf.DUMMYFUNCTION("""COMPUTED_VALUE"""),40966.666666666664)</f>
        <v>40966.66667</v>
      </c>
      <c r="B3059" s="1">
        <f>IFERROR(__xludf.DUMMYFUNCTION("""COMPUTED_VALUE"""),66.57)</f>
        <v>66.57</v>
      </c>
      <c r="C3059" s="1">
        <f>IFERROR(__xludf.DUMMYFUNCTION("""COMPUTED_VALUE"""),67.04)</f>
        <v>67.04</v>
      </c>
      <c r="D3059" s="1">
        <f>IFERROR(__xludf.DUMMYFUNCTION("""COMPUTED_VALUE"""),66.13)</f>
        <v>66.13</v>
      </c>
      <c r="E3059" s="1">
        <f>IFERROR(__xludf.DUMMYFUNCTION("""COMPUTED_VALUE"""),66.7)</f>
        <v>66.7</v>
      </c>
      <c r="F3059" s="1">
        <f>IFERROR(__xludf.DUMMYFUNCTION("""COMPUTED_VALUE"""),1.7905172E7)</f>
        <v>17905172</v>
      </c>
    </row>
    <row r="3060">
      <c r="A3060" s="2">
        <f>IFERROR(__xludf.DUMMYFUNCTION("""COMPUTED_VALUE"""),40967.666666666664)</f>
        <v>40967.66667</v>
      </c>
      <c r="B3060" s="1">
        <f>IFERROR(__xludf.DUMMYFUNCTION("""COMPUTED_VALUE"""),66.59)</f>
        <v>66.59</v>
      </c>
      <c r="C3060" s="1">
        <f>IFERROR(__xludf.DUMMYFUNCTION("""COMPUTED_VALUE"""),67.49)</f>
        <v>67.49</v>
      </c>
      <c r="D3060" s="1">
        <f>IFERROR(__xludf.DUMMYFUNCTION("""COMPUTED_VALUE"""),66.54)</f>
        <v>66.54</v>
      </c>
      <c r="E3060" s="1">
        <f>IFERROR(__xludf.DUMMYFUNCTION("""COMPUTED_VALUE"""),67.39)</f>
        <v>67.39</v>
      </c>
      <c r="F3060" s="1">
        <f>IFERROR(__xludf.DUMMYFUNCTION("""COMPUTED_VALUE"""),1.3468242E7)</f>
        <v>13468242</v>
      </c>
    </row>
    <row r="3061">
      <c r="A3061" s="2">
        <f>IFERROR(__xludf.DUMMYFUNCTION("""COMPUTED_VALUE"""),40968.666666666664)</f>
        <v>40968.66667</v>
      </c>
      <c r="B3061" s="1">
        <f>IFERROR(__xludf.DUMMYFUNCTION("""COMPUTED_VALUE"""),67.41)</f>
        <v>67.41</v>
      </c>
      <c r="C3061" s="1">
        <f>IFERROR(__xludf.DUMMYFUNCTION("""COMPUTED_VALUE"""),67.77)</f>
        <v>67.77</v>
      </c>
      <c r="D3061" s="1">
        <f>IFERROR(__xludf.DUMMYFUNCTION("""COMPUTED_VALUE"""),67.31)</f>
        <v>67.31</v>
      </c>
      <c r="E3061" s="1">
        <f>IFERROR(__xludf.DUMMYFUNCTION("""COMPUTED_VALUE"""),67.62)</f>
        <v>67.62</v>
      </c>
      <c r="F3061" s="1">
        <f>IFERROR(__xludf.DUMMYFUNCTION("""COMPUTED_VALUE"""),1.4744151E7)</f>
        <v>14744151</v>
      </c>
    </row>
    <row r="3062">
      <c r="A3062" s="2">
        <f>IFERROR(__xludf.DUMMYFUNCTION("""COMPUTED_VALUE"""),40969.666666666664)</f>
        <v>40969.66667</v>
      </c>
      <c r="B3062" s="1">
        <f>IFERROR(__xludf.DUMMYFUNCTION("""COMPUTED_VALUE"""),67.44)</f>
        <v>67.44</v>
      </c>
      <c r="C3062" s="1">
        <f>IFERROR(__xludf.DUMMYFUNCTION("""COMPUTED_VALUE"""),67.69)</f>
        <v>67.69</v>
      </c>
      <c r="D3062" s="1">
        <f>IFERROR(__xludf.DUMMYFUNCTION("""COMPUTED_VALUE"""),66.46)</f>
        <v>66.46</v>
      </c>
      <c r="E3062" s="1">
        <f>IFERROR(__xludf.DUMMYFUNCTION("""COMPUTED_VALUE"""),66.66)</f>
        <v>66.66</v>
      </c>
      <c r="F3062" s="1">
        <f>IFERROR(__xludf.DUMMYFUNCTION("""COMPUTED_VALUE"""),1.196764E7)</f>
        <v>11967640</v>
      </c>
    </row>
    <row r="3063">
      <c r="A3063" s="2">
        <f>IFERROR(__xludf.DUMMYFUNCTION("""COMPUTED_VALUE"""),40970.666666666664)</f>
        <v>40970.66667</v>
      </c>
      <c r="B3063" s="1">
        <f>IFERROR(__xludf.DUMMYFUNCTION("""COMPUTED_VALUE"""),66.72)</f>
        <v>66.72</v>
      </c>
      <c r="C3063" s="1">
        <f>IFERROR(__xludf.DUMMYFUNCTION("""COMPUTED_VALUE"""),66.88)</f>
        <v>66.88</v>
      </c>
      <c r="D3063" s="1">
        <f>IFERROR(__xludf.DUMMYFUNCTION("""COMPUTED_VALUE"""),66.4)</f>
        <v>66.4</v>
      </c>
      <c r="E3063" s="1">
        <f>IFERROR(__xludf.DUMMYFUNCTION("""COMPUTED_VALUE"""),66.67)</f>
        <v>66.67</v>
      </c>
      <c r="F3063" s="1">
        <f>IFERROR(__xludf.DUMMYFUNCTION("""COMPUTED_VALUE"""),7022166.0)</f>
        <v>7022166</v>
      </c>
    </row>
    <row r="3064">
      <c r="A3064" s="2">
        <f>IFERROR(__xludf.DUMMYFUNCTION("""COMPUTED_VALUE"""),40973.666666666664)</f>
        <v>40973.66667</v>
      </c>
      <c r="B3064" s="1">
        <f>IFERROR(__xludf.DUMMYFUNCTION("""COMPUTED_VALUE"""),66.61)</f>
        <v>66.61</v>
      </c>
      <c r="C3064" s="1">
        <f>IFERROR(__xludf.DUMMYFUNCTION("""COMPUTED_VALUE"""),66.97)</f>
        <v>66.97</v>
      </c>
      <c r="D3064" s="1">
        <f>IFERROR(__xludf.DUMMYFUNCTION("""COMPUTED_VALUE"""),66.46)</f>
        <v>66.46</v>
      </c>
      <c r="E3064" s="1">
        <f>IFERROR(__xludf.DUMMYFUNCTION("""COMPUTED_VALUE"""),66.95)</f>
        <v>66.95</v>
      </c>
      <c r="F3064" s="1">
        <f>IFERROR(__xludf.DUMMYFUNCTION("""COMPUTED_VALUE"""),6933351.0)</f>
        <v>6933351</v>
      </c>
    </row>
    <row r="3065">
      <c r="A3065" s="2">
        <f>IFERROR(__xludf.DUMMYFUNCTION("""COMPUTED_VALUE"""),40974.666666666664)</f>
        <v>40974.66667</v>
      </c>
      <c r="B3065" s="1">
        <f>IFERROR(__xludf.DUMMYFUNCTION("""COMPUTED_VALUE"""),66.5)</f>
        <v>66.5</v>
      </c>
      <c r="C3065" s="1">
        <f>IFERROR(__xludf.DUMMYFUNCTION("""COMPUTED_VALUE"""),67.09)</f>
        <v>67.09</v>
      </c>
      <c r="D3065" s="1">
        <f>IFERROR(__xludf.DUMMYFUNCTION("""COMPUTED_VALUE"""),66.2)</f>
        <v>66.2</v>
      </c>
      <c r="E3065" s="1">
        <f>IFERROR(__xludf.DUMMYFUNCTION("""COMPUTED_VALUE"""),66.84)</f>
        <v>66.84</v>
      </c>
      <c r="F3065" s="1">
        <f>IFERROR(__xludf.DUMMYFUNCTION("""COMPUTED_VALUE"""),9827124.0)</f>
        <v>9827124</v>
      </c>
    </row>
    <row r="3066">
      <c r="A3066" s="2">
        <f>IFERROR(__xludf.DUMMYFUNCTION("""COMPUTED_VALUE"""),40975.666666666664)</f>
        <v>40975.66667</v>
      </c>
      <c r="B3066" s="1">
        <f>IFERROR(__xludf.DUMMYFUNCTION("""COMPUTED_VALUE"""),66.82)</f>
        <v>66.82</v>
      </c>
      <c r="C3066" s="1">
        <f>IFERROR(__xludf.DUMMYFUNCTION("""COMPUTED_VALUE"""),67.07)</f>
        <v>67.07</v>
      </c>
      <c r="D3066" s="1">
        <f>IFERROR(__xludf.DUMMYFUNCTION("""COMPUTED_VALUE"""),66.42)</f>
        <v>66.42</v>
      </c>
      <c r="E3066" s="1">
        <f>IFERROR(__xludf.DUMMYFUNCTION("""COMPUTED_VALUE"""),66.58)</f>
        <v>66.58</v>
      </c>
      <c r="F3066" s="1">
        <f>IFERROR(__xludf.DUMMYFUNCTION("""COMPUTED_VALUE"""),7470792.0)</f>
        <v>7470792</v>
      </c>
    </row>
    <row r="3067">
      <c r="A3067" s="2">
        <f>IFERROR(__xludf.DUMMYFUNCTION("""COMPUTED_VALUE"""),40976.666666666664)</f>
        <v>40976.66667</v>
      </c>
      <c r="B3067" s="1">
        <f>IFERROR(__xludf.DUMMYFUNCTION("""COMPUTED_VALUE"""),66.95)</f>
        <v>66.95</v>
      </c>
      <c r="C3067" s="1">
        <f>IFERROR(__xludf.DUMMYFUNCTION("""COMPUTED_VALUE"""),67.06)</f>
        <v>67.06</v>
      </c>
      <c r="D3067" s="1">
        <f>IFERROR(__xludf.DUMMYFUNCTION("""COMPUTED_VALUE"""),66.77)</f>
        <v>66.77</v>
      </c>
      <c r="E3067" s="1">
        <f>IFERROR(__xludf.DUMMYFUNCTION("""COMPUTED_VALUE"""),66.9)</f>
        <v>66.9</v>
      </c>
      <c r="F3067" s="1">
        <f>IFERROR(__xludf.DUMMYFUNCTION("""COMPUTED_VALUE"""),5811439.0)</f>
        <v>5811439</v>
      </c>
    </row>
    <row r="3068">
      <c r="A3068" s="2">
        <f>IFERROR(__xludf.DUMMYFUNCTION("""COMPUTED_VALUE"""),40977.666666666664)</f>
        <v>40977.66667</v>
      </c>
      <c r="B3068" s="1">
        <f>IFERROR(__xludf.DUMMYFUNCTION("""COMPUTED_VALUE"""),67.06)</f>
        <v>67.06</v>
      </c>
      <c r="C3068" s="1">
        <f>IFERROR(__xludf.DUMMYFUNCTION("""COMPUTED_VALUE"""),67.06)</f>
        <v>67.06</v>
      </c>
      <c r="D3068" s="1">
        <f>IFERROR(__xludf.DUMMYFUNCTION("""COMPUTED_VALUE"""),66.6)</f>
        <v>66.6</v>
      </c>
      <c r="E3068" s="1">
        <f>IFERROR(__xludf.DUMMYFUNCTION("""COMPUTED_VALUE"""),66.93)</f>
        <v>66.93</v>
      </c>
      <c r="F3068" s="1">
        <f>IFERROR(__xludf.DUMMYFUNCTION("""COMPUTED_VALUE"""),5710104.0)</f>
        <v>5710104</v>
      </c>
    </row>
    <row r="3069">
      <c r="A3069" s="2">
        <f>IFERROR(__xludf.DUMMYFUNCTION("""COMPUTED_VALUE"""),40980.666666666664)</f>
        <v>40980.66667</v>
      </c>
      <c r="B3069" s="1">
        <f>IFERROR(__xludf.DUMMYFUNCTION("""COMPUTED_VALUE"""),66.77)</f>
        <v>66.77</v>
      </c>
      <c r="C3069" s="1">
        <f>IFERROR(__xludf.DUMMYFUNCTION("""COMPUTED_VALUE"""),67.78)</f>
        <v>67.78</v>
      </c>
      <c r="D3069" s="1">
        <f>IFERROR(__xludf.DUMMYFUNCTION("""COMPUTED_VALUE"""),66.73)</f>
        <v>66.73</v>
      </c>
      <c r="E3069" s="1">
        <f>IFERROR(__xludf.DUMMYFUNCTION("""COMPUTED_VALUE"""),67.71)</f>
        <v>67.71</v>
      </c>
      <c r="F3069" s="1">
        <f>IFERROR(__xludf.DUMMYFUNCTION("""COMPUTED_VALUE"""),8825473.0)</f>
        <v>8825473</v>
      </c>
    </row>
    <row r="3070">
      <c r="A3070" s="2">
        <f>IFERROR(__xludf.DUMMYFUNCTION("""COMPUTED_VALUE"""),40981.666666666664)</f>
        <v>40981.66667</v>
      </c>
      <c r="B3070" s="1">
        <f>IFERROR(__xludf.DUMMYFUNCTION("""COMPUTED_VALUE"""),67.85)</f>
        <v>67.85</v>
      </c>
      <c r="C3070" s="1">
        <f>IFERROR(__xludf.DUMMYFUNCTION("""COMPUTED_VALUE"""),67.9)</f>
        <v>67.9</v>
      </c>
      <c r="D3070" s="1">
        <f>IFERROR(__xludf.DUMMYFUNCTION("""COMPUTED_VALUE"""),67.57)</f>
        <v>67.57</v>
      </c>
      <c r="E3070" s="1">
        <f>IFERROR(__xludf.DUMMYFUNCTION("""COMPUTED_VALUE"""),67.9)</f>
        <v>67.9</v>
      </c>
      <c r="F3070" s="1">
        <f>IFERROR(__xludf.DUMMYFUNCTION("""COMPUTED_VALUE"""),9056689.0)</f>
        <v>9056689</v>
      </c>
    </row>
    <row r="3071">
      <c r="A3071" s="2">
        <f>IFERROR(__xludf.DUMMYFUNCTION("""COMPUTED_VALUE"""),40982.666666666664)</f>
        <v>40982.66667</v>
      </c>
      <c r="B3071" s="1">
        <f>IFERROR(__xludf.DUMMYFUNCTION("""COMPUTED_VALUE"""),67.73)</f>
        <v>67.73</v>
      </c>
      <c r="C3071" s="1">
        <f>IFERROR(__xludf.DUMMYFUNCTION("""COMPUTED_VALUE"""),67.95)</f>
        <v>67.95</v>
      </c>
      <c r="D3071" s="1">
        <f>IFERROR(__xludf.DUMMYFUNCTION("""COMPUTED_VALUE"""),67.69)</f>
        <v>67.69</v>
      </c>
      <c r="E3071" s="1">
        <f>IFERROR(__xludf.DUMMYFUNCTION("""COMPUTED_VALUE"""),67.85)</f>
        <v>67.85</v>
      </c>
      <c r="F3071" s="1">
        <f>IFERROR(__xludf.DUMMYFUNCTION("""COMPUTED_VALUE"""),8056134.0)</f>
        <v>8056134</v>
      </c>
    </row>
    <row r="3072">
      <c r="A3072" s="2">
        <f>IFERROR(__xludf.DUMMYFUNCTION("""COMPUTED_VALUE"""),40983.666666666664)</f>
        <v>40983.66667</v>
      </c>
      <c r="B3072" s="1">
        <f>IFERROR(__xludf.DUMMYFUNCTION("""COMPUTED_VALUE"""),67.69)</f>
        <v>67.69</v>
      </c>
      <c r="C3072" s="1">
        <f>IFERROR(__xludf.DUMMYFUNCTION("""COMPUTED_VALUE"""),67.79)</f>
        <v>67.79</v>
      </c>
      <c r="D3072" s="1">
        <f>IFERROR(__xludf.DUMMYFUNCTION("""COMPUTED_VALUE"""),67.5)</f>
        <v>67.5</v>
      </c>
      <c r="E3072" s="1">
        <f>IFERROR(__xludf.DUMMYFUNCTION("""COMPUTED_VALUE"""),67.68)</f>
        <v>67.68</v>
      </c>
      <c r="F3072" s="1">
        <f>IFERROR(__xludf.DUMMYFUNCTION("""COMPUTED_VALUE"""),8611488.0)</f>
        <v>8611488</v>
      </c>
    </row>
    <row r="3073">
      <c r="A3073" s="2">
        <f>IFERROR(__xludf.DUMMYFUNCTION("""COMPUTED_VALUE"""),40984.666666666664)</f>
        <v>40984.66667</v>
      </c>
      <c r="B3073" s="1">
        <f>IFERROR(__xludf.DUMMYFUNCTION("""COMPUTED_VALUE"""),67.83)</f>
        <v>67.83</v>
      </c>
      <c r="C3073" s="1">
        <f>IFERROR(__xludf.DUMMYFUNCTION("""COMPUTED_VALUE"""),67.85)</f>
        <v>67.85</v>
      </c>
      <c r="D3073" s="1">
        <f>IFERROR(__xludf.DUMMYFUNCTION("""COMPUTED_VALUE"""),67.13)</f>
        <v>67.13</v>
      </c>
      <c r="E3073" s="1">
        <f>IFERROR(__xludf.DUMMYFUNCTION("""COMPUTED_VALUE"""),67.25)</f>
        <v>67.25</v>
      </c>
      <c r="F3073" s="1">
        <f>IFERROR(__xludf.DUMMYFUNCTION("""COMPUTED_VALUE"""),1.5713825E7)</f>
        <v>15713825</v>
      </c>
    </row>
    <row r="3074">
      <c r="A3074" s="2">
        <f>IFERROR(__xludf.DUMMYFUNCTION("""COMPUTED_VALUE"""),40987.666666666664)</f>
        <v>40987.66667</v>
      </c>
      <c r="B3074" s="1">
        <f>IFERROR(__xludf.DUMMYFUNCTION("""COMPUTED_VALUE"""),67.03)</f>
        <v>67.03</v>
      </c>
      <c r="C3074" s="1">
        <f>IFERROR(__xludf.DUMMYFUNCTION("""COMPUTED_VALUE"""),67.48)</f>
        <v>67.48</v>
      </c>
      <c r="D3074" s="1">
        <f>IFERROR(__xludf.DUMMYFUNCTION("""COMPUTED_VALUE"""),66.96)</f>
        <v>66.96</v>
      </c>
      <c r="E3074" s="1">
        <f>IFERROR(__xludf.DUMMYFUNCTION("""COMPUTED_VALUE"""),67.21)</f>
        <v>67.21</v>
      </c>
      <c r="F3074" s="1">
        <f>IFERROR(__xludf.DUMMYFUNCTION("""COMPUTED_VALUE"""),7038912.0)</f>
        <v>7038912</v>
      </c>
    </row>
    <row r="3075">
      <c r="A3075" s="2">
        <f>IFERROR(__xludf.DUMMYFUNCTION("""COMPUTED_VALUE"""),40988.666666666664)</f>
        <v>40988.66667</v>
      </c>
      <c r="B3075" s="1">
        <f>IFERROR(__xludf.DUMMYFUNCTION("""COMPUTED_VALUE"""),66.96)</f>
        <v>66.96</v>
      </c>
      <c r="C3075" s="1">
        <f>IFERROR(__xludf.DUMMYFUNCTION("""COMPUTED_VALUE"""),67.45)</f>
        <v>67.45</v>
      </c>
      <c r="D3075" s="1">
        <f>IFERROR(__xludf.DUMMYFUNCTION("""COMPUTED_VALUE"""),66.9)</f>
        <v>66.9</v>
      </c>
      <c r="E3075" s="1">
        <f>IFERROR(__xludf.DUMMYFUNCTION("""COMPUTED_VALUE"""),67.21)</f>
        <v>67.21</v>
      </c>
      <c r="F3075" s="1">
        <f>IFERROR(__xludf.DUMMYFUNCTION("""COMPUTED_VALUE"""),6139429.0)</f>
        <v>6139429</v>
      </c>
    </row>
    <row r="3076">
      <c r="A3076" s="2">
        <f>IFERROR(__xludf.DUMMYFUNCTION("""COMPUTED_VALUE"""),40989.666666666664)</f>
        <v>40989.66667</v>
      </c>
      <c r="B3076" s="1">
        <f>IFERROR(__xludf.DUMMYFUNCTION("""COMPUTED_VALUE"""),67.21)</f>
        <v>67.21</v>
      </c>
      <c r="C3076" s="1">
        <f>IFERROR(__xludf.DUMMYFUNCTION("""COMPUTED_VALUE"""),67.36)</f>
        <v>67.36</v>
      </c>
      <c r="D3076" s="1">
        <f>IFERROR(__xludf.DUMMYFUNCTION("""COMPUTED_VALUE"""),66.86)</f>
        <v>66.86</v>
      </c>
      <c r="E3076" s="1">
        <f>IFERROR(__xludf.DUMMYFUNCTION("""COMPUTED_VALUE"""),67.2)</f>
        <v>67.2</v>
      </c>
      <c r="F3076" s="1">
        <f>IFERROR(__xludf.DUMMYFUNCTION("""COMPUTED_VALUE"""),6120360.0)</f>
        <v>6120360</v>
      </c>
    </row>
    <row r="3077">
      <c r="A3077" s="2">
        <f>IFERROR(__xludf.DUMMYFUNCTION("""COMPUTED_VALUE"""),40990.666666666664)</f>
        <v>40990.66667</v>
      </c>
      <c r="B3077" s="1">
        <f>IFERROR(__xludf.DUMMYFUNCTION("""COMPUTED_VALUE"""),67.0)</f>
        <v>67</v>
      </c>
      <c r="C3077" s="1">
        <f>IFERROR(__xludf.DUMMYFUNCTION("""COMPUTED_VALUE"""),67.76)</f>
        <v>67.76</v>
      </c>
      <c r="D3077" s="1">
        <f>IFERROR(__xludf.DUMMYFUNCTION("""COMPUTED_VALUE"""),66.95)</f>
        <v>66.95</v>
      </c>
      <c r="E3077" s="1">
        <f>IFERROR(__xludf.DUMMYFUNCTION("""COMPUTED_VALUE"""),67.52)</f>
        <v>67.52</v>
      </c>
      <c r="F3077" s="1">
        <f>IFERROR(__xludf.DUMMYFUNCTION("""COMPUTED_VALUE"""),7320924.0)</f>
        <v>7320924</v>
      </c>
    </row>
    <row r="3078">
      <c r="A3078" s="2">
        <f>IFERROR(__xludf.DUMMYFUNCTION("""COMPUTED_VALUE"""),40991.666666666664)</f>
        <v>40991.66667</v>
      </c>
      <c r="B3078" s="1">
        <f>IFERROR(__xludf.DUMMYFUNCTION("""COMPUTED_VALUE"""),67.51)</f>
        <v>67.51</v>
      </c>
      <c r="C3078" s="1">
        <f>IFERROR(__xludf.DUMMYFUNCTION("""COMPUTED_VALUE"""),67.54)</f>
        <v>67.54</v>
      </c>
      <c r="D3078" s="1">
        <f>IFERROR(__xludf.DUMMYFUNCTION("""COMPUTED_VALUE"""),67.27)</f>
        <v>67.27</v>
      </c>
      <c r="E3078" s="1">
        <f>IFERROR(__xludf.DUMMYFUNCTION("""COMPUTED_VALUE"""),67.43)</f>
        <v>67.43</v>
      </c>
      <c r="F3078" s="1">
        <f>IFERROR(__xludf.DUMMYFUNCTION("""COMPUTED_VALUE"""),6006339.0)</f>
        <v>6006339</v>
      </c>
    </row>
    <row r="3079">
      <c r="A3079" s="2">
        <f>IFERROR(__xludf.DUMMYFUNCTION("""COMPUTED_VALUE"""),40994.666666666664)</f>
        <v>40994.66667</v>
      </c>
      <c r="B3079" s="1">
        <f>IFERROR(__xludf.DUMMYFUNCTION("""COMPUTED_VALUE"""),67.54)</f>
        <v>67.54</v>
      </c>
      <c r="C3079" s="1">
        <f>IFERROR(__xludf.DUMMYFUNCTION("""COMPUTED_VALUE"""),67.83)</f>
        <v>67.83</v>
      </c>
      <c r="D3079" s="1">
        <f>IFERROR(__xludf.DUMMYFUNCTION("""COMPUTED_VALUE"""),67.25)</f>
        <v>67.25</v>
      </c>
      <c r="E3079" s="1">
        <f>IFERROR(__xludf.DUMMYFUNCTION("""COMPUTED_VALUE"""),67.46)</f>
        <v>67.46</v>
      </c>
      <c r="F3079" s="1">
        <f>IFERROR(__xludf.DUMMYFUNCTION("""COMPUTED_VALUE"""),7819156.0)</f>
        <v>7819156</v>
      </c>
    </row>
    <row r="3080">
      <c r="A3080" s="2">
        <f>IFERROR(__xludf.DUMMYFUNCTION("""COMPUTED_VALUE"""),40995.666666666664)</f>
        <v>40995.66667</v>
      </c>
      <c r="B3080" s="1">
        <f>IFERROR(__xludf.DUMMYFUNCTION("""COMPUTED_VALUE"""),67.51)</f>
        <v>67.51</v>
      </c>
      <c r="C3080" s="1">
        <f>IFERROR(__xludf.DUMMYFUNCTION("""COMPUTED_VALUE"""),67.73)</f>
        <v>67.73</v>
      </c>
      <c r="D3080" s="1">
        <f>IFERROR(__xludf.DUMMYFUNCTION("""COMPUTED_VALUE"""),66.96)</f>
        <v>66.96</v>
      </c>
      <c r="E3080" s="1">
        <f>IFERROR(__xludf.DUMMYFUNCTION("""COMPUTED_VALUE"""),67.15)</f>
        <v>67.15</v>
      </c>
      <c r="F3080" s="1">
        <f>IFERROR(__xludf.DUMMYFUNCTION("""COMPUTED_VALUE"""),7936884.0)</f>
        <v>7936884</v>
      </c>
    </row>
    <row r="3081">
      <c r="A3081" s="2">
        <f>IFERROR(__xludf.DUMMYFUNCTION("""COMPUTED_VALUE"""),40996.666666666664)</f>
        <v>40996.66667</v>
      </c>
      <c r="B3081" s="1">
        <f>IFERROR(__xludf.DUMMYFUNCTION("""COMPUTED_VALUE"""),67.12)</f>
        <v>67.12</v>
      </c>
      <c r="C3081" s="1">
        <f>IFERROR(__xludf.DUMMYFUNCTION("""COMPUTED_VALUE"""),67.31)</f>
        <v>67.31</v>
      </c>
      <c r="D3081" s="1">
        <f>IFERROR(__xludf.DUMMYFUNCTION("""COMPUTED_VALUE"""),66.95)</f>
        <v>66.95</v>
      </c>
      <c r="E3081" s="1">
        <f>IFERROR(__xludf.DUMMYFUNCTION("""COMPUTED_VALUE"""),67.19)</f>
        <v>67.19</v>
      </c>
      <c r="F3081" s="1">
        <f>IFERROR(__xludf.DUMMYFUNCTION("""COMPUTED_VALUE"""),7534504.0)</f>
        <v>7534504</v>
      </c>
    </row>
    <row r="3082">
      <c r="A3082" s="2">
        <f>IFERROR(__xludf.DUMMYFUNCTION("""COMPUTED_VALUE"""),40997.666666666664)</f>
        <v>40997.66667</v>
      </c>
      <c r="B3082" s="1">
        <f>IFERROR(__xludf.DUMMYFUNCTION("""COMPUTED_VALUE"""),66.98)</f>
        <v>66.98</v>
      </c>
      <c r="C3082" s="1">
        <f>IFERROR(__xludf.DUMMYFUNCTION("""COMPUTED_VALUE"""),67.15)</f>
        <v>67.15</v>
      </c>
      <c r="D3082" s="1">
        <f>IFERROR(__xludf.DUMMYFUNCTION("""COMPUTED_VALUE"""),66.76)</f>
        <v>66.76</v>
      </c>
      <c r="E3082" s="1">
        <f>IFERROR(__xludf.DUMMYFUNCTION("""COMPUTED_VALUE"""),67.01)</f>
        <v>67.01</v>
      </c>
      <c r="F3082" s="1">
        <f>IFERROR(__xludf.DUMMYFUNCTION("""COMPUTED_VALUE"""),6917378.0)</f>
        <v>6917378</v>
      </c>
    </row>
    <row r="3083">
      <c r="A3083" s="2">
        <f>IFERROR(__xludf.DUMMYFUNCTION("""COMPUTED_VALUE"""),40998.666666666664)</f>
        <v>40998.66667</v>
      </c>
      <c r="B3083" s="1">
        <f>IFERROR(__xludf.DUMMYFUNCTION("""COMPUTED_VALUE"""),67.15)</f>
        <v>67.15</v>
      </c>
      <c r="C3083" s="1">
        <f>IFERROR(__xludf.DUMMYFUNCTION("""COMPUTED_VALUE"""),67.48)</f>
        <v>67.48</v>
      </c>
      <c r="D3083" s="1">
        <f>IFERROR(__xludf.DUMMYFUNCTION("""COMPUTED_VALUE"""),67.01)</f>
        <v>67.01</v>
      </c>
      <c r="E3083" s="1">
        <f>IFERROR(__xludf.DUMMYFUNCTION("""COMPUTED_VALUE"""),67.21)</f>
        <v>67.21</v>
      </c>
      <c r="F3083" s="1">
        <f>IFERROR(__xludf.DUMMYFUNCTION("""COMPUTED_VALUE"""),8670498.0)</f>
        <v>8670498</v>
      </c>
    </row>
    <row r="3084">
      <c r="A3084" s="2">
        <f>IFERROR(__xludf.DUMMYFUNCTION("""COMPUTED_VALUE"""),41001.666666666664)</f>
        <v>41001.66667</v>
      </c>
      <c r="B3084" s="1">
        <f>IFERROR(__xludf.DUMMYFUNCTION("""COMPUTED_VALUE"""),67.43)</f>
        <v>67.43</v>
      </c>
      <c r="C3084" s="1">
        <f>IFERROR(__xludf.DUMMYFUNCTION("""COMPUTED_VALUE"""),67.92)</f>
        <v>67.92</v>
      </c>
      <c r="D3084" s="1">
        <f>IFERROR(__xludf.DUMMYFUNCTION("""COMPUTED_VALUE"""),67.4)</f>
        <v>67.4</v>
      </c>
      <c r="E3084" s="1">
        <f>IFERROR(__xludf.DUMMYFUNCTION("""COMPUTED_VALUE"""),67.56)</f>
        <v>67.56</v>
      </c>
      <c r="F3084" s="1">
        <f>IFERROR(__xludf.DUMMYFUNCTION("""COMPUTED_VALUE"""),8595132.0)</f>
        <v>8595132</v>
      </c>
    </row>
    <row r="3085">
      <c r="A3085" s="2">
        <f>IFERROR(__xludf.DUMMYFUNCTION("""COMPUTED_VALUE"""),41002.666666666664)</f>
        <v>41002.66667</v>
      </c>
      <c r="B3085" s="1">
        <f>IFERROR(__xludf.DUMMYFUNCTION("""COMPUTED_VALUE"""),67.43)</f>
        <v>67.43</v>
      </c>
      <c r="C3085" s="1">
        <f>IFERROR(__xludf.DUMMYFUNCTION("""COMPUTED_VALUE"""),67.6)</f>
        <v>67.6</v>
      </c>
      <c r="D3085" s="1">
        <f>IFERROR(__xludf.DUMMYFUNCTION("""COMPUTED_VALUE"""),66.94)</f>
        <v>66.94</v>
      </c>
      <c r="E3085" s="1">
        <f>IFERROR(__xludf.DUMMYFUNCTION("""COMPUTED_VALUE"""),67.09)</f>
        <v>67.09</v>
      </c>
      <c r="F3085" s="1">
        <f>IFERROR(__xludf.DUMMYFUNCTION("""COMPUTED_VALUE"""),6954093.0)</f>
        <v>6954093</v>
      </c>
    </row>
    <row r="3086">
      <c r="A3086" s="2">
        <f>IFERROR(__xludf.DUMMYFUNCTION("""COMPUTED_VALUE"""),41003.666666666664)</f>
        <v>41003.66667</v>
      </c>
      <c r="B3086" s="1">
        <f>IFERROR(__xludf.DUMMYFUNCTION("""COMPUTED_VALUE"""),66.71)</f>
        <v>66.71</v>
      </c>
      <c r="C3086" s="1">
        <f>IFERROR(__xludf.DUMMYFUNCTION("""COMPUTED_VALUE"""),67.56)</f>
        <v>67.56</v>
      </c>
      <c r="D3086" s="1">
        <f>IFERROR(__xludf.DUMMYFUNCTION("""COMPUTED_VALUE"""),66.71)</f>
        <v>66.71</v>
      </c>
      <c r="E3086" s="1">
        <f>IFERROR(__xludf.DUMMYFUNCTION("""COMPUTED_VALUE"""),67.26)</f>
        <v>67.26</v>
      </c>
      <c r="F3086" s="1">
        <f>IFERROR(__xludf.DUMMYFUNCTION("""COMPUTED_VALUE"""),8372142.0)</f>
        <v>8372142</v>
      </c>
    </row>
    <row r="3087">
      <c r="A3087" s="2">
        <f>IFERROR(__xludf.DUMMYFUNCTION("""COMPUTED_VALUE"""),41004.666666666664)</f>
        <v>41004.66667</v>
      </c>
      <c r="B3087" s="1">
        <f>IFERROR(__xludf.DUMMYFUNCTION("""COMPUTED_VALUE"""),66.92)</f>
        <v>66.92</v>
      </c>
      <c r="C3087" s="1">
        <f>IFERROR(__xludf.DUMMYFUNCTION("""COMPUTED_VALUE"""),67.48)</f>
        <v>67.48</v>
      </c>
      <c r="D3087" s="1">
        <f>IFERROR(__xludf.DUMMYFUNCTION("""COMPUTED_VALUE"""),66.83)</f>
        <v>66.83</v>
      </c>
      <c r="E3087" s="1">
        <f>IFERROR(__xludf.DUMMYFUNCTION("""COMPUTED_VALUE"""),67.31)</f>
        <v>67.31</v>
      </c>
      <c r="F3087" s="1">
        <f>IFERROR(__xludf.DUMMYFUNCTION("""COMPUTED_VALUE"""),7696273.0)</f>
        <v>7696273</v>
      </c>
    </row>
    <row r="3088">
      <c r="A3088" s="2">
        <f>IFERROR(__xludf.DUMMYFUNCTION("""COMPUTED_VALUE"""),41008.666666666664)</f>
        <v>41008.66667</v>
      </c>
      <c r="B3088" s="1">
        <f>IFERROR(__xludf.DUMMYFUNCTION("""COMPUTED_VALUE"""),66.72)</f>
        <v>66.72</v>
      </c>
      <c r="C3088" s="1">
        <f>IFERROR(__xludf.DUMMYFUNCTION("""COMPUTED_VALUE"""),67.13)</f>
        <v>67.13</v>
      </c>
      <c r="D3088" s="1">
        <f>IFERROR(__xludf.DUMMYFUNCTION("""COMPUTED_VALUE"""),66.71)</f>
        <v>66.71</v>
      </c>
      <c r="E3088" s="1">
        <f>IFERROR(__xludf.DUMMYFUNCTION("""COMPUTED_VALUE"""),66.81)</f>
        <v>66.81</v>
      </c>
      <c r="F3088" s="1">
        <f>IFERROR(__xludf.DUMMYFUNCTION("""COMPUTED_VALUE"""),6890384.0)</f>
        <v>6890384</v>
      </c>
    </row>
    <row r="3089">
      <c r="A3089" s="2">
        <f>IFERROR(__xludf.DUMMYFUNCTION("""COMPUTED_VALUE"""),41009.666666666664)</f>
        <v>41009.66667</v>
      </c>
      <c r="B3089" s="1">
        <f>IFERROR(__xludf.DUMMYFUNCTION("""COMPUTED_VALUE"""),66.74)</f>
        <v>66.74</v>
      </c>
      <c r="C3089" s="1">
        <f>IFERROR(__xludf.DUMMYFUNCTION("""COMPUTED_VALUE"""),66.9)</f>
        <v>66.9</v>
      </c>
      <c r="D3089" s="1">
        <f>IFERROR(__xludf.DUMMYFUNCTION("""COMPUTED_VALUE"""),66.29)</f>
        <v>66.29</v>
      </c>
      <c r="E3089" s="1">
        <f>IFERROR(__xludf.DUMMYFUNCTION("""COMPUTED_VALUE"""),66.35)</f>
        <v>66.35</v>
      </c>
      <c r="F3089" s="1">
        <f>IFERROR(__xludf.DUMMYFUNCTION("""COMPUTED_VALUE"""),9436691.0)</f>
        <v>9436691</v>
      </c>
    </row>
    <row r="3090">
      <c r="A3090" s="2">
        <f>IFERROR(__xludf.DUMMYFUNCTION("""COMPUTED_VALUE"""),41010.666666666664)</f>
        <v>41010.66667</v>
      </c>
      <c r="B3090" s="1">
        <f>IFERROR(__xludf.DUMMYFUNCTION("""COMPUTED_VALUE"""),66.74)</f>
        <v>66.74</v>
      </c>
      <c r="C3090" s="1">
        <f>IFERROR(__xludf.DUMMYFUNCTION("""COMPUTED_VALUE"""),66.92)</f>
        <v>66.92</v>
      </c>
      <c r="D3090" s="1">
        <f>IFERROR(__xludf.DUMMYFUNCTION("""COMPUTED_VALUE"""),66.32)</f>
        <v>66.32</v>
      </c>
      <c r="E3090" s="1">
        <f>IFERROR(__xludf.DUMMYFUNCTION("""COMPUTED_VALUE"""),66.44)</f>
        <v>66.44</v>
      </c>
      <c r="F3090" s="1">
        <f>IFERROR(__xludf.DUMMYFUNCTION("""COMPUTED_VALUE"""),7593925.0)</f>
        <v>7593925</v>
      </c>
    </row>
    <row r="3091">
      <c r="A3091" s="2">
        <f>IFERROR(__xludf.DUMMYFUNCTION("""COMPUTED_VALUE"""),41011.666666666664)</f>
        <v>41011.66667</v>
      </c>
      <c r="B3091" s="1">
        <f>IFERROR(__xludf.DUMMYFUNCTION("""COMPUTED_VALUE"""),66.17)</f>
        <v>66.17</v>
      </c>
      <c r="C3091" s="1">
        <f>IFERROR(__xludf.DUMMYFUNCTION("""COMPUTED_VALUE"""),66.37)</f>
        <v>66.37</v>
      </c>
      <c r="D3091" s="1">
        <f>IFERROR(__xludf.DUMMYFUNCTION("""COMPUTED_VALUE"""),65.95)</f>
        <v>65.95</v>
      </c>
      <c r="E3091" s="1">
        <f>IFERROR(__xludf.DUMMYFUNCTION("""COMPUTED_VALUE"""),66.09)</f>
        <v>66.09</v>
      </c>
      <c r="F3091" s="1">
        <f>IFERROR(__xludf.DUMMYFUNCTION("""COMPUTED_VALUE"""),2.7847198E7)</f>
        <v>27847198</v>
      </c>
    </row>
    <row r="3092">
      <c r="A3092" s="2">
        <f>IFERROR(__xludf.DUMMYFUNCTION("""COMPUTED_VALUE"""),41012.666666666664)</f>
        <v>41012.66667</v>
      </c>
      <c r="B3092" s="1">
        <f>IFERROR(__xludf.DUMMYFUNCTION("""COMPUTED_VALUE"""),66.04)</f>
        <v>66.04</v>
      </c>
      <c r="C3092" s="1">
        <f>IFERROR(__xludf.DUMMYFUNCTION("""COMPUTED_VALUE"""),66.5)</f>
        <v>66.5</v>
      </c>
      <c r="D3092" s="1">
        <f>IFERROR(__xludf.DUMMYFUNCTION("""COMPUTED_VALUE"""),65.8)</f>
        <v>65.8</v>
      </c>
      <c r="E3092" s="1">
        <f>IFERROR(__xludf.DUMMYFUNCTION("""COMPUTED_VALUE"""),65.81)</f>
        <v>65.81</v>
      </c>
      <c r="F3092" s="1">
        <f>IFERROR(__xludf.DUMMYFUNCTION("""COMPUTED_VALUE"""),2.9791908E7)</f>
        <v>29791908</v>
      </c>
    </row>
    <row r="3093">
      <c r="A3093" s="2">
        <f>IFERROR(__xludf.DUMMYFUNCTION("""COMPUTED_VALUE"""),41015.666666666664)</f>
        <v>41015.66667</v>
      </c>
      <c r="B3093" s="1">
        <f>IFERROR(__xludf.DUMMYFUNCTION("""COMPUTED_VALUE"""),66.01)</f>
        <v>66.01</v>
      </c>
      <c r="C3093" s="1">
        <f>IFERROR(__xludf.DUMMYFUNCTION("""COMPUTED_VALUE"""),67.1)</f>
        <v>67.1</v>
      </c>
      <c r="D3093" s="1">
        <f>IFERROR(__xludf.DUMMYFUNCTION("""COMPUTED_VALUE"""),65.88)</f>
        <v>65.88</v>
      </c>
      <c r="E3093" s="1">
        <f>IFERROR(__xludf.DUMMYFUNCTION("""COMPUTED_VALUE"""),66.78)</f>
        <v>66.78</v>
      </c>
      <c r="F3093" s="1">
        <f>IFERROR(__xludf.DUMMYFUNCTION("""COMPUTED_VALUE"""),3.2810066E7)</f>
        <v>32810066</v>
      </c>
    </row>
    <row r="3094">
      <c r="A3094" s="2">
        <f>IFERROR(__xludf.DUMMYFUNCTION("""COMPUTED_VALUE"""),41016.666666666664)</f>
        <v>41016.66667</v>
      </c>
      <c r="B3094" s="1">
        <f>IFERROR(__xludf.DUMMYFUNCTION("""COMPUTED_VALUE"""),66.91)</f>
        <v>66.91</v>
      </c>
      <c r="C3094" s="1">
        <f>IFERROR(__xludf.DUMMYFUNCTION("""COMPUTED_VALUE"""),67.2)</f>
        <v>67.2</v>
      </c>
      <c r="D3094" s="1">
        <f>IFERROR(__xludf.DUMMYFUNCTION("""COMPUTED_VALUE"""),66.83)</f>
        <v>66.83</v>
      </c>
      <c r="E3094" s="1">
        <f>IFERROR(__xludf.DUMMYFUNCTION("""COMPUTED_VALUE"""),67.02)</f>
        <v>67.02</v>
      </c>
      <c r="F3094" s="1">
        <f>IFERROR(__xludf.DUMMYFUNCTION("""COMPUTED_VALUE"""),8894680.0)</f>
        <v>8894680</v>
      </c>
    </row>
    <row r="3095">
      <c r="A3095" s="2">
        <f>IFERROR(__xludf.DUMMYFUNCTION("""COMPUTED_VALUE"""),41017.666666666664)</f>
        <v>41017.66667</v>
      </c>
      <c r="B3095" s="1">
        <f>IFERROR(__xludf.DUMMYFUNCTION("""COMPUTED_VALUE"""),66.93)</f>
        <v>66.93</v>
      </c>
      <c r="C3095" s="1">
        <f>IFERROR(__xludf.DUMMYFUNCTION("""COMPUTED_VALUE"""),67.2)</f>
        <v>67.2</v>
      </c>
      <c r="D3095" s="1">
        <f>IFERROR(__xludf.DUMMYFUNCTION("""COMPUTED_VALUE"""),66.73)</f>
        <v>66.73</v>
      </c>
      <c r="E3095" s="1">
        <f>IFERROR(__xludf.DUMMYFUNCTION("""COMPUTED_VALUE"""),66.75)</f>
        <v>66.75</v>
      </c>
      <c r="F3095" s="1">
        <f>IFERROR(__xludf.DUMMYFUNCTION("""COMPUTED_VALUE"""),6082770.0)</f>
        <v>6082770</v>
      </c>
    </row>
    <row r="3096">
      <c r="A3096" s="2">
        <f>IFERROR(__xludf.DUMMYFUNCTION("""COMPUTED_VALUE"""),41018.666666666664)</f>
        <v>41018.66667</v>
      </c>
      <c r="B3096" s="1">
        <f>IFERROR(__xludf.DUMMYFUNCTION("""COMPUTED_VALUE"""),66.88)</f>
        <v>66.88</v>
      </c>
      <c r="C3096" s="1">
        <f>IFERROR(__xludf.DUMMYFUNCTION("""COMPUTED_VALUE"""),66.91)</f>
        <v>66.91</v>
      </c>
      <c r="D3096" s="1">
        <f>IFERROR(__xludf.DUMMYFUNCTION("""COMPUTED_VALUE"""),66.23)</f>
        <v>66.23</v>
      </c>
      <c r="E3096" s="1">
        <f>IFERROR(__xludf.DUMMYFUNCTION("""COMPUTED_VALUE"""),66.57)</f>
        <v>66.57</v>
      </c>
      <c r="F3096" s="1">
        <f>IFERROR(__xludf.DUMMYFUNCTION("""COMPUTED_VALUE"""),7721504.0)</f>
        <v>7721504</v>
      </c>
    </row>
    <row r="3097">
      <c r="A3097" s="2">
        <f>IFERROR(__xludf.DUMMYFUNCTION("""COMPUTED_VALUE"""),41019.666666666664)</f>
        <v>41019.66667</v>
      </c>
      <c r="B3097" s="1">
        <f>IFERROR(__xludf.DUMMYFUNCTION("""COMPUTED_VALUE"""),66.71)</f>
        <v>66.71</v>
      </c>
      <c r="C3097" s="1">
        <f>IFERROR(__xludf.DUMMYFUNCTION("""COMPUTED_VALUE"""),67.61)</f>
        <v>67.61</v>
      </c>
      <c r="D3097" s="1">
        <f>IFERROR(__xludf.DUMMYFUNCTION("""COMPUTED_VALUE"""),66.59)</f>
        <v>66.59</v>
      </c>
      <c r="E3097" s="1">
        <f>IFERROR(__xludf.DUMMYFUNCTION("""COMPUTED_VALUE"""),67.51)</f>
        <v>67.51</v>
      </c>
      <c r="F3097" s="1">
        <f>IFERROR(__xludf.DUMMYFUNCTION("""COMPUTED_VALUE"""),1.1092554E7)</f>
        <v>11092554</v>
      </c>
    </row>
    <row r="3098">
      <c r="A3098" s="2">
        <f>IFERROR(__xludf.DUMMYFUNCTION("""COMPUTED_VALUE"""),41022.666666666664)</f>
        <v>41022.66667</v>
      </c>
      <c r="B3098" s="1">
        <f>IFERROR(__xludf.DUMMYFUNCTION("""COMPUTED_VALUE"""),66.91)</f>
        <v>66.91</v>
      </c>
      <c r="C3098" s="1">
        <f>IFERROR(__xludf.DUMMYFUNCTION("""COMPUTED_VALUE"""),67.0)</f>
        <v>67</v>
      </c>
      <c r="D3098" s="1">
        <f>IFERROR(__xludf.DUMMYFUNCTION("""COMPUTED_VALUE"""),66.38)</f>
        <v>66.38</v>
      </c>
      <c r="E3098" s="1">
        <f>IFERROR(__xludf.DUMMYFUNCTION("""COMPUTED_VALUE"""),66.65)</f>
        <v>66.65</v>
      </c>
      <c r="F3098" s="1">
        <f>IFERROR(__xludf.DUMMYFUNCTION("""COMPUTED_VALUE"""),8420467.0)</f>
        <v>8420467</v>
      </c>
    </row>
    <row r="3099">
      <c r="A3099" s="2">
        <f>IFERROR(__xludf.DUMMYFUNCTION("""COMPUTED_VALUE"""),41023.666666666664)</f>
        <v>41023.66667</v>
      </c>
      <c r="B3099" s="1">
        <f>IFERROR(__xludf.DUMMYFUNCTION("""COMPUTED_VALUE"""),66.83)</f>
        <v>66.83</v>
      </c>
      <c r="C3099" s="1">
        <f>IFERROR(__xludf.DUMMYFUNCTION("""COMPUTED_VALUE"""),67.0)</f>
        <v>67</v>
      </c>
      <c r="D3099" s="1">
        <f>IFERROR(__xludf.DUMMYFUNCTION("""COMPUTED_VALUE"""),66.56)</f>
        <v>66.56</v>
      </c>
      <c r="E3099" s="1">
        <f>IFERROR(__xludf.DUMMYFUNCTION("""COMPUTED_VALUE"""),67.0)</f>
        <v>67</v>
      </c>
      <c r="F3099" s="1">
        <f>IFERROR(__xludf.DUMMYFUNCTION("""COMPUTED_VALUE"""),6963528.0)</f>
        <v>6963528</v>
      </c>
    </row>
    <row r="3100">
      <c r="A3100" s="2">
        <f>IFERROR(__xludf.DUMMYFUNCTION("""COMPUTED_VALUE"""),41024.666666666664)</f>
        <v>41024.66667</v>
      </c>
      <c r="B3100" s="1">
        <f>IFERROR(__xludf.DUMMYFUNCTION("""COMPUTED_VALUE"""),66.67)</f>
        <v>66.67</v>
      </c>
      <c r="C3100" s="1">
        <f>IFERROR(__xludf.DUMMYFUNCTION("""COMPUTED_VALUE"""),66.99)</f>
        <v>66.99</v>
      </c>
      <c r="D3100" s="1">
        <f>IFERROR(__xludf.DUMMYFUNCTION("""COMPUTED_VALUE"""),66.5)</f>
        <v>66.5</v>
      </c>
      <c r="E3100" s="1">
        <f>IFERROR(__xludf.DUMMYFUNCTION("""COMPUTED_VALUE"""),66.89)</f>
        <v>66.89</v>
      </c>
      <c r="F3100" s="1">
        <f>IFERROR(__xludf.DUMMYFUNCTION("""COMPUTED_VALUE"""),6994557.0)</f>
        <v>6994557</v>
      </c>
    </row>
    <row r="3101">
      <c r="A3101" s="2">
        <f>IFERROR(__xludf.DUMMYFUNCTION("""COMPUTED_VALUE"""),41025.666666666664)</f>
        <v>41025.66667</v>
      </c>
      <c r="B3101" s="1">
        <f>IFERROR(__xludf.DUMMYFUNCTION("""COMPUTED_VALUE"""),66.64)</f>
        <v>66.64</v>
      </c>
      <c r="C3101" s="1">
        <f>IFERROR(__xludf.DUMMYFUNCTION("""COMPUTED_VALUE"""),67.14)</f>
        <v>67.14</v>
      </c>
      <c r="D3101" s="1">
        <f>IFERROR(__xludf.DUMMYFUNCTION("""COMPUTED_VALUE"""),66.63)</f>
        <v>66.63</v>
      </c>
      <c r="E3101" s="1">
        <f>IFERROR(__xludf.DUMMYFUNCTION("""COMPUTED_VALUE"""),66.87)</f>
        <v>66.87</v>
      </c>
      <c r="F3101" s="1">
        <f>IFERROR(__xludf.DUMMYFUNCTION("""COMPUTED_VALUE"""),8415923.0)</f>
        <v>8415923</v>
      </c>
    </row>
    <row r="3102">
      <c r="A3102" s="2">
        <f>IFERROR(__xludf.DUMMYFUNCTION("""COMPUTED_VALUE"""),41026.666666666664)</f>
        <v>41026.66667</v>
      </c>
      <c r="B3102" s="1">
        <f>IFERROR(__xludf.DUMMYFUNCTION("""COMPUTED_VALUE"""),65.1)</f>
        <v>65.1</v>
      </c>
      <c r="C3102" s="1">
        <f>IFERROR(__xludf.DUMMYFUNCTION("""COMPUTED_VALUE"""),65.26)</f>
        <v>65.26</v>
      </c>
      <c r="D3102" s="1">
        <f>IFERROR(__xludf.DUMMYFUNCTION("""COMPUTED_VALUE"""),63.95)</f>
        <v>63.95</v>
      </c>
      <c r="E3102" s="1">
        <f>IFERROR(__xludf.DUMMYFUNCTION("""COMPUTED_VALUE"""),64.44)</f>
        <v>64.44</v>
      </c>
      <c r="F3102" s="1">
        <f>IFERROR(__xludf.DUMMYFUNCTION("""COMPUTED_VALUE"""),2.8283168E7)</f>
        <v>28283168</v>
      </c>
    </row>
    <row r="3103">
      <c r="A3103" s="2">
        <f>IFERROR(__xludf.DUMMYFUNCTION("""COMPUTED_VALUE"""),41029.666666666664)</f>
        <v>41029.66667</v>
      </c>
      <c r="B3103" s="1">
        <f>IFERROR(__xludf.DUMMYFUNCTION("""COMPUTED_VALUE"""),63.58)</f>
        <v>63.58</v>
      </c>
      <c r="C3103" s="1">
        <f>IFERROR(__xludf.DUMMYFUNCTION("""COMPUTED_VALUE"""),64.16)</f>
        <v>64.16</v>
      </c>
      <c r="D3103" s="1">
        <f>IFERROR(__xludf.DUMMYFUNCTION("""COMPUTED_VALUE"""),63.29)</f>
        <v>63.29</v>
      </c>
      <c r="E3103" s="1">
        <f>IFERROR(__xludf.DUMMYFUNCTION("""COMPUTED_VALUE"""),63.64)</f>
        <v>63.64</v>
      </c>
      <c r="F3103" s="1">
        <f>IFERROR(__xludf.DUMMYFUNCTION("""COMPUTED_VALUE"""),1.9195308E7)</f>
        <v>19195308</v>
      </c>
    </row>
    <row r="3104">
      <c r="A3104" s="2">
        <f>IFERROR(__xludf.DUMMYFUNCTION("""COMPUTED_VALUE"""),41030.666666666664)</f>
        <v>41030.66667</v>
      </c>
      <c r="B3104" s="1">
        <f>IFERROR(__xludf.DUMMYFUNCTION("""COMPUTED_VALUE"""),63.34)</f>
        <v>63.34</v>
      </c>
      <c r="C3104" s="1">
        <f>IFERROR(__xludf.DUMMYFUNCTION("""COMPUTED_VALUE"""),63.74)</f>
        <v>63.74</v>
      </c>
      <c r="D3104" s="1">
        <f>IFERROR(__xludf.DUMMYFUNCTION("""COMPUTED_VALUE"""),63.29)</f>
        <v>63.29</v>
      </c>
      <c r="E3104" s="1">
        <f>IFERROR(__xludf.DUMMYFUNCTION("""COMPUTED_VALUE"""),63.57)</f>
        <v>63.57</v>
      </c>
      <c r="F3104" s="1">
        <f>IFERROR(__xludf.DUMMYFUNCTION("""COMPUTED_VALUE"""),1.1902026E7)</f>
        <v>11902026</v>
      </c>
    </row>
    <row r="3105">
      <c r="A3105" s="2">
        <f>IFERROR(__xludf.DUMMYFUNCTION("""COMPUTED_VALUE"""),41031.666666666664)</f>
        <v>41031.66667</v>
      </c>
      <c r="B3105" s="1">
        <f>IFERROR(__xludf.DUMMYFUNCTION("""COMPUTED_VALUE"""),63.66)</f>
        <v>63.66</v>
      </c>
      <c r="C3105" s="1">
        <f>IFERROR(__xludf.DUMMYFUNCTION("""COMPUTED_VALUE"""),64.11)</f>
        <v>64.11</v>
      </c>
      <c r="D3105" s="1">
        <f>IFERROR(__xludf.DUMMYFUNCTION("""COMPUTED_VALUE"""),63.4)</f>
        <v>63.4</v>
      </c>
      <c r="E3105" s="1">
        <f>IFERROR(__xludf.DUMMYFUNCTION("""COMPUTED_VALUE"""),63.98)</f>
        <v>63.98</v>
      </c>
      <c r="F3105" s="1">
        <f>IFERROR(__xludf.DUMMYFUNCTION("""COMPUTED_VALUE"""),9689169.0)</f>
        <v>9689169</v>
      </c>
    </row>
    <row r="3106">
      <c r="A3106" s="2">
        <f>IFERROR(__xludf.DUMMYFUNCTION("""COMPUTED_VALUE"""),41032.666666666664)</f>
        <v>41032.66667</v>
      </c>
      <c r="B3106" s="1">
        <f>IFERROR(__xludf.DUMMYFUNCTION("""COMPUTED_VALUE"""),64.29)</f>
        <v>64.29</v>
      </c>
      <c r="C3106" s="1">
        <f>IFERROR(__xludf.DUMMYFUNCTION("""COMPUTED_VALUE"""),64.76)</f>
        <v>64.76</v>
      </c>
      <c r="D3106" s="1">
        <f>IFERROR(__xludf.DUMMYFUNCTION("""COMPUTED_VALUE"""),64.16)</f>
        <v>64.16</v>
      </c>
      <c r="E3106" s="1">
        <f>IFERROR(__xludf.DUMMYFUNCTION("""COMPUTED_VALUE"""),64.51)</f>
        <v>64.51</v>
      </c>
      <c r="F3106" s="1">
        <f>IFERROR(__xludf.DUMMYFUNCTION("""COMPUTED_VALUE"""),1.208159E7)</f>
        <v>12081590</v>
      </c>
    </row>
    <row r="3107">
      <c r="A3107" s="2">
        <f>IFERROR(__xludf.DUMMYFUNCTION("""COMPUTED_VALUE"""),41033.666666666664)</f>
        <v>41033.66667</v>
      </c>
      <c r="B3107" s="1">
        <f>IFERROR(__xludf.DUMMYFUNCTION("""COMPUTED_VALUE"""),64.53)</f>
        <v>64.53</v>
      </c>
      <c r="C3107" s="1">
        <f>IFERROR(__xludf.DUMMYFUNCTION("""COMPUTED_VALUE"""),64.75)</f>
        <v>64.75</v>
      </c>
      <c r="D3107" s="1">
        <f>IFERROR(__xludf.DUMMYFUNCTION("""COMPUTED_VALUE"""),64.24)</f>
        <v>64.24</v>
      </c>
      <c r="E3107" s="1">
        <f>IFERROR(__xludf.DUMMYFUNCTION("""COMPUTED_VALUE"""),64.28)</f>
        <v>64.28</v>
      </c>
      <c r="F3107" s="1">
        <f>IFERROR(__xludf.DUMMYFUNCTION("""COMPUTED_VALUE"""),1.2006712E7)</f>
        <v>12006712</v>
      </c>
    </row>
    <row r="3108">
      <c r="A3108" s="2">
        <f>IFERROR(__xludf.DUMMYFUNCTION("""COMPUTED_VALUE"""),41036.666666666664)</f>
        <v>41036.66667</v>
      </c>
      <c r="B3108" s="1">
        <f>IFERROR(__xludf.DUMMYFUNCTION("""COMPUTED_VALUE"""),63.46)</f>
        <v>63.46</v>
      </c>
      <c r="C3108" s="1">
        <f>IFERROR(__xludf.DUMMYFUNCTION("""COMPUTED_VALUE"""),64.5)</f>
        <v>64.5</v>
      </c>
      <c r="D3108" s="1">
        <f>IFERROR(__xludf.DUMMYFUNCTION("""COMPUTED_VALUE"""),63.36)</f>
        <v>63.36</v>
      </c>
      <c r="E3108" s="1">
        <f>IFERROR(__xludf.DUMMYFUNCTION("""COMPUTED_VALUE"""),64.25)</f>
        <v>64.25</v>
      </c>
      <c r="F3108" s="1">
        <f>IFERROR(__xludf.DUMMYFUNCTION("""COMPUTED_VALUE"""),1.1124636E7)</f>
        <v>11124636</v>
      </c>
    </row>
    <row r="3109">
      <c r="A3109" s="2">
        <f>IFERROR(__xludf.DUMMYFUNCTION("""COMPUTED_VALUE"""),41037.666666666664)</f>
        <v>41037.66667</v>
      </c>
      <c r="B3109" s="1">
        <f>IFERROR(__xludf.DUMMYFUNCTION("""COMPUTED_VALUE"""),64.13)</f>
        <v>64.13</v>
      </c>
      <c r="C3109" s="1">
        <f>IFERROR(__xludf.DUMMYFUNCTION("""COMPUTED_VALUE"""),64.44)</f>
        <v>64.44</v>
      </c>
      <c r="D3109" s="1">
        <f>IFERROR(__xludf.DUMMYFUNCTION("""COMPUTED_VALUE"""),64.11)</f>
        <v>64.11</v>
      </c>
      <c r="E3109" s="1">
        <f>IFERROR(__xludf.DUMMYFUNCTION("""COMPUTED_VALUE"""),64.16)</f>
        <v>64.16</v>
      </c>
      <c r="F3109" s="1">
        <f>IFERROR(__xludf.DUMMYFUNCTION("""COMPUTED_VALUE"""),1.1483662E7)</f>
        <v>11483662</v>
      </c>
    </row>
    <row r="3110">
      <c r="A3110" s="2">
        <f>IFERROR(__xludf.DUMMYFUNCTION("""COMPUTED_VALUE"""),41038.666666666664)</f>
        <v>41038.66667</v>
      </c>
      <c r="B3110" s="1">
        <f>IFERROR(__xludf.DUMMYFUNCTION("""COMPUTED_VALUE"""),63.93)</f>
        <v>63.93</v>
      </c>
      <c r="C3110" s="1">
        <f>IFERROR(__xludf.DUMMYFUNCTION("""COMPUTED_VALUE"""),64.29)</f>
        <v>64.29</v>
      </c>
      <c r="D3110" s="1">
        <f>IFERROR(__xludf.DUMMYFUNCTION("""COMPUTED_VALUE"""),63.57)</f>
        <v>63.57</v>
      </c>
      <c r="E3110" s="1">
        <f>IFERROR(__xludf.DUMMYFUNCTION("""COMPUTED_VALUE"""),63.67)</f>
        <v>63.67</v>
      </c>
      <c r="F3110" s="1">
        <f>IFERROR(__xludf.DUMMYFUNCTION("""COMPUTED_VALUE"""),1.3844875E7)</f>
        <v>13844875</v>
      </c>
    </row>
    <row r="3111">
      <c r="A3111" s="2">
        <f>IFERROR(__xludf.DUMMYFUNCTION("""COMPUTED_VALUE"""),41039.666666666664)</f>
        <v>41039.66667</v>
      </c>
      <c r="B3111" s="1">
        <f>IFERROR(__xludf.DUMMYFUNCTION("""COMPUTED_VALUE"""),64.0)</f>
        <v>64</v>
      </c>
      <c r="C3111" s="1">
        <f>IFERROR(__xludf.DUMMYFUNCTION("""COMPUTED_VALUE"""),64.34)</f>
        <v>64.34</v>
      </c>
      <c r="D3111" s="1">
        <f>IFERROR(__xludf.DUMMYFUNCTION("""COMPUTED_VALUE"""),63.83)</f>
        <v>63.83</v>
      </c>
      <c r="E3111" s="1">
        <f>IFERROR(__xludf.DUMMYFUNCTION("""COMPUTED_VALUE"""),64.14)</f>
        <v>64.14</v>
      </c>
      <c r="F3111" s="1">
        <f>IFERROR(__xludf.DUMMYFUNCTION("""COMPUTED_VALUE"""),8110364.0)</f>
        <v>8110364</v>
      </c>
    </row>
    <row r="3112">
      <c r="A3112" s="2">
        <f>IFERROR(__xludf.DUMMYFUNCTION("""COMPUTED_VALUE"""),41040.666666666664)</f>
        <v>41040.66667</v>
      </c>
      <c r="B3112" s="1">
        <f>IFERROR(__xludf.DUMMYFUNCTION("""COMPUTED_VALUE"""),64.06)</f>
        <v>64.06</v>
      </c>
      <c r="C3112" s="1">
        <f>IFERROR(__xludf.DUMMYFUNCTION("""COMPUTED_VALUE"""),64.15)</f>
        <v>64.15</v>
      </c>
      <c r="D3112" s="1">
        <f>IFERROR(__xludf.DUMMYFUNCTION("""COMPUTED_VALUE"""),63.62)</f>
        <v>63.62</v>
      </c>
      <c r="E3112" s="1">
        <f>IFERROR(__xludf.DUMMYFUNCTION("""COMPUTED_VALUE"""),63.68)</f>
        <v>63.68</v>
      </c>
      <c r="F3112" s="1">
        <f>IFERROR(__xludf.DUMMYFUNCTION("""COMPUTED_VALUE"""),1.1317953E7)</f>
        <v>11317953</v>
      </c>
    </row>
    <row r="3113">
      <c r="A3113" s="2">
        <f>IFERROR(__xludf.DUMMYFUNCTION("""COMPUTED_VALUE"""),41043.666666666664)</f>
        <v>41043.66667</v>
      </c>
      <c r="B3113" s="1">
        <f>IFERROR(__xludf.DUMMYFUNCTION("""COMPUTED_VALUE"""),63.5)</f>
        <v>63.5</v>
      </c>
      <c r="C3113" s="1">
        <f>IFERROR(__xludf.DUMMYFUNCTION("""COMPUTED_VALUE"""),63.76)</f>
        <v>63.76</v>
      </c>
      <c r="D3113" s="1">
        <f>IFERROR(__xludf.DUMMYFUNCTION("""COMPUTED_VALUE"""),63.3)</f>
        <v>63.3</v>
      </c>
      <c r="E3113" s="1">
        <f>IFERROR(__xludf.DUMMYFUNCTION("""COMPUTED_VALUE"""),63.58)</f>
        <v>63.58</v>
      </c>
      <c r="F3113" s="1">
        <f>IFERROR(__xludf.DUMMYFUNCTION("""COMPUTED_VALUE"""),9902648.0)</f>
        <v>9902648</v>
      </c>
    </row>
    <row r="3114">
      <c r="A3114" s="2">
        <f>IFERROR(__xludf.DUMMYFUNCTION("""COMPUTED_VALUE"""),41044.666666666664)</f>
        <v>41044.66667</v>
      </c>
      <c r="B3114" s="1">
        <f>IFERROR(__xludf.DUMMYFUNCTION("""COMPUTED_VALUE"""),63.72)</f>
        <v>63.72</v>
      </c>
      <c r="C3114" s="1">
        <f>IFERROR(__xludf.DUMMYFUNCTION("""COMPUTED_VALUE"""),64.22)</f>
        <v>64.22</v>
      </c>
      <c r="D3114" s="1">
        <f>IFERROR(__xludf.DUMMYFUNCTION("""COMPUTED_VALUE"""),63.5)</f>
        <v>63.5</v>
      </c>
      <c r="E3114" s="1">
        <f>IFERROR(__xludf.DUMMYFUNCTION("""COMPUTED_VALUE"""),63.72)</f>
        <v>63.72</v>
      </c>
      <c r="F3114" s="1">
        <f>IFERROR(__xludf.DUMMYFUNCTION("""COMPUTED_VALUE"""),1.2824672E7)</f>
        <v>12824672</v>
      </c>
    </row>
    <row r="3115">
      <c r="A3115" s="2">
        <f>IFERROR(__xludf.DUMMYFUNCTION("""COMPUTED_VALUE"""),41045.666666666664)</f>
        <v>41045.66667</v>
      </c>
      <c r="B3115" s="1">
        <f>IFERROR(__xludf.DUMMYFUNCTION("""COMPUTED_VALUE"""),64.34)</f>
        <v>64.34</v>
      </c>
      <c r="C3115" s="1">
        <f>IFERROR(__xludf.DUMMYFUNCTION("""COMPUTED_VALUE"""),64.81)</f>
        <v>64.81</v>
      </c>
      <c r="D3115" s="1">
        <f>IFERROR(__xludf.DUMMYFUNCTION("""COMPUTED_VALUE"""),64.0)</f>
        <v>64</v>
      </c>
      <c r="E3115" s="1">
        <f>IFERROR(__xludf.DUMMYFUNCTION("""COMPUTED_VALUE"""),64.29)</f>
        <v>64.29</v>
      </c>
      <c r="F3115" s="1">
        <f>IFERROR(__xludf.DUMMYFUNCTION("""COMPUTED_VALUE"""),1.2375052E7)</f>
        <v>12375052</v>
      </c>
    </row>
    <row r="3116">
      <c r="A3116" s="2">
        <f>IFERROR(__xludf.DUMMYFUNCTION("""COMPUTED_VALUE"""),41046.666666666664)</f>
        <v>41046.66667</v>
      </c>
      <c r="B3116" s="1">
        <f>IFERROR(__xludf.DUMMYFUNCTION("""COMPUTED_VALUE"""),64.12)</f>
        <v>64.12</v>
      </c>
      <c r="C3116" s="1">
        <f>IFERROR(__xludf.DUMMYFUNCTION("""COMPUTED_VALUE"""),64.4)</f>
        <v>64.4</v>
      </c>
      <c r="D3116" s="1">
        <f>IFERROR(__xludf.DUMMYFUNCTION("""COMPUTED_VALUE"""),63.91)</f>
        <v>63.91</v>
      </c>
      <c r="E3116" s="1">
        <f>IFERROR(__xludf.DUMMYFUNCTION("""COMPUTED_VALUE"""),63.96)</f>
        <v>63.96</v>
      </c>
      <c r="F3116" s="1">
        <f>IFERROR(__xludf.DUMMYFUNCTION("""COMPUTED_VALUE"""),1.0264344E7)</f>
        <v>10264344</v>
      </c>
    </row>
    <row r="3117">
      <c r="A3117" s="2">
        <f>IFERROR(__xludf.DUMMYFUNCTION("""COMPUTED_VALUE"""),41047.666666666664)</f>
        <v>41047.66667</v>
      </c>
      <c r="B3117" s="1">
        <f>IFERROR(__xludf.DUMMYFUNCTION("""COMPUTED_VALUE"""),64.19)</f>
        <v>64.19</v>
      </c>
      <c r="C3117" s="1">
        <f>IFERROR(__xludf.DUMMYFUNCTION("""COMPUTED_VALUE"""),64.25)</f>
        <v>64.25</v>
      </c>
      <c r="D3117" s="1">
        <f>IFERROR(__xludf.DUMMYFUNCTION("""COMPUTED_VALUE"""),63.4)</f>
        <v>63.4</v>
      </c>
      <c r="E3117" s="1">
        <f>IFERROR(__xludf.DUMMYFUNCTION("""COMPUTED_VALUE"""),63.52)</f>
        <v>63.52</v>
      </c>
      <c r="F3117" s="1">
        <f>IFERROR(__xludf.DUMMYFUNCTION("""COMPUTED_VALUE"""),1.1583221E7)</f>
        <v>11583221</v>
      </c>
    </row>
    <row r="3118">
      <c r="A3118" s="2">
        <f>IFERROR(__xludf.DUMMYFUNCTION("""COMPUTED_VALUE"""),41050.666666666664)</f>
        <v>41050.66667</v>
      </c>
      <c r="B3118" s="1">
        <f>IFERROR(__xludf.DUMMYFUNCTION("""COMPUTED_VALUE"""),63.66)</f>
        <v>63.66</v>
      </c>
      <c r="C3118" s="1">
        <f>IFERROR(__xludf.DUMMYFUNCTION("""COMPUTED_VALUE"""),63.8)</f>
        <v>63.8</v>
      </c>
      <c r="D3118" s="1">
        <f>IFERROR(__xludf.DUMMYFUNCTION("""COMPUTED_VALUE"""),62.95)</f>
        <v>62.95</v>
      </c>
      <c r="E3118" s="1">
        <f>IFERROR(__xludf.DUMMYFUNCTION("""COMPUTED_VALUE"""),63.39)</f>
        <v>63.39</v>
      </c>
      <c r="F3118" s="1">
        <f>IFERROR(__xludf.DUMMYFUNCTION("""COMPUTED_VALUE"""),9553129.0)</f>
        <v>9553129</v>
      </c>
    </row>
    <row r="3119">
      <c r="A3119" s="2">
        <f>IFERROR(__xludf.DUMMYFUNCTION("""COMPUTED_VALUE"""),41051.666666666664)</f>
        <v>41051.66667</v>
      </c>
      <c r="B3119" s="1">
        <f>IFERROR(__xludf.DUMMYFUNCTION("""COMPUTED_VALUE"""),63.43)</f>
        <v>63.43</v>
      </c>
      <c r="C3119" s="1">
        <f>IFERROR(__xludf.DUMMYFUNCTION("""COMPUTED_VALUE"""),63.55)</f>
        <v>63.55</v>
      </c>
      <c r="D3119" s="1">
        <f>IFERROR(__xludf.DUMMYFUNCTION("""COMPUTED_VALUE"""),62.98)</f>
        <v>62.98</v>
      </c>
      <c r="E3119" s="1">
        <f>IFERROR(__xludf.DUMMYFUNCTION("""COMPUTED_VALUE"""),63.15)</f>
        <v>63.15</v>
      </c>
      <c r="F3119" s="1">
        <f>IFERROR(__xludf.DUMMYFUNCTION("""COMPUTED_VALUE"""),7536539.0)</f>
        <v>7536539</v>
      </c>
    </row>
    <row r="3120">
      <c r="A3120" s="2">
        <f>IFERROR(__xludf.DUMMYFUNCTION("""COMPUTED_VALUE"""),41052.666666666664)</f>
        <v>41052.66667</v>
      </c>
      <c r="B3120" s="1">
        <f>IFERROR(__xludf.DUMMYFUNCTION("""COMPUTED_VALUE"""),63.0)</f>
        <v>63</v>
      </c>
      <c r="C3120" s="1">
        <f>IFERROR(__xludf.DUMMYFUNCTION("""COMPUTED_VALUE"""),63.05)</f>
        <v>63.05</v>
      </c>
      <c r="D3120" s="1">
        <f>IFERROR(__xludf.DUMMYFUNCTION("""COMPUTED_VALUE"""),62.04)</f>
        <v>62.04</v>
      </c>
      <c r="E3120" s="1">
        <f>IFERROR(__xludf.DUMMYFUNCTION("""COMPUTED_VALUE"""),62.39)</f>
        <v>62.39</v>
      </c>
      <c r="F3120" s="1">
        <f>IFERROR(__xludf.DUMMYFUNCTION("""COMPUTED_VALUE"""),1.3765331E7)</f>
        <v>13765331</v>
      </c>
    </row>
    <row r="3121">
      <c r="A3121" s="2">
        <f>IFERROR(__xludf.DUMMYFUNCTION("""COMPUTED_VALUE"""),41053.666666666664)</f>
        <v>41053.66667</v>
      </c>
      <c r="B3121" s="1">
        <f>IFERROR(__xludf.DUMMYFUNCTION("""COMPUTED_VALUE"""),62.49)</f>
        <v>62.49</v>
      </c>
      <c r="C3121" s="1">
        <f>IFERROR(__xludf.DUMMYFUNCTION("""COMPUTED_VALUE"""),62.98)</f>
        <v>62.98</v>
      </c>
      <c r="D3121" s="1">
        <f>IFERROR(__xludf.DUMMYFUNCTION("""COMPUTED_VALUE"""),62.23)</f>
        <v>62.23</v>
      </c>
      <c r="E3121" s="1">
        <f>IFERROR(__xludf.DUMMYFUNCTION("""COMPUTED_VALUE"""),62.57)</f>
        <v>62.57</v>
      </c>
      <c r="F3121" s="1">
        <f>IFERROR(__xludf.DUMMYFUNCTION("""COMPUTED_VALUE"""),9178028.0)</f>
        <v>9178028</v>
      </c>
    </row>
    <row r="3122">
      <c r="A3122" s="2">
        <f>IFERROR(__xludf.DUMMYFUNCTION("""COMPUTED_VALUE"""),41054.666666666664)</f>
        <v>41054.66667</v>
      </c>
      <c r="B3122" s="1">
        <f>IFERROR(__xludf.DUMMYFUNCTION("""COMPUTED_VALUE"""),62.58)</f>
        <v>62.58</v>
      </c>
      <c r="C3122" s="1">
        <f>IFERROR(__xludf.DUMMYFUNCTION("""COMPUTED_VALUE"""),63.2)</f>
        <v>63.2</v>
      </c>
      <c r="D3122" s="1">
        <f>IFERROR(__xludf.DUMMYFUNCTION("""COMPUTED_VALUE"""),62.4)</f>
        <v>62.4</v>
      </c>
      <c r="E3122" s="1">
        <f>IFERROR(__xludf.DUMMYFUNCTION("""COMPUTED_VALUE"""),62.49)</f>
        <v>62.49</v>
      </c>
      <c r="F3122" s="1">
        <f>IFERROR(__xludf.DUMMYFUNCTION("""COMPUTED_VALUE"""),7377903.0)</f>
        <v>7377903</v>
      </c>
    </row>
    <row r="3123">
      <c r="A3123" s="2">
        <f>IFERROR(__xludf.DUMMYFUNCTION("""COMPUTED_VALUE"""),41058.666666666664)</f>
        <v>41058.66667</v>
      </c>
      <c r="B3123" s="1">
        <f>IFERROR(__xludf.DUMMYFUNCTION("""COMPUTED_VALUE"""),62.64)</f>
        <v>62.64</v>
      </c>
      <c r="C3123" s="1">
        <f>IFERROR(__xludf.DUMMYFUNCTION("""COMPUTED_VALUE"""),63.03)</f>
        <v>63.03</v>
      </c>
      <c r="D3123" s="1">
        <f>IFERROR(__xludf.DUMMYFUNCTION("""COMPUTED_VALUE"""),62.62)</f>
        <v>62.62</v>
      </c>
      <c r="E3123" s="1">
        <f>IFERROR(__xludf.DUMMYFUNCTION("""COMPUTED_VALUE"""),62.95)</f>
        <v>62.95</v>
      </c>
      <c r="F3123" s="1">
        <f>IFERROR(__xludf.DUMMYFUNCTION("""COMPUTED_VALUE"""),7403546.0)</f>
        <v>7403546</v>
      </c>
    </row>
    <row r="3124">
      <c r="A3124" s="2">
        <f>IFERROR(__xludf.DUMMYFUNCTION("""COMPUTED_VALUE"""),41059.666666666664)</f>
        <v>41059.66667</v>
      </c>
      <c r="B3124" s="1">
        <f>IFERROR(__xludf.DUMMYFUNCTION("""COMPUTED_VALUE"""),62.64)</f>
        <v>62.64</v>
      </c>
      <c r="C3124" s="1">
        <f>IFERROR(__xludf.DUMMYFUNCTION("""COMPUTED_VALUE"""),62.89)</f>
        <v>62.89</v>
      </c>
      <c r="D3124" s="1">
        <f>IFERROR(__xludf.DUMMYFUNCTION("""COMPUTED_VALUE"""),62.24)</f>
        <v>62.24</v>
      </c>
      <c r="E3124" s="1">
        <f>IFERROR(__xludf.DUMMYFUNCTION("""COMPUTED_VALUE"""),62.32)</f>
        <v>62.32</v>
      </c>
      <c r="F3124" s="1">
        <f>IFERROR(__xludf.DUMMYFUNCTION("""COMPUTED_VALUE"""),7494145.0)</f>
        <v>7494145</v>
      </c>
    </row>
    <row r="3125">
      <c r="A3125" s="2">
        <f>IFERROR(__xludf.DUMMYFUNCTION("""COMPUTED_VALUE"""),41060.666666666664)</f>
        <v>41060.66667</v>
      </c>
      <c r="B3125" s="1">
        <f>IFERROR(__xludf.DUMMYFUNCTION("""COMPUTED_VALUE"""),62.6)</f>
        <v>62.6</v>
      </c>
      <c r="C3125" s="1">
        <f>IFERROR(__xludf.DUMMYFUNCTION("""COMPUTED_VALUE"""),62.62)</f>
        <v>62.62</v>
      </c>
      <c r="D3125" s="1">
        <f>IFERROR(__xludf.DUMMYFUNCTION("""COMPUTED_VALUE"""),61.98)</f>
        <v>61.98</v>
      </c>
      <c r="E3125" s="1">
        <f>IFERROR(__xludf.DUMMYFUNCTION("""COMPUTED_VALUE"""),62.29)</f>
        <v>62.29</v>
      </c>
      <c r="F3125" s="1">
        <f>IFERROR(__xludf.DUMMYFUNCTION("""COMPUTED_VALUE"""),9273620.0)</f>
        <v>9273620</v>
      </c>
    </row>
    <row r="3126">
      <c r="A3126" s="2">
        <f>IFERROR(__xludf.DUMMYFUNCTION("""COMPUTED_VALUE"""),41061.666666666664)</f>
        <v>41061.66667</v>
      </c>
      <c r="B3126" s="1">
        <f>IFERROR(__xludf.DUMMYFUNCTION("""COMPUTED_VALUE"""),61.76)</f>
        <v>61.76</v>
      </c>
      <c r="C3126" s="1">
        <f>IFERROR(__xludf.DUMMYFUNCTION("""COMPUTED_VALUE"""),61.94)</f>
        <v>61.94</v>
      </c>
      <c r="D3126" s="1">
        <f>IFERROR(__xludf.DUMMYFUNCTION("""COMPUTED_VALUE"""),61.2)</f>
        <v>61.2</v>
      </c>
      <c r="E3126" s="1">
        <f>IFERROR(__xludf.DUMMYFUNCTION("""COMPUTED_VALUE"""),61.55)</f>
        <v>61.55</v>
      </c>
      <c r="F3126" s="1">
        <f>IFERROR(__xludf.DUMMYFUNCTION("""COMPUTED_VALUE"""),1.2729184E7)</f>
        <v>12729184</v>
      </c>
    </row>
    <row r="3127">
      <c r="A3127" s="2">
        <f>IFERROR(__xludf.DUMMYFUNCTION("""COMPUTED_VALUE"""),41064.666666666664)</f>
        <v>41064.66667</v>
      </c>
      <c r="B3127" s="1">
        <f>IFERROR(__xludf.DUMMYFUNCTION("""COMPUTED_VALUE"""),61.69)</f>
        <v>61.69</v>
      </c>
      <c r="C3127" s="1">
        <f>IFERROR(__xludf.DUMMYFUNCTION("""COMPUTED_VALUE"""),61.7)</f>
        <v>61.7</v>
      </c>
      <c r="D3127" s="1">
        <f>IFERROR(__xludf.DUMMYFUNCTION("""COMPUTED_VALUE"""),61.1)</f>
        <v>61.1</v>
      </c>
      <c r="E3127" s="1">
        <f>IFERROR(__xludf.DUMMYFUNCTION("""COMPUTED_VALUE"""),61.4)</f>
        <v>61.4</v>
      </c>
      <c r="F3127" s="1">
        <f>IFERROR(__xludf.DUMMYFUNCTION("""COMPUTED_VALUE"""),7768242.0)</f>
        <v>7768242</v>
      </c>
    </row>
    <row r="3128">
      <c r="A3128" s="2">
        <f>IFERROR(__xludf.DUMMYFUNCTION("""COMPUTED_VALUE"""),41065.666666666664)</f>
        <v>41065.66667</v>
      </c>
      <c r="B3128" s="1">
        <f>IFERROR(__xludf.DUMMYFUNCTION("""COMPUTED_VALUE"""),61.21)</f>
        <v>61.21</v>
      </c>
      <c r="C3128" s="1">
        <f>IFERROR(__xludf.DUMMYFUNCTION("""COMPUTED_VALUE"""),61.33)</f>
        <v>61.33</v>
      </c>
      <c r="D3128" s="1">
        <f>IFERROR(__xludf.DUMMYFUNCTION("""COMPUTED_VALUE"""),61.02)</f>
        <v>61.02</v>
      </c>
      <c r="E3128" s="1">
        <f>IFERROR(__xludf.DUMMYFUNCTION("""COMPUTED_VALUE"""),61.17)</f>
        <v>61.17</v>
      </c>
      <c r="F3128" s="1">
        <f>IFERROR(__xludf.DUMMYFUNCTION("""COMPUTED_VALUE"""),7855517.0)</f>
        <v>7855517</v>
      </c>
    </row>
    <row r="3129">
      <c r="A3129" s="2">
        <f>IFERROR(__xludf.DUMMYFUNCTION("""COMPUTED_VALUE"""),41066.666666666664)</f>
        <v>41066.66667</v>
      </c>
      <c r="B3129" s="1">
        <f>IFERROR(__xludf.DUMMYFUNCTION("""COMPUTED_VALUE"""),61.27)</f>
        <v>61.27</v>
      </c>
      <c r="C3129" s="1">
        <f>IFERROR(__xludf.DUMMYFUNCTION("""COMPUTED_VALUE"""),61.89)</f>
        <v>61.89</v>
      </c>
      <c r="D3129" s="1">
        <f>IFERROR(__xludf.DUMMYFUNCTION("""COMPUTED_VALUE"""),61.16)</f>
        <v>61.16</v>
      </c>
      <c r="E3129" s="1">
        <f>IFERROR(__xludf.DUMMYFUNCTION("""COMPUTED_VALUE"""),61.8)</f>
        <v>61.8</v>
      </c>
      <c r="F3129" s="1">
        <f>IFERROR(__xludf.DUMMYFUNCTION("""COMPUTED_VALUE"""),9621910.0)</f>
        <v>9621910</v>
      </c>
    </row>
    <row r="3130">
      <c r="A3130" s="2">
        <f>IFERROR(__xludf.DUMMYFUNCTION("""COMPUTED_VALUE"""),41067.666666666664)</f>
        <v>41067.66667</v>
      </c>
      <c r="B3130" s="1">
        <f>IFERROR(__xludf.DUMMYFUNCTION("""COMPUTED_VALUE"""),62.08)</f>
        <v>62.08</v>
      </c>
      <c r="C3130" s="1">
        <f>IFERROR(__xludf.DUMMYFUNCTION("""COMPUTED_VALUE"""),62.84)</f>
        <v>62.84</v>
      </c>
      <c r="D3130" s="1">
        <f>IFERROR(__xludf.DUMMYFUNCTION("""COMPUTED_VALUE"""),61.72)</f>
        <v>61.72</v>
      </c>
      <c r="E3130" s="1">
        <f>IFERROR(__xludf.DUMMYFUNCTION("""COMPUTED_VALUE"""),62.76)</f>
        <v>62.76</v>
      </c>
      <c r="F3130" s="1">
        <f>IFERROR(__xludf.DUMMYFUNCTION("""COMPUTED_VALUE"""),1.3905951E7)</f>
        <v>13905951</v>
      </c>
    </row>
    <row r="3131">
      <c r="A3131" s="2">
        <f>IFERROR(__xludf.DUMMYFUNCTION("""COMPUTED_VALUE"""),41068.666666666664)</f>
        <v>41068.66667</v>
      </c>
      <c r="B3131" s="1">
        <f>IFERROR(__xludf.DUMMYFUNCTION("""COMPUTED_VALUE"""),63.04)</f>
        <v>63.04</v>
      </c>
      <c r="C3131" s="1">
        <f>IFERROR(__xludf.DUMMYFUNCTION("""COMPUTED_VALUE"""),63.19)</f>
        <v>63.19</v>
      </c>
      <c r="D3131" s="1">
        <f>IFERROR(__xludf.DUMMYFUNCTION("""COMPUTED_VALUE"""),62.57)</f>
        <v>62.57</v>
      </c>
      <c r="E3131" s="1">
        <f>IFERROR(__xludf.DUMMYFUNCTION("""COMPUTED_VALUE"""),62.75)</f>
        <v>62.75</v>
      </c>
      <c r="F3131" s="1">
        <f>IFERROR(__xludf.DUMMYFUNCTION("""COMPUTED_VALUE"""),7704518.0)</f>
        <v>7704518</v>
      </c>
    </row>
    <row r="3132">
      <c r="A3132" s="2">
        <f>IFERROR(__xludf.DUMMYFUNCTION("""COMPUTED_VALUE"""),41071.666666666664)</f>
        <v>41071.66667</v>
      </c>
      <c r="B3132" s="1">
        <f>IFERROR(__xludf.DUMMYFUNCTION("""COMPUTED_VALUE"""),62.99)</f>
        <v>62.99</v>
      </c>
      <c r="C3132" s="1">
        <f>IFERROR(__xludf.DUMMYFUNCTION("""COMPUTED_VALUE"""),63.06)</f>
        <v>63.06</v>
      </c>
      <c r="D3132" s="1">
        <f>IFERROR(__xludf.DUMMYFUNCTION("""COMPUTED_VALUE"""),62.5)</f>
        <v>62.5</v>
      </c>
      <c r="E3132" s="1">
        <f>IFERROR(__xludf.DUMMYFUNCTION("""COMPUTED_VALUE"""),62.54)</f>
        <v>62.54</v>
      </c>
      <c r="F3132" s="1">
        <f>IFERROR(__xludf.DUMMYFUNCTION("""COMPUTED_VALUE"""),6345464.0)</f>
        <v>6345464</v>
      </c>
    </row>
    <row r="3133">
      <c r="A3133" s="2">
        <f>IFERROR(__xludf.DUMMYFUNCTION("""COMPUTED_VALUE"""),41072.666666666664)</f>
        <v>41072.66667</v>
      </c>
      <c r="B3133" s="1">
        <f>IFERROR(__xludf.DUMMYFUNCTION("""COMPUTED_VALUE"""),62.5)</f>
        <v>62.5</v>
      </c>
      <c r="C3133" s="1">
        <f>IFERROR(__xludf.DUMMYFUNCTION("""COMPUTED_VALUE"""),62.77)</f>
        <v>62.77</v>
      </c>
      <c r="D3133" s="1">
        <f>IFERROR(__xludf.DUMMYFUNCTION("""COMPUTED_VALUE"""),62.21)</f>
        <v>62.21</v>
      </c>
      <c r="E3133" s="1">
        <f>IFERROR(__xludf.DUMMYFUNCTION("""COMPUTED_VALUE"""),62.76)</f>
        <v>62.76</v>
      </c>
      <c r="F3133" s="1">
        <f>IFERROR(__xludf.DUMMYFUNCTION("""COMPUTED_VALUE"""),7814492.0)</f>
        <v>7814492</v>
      </c>
    </row>
    <row r="3134">
      <c r="A3134" s="2">
        <f>IFERROR(__xludf.DUMMYFUNCTION("""COMPUTED_VALUE"""),41073.666666666664)</f>
        <v>41073.66667</v>
      </c>
      <c r="B3134" s="1">
        <f>IFERROR(__xludf.DUMMYFUNCTION("""COMPUTED_VALUE"""),62.61)</f>
        <v>62.61</v>
      </c>
      <c r="C3134" s="1">
        <f>IFERROR(__xludf.DUMMYFUNCTION("""COMPUTED_VALUE"""),62.77)</f>
        <v>62.77</v>
      </c>
      <c r="D3134" s="1">
        <f>IFERROR(__xludf.DUMMYFUNCTION("""COMPUTED_VALUE"""),62.27)</f>
        <v>62.27</v>
      </c>
      <c r="E3134" s="1">
        <f>IFERROR(__xludf.DUMMYFUNCTION("""COMPUTED_VALUE"""),62.57)</f>
        <v>62.57</v>
      </c>
      <c r="F3134" s="1">
        <f>IFERROR(__xludf.DUMMYFUNCTION("""COMPUTED_VALUE"""),6838446.0)</f>
        <v>6838446</v>
      </c>
    </row>
    <row r="3135">
      <c r="A3135" s="2">
        <f>IFERROR(__xludf.DUMMYFUNCTION("""COMPUTED_VALUE"""),41074.666666666664)</f>
        <v>41074.66667</v>
      </c>
      <c r="B3135" s="1">
        <f>IFERROR(__xludf.DUMMYFUNCTION("""COMPUTED_VALUE"""),62.76)</f>
        <v>62.76</v>
      </c>
      <c r="C3135" s="1">
        <f>IFERROR(__xludf.DUMMYFUNCTION("""COMPUTED_VALUE"""),63.43)</f>
        <v>63.43</v>
      </c>
      <c r="D3135" s="1">
        <f>IFERROR(__xludf.DUMMYFUNCTION("""COMPUTED_VALUE"""),62.7)</f>
        <v>62.7</v>
      </c>
      <c r="E3135" s="1">
        <f>IFERROR(__xludf.DUMMYFUNCTION("""COMPUTED_VALUE"""),63.18)</f>
        <v>63.18</v>
      </c>
      <c r="F3135" s="1">
        <f>IFERROR(__xludf.DUMMYFUNCTION("""COMPUTED_VALUE"""),8389039.0)</f>
        <v>8389039</v>
      </c>
    </row>
    <row r="3136">
      <c r="A3136" s="2">
        <f>IFERROR(__xludf.DUMMYFUNCTION("""COMPUTED_VALUE"""),41075.666666666664)</f>
        <v>41075.66667</v>
      </c>
      <c r="B3136" s="1">
        <f>IFERROR(__xludf.DUMMYFUNCTION("""COMPUTED_VALUE"""),63.53)</f>
        <v>63.53</v>
      </c>
      <c r="C3136" s="1">
        <f>IFERROR(__xludf.DUMMYFUNCTION("""COMPUTED_VALUE"""),63.67)</f>
        <v>63.67</v>
      </c>
      <c r="D3136" s="1">
        <f>IFERROR(__xludf.DUMMYFUNCTION("""COMPUTED_VALUE"""),62.52)</f>
        <v>62.52</v>
      </c>
      <c r="E3136" s="1">
        <f>IFERROR(__xludf.DUMMYFUNCTION("""COMPUTED_VALUE"""),62.88)</f>
        <v>62.88</v>
      </c>
      <c r="F3136" s="1">
        <f>IFERROR(__xludf.DUMMYFUNCTION("""COMPUTED_VALUE"""),1.4137245E7)</f>
        <v>14137245</v>
      </c>
    </row>
    <row r="3137">
      <c r="A3137" s="2">
        <f>IFERROR(__xludf.DUMMYFUNCTION("""COMPUTED_VALUE"""),41078.666666666664)</f>
        <v>41078.66667</v>
      </c>
      <c r="B3137" s="1">
        <f>IFERROR(__xludf.DUMMYFUNCTION("""COMPUTED_VALUE"""),62.56)</f>
        <v>62.56</v>
      </c>
      <c r="C3137" s="1">
        <f>IFERROR(__xludf.DUMMYFUNCTION("""COMPUTED_VALUE"""),62.75)</f>
        <v>62.75</v>
      </c>
      <c r="D3137" s="1">
        <f>IFERROR(__xludf.DUMMYFUNCTION("""COMPUTED_VALUE"""),61.79)</f>
        <v>61.79</v>
      </c>
      <c r="E3137" s="1">
        <f>IFERROR(__xludf.DUMMYFUNCTION("""COMPUTED_VALUE"""),62.29)</f>
        <v>62.29</v>
      </c>
      <c r="F3137" s="1">
        <f>IFERROR(__xludf.DUMMYFUNCTION("""COMPUTED_VALUE"""),1.0290342E7)</f>
        <v>10290342</v>
      </c>
    </row>
    <row r="3138">
      <c r="A3138" s="2">
        <f>IFERROR(__xludf.DUMMYFUNCTION("""COMPUTED_VALUE"""),41079.666666666664)</f>
        <v>41079.66667</v>
      </c>
      <c r="B3138" s="1">
        <f>IFERROR(__xludf.DUMMYFUNCTION("""COMPUTED_VALUE"""),62.41)</f>
        <v>62.41</v>
      </c>
      <c r="C3138" s="1">
        <f>IFERROR(__xludf.DUMMYFUNCTION("""COMPUTED_VALUE"""),62.75)</f>
        <v>62.75</v>
      </c>
      <c r="D3138" s="1">
        <f>IFERROR(__xludf.DUMMYFUNCTION("""COMPUTED_VALUE"""),62.1)</f>
        <v>62.1</v>
      </c>
      <c r="E3138" s="1">
        <f>IFERROR(__xludf.DUMMYFUNCTION("""COMPUTED_VALUE"""),62.21)</f>
        <v>62.21</v>
      </c>
      <c r="F3138" s="1">
        <f>IFERROR(__xludf.DUMMYFUNCTION("""COMPUTED_VALUE"""),1.2844881E7)</f>
        <v>12844881</v>
      </c>
    </row>
    <row r="3139">
      <c r="A3139" s="2">
        <f>IFERROR(__xludf.DUMMYFUNCTION("""COMPUTED_VALUE"""),41080.666666666664)</f>
        <v>41080.66667</v>
      </c>
      <c r="B3139" s="1">
        <f>IFERROR(__xludf.DUMMYFUNCTION("""COMPUTED_VALUE"""),60.89)</f>
        <v>60.89</v>
      </c>
      <c r="C3139" s="1">
        <f>IFERROR(__xludf.DUMMYFUNCTION("""COMPUTED_VALUE"""),60.89)</f>
        <v>60.89</v>
      </c>
      <c r="D3139" s="1">
        <f>IFERROR(__xludf.DUMMYFUNCTION("""COMPUTED_VALUE"""),59.74)</f>
        <v>59.74</v>
      </c>
      <c r="E3139" s="1">
        <f>IFERROR(__xludf.DUMMYFUNCTION("""COMPUTED_VALUE"""),60.39)</f>
        <v>60.39</v>
      </c>
      <c r="F3139" s="1">
        <f>IFERROR(__xludf.DUMMYFUNCTION("""COMPUTED_VALUE"""),3.9135496E7)</f>
        <v>39135496</v>
      </c>
    </row>
    <row r="3140">
      <c r="A3140" s="2">
        <f>IFERROR(__xludf.DUMMYFUNCTION("""COMPUTED_VALUE"""),41081.666666666664)</f>
        <v>41081.66667</v>
      </c>
      <c r="B3140" s="1">
        <f>IFERROR(__xludf.DUMMYFUNCTION("""COMPUTED_VALUE"""),60.36)</f>
        <v>60.36</v>
      </c>
      <c r="C3140" s="1">
        <f>IFERROR(__xludf.DUMMYFUNCTION("""COMPUTED_VALUE"""),60.48)</f>
        <v>60.48</v>
      </c>
      <c r="D3140" s="1">
        <f>IFERROR(__xludf.DUMMYFUNCTION("""COMPUTED_VALUE"""),59.75)</f>
        <v>59.75</v>
      </c>
      <c r="E3140" s="1">
        <f>IFERROR(__xludf.DUMMYFUNCTION("""COMPUTED_VALUE"""),59.75)</f>
        <v>59.75</v>
      </c>
      <c r="F3140" s="1">
        <f>IFERROR(__xludf.DUMMYFUNCTION("""COMPUTED_VALUE"""),1.887679E7)</f>
        <v>18876790</v>
      </c>
    </row>
    <row r="3141">
      <c r="A3141" s="2">
        <f>IFERROR(__xludf.DUMMYFUNCTION("""COMPUTED_VALUE"""),41082.666666666664)</f>
        <v>41082.66667</v>
      </c>
      <c r="B3141" s="1">
        <f>IFERROR(__xludf.DUMMYFUNCTION("""COMPUTED_VALUE"""),59.77)</f>
        <v>59.77</v>
      </c>
      <c r="C3141" s="1">
        <f>IFERROR(__xludf.DUMMYFUNCTION("""COMPUTED_VALUE"""),60.3)</f>
        <v>60.3</v>
      </c>
      <c r="D3141" s="1">
        <f>IFERROR(__xludf.DUMMYFUNCTION("""COMPUTED_VALUE"""),59.76)</f>
        <v>59.76</v>
      </c>
      <c r="E3141" s="1">
        <f>IFERROR(__xludf.DUMMYFUNCTION("""COMPUTED_VALUE"""),59.83)</f>
        <v>59.83</v>
      </c>
      <c r="F3141" s="1">
        <f>IFERROR(__xludf.DUMMYFUNCTION("""COMPUTED_VALUE"""),1.4403883E7)</f>
        <v>14403883</v>
      </c>
    </row>
    <row r="3142">
      <c r="A3142" s="2">
        <f>IFERROR(__xludf.DUMMYFUNCTION("""COMPUTED_VALUE"""),41085.666666666664)</f>
        <v>41085.66667</v>
      </c>
      <c r="B3142" s="1">
        <f>IFERROR(__xludf.DUMMYFUNCTION("""COMPUTED_VALUE"""),59.54)</f>
        <v>59.54</v>
      </c>
      <c r="C3142" s="1">
        <f>IFERROR(__xludf.DUMMYFUNCTION("""COMPUTED_VALUE"""),59.93)</f>
        <v>59.93</v>
      </c>
      <c r="D3142" s="1">
        <f>IFERROR(__xludf.DUMMYFUNCTION("""COMPUTED_VALUE"""),59.25)</f>
        <v>59.25</v>
      </c>
      <c r="E3142" s="1">
        <f>IFERROR(__xludf.DUMMYFUNCTION("""COMPUTED_VALUE"""),59.31)</f>
        <v>59.31</v>
      </c>
      <c r="F3142" s="1">
        <f>IFERROR(__xludf.DUMMYFUNCTION("""COMPUTED_VALUE"""),1.1745449E7)</f>
        <v>11745449</v>
      </c>
    </row>
    <row r="3143">
      <c r="A3143" s="2">
        <f>IFERROR(__xludf.DUMMYFUNCTION("""COMPUTED_VALUE"""),41086.666666666664)</f>
        <v>41086.66667</v>
      </c>
      <c r="B3143" s="1">
        <f>IFERROR(__xludf.DUMMYFUNCTION("""COMPUTED_VALUE"""),59.45)</f>
        <v>59.45</v>
      </c>
      <c r="C3143" s="1">
        <f>IFERROR(__xludf.DUMMYFUNCTION("""COMPUTED_VALUE"""),59.58)</f>
        <v>59.58</v>
      </c>
      <c r="D3143" s="1">
        <f>IFERROR(__xludf.DUMMYFUNCTION("""COMPUTED_VALUE"""),59.07)</f>
        <v>59.07</v>
      </c>
      <c r="E3143" s="1">
        <f>IFERROR(__xludf.DUMMYFUNCTION("""COMPUTED_VALUE"""),59.27)</f>
        <v>59.27</v>
      </c>
      <c r="F3143" s="1">
        <f>IFERROR(__xludf.DUMMYFUNCTION("""COMPUTED_VALUE"""),8794237.0)</f>
        <v>8794237</v>
      </c>
    </row>
    <row r="3144">
      <c r="A3144" s="2">
        <f>IFERROR(__xludf.DUMMYFUNCTION("""COMPUTED_VALUE"""),41087.666666666664)</f>
        <v>41087.66667</v>
      </c>
      <c r="B3144" s="1">
        <f>IFERROR(__xludf.DUMMYFUNCTION("""COMPUTED_VALUE"""),59.24)</f>
        <v>59.24</v>
      </c>
      <c r="C3144" s="1">
        <f>IFERROR(__xludf.DUMMYFUNCTION("""COMPUTED_VALUE"""),60.0)</f>
        <v>60</v>
      </c>
      <c r="D3144" s="1">
        <f>IFERROR(__xludf.DUMMYFUNCTION("""COMPUTED_VALUE"""),59.15)</f>
        <v>59.15</v>
      </c>
      <c r="E3144" s="1">
        <f>IFERROR(__xludf.DUMMYFUNCTION("""COMPUTED_VALUE"""),59.98)</f>
        <v>59.98</v>
      </c>
      <c r="F3144" s="1">
        <f>IFERROR(__xludf.DUMMYFUNCTION("""COMPUTED_VALUE"""),1.1454069E7)</f>
        <v>11454069</v>
      </c>
    </row>
    <row r="3145">
      <c r="A3145" s="2">
        <f>IFERROR(__xludf.DUMMYFUNCTION("""COMPUTED_VALUE"""),41088.666666666664)</f>
        <v>41088.66667</v>
      </c>
      <c r="B3145" s="1">
        <f>IFERROR(__xludf.DUMMYFUNCTION("""COMPUTED_VALUE"""),59.7)</f>
        <v>59.7</v>
      </c>
      <c r="C3145" s="1">
        <f>IFERROR(__xludf.DUMMYFUNCTION("""COMPUTED_VALUE"""),60.29)</f>
        <v>60.29</v>
      </c>
      <c r="D3145" s="1">
        <f>IFERROR(__xludf.DUMMYFUNCTION("""COMPUTED_VALUE"""),59.33)</f>
        <v>59.33</v>
      </c>
      <c r="E3145" s="1">
        <f>IFERROR(__xludf.DUMMYFUNCTION("""COMPUTED_VALUE"""),60.29)</f>
        <v>60.29</v>
      </c>
      <c r="F3145" s="1">
        <f>IFERROR(__xludf.DUMMYFUNCTION("""COMPUTED_VALUE"""),9207550.0)</f>
        <v>9207550</v>
      </c>
    </row>
    <row r="3146">
      <c r="A3146" s="2">
        <f>IFERROR(__xludf.DUMMYFUNCTION("""COMPUTED_VALUE"""),41089.666666666664)</f>
        <v>41089.66667</v>
      </c>
      <c r="B3146" s="1">
        <f>IFERROR(__xludf.DUMMYFUNCTION("""COMPUTED_VALUE"""),60.65)</f>
        <v>60.65</v>
      </c>
      <c r="C3146" s="1">
        <f>IFERROR(__xludf.DUMMYFUNCTION("""COMPUTED_VALUE"""),61.27)</f>
        <v>61.27</v>
      </c>
      <c r="D3146" s="1">
        <f>IFERROR(__xludf.DUMMYFUNCTION("""COMPUTED_VALUE"""),60.54)</f>
        <v>60.54</v>
      </c>
      <c r="E3146" s="1">
        <f>IFERROR(__xludf.DUMMYFUNCTION("""COMPUTED_VALUE"""),61.25)</f>
        <v>61.25</v>
      </c>
      <c r="F3146" s="1">
        <f>IFERROR(__xludf.DUMMYFUNCTION("""COMPUTED_VALUE"""),1.3302506E7)</f>
        <v>13302506</v>
      </c>
    </row>
    <row r="3147">
      <c r="A3147" s="2">
        <f>IFERROR(__xludf.DUMMYFUNCTION("""COMPUTED_VALUE"""),41092.666666666664)</f>
        <v>41092.66667</v>
      </c>
      <c r="B3147" s="1">
        <f>IFERROR(__xludf.DUMMYFUNCTION("""COMPUTED_VALUE"""),61.04)</f>
        <v>61.04</v>
      </c>
      <c r="C3147" s="1">
        <f>IFERROR(__xludf.DUMMYFUNCTION("""COMPUTED_VALUE"""),61.26)</f>
        <v>61.26</v>
      </c>
      <c r="D3147" s="1">
        <f>IFERROR(__xludf.DUMMYFUNCTION("""COMPUTED_VALUE"""),60.78)</f>
        <v>60.78</v>
      </c>
      <c r="E3147" s="1">
        <f>IFERROR(__xludf.DUMMYFUNCTION("""COMPUTED_VALUE"""),61.19)</f>
        <v>61.19</v>
      </c>
      <c r="F3147" s="1">
        <f>IFERROR(__xludf.DUMMYFUNCTION("""COMPUTED_VALUE"""),8916578.0)</f>
        <v>8916578</v>
      </c>
    </row>
    <row r="3148">
      <c r="A3148" s="2">
        <f>IFERROR(__xludf.DUMMYFUNCTION("""COMPUTED_VALUE"""),41093.666666666664)</f>
        <v>41093.66667</v>
      </c>
      <c r="B3148" s="1">
        <f>IFERROR(__xludf.DUMMYFUNCTION("""COMPUTED_VALUE"""),61.13)</f>
        <v>61.13</v>
      </c>
      <c r="C3148" s="1">
        <f>IFERROR(__xludf.DUMMYFUNCTION("""COMPUTED_VALUE"""),61.4)</f>
        <v>61.4</v>
      </c>
      <c r="D3148" s="1">
        <f>IFERROR(__xludf.DUMMYFUNCTION("""COMPUTED_VALUE"""),60.82)</f>
        <v>60.82</v>
      </c>
      <c r="E3148" s="1">
        <f>IFERROR(__xludf.DUMMYFUNCTION("""COMPUTED_VALUE"""),61.36)</f>
        <v>61.36</v>
      </c>
      <c r="F3148" s="1">
        <f>IFERROR(__xludf.DUMMYFUNCTION("""COMPUTED_VALUE"""),4818139.0)</f>
        <v>4818139</v>
      </c>
    </row>
    <row r="3149">
      <c r="A3149" s="2">
        <f>IFERROR(__xludf.DUMMYFUNCTION("""COMPUTED_VALUE"""),41095.666666666664)</f>
        <v>41095.66667</v>
      </c>
      <c r="B3149" s="1">
        <f>IFERROR(__xludf.DUMMYFUNCTION("""COMPUTED_VALUE"""),61.44)</f>
        <v>61.44</v>
      </c>
      <c r="C3149" s="1">
        <f>IFERROR(__xludf.DUMMYFUNCTION("""COMPUTED_VALUE"""),61.6)</f>
        <v>61.6</v>
      </c>
      <c r="D3149" s="1">
        <f>IFERROR(__xludf.DUMMYFUNCTION("""COMPUTED_VALUE"""),61.19)</f>
        <v>61.19</v>
      </c>
      <c r="E3149" s="1">
        <f>IFERROR(__xludf.DUMMYFUNCTION("""COMPUTED_VALUE"""),61.35)</f>
        <v>61.35</v>
      </c>
      <c r="F3149" s="1">
        <f>IFERROR(__xludf.DUMMYFUNCTION("""COMPUTED_VALUE"""),3.5413848E7)</f>
        <v>35413848</v>
      </c>
    </row>
    <row r="3150">
      <c r="A3150" s="2">
        <f>IFERROR(__xludf.DUMMYFUNCTION("""COMPUTED_VALUE"""),41096.666666666664)</f>
        <v>41096.66667</v>
      </c>
      <c r="B3150" s="1">
        <f>IFERROR(__xludf.DUMMYFUNCTION("""COMPUTED_VALUE"""),61.22)</f>
        <v>61.22</v>
      </c>
      <c r="C3150" s="1">
        <f>IFERROR(__xludf.DUMMYFUNCTION("""COMPUTED_VALUE"""),61.39)</f>
        <v>61.39</v>
      </c>
      <c r="D3150" s="1">
        <f>IFERROR(__xludf.DUMMYFUNCTION("""COMPUTED_VALUE"""),60.86)</f>
        <v>60.86</v>
      </c>
      <c r="E3150" s="1">
        <f>IFERROR(__xludf.DUMMYFUNCTION("""COMPUTED_VALUE"""),61.28)</f>
        <v>61.28</v>
      </c>
      <c r="F3150" s="1">
        <f>IFERROR(__xludf.DUMMYFUNCTION("""COMPUTED_VALUE"""),3.6773408E7)</f>
        <v>36773408</v>
      </c>
    </row>
    <row r="3151">
      <c r="A3151" s="2">
        <f>IFERROR(__xludf.DUMMYFUNCTION("""COMPUTED_VALUE"""),41099.666666666664)</f>
        <v>41099.66667</v>
      </c>
      <c r="B3151" s="1">
        <f>IFERROR(__xludf.DUMMYFUNCTION("""COMPUTED_VALUE"""),61.12)</f>
        <v>61.12</v>
      </c>
      <c r="C3151" s="1">
        <f>IFERROR(__xludf.DUMMYFUNCTION("""COMPUTED_VALUE"""),61.8)</f>
        <v>61.8</v>
      </c>
      <c r="D3151" s="1">
        <f>IFERROR(__xludf.DUMMYFUNCTION("""COMPUTED_VALUE"""),61.12)</f>
        <v>61.12</v>
      </c>
      <c r="E3151" s="1">
        <f>IFERROR(__xludf.DUMMYFUNCTION("""COMPUTED_VALUE"""),61.55)</f>
        <v>61.55</v>
      </c>
      <c r="F3151" s="1">
        <f>IFERROR(__xludf.DUMMYFUNCTION("""COMPUTED_VALUE"""),3.3492324E7)</f>
        <v>33492324</v>
      </c>
    </row>
    <row r="3152">
      <c r="A3152" s="2">
        <f>IFERROR(__xludf.DUMMYFUNCTION("""COMPUTED_VALUE"""),41100.666666666664)</f>
        <v>41100.66667</v>
      </c>
      <c r="B3152" s="1">
        <f>IFERROR(__xludf.DUMMYFUNCTION("""COMPUTED_VALUE"""),61.71)</f>
        <v>61.71</v>
      </c>
      <c r="C3152" s="1">
        <f>IFERROR(__xludf.DUMMYFUNCTION("""COMPUTED_VALUE"""),61.9)</f>
        <v>61.9</v>
      </c>
      <c r="D3152" s="1">
        <f>IFERROR(__xludf.DUMMYFUNCTION("""COMPUTED_VALUE"""),61.49)</f>
        <v>61.49</v>
      </c>
      <c r="E3152" s="1">
        <f>IFERROR(__xludf.DUMMYFUNCTION("""COMPUTED_VALUE"""),61.73)</f>
        <v>61.73</v>
      </c>
      <c r="F3152" s="1">
        <f>IFERROR(__xludf.DUMMYFUNCTION("""COMPUTED_VALUE"""),8651835.0)</f>
        <v>8651835</v>
      </c>
    </row>
    <row r="3153">
      <c r="A3153" s="2">
        <f>IFERROR(__xludf.DUMMYFUNCTION("""COMPUTED_VALUE"""),41101.666666666664)</f>
        <v>41101.66667</v>
      </c>
      <c r="B3153" s="1">
        <f>IFERROR(__xludf.DUMMYFUNCTION("""COMPUTED_VALUE"""),61.77)</f>
        <v>61.77</v>
      </c>
      <c r="C3153" s="1">
        <f>IFERROR(__xludf.DUMMYFUNCTION("""COMPUTED_VALUE"""),61.77)</f>
        <v>61.77</v>
      </c>
      <c r="D3153" s="1">
        <f>IFERROR(__xludf.DUMMYFUNCTION("""COMPUTED_VALUE"""),60.98)</f>
        <v>60.98</v>
      </c>
      <c r="E3153" s="1">
        <f>IFERROR(__xludf.DUMMYFUNCTION("""COMPUTED_VALUE"""),61.4)</f>
        <v>61.4</v>
      </c>
      <c r="F3153" s="1">
        <f>IFERROR(__xludf.DUMMYFUNCTION("""COMPUTED_VALUE"""),9975914.0)</f>
        <v>9975914</v>
      </c>
    </row>
    <row r="3154">
      <c r="A3154" s="2">
        <f>IFERROR(__xludf.DUMMYFUNCTION("""COMPUTED_VALUE"""),41102.666666666664)</f>
        <v>41102.66667</v>
      </c>
      <c r="B3154" s="1">
        <f>IFERROR(__xludf.DUMMYFUNCTION("""COMPUTED_VALUE"""),62.84)</f>
        <v>62.84</v>
      </c>
      <c r="C3154" s="1">
        <f>IFERROR(__xludf.DUMMYFUNCTION("""COMPUTED_VALUE"""),64.27)</f>
        <v>64.27</v>
      </c>
      <c r="D3154" s="1">
        <f>IFERROR(__xludf.DUMMYFUNCTION("""COMPUTED_VALUE"""),62.7)</f>
        <v>62.7</v>
      </c>
      <c r="E3154" s="1">
        <f>IFERROR(__xludf.DUMMYFUNCTION("""COMPUTED_VALUE"""),63.7)</f>
        <v>63.7</v>
      </c>
      <c r="F3154" s="1">
        <f>IFERROR(__xludf.DUMMYFUNCTION("""COMPUTED_VALUE"""),3.714082E7)</f>
        <v>37140820</v>
      </c>
    </row>
    <row r="3155">
      <c r="A3155" s="2">
        <f>IFERROR(__xludf.DUMMYFUNCTION("""COMPUTED_VALUE"""),41103.666666666664)</f>
        <v>41103.66667</v>
      </c>
      <c r="B3155" s="1">
        <f>IFERROR(__xludf.DUMMYFUNCTION("""COMPUTED_VALUE"""),63.93)</f>
        <v>63.93</v>
      </c>
      <c r="C3155" s="1">
        <f>IFERROR(__xludf.DUMMYFUNCTION("""COMPUTED_VALUE"""),65.75)</f>
        <v>65.75</v>
      </c>
      <c r="D3155" s="1">
        <f>IFERROR(__xludf.DUMMYFUNCTION("""COMPUTED_VALUE"""),63.77)</f>
        <v>63.77</v>
      </c>
      <c r="E3155" s="1">
        <f>IFERROR(__xludf.DUMMYFUNCTION("""COMPUTED_VALUE"""),65.09)</f>
        <v>65.09</v>
      </c>
      <c r="F3155" s="1">
        <f>IFERROR(__xludf.DUMMYFUNCTION("""COMPUTED_VALUE"""),2.91704E7)</f>
        <v>29170400</v>
      </c>
    </row>
    <row r="3156">
      <c r="A3156" s="2">
        <f>IFERROR(__xludf.DUMMYFUNCTION("""COMPUTED_VALUE"""),41106.666666666664)</f>
        <v>41106.66667</v>
      </c>
      <c r="B3156" s="1">
        <f>IFERROR(__xludf.DUMMYFUNCTION("""COMPUTED_VALUE"""),64.62)</f>
        <v>64.62</v>
      </c>
      <c r="C3156" s="1">
        <f>IFERROR(__xludf.DUMMYFUNCTION("""COMPUTED_VALUE"""),65.0)</f>
        <v>65</v>
      </c>
      <c r="D3156" s="1">
        <f>IFERROR(__xludf.DUMMYFUNCTION("""COMPUTED_VALUE"""),64.24)</f>
        <v>64.24</v>
      </c>
      <c r="E3156" s="1">
        <f>IFERROR(__xludf.DUMMYFUNCTION("""COMPUTED_VALUE"""),64.81)</f>
        <v>64.81</v>
      </c>
      <c r="F3156" s="1">
        <f>IFERROR(__xludf.DUMMYFUNCTION("""COMPUTED_VALUE"""),1.0676809E7)</f>
        <v>10676809</v>
      </c>
    </row>
    <row r="3157">
      <c r="A3157" s="2">
        <f>IFERROR(__xludf.DUMMYFUNCTION("""COMPUTED_VALUE"""),41107.666666666664)</f>
        <v>41107.66667</v>
      </c>
      <c r="B3157" s="1">
        <f>IFERROR(__xludf.DUMMYFUNCTION("""COMPUTED_VALUE"""),64.64)</f>
        <v>64.64</v>
      </c>
      <c r="C3157" s="1">
        <f>IFERROR(__xludf.DUMMYFUNCTION("""COMPUTED_VALUE"""),65.4)</f>
        <v>65.4</v>
      </c>
      <c r="D3157" s="1">
        <f>IFERROR(__xludf.DUMMYFUNCTION("""COMPUTED_VALUE"""),64.54)</f>
        <v>64.54</v>
      </c>
      <c r="E3157" s="1">
        <f>IFERROR(__xludf.DUMMYFUNCTION("""COMPUTED_VALUE"""),65.35)</f>
        <v>65.35</v>
      </c>
      <c r="F3157" s="1">
        <f>IFERROR(__xludf.DUMMYFUNCTION("""COMPUTED_VALUE"""),1.2566165E7)</f>
        <v>12566165</v>
      </c>
    </row>
    <row r="3158">
      <c r="A3158" s="2">
        <f>IFERROR(__xludf.DUMMYFUNCTION("""COMPUTED_VALUE"""),41108.666666666664)</f>
        <v>41108.66667</v>
      </c>
      <c r="B3158" s="1">
        <f>IFERROR(__xludf.DUMMYFUNCTION("""COMPUTED_VALUE"""),64.83)</f>
        <v>64.83</v>
      </c>
      <c r="C3158" s="1">
        <f>IFERROR(__xludf.DUMMYFUNCTION("""COMPUTED_VALUE"""),65.14)</f>
        <v>65.14</v>
      </c>
      <c r="D3158" s="1">
        <f>IFERROR(__xludf.DUMMYFUNCTION("""COMPUTED_VALUE"""),64.35)</f>
        <v>64.35</v>
      </c>
      <c r="E3158" s="1">
        <f>IFERROR(__xludf.DUMMYFUNCTION("""COMPUTED_VALUE"""),64.82)</f>
        <v>64.82</v>
      </c>
      <c r="F3158" s="1">
        <f>IFERROR(__xludf.DUMMYFUNCTION("""COMPUTED_VALUE"""),1.3387785E7)</f>
        <v>13387785</v>
      </c>
    </row>
    <row r="3159">
      <c r="A3159" s="2">
        <f>IFERROR(__xludf.DUMMYFUNCTION("""COMPUTED_VALUE"""),41109.666666666664)</f>
        <v>41109.66667</v>
      </c>
      <c r="B3159" s="1">
        <f>IFERROR(__xludf.DUMMYFUNCTION("""COMPUTED_VALUE"""),64.95)</f>
        <v>64.95</v>
      </c>
      <c r="C3159" s="1">
        <f>IFERROR(__xludf.DUMMYFUNCTION("""COMPUTED_VALUE"""),65.07)</f>
        <v>65.07</v>
      </c>
      <c r="D3159" s="1">
        <f>IFERROR(__xludf.DUMMYFUNCTION("""COMPUTED_VALUE"""),64.53)</f>
        <v>64.53</v>
      </c>
      <c r="E3159" s="1">
        <f>IFERROR(__xludf.DUMMYFUNCTION("""COMPUTED_VALUE"""),64.92)</f>
        <v>64.92</v>
      </c>
      <c r="F3159" s="1">
        <f>IFERROR(__xludf.DUMMYFUNCTION("""COMPUTED_VALUE"""),8077585.0)</f>
        <v>8077585</v>
      </c>
    </row>
    <row r="3160">
      <c r="A3160" s="2">
        <f>IFERROR(__xludf.DUMMYFUNCTION("""COMPUTED_VALUE"""),41110.666666666664)</f>
        <v>41110.66667</v>
      </c>
      <c r="B3160" s="1">
        <f>IFERROR(__xludf.DUMMYFUNCTION("""COMPUTED_VALUE"""),64.52)</f>
        <v>64.52</v>
      </c>
      <c r="C3160" s="1">
        <f>IFERROR(__xludf.DUMMYFUNCTION("""COMPUTED_VALUE"""),64.92)</f>
        <v>64.92</v>
      </c>
      <c r="D3160" s="1">
        <f>IFERROR(__xludf.DUMMYFUNCTION("""COMPUTED_VALUE"""),64.4)</f>
        <v>64.4</v>
      </c>
      <c r="E3160" s="1">
        <f>IFERROR(__xludf.DUMMYFUNCTION("""COMPUTED_VALUE"""),64.73)</f>
        <v>64.73</v>
      </c>
      <c r="F3160" s="1">
        <f>IFERROR(__xludf.DUMMYFUNCTION("""COMPUTED_VALUE"""),1.0122904E7)</f>
        <v>10122904</v>
      </c>
    </row>
    <row r="3161">
      <c r="A3161" s="2">
        <f>IFERROR(__xludf.DUMMYFUNCTION("""COMPUTED_VALUE"""),41113.666666666664)</f>
        <v>41113.66667</v>
      </c>
      <c r="B3161" s="1">
        <f>IFERROR(__xludf.DUMMYFUNCTION("""COMPUTED_VALUE"""),64.4)</f>
        <v>64.4</v>
      </c>
      <c r="C3161" s="1">
        <f>IFERROR(__xludf.DUMMYFUNCTION("""COMPUTED_VALUE"""),64.72)</f>
        <v>64.72</v>
      </c>
      <c r="D3161" s="1">
        <f>IFERROR(__xludf.DUMMYFUNCTION("""COMPUTED_VALUE"""),64.23)</f>
        <v>64.23</v>
      </c>
      <c r="E3161" s="1">
        <f>IFERROR(__xludf.DUMMYFUNCTION("""COMPUTED_VALUE"""),64.39)</f>
        <v>64.39</v>
      </c>
      <c r="F3161" s="1">
        <f>IFERROR(__xludf.DUMMYFUNCTION("""COMPUTED_VALUE"""),1.0711487E7)</f>
        <v>10711487</v>
      </c>
    </row>
    <row r="3162">
      <c r="A3162" s="2">
        <f>IFERROR(__xludf.DUMMYFUNCTION("""COMPUTED_VALUE"""),41114.666666666664)</f>
        <v>41114.66667</v>
      </c>
      <c r="B3162" s="1">
        <f>IFERROR(__xludf.DUMMYFUNCTION("""COMPUTED_VALUE"""),64.48)</f>
        <v>64.48</v>
      </c>
      <c r="C3162" s="1">
        <f>IFERROR(__xludf.DUMMYFUNCTION("""COMPUTED_VALUE"""),64.57)</f>
        <v>64.57</v>
      </c>
      <c r="D3162" s="1">
        <f>IFERROR(__xludf.DUMMYFUNCTION("""COMPUTED_VALUE"""),63.72)</f>
        <v>63.72</v>
      </c>
      <c r="E3162" s="1">
        <f>IFERROR(__xludf.DUMMYFUNCTION("""COMPUTED_VALUE"""),64.02)</f>
        <v>64.02</v>
      </c>
      <c r="F3162" s="1">
        <f>IFERROR(__xludf.DUMMYFUNCTION("""COMPUTED_VALUE"""),8272493.0)</f>
        <v>8272493</v>
      </c>
    </row>
    <row r="3163">
      <c r="A3163" s="2">
        <f>IFERROR(__xludf.DUMMYFUNCTION("""COMPUTED_VALUE"""),41115.666666666664)</f>
        <v>41115.66667</v>
      </c>
      <c r="B3163" s="1">
        <f>IFERROR(__xludf.DUMMYFUNCTION("""COMPUTED_VALUE"""),64.12)</f>
        <v>64.12</v>
      </c>
      <c r="C3163" s="1">
        <f>IFERROR(__xludf.DUMMYFUNCTION("""COMPUTED_VALUE"""),64.31)</f>
        <v>64.31</v>
      </c>
      <c r="D3163" s="1">
        <f>IFERROR(__xludf.DUMMYFUNCTION("""COMPUTED_VALUE"""),63.89)</f>
        <v>63.89</v>
      </c>
      <c r="E3163" s="1">
        <f>IFERROR(__xludf.DUMMYFUNCTION("""COMPUTED_VALUE"""),64.02)</f>
        <v>64.02</v>
      </c>
      <c r="F3163" s="1">
        <f>IFERROR(__xludf.DUMMYFUNCTION("""COMPUTED_VALUE"""),9424667.0)</f>
        <v>9424667</v>
      </c>
    </row>
    <row r="3164">
      <c r="A3164" s="2">
        <f>IFERROR(__xludf.DUMMYFUNCTION("""COMPUTED_VALUE"""),41116.666666666664)</f>
        <v>41116.66667</v>
      </c>
      <c r="B3164" s="1">
        <f>IFERROR(__xludf.DUMMYFUNCTION("""COMPUTED_VALUE"""),64.59)</f>
        <v>64.59</v>
      </c>
      <c r="C3164" s="1">
        <f>IFERROR(__xludf.DUMMYFUNCTION("""COMPUTED_VALUE"""),65.1)</f>
        <v>65.1</v>
      </c>
      <c r="D3164" s="1">
        <f>IFERROR(__xludf.DUMMYFUNCTION("""COMPUTED_VALUE"""),64.44)</f>
        <v>64.44</v>
      </c>
      <c r="E3164" s="1">
        <f>IFERROR(__xludf.DUMMYFUNCTION("""COMPUTED_VALUE"""),64.56)</f>
        <v>64.56</v>
      </c>
      <c r="F3164" s="1">
        <f>IFERROR(__xludf.DUMMYFUNCTION("""COMPUTED_VALUE"""),1.0480138E7)</f>
        <v>10480138</v>
      </c>
    </row>
    <row r="3165">
      <c r="A3165" s="2">
        <f>IFERROR(__xludf.DUMMYFUNCTION("""COMPUTED_VALUE"""),41117.666666666664)</f>
        <v>41117.66667</v>
      </c>
      <c r="B3165" s="1">
        <f>IFERROR(__xludf.DUMMYFUNCTION("""COMPUTED_VALUE"""),64.68)</f>
        <v>64.68</v>
      </c>
      <c r="C3165" s="1">
        <f>IFERROR(__xludf.DUMMYFUNCTION("""COMPUTED_VALUE"""),65.27)</f>
        <v>65.27</v>
      </c>
      <c r="D3165" s="1">
        <f>IFERROR(__xludf.DUMMYFUNCTION("""COMPUTED_VALUE"""),64.56)</f>
        <v>64.56</v>
      </c>
      <c r="E3165" s="1">
        <f>IFERROR(__xludf.DUMMYFUNCTION("""COMPUTED_VALUE"""),65.09)</f>
        <v>65.09</v>
      </c>
      <c r="F3165" s="1">
        <f>IFERROR(__xludf.DUMMYFUNCTION("""COMPUTED_VALUE"""),1.1141828E7)</f>
        <v>11141828</v>
      </c>
    </row>
    <row r="3166">
      <c r="A3166" s="2">
        <f>IFERROR(__xludf.DUMMYFUNCTION("""COMPUTED_VALUE"""),41120.666666666664)</f>
        <v>41120.66667</v>
      </c>
      <c r="B3166" s="1">
        <f>IFERROR(__xludf.DUMMYFUNCTION("""COMPUTED_VALUE"""),64.89)</f>
        <v>64.89</v>
      </c>
      <c r="C3166" s="1">
        <f>IFERROR(__xludf.DUMMYFUNCTION("""COMPUTED_VALUE"""),65.29)</f>
        <v>65.29</v>
      </c>
      <c r="D3166" s="1">
        <f>IFERROR(__xludf.DUMMYFUNCTION("""COMPUTED_VALUE"""),64.5)</f>
        <v>64.5</v>
      </c>
      <c r="E3166" s="1">
        <f>IFERROR(__xludf.DUMMYFUNCTION("""COMPUTED_VALUE"""),65.1)</f>
        <v>65.1</v>
      </c>
      <c r="F3166" s="1">
        <f>IFERROR(__xludf.DUMMYFUNCTION("""COMPUTED_VALUE"""),8388552.0)</f>
        <v>8388552</v>
      </c>
    </row>
    <row r="3167">
      <c r="A3167" s="2">
        <f>IFERROR(__xludf.DUMMYFUNCTION("""COMPUTED_VALUE"""),41121.666666666664)</f>
        <v>41121.66667</v>
      </c>
      <c r="B3167" s="1">
        <f>IFERROR(__xludf.DUMMYFUNCTION("""COMPUTED_VALUE"""),64.79)</f>
        <v>64.79</v>
      </c>
      <c r="C3167" s="1">
        <f>IFERROR(__xludf.DUMMYFUNCTION("""COMPUTED_VALUE"""),64.99)</f>
        <v>64.99</v>
      </c>
      <c r="D3167" s="1">
        <f>IFERROR(__xludf.DUMMYFUNCTION("""COMPUTED_VALUE"""),64.5)</f>
        <v>64.5</v>
      </c>
      <c r="E3167" s="1">
        <f>IFERROR(__xludf.DUMMYFUNCTION("""COMPUTED_VALUE"""),64.54)</f>
        <v>64.54</v>
      </c>
      <c r="F3167" s="1">
        <f>IFERROR(__xludf.DUMMYFUNCTION("""COMPUTED_VALUE"""),9327523.0)</f>
        <v>9327523</v>
      </c>
    </row>
    <row r="3168">
      <c r="A3168" s="2">
        <f>IFERROR(__xludf.DUMMYFUNCTION("""COMPUTED_VALUE"""),41122.666666666664)</f>
        <v>41122.66667</v>
      </c>
      <c r="B3168" s="1">
        <f>IFERROR(__xludf.DUMMYFUNCTION("""COMPUTED_VALUE"""),64.87)</f>
        <v>64.87</v>
      </c>
      <c r="C3168" s="1">
        <f>IFERROR(__xludf.DUMMYFUNCTION("""COMPUTED_VALUE"""),64.97)</f>
        <v>64.97</v>
      </c>
      <c r="D3168" s="1">
        <f>IFERROR(__xludf.DUMMYFUNCTION("""COMPUTED_VALUE"""),63.9)</f>
        <v>63.9</v>
      </c>
      <c r="E3168" s="1">
        <f>IFERROR(__xludf.DUMMYFUNCTION("""COMPUTED_VALUE"""),64.01)</f>
        <v>64.01</v>
      </c>
      <c r="F3168" s="1">
        <f>IFERROR(__xludf.DUMMYFUNCTION("""COMPUTED_VALUE"""),7783118.0)</f>
        <v>7783118</v>
      </c>
    </row>
    <row r="3169">
      <c r="A3169" s="2">
        <f>IFERROR(__xludf.DUMMYFUNCTION("""COMPUTED_VALUE"""),41123.666666666664)</f>
        <v>41123.66667</v>
      </c>
      <c r="B3169" s="1">
        <f>IFERROR(__xludf.DUMMYFUNCTION("""COMPUTED_VALUE"""),63.66)</f>
        <v>63.66</v>
      </c>
      <c r="C3169" s="1">
        <f>IFERROR(__xludf.DUMMYFUNCTION("""COMPUTED_VALUE"""),63.98)</f>
        <v>63.98</v>
      </c>
      <c r="D3169" s="1">
        <f>IFERROR(__xludf.DUMMYFUNCTION("""COMPUTED_VALUE"""),63.25)</f>
        <v>63.25</v>
      </c>
      <c r="E3169" s="1">
        <f>IFERROR(__xludf.DUMMYFUNCTION("""COMPUTED_VALUE"""),63.51)</f>
        <v>63.51</v>
      </c>
      <c r="F3169" s="1">
        <f>IFERROR(__xludf.DUMMYFUNCTION("""COMPUTED_VALUE"""),9462490.0)</f>
        <v>9462490</v>
      </c>
    </row>
    <row r="3170">
      <c r="A3170" s="2">
        <f>IFERROR(__xludf.DUMMYFUNCTION("""COMPUTED_VALUE"""),41124.666666666664)</f>
        <v>41124.66667</v>
      </c>
      <c r="B3170" s="1">
        <f>IFERROR(__xludf.DUMMYFUNCTION("""COMPUTED_VALUE"""),64.71)</f>
        <v>64.71</v>
      </c>
      <c r="C3170" s="1">
        <f>IFERROR(__xludf.DUMMYFUNCTION("""COMPUTED_VALUE"""),65.9)</f>
        <v>65.9</v>
      </c>
      <c r="D3170" s="1">
        <f>IFERROR(__xludf.DUMMYFUNCTION("""COMPUTED_VALUE"""),64.7)</f>
        <v>64.7</v>
      </c>
      <c r="E3170" s="1">
        <f>IFERROR(__xludf.DUMMYFUNCTION("""COMPUTED_VALUE"""),65.5)</f>
        <v>65.5</v>
      </c>
      <c r="F3170" s="1">
        <f>IFERROR(__xludf.DUMMYFUNCTION("""COMPUTED_VALUE"""),1.5279036E7)</f>
        <v>15279036</v>
      </c>
    </row>
    <row r="3171">
      <c r="A3171" s="2">
        <f>IFERROR(__xludf.DUMMYFUNCTION("""COMPUTED_VALUE"""),41127.666666666664)</f>
        <v>41127.66667</v>
      </c>
      <c r="B3171" s="1">
        <f>IFERROR(__xludf.DUMMYFUNCTION("""COMPUTED_VALUE"""),65.23)</f>
        <v>65.23</v>
      </c>
      <c r="C3171" s="1">
        <f>IFERROR(__xludf.DUMMYFUNCTION("""COMPUTED_VALUE"""),66.24)</f>
        <v>66.24</v>
      </c>
      <c r="D3171" s="1">
        <f>IFERROR(__xludf.DUMMYFUNCTION("""COMPUTED_VALUE"""),65.2)</f>
        <v>65.2</v>
      </c>
      <c r="E3171" s="1">
        <f>IFERROR(__xludf.DUMMYFUNCTION("""COMPUTED_VALUE"""),65.81)</f>
        <v>65.81</v>
      </c>
      <c r="F3171" s="1">
        <f>IFERROR(__xludf.DUMMYFUNCTION("""COMPUTED_VALUE"""),1.0034433E7)</f>
        <v>10034433</v>
      </c>
    </row>
    <row r="3172">
      <c r="A3172" s="2">
        <f>IFERROR(__xludf.DUMMYFUNCTION("""COMPUTED_VALUE"""),41128.666666666664)</f>
        <v>41128.66667</v>
      </c>
      <c r="B3172" s="1">
        <f>IFERROR(__xludf.DUMMYFUNCTION("""COMPUTED_VALUE"""),65.92)</f>
        <v>65.92</v>
      </c>
      <c r="C3172" s="1">
        <f>IFERROR(__xludf.DUMMYFUNCTION("""COMPUTED_VALUE"""),66.45)</f>
        <v>66.45</v>
      </c>
      <c r="D3172" s="1">
        <f>IFERROR(__xludf.DUMMYFUNCTION("""COMPUTED_VALUE"""),65.91)</f>
        <v>65.91</v>
      </c>
      <c r="E3172" s="1">
        <f>IFERROR(__xludf.DUMMYFUNCTION("""COMPUTED_VALUE"""),66.22)</f>
        <v>66.22</v>
      </c>
      <c r="F3172" s="1">
        <f>IFERROR(__xludf.DUMMYFUNCTION("""COMPUTED_VALUE"""),1.0463335E7)</f>
        <v>10463335</v>
      </c>
    </row>
    <row r="3173">
      <c r="A3173" s="2">
        <f>IFERROR(__xludf.DUMMYFUNCTION("""COMPUTED_VALUE"""),41129.666666666664)</f>
        <v>41129.66667</v>
      </c>
      <c r="B3173" s="1">
        <f>IFERROR(__xludf.DUMMYFUNCTION("""COMPUTED_VALUE"""),66.01)</f>
        <v>66.01</v>
      </c>
      <c r="C3173" s="1">
        <f>IFERROR(__xludf.DUMMYFUNCTION("""COMPUTED_VALUE"""),66.8)</f>
        <v>66.8</v>
      </c>
      <c r="D3173" s="1">
        <f>IFERROR(__xludf.DUMMYFUNCTION("""COMPUTED_VALUE"""),65.96)</f>
        <v>65.96</v>
      </c>
      <c r="E3173" s="1">
        <f>IFERROR(__xludf.DUMMYFUNCTION("""COMPUTED_VALUE"""),66.72)</f>
        <v>66.72</v>
      </c>
      <c r="F3173" s="1">
        <f>IFERROR(__xludf.DUMMYFUNCTION("""COMPUTED_VALUE"""),9673198.0)</f>
        <v>9673198</v>
      </c>
    </row>
    <row r="3174">
      <c r="A3174" s="2">
        <f>IFERROR(__xludf.DUMMYFUNCTION("""COMPUTED_VALUE"""),41130.666666666664)</f>
        <v>41130.66667</v>
      </c>
      <c r="B3174" s="1">
        <f>IFERROR(__xludf.DUMMYFUNCTION("""COMPUTED_VALUE"""),66.59)</f>
        <v>66.59</v>
      </c>
      <c r="C3174" s="1">
        <f>IFERROR(__xludf.DUMMYFUNCTION("""COMPUTED_VALUE"""),66.93)</f>
        <v>66.93</v>
      </c>
      <c r="D3174" s="1">
        <f>IFERROR(__xludf.DUMMYFUNCTION("""COMPUTED_VALUE"""),66.4)</f>
        <v>66.4</v>
      </c>
      <c r="E3174" s="1">
        <f>IFERROR(__xludf.DUMMYFUNCTION("""COMPUTED_VALUE"""),66.73)</f>
        <v>66.73</v>
      </c>
      <c r="F3174" s="1">
        <f>IFERROR(__xludf.DUMMYFUNCTION("""COMPUTED_VALUE"""),9677853.0)</f>
        <v>9677853</v>
      </c>
    </row>
    <row r="3175">
      <c r="A3175" s="2">
        <f>IFERROR(__xludf.DUMMYFUNCTION("""COMPUTED_VALUE"""),41131.666666666664)</f>
        <v>41131.66667</v>
      </c>
      <c r="B3175" s="1">
        <f>IFERROR(__xludf.DUMMYFUNCTION("""COMPUTED_VALUE"""),66.68)</f>
        <v>66.68</v>
      </c>
      <c r="C3175" s="1">
        <f>IFERROR(__xludf.DUMMYFUNCTION("""COMPUTED_VALUE"""),66.77)</f>
        <v>66.77</v>
      </c>
      <c r="D3175" s="1">
        <f>IFERROR(__xludf.DUMMYFUNCTION("""COMPUTED_VALUE"""),66.21)</f>
        <v>66.21</v>
      </c>
      <c r="E3175" s="1">
        <f>IFERROR(__xludf.DUMMYFUNCTION("""COMPUTED_VALUE"""),66.77)</f>
        <v>66.77</v>
      </c>
      <c r="F3175" s="1">
        <f>IFERROR(__xludf.DUMMYFUNCTION("""COMPUTED_VALUE"""),7293830.0)</f>
        <v>7293830</v>
      </c>
    </row>
    <row r="3176">
      <c r="A3176" s="2">
        <f>IFERROR(__xludf.DUMMYFUNCTION("""COMPUTED_VALUE"""),41134.666666666664)</f>
        <v>41134.66667</v>
      </c>
      <c r="B3176" s="1">
        <f>IFERROR(__xludf.DUMMYFUNCTION("""COMPUTED_VALUE"""),66.56)</f>
        <v>66.56</v>
      </c>
      <c r="C3176" s="1">
        <f>IFERROR(__xludf.DUMMYFUNCTION("""COMPUTED_VALUE"""),66.75)</f>
        <v>66.75</v>
      </c>
      <c r="D3176" s="1">
        <f>IFERROR(__xludf.DUMMYFUNCTION("""COMPUTED_VALUE"""),66.35)</f>
        <v>66.35</v>
      </c>
      <c r="E3176" s="1">
        <f>IFERROR(__xludf.DUMMYFUNCTION("""COMPUTED_VALUE"""),66.48)</f>
        <v>66.48</v>
      </c>
      <c r="F3176" s="1">
        <f>IFERROR(__xludf.DUMMYFUNCTION("""COMPUTED_VALUE"""),6634174.0)</f>
        <v>6634174</v>
      </c>
    </row>
    <row r="3177">
      <c r="A3177" s="2">
        <f>IFERROR(__xludf.DUMMYFUNCTION("""COMPUTED_VALUE"""),41135.666666666664)</f>
        <v>41135.66667</v>
      </c>
      <c r="B3177" s="1">
        <f>IFERROR(__xludf.DUMMYFUNCTION("""COMPUTED_VALUE"""),66.53)</f>
        <v>66.53</v>
      </c>
      <c r="C3177" s="1">
        <f>IFERROR(__xludf.DUMMYFUNCTION("""COMPUTED_VALUE"""),66.99)</f>
        <v>66.99</v>
      </c>
      <c r="D3177" s="1">
        <f>IFERROR(__xludf.DUMMYFUNCTION("""COMPUTED_VALUE"""),66.19)</f>
        <v>66.19</v>
      </c>
      <c r="E3177" s="1">
        <f>IFERROR(__xludf.DUMMYFUNCTION("""COMPUTED_VALUE"""),66.73)</f>
        <v>66.73</v>
      </c>
      <c r="F3177" s="1">
        <f>IFERROR(__xludf.DUMMYFUNCTION("""COMPUTED_VALUE"""),8887456.0)</f>
        <v>8887456</v>
      </c>
    </row>
    <row r="3178">
      <c r="A3178" s="2">
        <f>IFERROR(__xludf.DUMMYFUNCTION("""COMPUTED_VALUE"""),41136.666666666664)</f>
        <v>41136.66667</v>
      </c>
      <c r="B3178" s="1">
        <f>IFERROR(__xludf.DUMMYFUNCTION("""COMPUTED_VALUE"""),66.86)</f>
        <v>66.86</v>
      </c>
      <c r="C3178" s="1">
        <f>IFERROR(__xludf.DUMMYFUNCTION("""COMPUTED_VALUE"""),66.92)</f>
        <v>66.92</v>
      </c>
      <c r="D3178" s="1">
        <f>IFERROR(__xludf.DUMMYFUNCTION("""COMPUTED_VALUE"""),66.56)</f>
        <v>66.56</v>
      </c>
      <c r="E3178" s="1">
        <f>IFERROR(__xludf.DUMMYFUNCTION("""COMPUTED_VALUE"""),66.64)</f>
        <v>66.64</v>
      </c>
      <c r="F3178" s="1">
        <f>IFERROR(__xludf.DUMMYFUNCTION("""COMPUTED_VALUE"""),9873562.0)</f>
        <v>9873562</v>
      </c>
    </row>
    <row r="3179">
      <c r="A3179" s="2">
        <f>IFERROR(__xludf.DUMMYFUNCTION("""COMPUTED_VALUE"""),41137.666666666664)</f>
        <v>41137.66667</v>
      </c>
      <c r="B3179" s="1">
        <f>IFERROR(__xludf.DUMMYFUNCTION("""COMPUTED_VALUE"""),66.58)</f>
        <v>66.58</v>
      </c>
      <c r="C3179" s="1">
        <f>IFERROR(__xludf.DUMMYFUNCTION("""COMPUTED_VALUE"""),67.0)</f>
        <v>67</v>
      </c>
      <c r="D3179" s="1">
        <f>IFERROR(__xludf.DUMMYFUNCTION("""COMPUTED_VALUE"""),66.45)</f>
        <v>66.45</v>
      </c>
      <c r="E3179" s="1">
        <f>IFERROR(__xludf.DUMMYFUNCTION("""COMPUTED_VALUE"""),67.0)</f>
        <v>67</v>
      </c>
      <c r="F3179" s="1">
        <f>IFERROR(__xludf.DUMMYFUNCTION("""COMPUTED_VALUE"""),1.0165074E7)</f>
        <v>10165074</v>
      </c>
    </row>
    <row r="3180">
      <c r="A3180" s="2">
        <f>IFERROR(__xludf.DUMMYFUNCTION("""COMPUTED_VALUE"""),41138.666666666664)</f>
        <v>41138.66667</v>
      </c>
      <c r="B3180" s="1">
        <f>IFERROR(__xludf.DUMMYFUNCTION("""COMPUTED_VALUE"""),66.87)</f>
        <v>66.87</v>
      </c>
      <c r="C3180" s="1">
        <f>IFERROR(__xludf.DUMMYFUNCTION("""COMPUTED_VALUE"""),67.3)</f>
        <v>67.3</v>
      </c>
      <c r="D3180" s="1">
        <f>IFERROR(__xludf.DUMMYFUNCTION("""COMPUTED_VALUE"""),66.63)</f>
        <v>66.63</v>
      </c>
      <c r="E3180" s="1">
        <f>IFERROR(__xludf.DUMMYFUNCTION("""COMPUTED_VALUE"""),67.0)</f>
        <v>67</v>
      </c>
      <c r="F3180" s="1">
        <f>IFERROR(__xludf.DUMMYFUNCTION("""COMPUTED_VALUE"""),9395397.0)</f>
        <v>9395397</v>
      </c>
    </row>
    <row r="3181">
      <c r="A3181" s="2">
        <f>IFERROR(__xludf.DUMMYFUNCTION("""COMPUTED_VALUE"""),41141.666666666664)</f>
        <v>41141.66667</v>
      </c>
      <c r="B3181" s="1">
        <f>IFERROR(__xludf.DUMMYFUNCTION("""COMPUTED_VALUE"""),66.93)</f>
        <v>66.93</v>
      </c>
      <c r="C3181" s="1">
        <f>IFERROR(__xludf.DUMMYFUNCTION("""COMPUTED_VALUE"""),67.05)</f>
        <v>67.05</v>
      </c>
      <c r="D3181" s="1">
        <f>IFERROR(__xludf.DUMMYFUNCTION("""COMPUTED_VALUE"""),66.55)</f>
        <v>66.55</v>
      </c>
      <c r="E3181" s="1">
        <f>IFERROR(__xludf.DUMMYFUNCTION("""COMPUTED_VALUE"""),66.75)</f>
        <v>66.75</v>
      </c>
      <c r="F3181" s="1">
        <f>IFERROR(__xludf.DUMMYFUNCTION("""COMPUTED_VALUE"""),8938672.0)</f>
        <v>8938672</v>
      </c>
    </row>
    <row r="3182">
      <c r="A3182" s="2">
        <f>IFERROR(__xludf.DUMMYFUNCTION("""COMPUTED_VALUE"""),41142.666666666664)</f>
        <v>41142.66667</v>
      </c>
      <c r="B3182" s="1">
        <f>IFERROR(__xludf.DUMMYFUNCTION("""COMPUTED_VALUE"""),66.76)</f>
        <v>66.76</v>
      </c>
      <c r="C3182" s="1">
        <f>IFERROR(__xludf.DUMMYFUNCTION("""COMPUTED_VALUE"""),67.14)</f>
        <v>67.14</v>
      </c>
      <c r="D3182" s="1">
        <f>IFERROR(__xludf.DUMMYFUNCTION("""COMPUTED_VALUE"""),66.68)</f>
        <v>66.68</v>
      </c>
      <c r="E3182" s="1">
        <f>IFERROR(__xludf.DUMMYFUNCTION("""COMPUTED_VALUE"""),66.77)</f>
        <v>66.77</v>
      </c>
      <c r="F3182" s="1">
        <f>IFERROR(__xludf.DUMMYFUNCTION("""COMPUTED_VALUE"""),9145328.0)</f>
        <v>9145328</v>
      </c>
    </row>
    <row r="3183">
      <c r="A3183" s="2">
        <f>IFERROR(__xludf.DUMMYFUNCTION("""COMPUTED_VALUE"""),41143.666666666664)</f>
        <v>41143.66667</v>
      </c>
      <c r="B3183" s="1">
        <f>IFERROR(__xludf.DUMMYFUNCTION("""COMPUTED_VALUE"""),66.57)</f>
        <v>66.57</v>
      </c>
      <c r="C3183" s="1">
        <f>IFERROR(__xludf.DUMMYFUNCTION("""COMPUTED_VALUE"""),66.86)</f>
        <v>66.86</v>
      </c>
      <c r="D3183" s="1">
        <f>IFERROR(__xludf.DUMMYFUNCTION("""COMPUTED_VALUE"""),66.51)</f>
        <v>66.51</v>
      </c>
      <c r="E3183" s="1">
        <f>IFERROR(__xludf.DUMMYFUNCTION("""COMPUTED_VALUE"""),66.85)</f>
        <v>66.85</v>
      </c>
      <c r="F3183" s="1">
        <f>IFERROR(__xludf.DUMMYFUNCTION("""COMPUTED_VALUE"""),7749554.0)</f>
        <v>7749554</v>
      </c>
    </row>
    <row r="3184">
      <c r="A3184" s="2">
        <f>IFERROR(__xludf.DUMMYFUNCTION("""COMPUTED_VALUE"""),41144.666666666664)</f>
        <v>41144.66667</v>
      </c>
      <c r="B3184" s="1">
        <f>IFERROR(__xludf.DUMMYFUNCTION("""COMPUTED_VALUE"""),66.8)</f>
        <v>66.8</v>
      </c>
      <c r="C3184" s="1">
        <f>IFERROR(__xludf.DUMMYFUNCTION("""COMPUTED_VALUE"""),66.83)</f>
        <v>66.83</v>
      </c>
      <c r="D3184" s="1">
        <f>IFERROR(__xludf.DUMMYFUNCTION("""COMPUTED_VALUE"""),66.59)</f>
        <v>66.59</v>
      </c>
      <c r="E3184" s="1">
        <f>IFERROR(__xludf.DUMMYFUNCTION("""COMPUTED_VALUE"""),66.68)</f>
        <v>66.68</v>
      </c>
      <c r="F3184" s="1">
        <f>IFERROR(__xludf.DUMMYFUNCTION("""COMPUTED_VALUE"""),8006578.0)</f>
        <v>8006578</v>
      </c>
    </row>
    <row r="3185">
      <c r="A3185" s="2">
        <f>IFERROR(__xludf.DUMMYFUNCTION("""COMPUTED_VALUE"""),41145.666666666664)</f>
        <v>41145.66667</v>
      </c>
      <c r="B3185" s="1">
        <f>IFERROR(__xludf.DUMMYFUNCTION("""COMPUTED_VALUE"""),66.6)</f>
        <v>66.6</v>
      </c>
      <c r="C3185" s="1">
        <f>IFERROR(__xludf.DUMMYFUNCTION("""COMPUTED_VALUE"""),67.18)</f>
        <v>67.18</v>
      </c>
      <c r="D3185" s="1">
        <f>IFERROR(__xludf.DUMMYFUNCTION("""COMPUTED_VALUE"""),66.33)</f>
        <v>66.33</v>
      </c>
      <c r="E3185" s="1">
        <f>IFERROR(__xludf.DUMMYFUNCTION("""COMPUTED_VALUE"""),67.02)</f>
        <v>67.02</v>
      </c>
      <c r="F3185" s="1">
        <f>IFERROR(__xludf.DUMMYFUNCTION("""COMPUTED_VALUE"""),8580160.0)</f>
        <v>8580160</v>
      </c>
    </row>
    <row r="3186">
      <c r="A3186" s="2">
        <f>IFERROR(__xludf.DUMMYFUNCTION("""COMPUTED_VALUE"""),41148.666666666664)</f>
        <v>41148.66667</v>
      </c>
      <c r="B3186" s="1">
        <f>IFERROR(__xludf.DUMMYFUNCTION("""COMPUTED_VALUE"""),66.93)</f>
        <v>66.93</v>
      </c>
      <c r="C3186" s="1">
        <f>IFERROR(__xludf.DUMMYFUNCTION("""COMPUTED_VALUE"""),67.37)</f>
        <v>67.37</v>
      </c>
      <c r="D3186" s="1">
        <f>IFERROR(__xludf.DUMMYFUNCTION("""COMPUTED_VALUE"""),66.86)</f>
        <v>66.86</v>
      </c>
      <c r="E3186" s="1">
        <f>IFERROR(__xludf.DUMMYFUNCTION("""COMPUTED_VALUE"""),67.11)</f>
        <v>67.11</v>
      </c>
      <c r="F3186" s="1">
        <f>IFERROR(__xludf.DUMMYFUNCTION("""COMPUTED_VALUE"""),6419583.0)</f>
        <v>6419583</v>
      </c>
    </row>
    <row r="3187">
      <c r="A3187" s="2">
        <f>IFERROR(__xludf.DUMMYFUNCTION("""COMPUTED_VALUE"""),41149.666666666664)</f>
        <v>41149.66667</v>
      </c>
      <c r="B3187" s="1">
        <f>IFERROR(__xludf.DUMMYFUNCTION("""COMPUTED_VALUE"""),66.87)</f>
        <v>66.87</v>
      </c>
      <c r="C3187" s="1">
        <f>IFERROR(__xludf.DUMMYFUNCTION("""COMPUTED_VALUE"""),67.22)</f>
        <v>67.22</v>
      </c>
      <c r="D3187" s="1">
        <f>IFERROR(__xludf.DUMMYFUNCTION("""COMPUTED_VALUE"""),66.85)</f>
        <v>66.85</v>
      </c>
      <c r="E3187" s="1">
        <f>IFERROR(__xludf.DUMMYFUNCTION("""COMPUTED_VALUE"""),66.99)</f>
        <v>66.99</v>
      </c>
      <c r="F3187" s="1">
        <f>IFERROR(__xludf.DUMMYFUNCTION("""COMPUTED_VALUE"""),7605481.0)</f>
        <v>7605481</v>
      </c>
    </row>
    <row r="3188">
      <c r="A3188" s="2">
        <f>IFERROR(__xludf.DUMMYFUNCTION("""COMPUTED_VALUE"""),41150.666666666664)</f>
        <v>41150.66667</v>
      </c>
      <c r="B3188" s="1">
        <f>IFERROR(__xludf.DUMMYFUNCTION("""COMPUTED_VALUE"""),66.97)</f>
        <v>66.97</v>
      </c>
      <c r="C3188" s="1">
        <f>IFERROR(__xludf.DUMMYFUNCTION("""COMPUTED_VALUE"""),67.18)</f>
        <v>67.18</v>
      </c>
      <c r="D3188" s="1">
        <f>IFERROR(__xludf.DUMMYFUNCTION("""COMPUTED_VALUE"""),66.8)</f>
        <v>66.8</v>
      </c>
      <c r="E3188" s="1">
        <f>IFERROR(__xludf.DUMMYFUNCTION("""COMPUTED_VALUE"""),66.87)</f>
        <v>66.87</v>
      </c>
      <c r="F3188" s="1">
        <f>IFERROR(__xludf.DUMMYFUNCTION("""COMPUTED_VALUE"""),6752137.0)</f>
        <v>6752137</v>
      </c>
    </row>
    <row r="3189">
      <c r="A3189" s="2">
        <f>IFERROR(__xludf.DUMMYFUNCTION("""COMPUTED_VALUE"""),41151.666666666664)</f>
        <v>41151.66667</v>
      </c>
      <c r="B3189" s="1">
        <f>IFERROR(__xludf.DUMMYFUNCTION("""COMPUTED_VALUE"""),66.64)</f>
        <v>66.64</v>
      </c>
      <c r="C3189" s="1">
        <f>IFERROR(__xludf.DUMMYFUNCTION("""COMPUTED_VALUE"""),66.94)</f>
        <v>66.94</v>
      </c>
      <c r="D3189" s="1">
        <f>IFERROR(__xludf.DUMMYFUNCTION("""COMPUTED_VALUE"""),66.62)</f>
        <v>66.62</v>
      </c>
      <c r="E3189" s="1">
        <f>IFERROR(__xludf.DUMMYFUNCTION("""COMPUTED_VALUE"""),66.88)</f>
        <v>66.88</v>
      </c>
      <c r="F3189" s="1">
        <f>IFERROR(__xludf.DUMMYFUNCTION("""COMPUTED_VALUE"""),7285556.0)</f>
        <v>7285556</v>
      </c>
    </row>
    <row r="3190">
      <c r="A3190" s="2">
        <f>IFERROR(__xludf.DUMMYFUNCTION("""COMPUTED_VALUE"""),41152.666666666664)</f>
        <v>41152.66667</v>
      </c>
      <c r="B3190" s="1">
        <f>IFERROR(__xludf.DUMMYFUNCTION("""COMPUTED_VALUE"""),67.14)</f>
        <v>67.14</v>
      </c>
      <c r="C3190" s="1">
        <f>IFERROR(__xludf.DUMMYFUNCTION("""COMPUTED_VALUE"""),67.45)</f>
        <v>67.45</v>
      </c>
      <c r="D3190" s="1">
        <f>IFERROR(__xludf.DUMMYFUNCTION("""COMPUTED_VALUE"""),66.89)</f>
        <v>66.89</v>
      </c>
      <c r="E3190" s="1">
        <f>IFERROR(__xludf.DUMMYFUNCTION("""COMPUTED_VALUE"""),67.19)</f>
        <v>67.19</v>
      </c>
      <c r="F3190" s="1">
        <f>IFERROR(__xludf.DUMMYFUNCTION("""COMPUTED_VALUE"""),1.0088526E7)</f>
        <v>10088526</v>
      </c>
    </row>
    <row r="3191">
      <c r="A3191" s="2">
        <f>IFERROR(__xludf.DUMMYFUNCTION("""COMPUTED_VALUE"""),41156.666666666664)</f>
        <v>41156.66667</v>
      </c>
      <c r="B3191" s="1">
        <f>IFERROR(__xludf.DUMMYFUNCTION("""COMPUTED_VALUE"""),67.22)</f>
        <v>67.22</v>
      </c>
      <c r="C3191" s="1">
        <f>IFERROR(__xludf.DUMMYFUNCTION("""COMPUTED_VALUE"""),67.47)</f>
        <v>67.47</v>
      </c>
      <c r="D3191" s="1">
        <f>IFERROR(__xludf.DUMMYFUNCTION("""COMPUTED_VALUE"""),67.01)</f>
        <v>67.01</v>
      </c>
      <c r="E3191" s="1">
        <f>IFERROR(__xludf.DUMMYFUNCTION("""COMPUTED_VALUE"""),67.4)</f>
        <v>67.4</v>
      </c>
      <c r="F3191" s="1">
        <f>IFERROR(__xludf.DUMMYFUNCTION("""COMPUTED_VALUE"""),7628773.0)</f>
        <v>7628773</v>
      </c>
    </row>
    <row r="3192">
      <c r="A3192" s="2">
        <f>IFERROR(__xludf.DUMMYFUNCTION("""COMPUTED_VALUE"""),41157.666666666664)</f>
        <v>41157.66667</v>
      </c>
      <c r="B3192" s="1">
        <f>IFERROR(__xludf.DUMMYFUNCTION("""COMPUTED_VALUE"""),67.21)</f>
        <v>67.21</v>
      </c>
      <c r="C3192" s="1">
        <f>IFERROR(__xludf.DUMMYFUNCTION("""COMPUTED_VALUE"""),67.54)</f>
        <v>67.54</v>
      </c>
      <c r="D3192" s="1">
        <f>IFERROR(__xludf.DUMMYFUNCTION("""COMPUTED_VALUE"""),67.21)</f>
        <v>67.21</v>
      </c>
      <c r="E3192" s="1">
        <f>IFERROR(__xludf.DUMMYFUNCTION("""COMPUTED_VALUE"""),67.29)</f>
        <v>67.29</v>
      </c>
      <c r="F3192" s="1">
        <f>IFERROR(__xludf.DUMMYFUNCTION("""COMPUTED_VALUE"""),7741080.0)</f>
        <v>7741080</v>
      </c>
    </row>
    <row r="3193">
      <c r="A3193" s="2">
        <f>IFERROR(__xludf.DUMMYFUNCTION("""COMPUTED_VALUE"""),41158.666666666664)</f>
        <v>41158.66667</v>
      </c>
      <c r="B3193" s="1">
        <f>IFERROR(__xludf.DUMMYFUNCTION("""COMPUTED_VALUE"""),67.68)</f>
        <v>67.68</v>
      </c>
      <c r="C3193" s="1">
        <f>IFERROR(__xludf.DUMMYFUNCTION("""COMPUTED_VALUE"""),68.25)</f>
        <v>68.25</v>
      </c>
      <c r="D3193" s="1">
        <f>IFERROR(__xludf.DUMMYFUNCTION("""COMPUTED_VALUE"""),67.6)</f>
        <v>67.6</v>
      </c>
      <c r="E3193" s="1">
        <f>IFERROR(__xludf.DUMMYFUNCTION("""COMPUTED_VALUE"""),68.24)</f>
        <v>68.24</v>
      </c>
      <c r="F3193" s="1">
        <f>IFERROR(__xludf.DUMMYFUNCTION("""COMPUTED_VALUE"""),1.3200456E7)</f>
        <v>13200456</v>
      </c>
    </row>
    <row r="3194">
      <c r="A3194" s="2">
        <f>IFERROR(__xludf.DUMMYFUNCTION("""COMPUTED_VALUE"""),41159.666666666664)</f>
        <v>41159.66667</v>
      </c>
      <c r="B3194" s="1">
        <f>IFERROR(__xludf.DUMMYFUNCTION("""COMPUTED_VALUE"""),68.16)</f>
        <v>68.16</v>
      </c>
      <c r="C3194" s="1">
        <f>IFERROR(__xludf.DUMMYFUNCTION("""COMPUTED_VALUE"""),68.6)</f>
        <v>68.6</v>
      </c>
      <c r="D3194" s="1">
        <f>IFERROR(__xludf.DUMMYFUNCTION("""COMPUTED_VALUE"""),67.98)</f>
        <v>67.98</v>
      </c>
      <c r="E3194" s="1">
        <f>IFERROR(__xludf.DUMMYFUNCTION("""COMPUTED_VALUE"""),68.52)</f>
        <v>68.52</v>
      </c>
      <c r="F3194" s="1">
        <f>IFERROR(__xludf.DUMMYFUNCTION("""COMPUTED_VALUE"""),1.2656538E7)</f>
        <v>12656538</v>
      </c>
    </row>
    <row r="3195">
      <c r="A3195" s="2">
        <f>IFERROR(__xludf.DUMMYFUNCTION("""COMPUTED_VALUE"""),41162.666666666664)</f>
        <v>41162.66667</v>
      </c>
      <c r="B3195" s="1">
        <f>IFERROR(__xludf.DUMMYFUNCTION("""COMPUTED_VALUE"""),68.41)</f>
        <v>68.41</v>
      </c>
      <c r="C3195" s="1">
        <f>IFERROR(__xludf.DUMMYFUNCTION("""COMPUTED_VALUE"""),68.58)</f>
        <v>68.58</v>
      </c>
      <c r="D3195" s="1">
        <f>IFERROR(__xludf.DUMMYFUNCTION("""COMPUTED_VALUE"""),68.12)</f>
        <v>68.12</v>
      </c>
      <c r="E3195" s="1">
        <f>IFERROR(__xludf.DUMMYFUNCTION("""COMPUTED_VALUE"""),68.51)</f>
        <v>68.51</v>
      </c>
      <c r="F3195" s="1">
        <f>IFERROR(__xludf.DUMMYFUNCTION("""COMPUTED_VALUE"""),8920916.0)</f>
        <v>8920916</v>
      </c>
    </row>
    <row r="3196">
      <c r="A3196" s="2">
        <f>IFERROR(__xludf.DUMMYFUNCTION("""COMPUTED_VALUE"""),41163.666666666664)</f>
        <v>41163.66667</v>
      </c>
      <c r="B3196" s="1">
        <f>IFERROR(__xludf.DUMMYFUNCTION("""COMPUTED_VALUE"""),68.43)</f>
        <v>68.43</v>
      </c>
      <c r="C3196" s="1">
        <f>IFERROR(__xludf.DUMMYFUNCTION("""COMPUTED_VALUE"""),68.65)</f>
        <v>68.65</v>
      </c>
      <c r="D3196" s="1">
        <f>IFERROR(__xludf.DUMMYFUNCTION("""COMPUTED_VALUE"""),68.08)</f>
        <v>68.08</v>
      </c>
      <c r="E3196" s="1">
        <f>IFERROR(__xludf.DUMMYFUNCTION("""COMPUTED_VALUE"""),68.26)</f>
        <v>68.26</v>
      </c>
      <c r="F3196" s="1">
        <f>IFERROR(__xludf.DUMMYFUNCTION("""COMPUTED_VALUE"""),8841083.0)</f>
        <v>8841083</v>
      </c>
    </row>
    <row r="3197">
      <c r="A3197" s="2">
        <f>IFERROR(__xludf.DUMMYFUNCTION("""COMPUTED_VALUE"""),41164.666666666664)</f>
        <v>41164.66667</v>
      </c>
      <c r="B3197" s="1">
        <f>IFERROR(__xludf.DUMMYFUNCTION("""COMPUTED_VALUE"""),68.35)</f>
        <v>68.35</v>
      </c>
      <c r="C3197" s="1">
        <f>IFERROR(__xludf.DUMMYFUNCTION("""COMPUTED_VALUE"""),68.59)</f>
        <v>68.59</v>
      </c>
      <c r="D3197" s="1">
        <f>IFERROR(__xludf.DUMMYFUNCTION("""COMPUTED_VALUE"""),68.05)</f>
        <v>68.05</v>
      </c>
      <c r="E3197" s="1">
        <f>IFERROR(__xludf.DUMMYFUNCTION("""COMPUTED_VALUE"""),68.1)</f>
        <v>68.1</v>
      </c>
      <c r="F3197" s="1">
        <f>IFERROR(__xludf.DUMMYFUNCTION("""COMPUTED_VALUE"""),6895932.0)</f>
        <v>6895932</v>
      </c>
    </row>
    <row r="3198">
      <c r="A3198" s="2">
        <f>IFERROR(__xludf.DUMMYFUNCTION("""COMPUTED_VALUE"""),41165.666666666664)</f>
        <v>41165.66667</v>
      </c>
      <c r="B3198" s="1">
        <f>IFERROR(__xludf.DUMMYFUNCTION("""COMPUTED_VALUE"""),67.89)</f>
        <v>67.89</v>
      </c>
      <c r="C3198" s="1">
        <f>IFERROR(__xludf.DUMMYFUNCTION("""COMPUTED_VALUE"""),68.98)</f>
        <v>68.98</v>
      </c>
      <c r="D3198" s="1">
        <f>IFERROR(__xludf.DUMMYFUNCTION("""COMPUTED_VALUE"""),67.89)</f>
        <v>67.89</v>
      </c>
      <c r="E3198" s="1">
        <f>IFERROR(__xludf.DUMMYFUNCTION("""COMPUTED_VALUE"""),68.91)</f>
        <v>68.91</v>
      </c>
      <c r="F3198" s="1">
        <f>IFERROR(__xludf.DUMMYFUNCTION("""COMPUTED_VALUE"""),1.0495636E7)</f>
        <v>10495636</v>
      </c>
    </row>
    <row r="3199">
      <c r="A3199" s="2">
        <f>IFERROR(__xludf.DUMMYFUNCTION("""COMPUTED_VALUE"""),41166.666666666664)</f>
        <v>41166.66667</v>
      </c>
      <c r="B3199" s="1">
        <f>IFERROR(__xludf.DUMMYFUNCTION("""COMPUTED_VALUE"""),68.81)</f>
        <v>68.81</v>
      </c>
      <c r="C3199" s="1">
        <f>IFERROR(__xludf.DUMMYFUNCTION("""COMPUTED_VALUE"""),69.22)</f>
        <v>69.22</v>
      </c>
      <c r="D3199" s="1">
        <f>IFERROR(__xludf.DUMMYFUNCTION("""COMPUTED_VALUE"""),68.77)</f>
        <v>68.77</v>
      </c>
      <c r="E3199" s="1">
        <f>IFERROR(__xludf.DUMMYFUNCTION("""COMPUTED_VALUE"""),69.16)</f>
        <v>69.16</v>
      </c>
      <c r="F3199" s="1">
        <f>IFERROR(__xludf.DUMMYFUNCTION("""COMPUTED_VALUE"""),1.2271168E7)</f>
        <v>12271168</v>
      </c>
    </row>
    <row r="3200">
      <c r="A3200" s="2">
        <f>IFERROR(__xludf.DUMMYFUNCTION("""COMPUTED_VALUE"""),41169.666666666664)</f>
        <v>41169.66667</v>
      </c>
      <c r="B3200" s="1">
        <f>IFERROR(__xludf.DUMMYFUNCTION("""COMPUTED_VALUE"""),68.88)</f>
        <v>68.88</v>
      </c>
      <c r="C3200" s="1">
        <f>IFERROR(__xludf.DUMMYFUNCTION("""COMPUTED_VALUE"""),69.25)</f>
        <v>69.25</v>
      </c>
      <c r="D3200" s="1">
        <f>IFERROR(__xludf.DUMMYFUNCTION("""COMPUTED_VALUE"""),68.86)</f>
        <v>68.86</v>
      </c>
      <c r="E3200" s="1">
        <f>IFERROR(__xludf.DUMMYFUNCTION("""COMPUTED_VALUE"""),69.25)</f>
        <v>69.25</v>
      </c>
      <c r="F3200" s="1">
        <f>IFERROR(__xludf.DUMMYFUNCTION("""COMPUTED_VALUE"""),1.1284799E7)</f>
        <v>11284799</v>
      </c>
    </row>
    <row r="3201">
      <c r="A3201" s="2">
        <f>IFERROR(__xludf.DUMMYFUNCTION("""COMPUTED_VALUE"""),41170.666666666664)</f>
        <v>41170.66667</v>
      </c>
      <c r="B3201" s="1">
        <f>IFERROR(__xludf.DUMMYFUNCTION("""COMPUTED_VALUE"""),69.19)</f>
        <v>69.19</v>
      </c>
      <c r="C3201" s="1">
        <f>IFERROR(__xludf.DUMMYFUNCTION("""COMPUTED_VALUE"""),69.69)</f>
        <v>69.69</v>
      </c>
      <c r="D3201" s="1">
        <f>IFERROR(__xludf.DUMMYFUNCTION("""COMPUTED_VALUE"""),69.11)</f>
        <v>69.11</v>
      </c>
      <c r="E3201" s="1">
        <f>IFERROR(__xludf.DUMMYFUNCTION("""COMPUTED_VALUE"""),69.22)</f>
        <v>69.22</v>
      </c>
      <c r="F3201" s="1">
        <f>IFERROR(__xludf.DUMMYFUNCTION("""COMPUTED_VALUE"""),1.2833692E7)</f>
        <v>12833692</v>
      </c>
    </row>
    <row r="3202">
      <c r="A3202" s="2">
        <f>IFERROR(__xludf.DUMMYFUNCTION("""COMPUTED_VALUE"""),41171.666666666664)</f>
        <v>41171.66667</v>
      </c>
      <c r="B3202" s="1">
        <f>IFERROR(__xludf.DUMMYFUNCTION("""COMPUTED_VALUE"""),69.1)</f>
        <v>69.1</v>
      </c>
      <c r="C3202" s="1">
        <f>IFERROR(__xludf.DUMMYFUNCTION("""COMPUTED_VALUE"""),69.58)</f>
        <v>69.58</v>
      </c>
      <c r="D3202" s="1">
        <f>IFERROR(__xludf.DUMMYFUNCTION("""COMPUTED_VALUE"""),69.02)</f>
        <v>69.02</v>
      </c>
      <c r="E3202" s="1">
        <f>IFERROR(__xludf.DUMMYFUNCTION("""COMPUTED_VALUE"""),69.26)</f>
        <v>69.26</v>
      </c>
      <c r="F3202" s="1">
        <f>IFERROR(__xludf.DUMMYFUNCTION("""COMPUTED_VALUE"""),8682819.0)</f>
        <v>8682819</v>
      </c>
    </row>
    <row r="3203">
      <c r="A3203" s="2">
        <f>IFERROR(__xludf.DUMMYFUNCTION("""COMPUTED_VALUE"""),41172.666666666664)</f>
        <v>41172.66667</v>
      </c>
      <c r="B3203" s="1">
        <f>IFERROR(__xludf.DUMMYFUNCTION("""COMPUTED_VALUE"""),69.11)</f>
        <v>69.11</v>
      </c>
      <c r="C3203" s="1">
        <f>IFERROR(__xludf.DUMMYFUNCTION("""COMPUTED_VALUE"""),69.64)</f>
        <v>69.64</v>
      </c>
      <c r="D3203" s="1">
        <f>IFERROR(__xludf.DUMMYFUNCTION("""COMPUTED_VALUE"""),69.11)</f>
        <v>69.11</v>
      </c>
      <c r="E3203" s="1">
        <f>IFERROR(__xludf.DUMMYFUNCTION("""COMPUTED_VALUE"""),69.56)</f>
        <v>69.56</v>
      </c>
      <c r="F3203" s="1">
        <f>IFERROR(__xludf.DUMMYFUNCTION("""COMPUTED_VALUE"""),8656127.0)</f>
        <v>8656127</v>
      </c>
    </row>
    <row r="3204">
      <c r="A3204" s="2">
        <f>IFERROR(__xludf.DUMMYFUNCTION("""COMPUTED_VALUE"""),41173.666666666664)</f>
        <v>41173.66667</v>
      </c>
      <c r="B3204" s="1">
        <f>IFERROR(__xludf.DUMMYFUNCTION("""COMPUTED_VALUE"""),69.7)</f>
        <v>69.7</v>
      </c>
      <c r="C3204" s="1">
        <f>IFERROR(__xludf.DUMMYFUNCTION("""COMPUTED_VALUE"""),69.83)</f>
        <v>69.83</v>
      </c>
      <c r="D3204" s="1">
        <f>IFERROR(__xludf.DUMMYFUNCTION("""COMPUTED_VALUE"""),69.38)</f>
        <v>69.38</v>
      </c>
      <c r="E3204" s="1">
        <f>IFERROR(__xludf.DUMMYFUNCTION("""COMPUTED_VALUE"""),69.42)</f>
        <v>69.42</v>
      </c>
      <c r="F3204" s="1">
        <f>IFERROR(__xludf.DUMMYFUNCTION("""COMPUTED_VALUE"""),2.0295824E7)</f>
        <v>20295824</v>
      </c>
    </row>
    <row r="3205">
      <c r="A3205" s="2">
        <f>IFERROR(__xludf.DUMMYFUNCTION("""COMPUTED_VALUE"""),41176.666666666664)</f>
        <v>41176.66667</v>
      </c>
      <c r="B3205" s="1">
        <f>IFERROR(__xludf.DUMMYFUNCTION("""COMPUTED_VALUE"""),69.34)</f>
        <v>69.34</v>
      </c>
      <c r="C3205" s="1">
        <f>IFERROR(__xludf.DUMMYFUNCTION("""COMPUTED_VALUE"""),69.85)</f>
        <v>69.85</v>
      </c>
      <c r="D3205" s="1">
        <f>IFERROR(__xludf.DUMMYFUNCTION("""COMPUTED_VALUE"""),69.24)</f>
        <v>69.24</v>
      </c>
      <c r="E3205" s="1">
        <f>IFERROR(__xludf.DUMMYFUNCTION("""COMPUTED_VALUE"""),69.76)</f>
        <v>69.76</v>
      </c>
      <c r="F3205" s="1">
        <f>IFERROR(__xludf.DUMMYFUNCTION("""COMPUTED_VALUE"""),8361146.0)</f>
        <v>8361146</v>
      </c>
    </row>
    <row r="3206">
      <c r="A3206" s="2">
        <f>IFERROR(__xludf.DUMMYFUNCTION("""COMPUTED_VALUE"""),41177.666666666664)</f>
        <v>41177.66667</v>
      </c>
      <c r="B3206" s="1">
        <f>IFERROR(__xludf.DUMMYFUNCTION("""COMPUTED_VALUE"""),69.7)</f>
        <v>69.7</v>
      </c>
      <c r="C3206" s="1">
        <f>IFERROR(__xludf.DUMMYFUNCTION("""COMPUTED_VALUE"""),69.97)</f>
        <v>69.97</v>
      </c>
      <c r="D3206" s="1">
        <f>IFERROR(__xludf.DUMMYFUNCTION("""COMPUTED_VALUE"""),69.54)</f>
        <v>69.54</v>
      </c>
      <c r="E3206" s="1">
        <f>IFERROR(__xludf.DUMMYFUNCTION("""COMPUTED_VALUE"""),69.59)</f>
        <v>69.59</v>
      </c>
      <c r="F3206" s="1">
        <f>IFERROR(__xludf.DUMMYFUNCTION("""COMPUTED_VALUE"""),1.0028468E7)</f>
        <v>10028468</v>
      </c>
    </row>
    <row r="3207">
      <c r="A3207" s="2">
        <f>IFERROR(__xludf.DUMMYFUNCTION("""COMPUTED_VALUE"""),41178.666666666664)</f>
        <v>41178.66667</v>
      </c>
      <c r="B3207" s="1">
        <f>IFERROR(__xludf.DUMMYFUNCTION("""COMPUTED_VALUE"""),69.49)</f>
        <v>69.49</v>
      </c>
      <c r="C3207" s="1">
        <f>IFERROR(__xludf.DUMMYFUNCTION("""COMPUTED_VALUE"""),69.85)</f>
        <v>69.85</v>
      </c>
      <c r="D3207" s="1">
        <f>IFERROR(__xludf.DUMMYFUNCTION("""COMPUTED_VALUE"""),69.3)</f>
        <v>69.3</v>
      </c>
      <c r="E3207" s="1">
        <f>IFERROR(__xludf.DUMMYFUNCTION("""COMPUTED_VALUE"""),69.3)</f>
        <v>69.3</v>
      </c>
      <c r="F3207" s="1">
        <f>IFERROR(__xludf.DUMMYFUNCTION("""COMPUTED_VALUE"""),7698493.0)</f>
        <v>7698493</v>
      </c>
    </row>
    <row r="3208">
      <c r="A3208" s="2">
        <f>IFERROR(__xludf.DUMMYFUNCTION("""COMPUTED_VALUE"""),41179.666666666664)</f>
        <v>41179.66667</v>
      </c>
      <c r="B3208" s="1">
        <f>IFERROR(__xludf.DUMMYFUNCTION("""COMPUTED_VALUE"""),69.41)</f>
        <v>69.41</v>
      </c>
      <c r="C3208" s="1">
        <f>IFERROR(__xludf.DUMMYFUNCTION("""COMPUTED_VALUE"""),69.56)</f>
        <v>69.56</v>
      </c>
      <c r="D3208" s="1">
        <f>IFERROR(__xludf.DUMMYFUNCTION("""COMPUTED_VALUE"""),69.06)</f>
        <v>69.06</v>
      </c>
      <c r="E3208" s="1">
        <f>IFERROR(__xludf.DUMMYFUNCTION("""COMPUTED_VALUE"""),69.3)</f>
        <v>69.3</v>
      </c>
      <c r="F3208" s="1">
        <f>IFERROR(__xludf.DUMMYFUNCTION("""COMPUTED_VALUE"""),6773166.0)</f>
        <v>6773166</v>
      </c>
    </row>
    <row r="3209">
      <c r="A3209" s="2">
        <f>IFERROR(__xludf.DUMMYFUNCTION("""COMPUTED_VALUE"""),41180.666666666664)</f>
        <v>41180.66667</v>
      </c>
      <c r="B3209" s="1">
        <f>IFERROR(__xludf.DUMMYFUNCTION("""COMPUTED_VALUE"""),69.25)</f>
        <v>69.25</v>
      </c>
      <c r="C3209" s="1">
        <f>IFERROR(__xludf.DUMMYFUNCTION("""COMPUTED_VALUE"""),69.42)</f>
        <v>69.42</v>
      </c>
      <c r="D3209" s="1">
        <f>IFERROR(__xludf.DUMMYFUNCTION("""COMPUTED_VALUE"""),68.64)</f>
        <v>68.64</v>
      </c>
      <c r="E3209" s="1">
        <f>IFERROR(__xludf.DUMMYFUNCTION("""COMPUTED_VALUE"""),69.36)</f>
        <v>69.36</v>
      </c>
      <c r="F3209" s="1">
        <f>IFERROR(__xludf.DUMMYFUNCTION("""COMPUTED_VALUE"""),8955638.0)</f>
        <v>8955638</v>
      </c>
    </row>
    <row r="3210">
      <c r="A3210" s="2">
        <f>IFERROR(__xludf.DUMMYFUNCTION("""COMPUTED_VALUE"""),41183.666666666664)</f>
        <v>41183.66667</v>
      </c>
      <c r="B3210" s="1">
        <f>IFERROR(__xludf.DUMMYFUNCTION("""COMPUTED_VALUE"""),69.33)</f>
        <v>69.33</v>
      </c>
      <c r="C3210" s="1">
        <f>IFERROR(__xludf.DUMMYFUNCTION("""COMPUTED_VALUE"""),69.77)</f>
        <v>69.77</v>
      </c>
      <c r="D3210" s="1">
        <f>IFERROR(__xludf.DUMMYFUNCTION("""COMPUTED_VALUE"""),69.1)</f>
        <v>69.1</v>
      </c>
      <c r="E3210" s="1">
        <f>IFERROR(__xludf.DUMMYFUNCTION("""COMPUTED_VALUE"""),69.45)</f>
        <v>69.45</v>
      </c>
      <c r="F3210" s="1">
        <f>IFERROR(__xludf.DUMMYFUNCTION("""COMPUTED_VALUE"""),8589620.0)</f>
        <v>8589620</v>
      </c>
    </row>
    <row r="3211">
      <c r="A3211" s="2">
        <f>IFERROR(__xludf.DUMMYFUNCTION("""COMPUTED_VALUE"""),41184.666666666664)</f>
        <v>41184.66667</v>
      </c>
      <c r="B3211" s="1">
        <f>IFERROR(__xludf.DUMMYFUNCTION("""COMPUTED_VALUE"""),69.53)</f>
        <v>69.53</v>
      </c>
      <c r="C3211" s="1">
        <f>IFERROR(__xludf.DUMMYFUNCTION("""COMPUTED_VALUE"""),69.72)</f>
        <v>69.72</v>
      </c>
      <c r="D3211" s="1">
        <f>IFERROR(__xludf.DUMMYFUNCTION("""COMPUTED_VALUE"""),68.52)</f>
        <v>68.52</v>
      </c>
      <c r="E3211" s="1">
        <f>IFERROR(__xludf.DUMMYFUNCTION("""COMPUTED_VALUE"""),68.79)</f>
        <v>68.79</v>
      </c>
      <c r="F3211" s="1">
        <f>IFERROR(__xludf.DUMMYFUNCTION("""COMPUTED_VALUE"""),1.1241341E7)</f>
        <v>11241341</v>
      </c>
    </row>
    <row r="3212">
      <c r="A3212" s="2">
        <f>IFERROR(__xludf.DUMMYFUNCTION("""COMPUTED_VALUE"""),41185.666666666664)</f>
        <v>41185.66667</v>
      </c>
      <c r="B3212" s="1">
        <f>IFERROR(__xludf.DUMMYFUNCTION("""COMPUTED_VALUE"""),69.02)</f>
        <v>69.02</v>
      </c>
      <c r="C3212" s="1">
        <f>IFERROR(__xludf.DUMMYFUNCTION("""COMPUTED_VALUE"""),69.54)</f>
        <v>69.54</v>
      </c>
      <c r="D3212" s="1">
        <f>IFERROR(__xludf.DUMMYFUNCTION("""COMPUTED_VALUE"""),68.73)</f>
        <v>68.73</v>
      </c>
      <c r="E3212" s="1">
        <f>IFERROR(__xludf.DUMMYFUNCTION("""COMPUTED_VALUE"""),69.17)</f>
        <v>69.17</v>
      </c>
      <c r="F3212" s="1">
        <f>IFERROR(__xludf.DUMMYFUNCTION("""COMPUTED_VALUE"""),8869479.0)</f>
        <v>8869479</v>
      </c>
    </row>
    <row r="3213">
      <c r="A3213" s="2">
        <f>IFERROR(__xludf.DUMMYFUNCTION("""COMPUTED_VALUE"""),41186.666666666664)</f>
        <v>41186.66667</v>
      </c>
      <c r="B3213" s="1">
        <f>IFERROR(__xludf.DUMMYFUNCTION("""COMPUTED_VALUE"""),69.36)</f>
        <v>69.36</v>
      </c>
      <c r="C3213" s="1">
        <f>IFERROR(__xludf.DUMMYFUNCTION("""COMPUTED_VALUE"""),69.78)</f>
        <v>69.78</v>
      </c>
      <c r="D3213" s="1">
        <f>IFERROR(__xludf.DUMMYFUNCTION("""COMPUTED_VALUE"""),69.31)</f>
        <v>69.31</v>
      </c>
      <c r="E3213" s="1">
        <f>IFERROR(__xludf.DUMMYFUNCTION("""COMPUTED_VALUE"""),69.38)</f>
        <v>69.38</v>
      </c>
      <c r="F3213" s="1">
        <f>IFERROR(__xludf.DUMMYFUNCTION("""COMPUTED_VALUE"""),7792684.0)</f>
        <v>7792684</v>
      </c>
    </row>
    <row r="3214">
      <c r="A3214" s="2">
        <f>IFERROR(__xludf.DUMMYFUNCTION("""COMPUTED_VALUE"""),41187.666666666664)</f>
        <v>41187.66667</v>
      </c>
      <c r="B3214" s="1">
        <f>IFERROR(__xludf.DUMMYFUNCTION("""COMPUTED_VALUE"""),69.78)</f>
        <v>69.78</v>
      </c>
      <c r="C3214" s="1">
        <f>IFERROR(__xludf.DUMMYFUNCTION("""COMPUTED_VALUE"""),69.85)</f>
        <v>69.85</v>
      </c>
      <c r="D3214" s="1">
        <f>IFERROR(__xludf.DUMMYFUNCTION("""COMPUTED_VALUE"""),69.41)</f>
        <v>69.41</v>
      </c>
      <c r="E3214" s="1">
        <f>IFERROR(__xludf.DUMMYFUNCTION("""COMPUTED_VALUE"""),69.63)</f>
        <v>69.63</v>
      </c>
      <c r="F3214" s="1">
        <f>IFERROR(__xludf.DUMMYFUNCTION("""COMPUTED_VALUE"""),6907720.0)</f>
        <v>6907720</v>
      </c>
    </row>
    <row r="3215">
      <c r="A3215" s="2">
        <f>IFERROR(__xludf.DUMMYFUNCTION("""COMPUTED_VALUE"""),41190.666666666664)</f>
        <v>41190.66667</v>
      </c>
      <c r="B3215" s="1">
        <f>IFERROR(__xludf.DUMMYFUNCTION("""COMPUTED_VALUE"""),69.48)</f>
        <v>69.48</v>
      </c>
      <c r="C3215" s="1">
        <f>IFERROR(__xludf.DUMMYFUNCTION("""COMPUTED_VALUE"""),69.48)</f>
        <v>69.48</v>
      </c>
      <c r="D3215" s="1">
        <f>IFERROR(__xludf.DUMMYFUNCTION("""COMPUTED_VALUE"""),68.89)</f>
        <v>68.89</v>
      </c>
      <c r="E3215" s="1">
        <f>IFERROR(__xludf.DUMMYFUNCTION("""COMPUTED_VALUE"""),69.1)</f>
        <v>69.1</v>
      </c>
      <c r="F3215" s="1">
        <f>IFERROR(__xludf.DUMMYFUNCTION("""COMPUTED_VALUE"""),6576923.0)</f>
        <v>6576923</v>
      </c>
    </row>
    <row r="3216">
      <c r="A3216" s="2">
        <f>IFERROR(__xludf.DUMMYFUNCTION("""COMPUTED_VALUE"""),41191.666666666664)</f>
        <v>41191.66667</v>
      </c>
      <c r="B3216" s="1">
        <f>IFERROR(__xludf.DUMMYFUNCTION("""COMPUTED_VALUE"""),68.92)</f>
        <v>68.92</v>
      </c>
      <c r="C3216" s="1">
        <f>IFERROR(__xludf.DUMMYFUNCTION("""COMPUTED_VALUE"""),69.28)</f>
        <v>69.28</v>
      </c>
      <c r="D3216" s="1">
        <f>IFERROR(__xludf.DUMMYFUNCTION("""COMPUTED_VALUE"""),68.52)</f>
        <v>68.52</v>
      </c>
      <c r="E3216" s="1">
        <f>IFERROR(__xludf.DUMMYFUNCTION("""COMPUTED_VALUE"""),68.7)</f>
        <v>68.7</v>
      </c>
      <c r="F3216" s="1">
        <f>IFERROR(__xludf.DUMMYFUNCTION("""COMPUTED_VALUE"""),8200236.0)</f>
        <v>8200236</v>
      </c>
    </row>
    <row r="3217">
      <c r="A3217" s="2">
        <f>IFERROR(__xludf.DUMMYFUNCTION("""COMPUTED_VALUE"""),41192.666666666664)</f>
        <v>41192.66667</v>
      </c>
      <c r="B3217" s="1">
        <f>IFERROR(__xludf.DUMMYFUNCTION("""COMPUTED_VALUE"""),68.79)</f>
        <v>68.79</v>
      </c>
      <c r="C3217" s="1">
        <f>IFERROR(__xludf.DUMMYFUNCTION("""COMPUTED_VALUE"""),68.94)</f>
        <v>68.94</v>
      </c>
      <c r="D3217" s="1">
        <f>IFERROR(__xludf.DUMMYFUNCTION("""COMPUTED_VALUE"""),67.95)</f>
        <v>67.95</v>
      </c>
      <c r="E3217" s="1">
        <f>IFERROR(__xludf.DUMMYFUNCTION("""COMPUTED_VALUE"""),68.14)</f>
        <v>68.14</v>
      </c>
      <c r="F3217" s="1">
        <f>IFERROR(__xludf.DUMMYFUNCTION("""COMPUTED_VALUE"""),8937503.0)</f>
        <v>8937503</v>
      </c>
    </row>
    <row r="3218">
      <c r="A3218" s="2">
        <f>IFERROR(__xludf.DUMMYFUNCTION("""COMPUTED_VALUE"""),41193.666666666664)</f>
        <v>41193.66667</v>
      </c>
      <c r="B3218" s="1">
        <f>IFERROR(__xludf.DUMMYFUNCTION("""COMPUTED_VALUE"""),68.33)</f>
        <v>68.33</v>
      </c>
      <c r="C3218" s="1">
        <f>IFERROR(__xludf.DUMMYFUNCTION("""COMPUTED_VALUE"""),68.39)</f>
        <v>68.39</v>
      </c>
      <c r="D3218" s="1">
        <f>IFERROR(__xludf.DUMMYFUNCTION("""COMPUTED_VALUE"""),67.82)</f>
        <v>67.82</v>
      </c>
      <c r="E3218" s="1">
        <f>IFERROR(__xludf.DUMMYFUNCTION("""COMPUTED_VALUE"""),68.0)</f>
        <v>68</v>
      </c>
      <c r="F3218" s="1">
        <f>IFERROR(__xludf.DUMMYFUNCTION("""COMPUTED_VALUE"""),6600804.0)</f>
        <v>6600804</v>
      </c>
    </row>
    <row r="3219">
      <c r="A3219" s="2">
        <f>IFERROR(__xludf.DUMMYFUNCTION("""COMPUTED_VALUE"""),41194.666666666664)</f>
        <v>41194.66667</v>
      </c>
      <c r="B3219" s="1">
        <f>IFERROR(__xludf.DUMMYFUNCTION("""COMPUTED_VALUE"""),68.23)</f>
        <v>68.23</v>
      </c>
      <c r="C3219" s="1">
        <f>IFERROR(__xludf.DUMMYFUNCTION("""COMPUTED_VALUE"""),68.46)</f>
        <v>68.46</v>
      </c>
      <c r="D3219" s="1">
        <f>IFERROR(__xludf.DUMMYFUNCTION("""COMPUTED_VALUE"""),67.87)</f>
        <v>67.87</v>
      </c>
      <c r="E3219" s="1">
        <f>IFERROR(__xludf.DUMMYFUNCTION("""COMPUTED_VALUE"""),67.94)</f>
        <v>67.94</v>
      </c>
      <c r="F3219" s="1">
        <f>IFERROR(__xludf.DUMMYFUNCTION("""COMPUTED_VALUE"""),6537675.0)</f>
        <v>6537675</v>
      </c>
    </row>
    <row r="3220">
      <c r="A3220" s="2">
        <f>IFERROR(__xludf.DUMMYFUNCTION("""COMPUTED_VALUE"""),41197.666666666664)</f>
        <v>41197.66667</v>
      </c>
      <c r="B3220" s="1">
        <f>IFERROR(__xludf.DUMMYFUNCTION("""COMPUTED_VALUE"""),68.27)</f>
        <v>68.27</v>
      </c>
      <c r="C3220" s="1">
        <f>IFERROR(__xludf.DUMMYFUNCTION("""COMPUTED_VALUE"""),68.89)</f>
        <v>68.89</v>
      </c>
      <c r="D3220" s="1">
        <f>IFERROR(__xludf.DUMMYFUNCTION("""COMPUTED_VALUE"""),67.97)</f>
        <v>67.97</v>
      </c>
      <c r="E3220" s="1">
        <f>IFERROR(__xludf.DUMMYFUNCTION("""COMPUTED_VALUE"""),68.71)</f>
        <v>68.71</v>
      </c>
      <c r="F3220" s="1">
        <f>IFERROR(__xludf.DUMMYFUNCTION("""COMPUTED_VALUE"""),8359426.0)</f>
        <v>8359426</v>
      </c>
    </row>
    <row r="3221">
      <c r="A3221" s="2">
        <f>IFERROR(__xludf.DUMMYFUNCTION("""COMPUTED_VALUE"""),41198.666666666664)</f>
        <v>41198.66667</v>
      </c>
      <c r="B3221" s="1">
        <f>IFERROR(__xludf.DUMMYFUNCTION("""COMPUTED_VALUE"""),68.96)</f>
        <v>68.96</v>
      </c>
      <c r="C3221" s="1">
        <f>IFERROR(__xludf.DUMMYFUNCTION("""COMPUTED_VALUE"""),69.26)</f>
        <v>69.26</v>
      </c>
      <c r="D3221" s="1">
        <f>IFERROR(__xludf.DUMMYFUNCTION("""COMPUTED_VALUE"""),68.79)</f>
        <v>68.79</v>
      </c>
      <c r="E3221" s="1">
        <f>IFERROR(__xludf.DUMMYFUNCTION("""COMPUTED_VALUE"""),69.0)</f>
        <v>69</v>
      </c>
      <c r="F3221" s="1">
        <f>IFERROR(__xludf.DUMMYFUNCTION("""COMPUTED_VALUE"""),7703261.0)</f>
        <v>7703261</v>
      </c>
    </row>
    <row r="3222">
      <c r="A3222" s="2">
        <f>IFERROR(__xludf.DUMMYFUNCTION("""COMPUTED_VALUE"""),41199.666666666664)</f>
        <v>41199.66667</v>
      </c>
      <c r="B3222" s="1">
        <f>IFERROR(__xludf.DUMMYFUNCTION("""COMPUTED_VALUE"""),68.55)</f>
        <v>68.55</v>
      </c>
      <c r="C3222" s="1">
        <f>IFERROR(__xludf.DUMMYFUNCTION("""COMPUTED_VALUE"""),69.64)</f>
        <v>69.64</v>
      </c>
      <c r="D3222" s="1">
        <f>IFERROR(__xludf.DUMMYFUNCTION("""COMPUTED_VALUE"""),68.51)</f>
        <v>68.51</v>
      </c>
      <c r="E3222" s="1">
        <f>IFERROR(__xludf.DUMMYFUNCTION("""COMPUTED_VALUE"""),69.47)</f>
        <v>69.47</v>
      </c>
      <c r="F3222" s="1">
        <f>IFERROR(__xludf.DUMMYFUNCTION("""COMPUTED_VALUE"""),1.1060984E7)</f>
        <v>11060984</v>
      </c>
    </row>
    <row r="3223">
      <c r="A3223" s="2">
        <f>IFERROR(__xludf.DUMMYFUNCTION("""COMPUTED_VALUE"""),41200.666666666664)</f>
        <v>41200.66667</v>
      </c>
      <c r="B3223" s="1">
        <f>IFERROR(__xludf.DUMMYFUNCTION("""COMPUTED_VALUE"""),69.45)</f>
        <v>69.45</v>
      </c>
      <c r="C3223" s="1">
        <f>IFERROR(__xludf.DUMMYFUNCTION("""COMPUTED_VALUE"""),69.5)</f>
        <v>69.5</v>
      </c>
      <c r="D3223" s="1">
        <f>IFERROR(__xludf.DUMMYFUNCTION("""COMPUTED_VALUE"""),69.04)</f>
        <v>69.04</v>
      </c>
      <c r="E3223" s="1">
        <f>IFERROR(__xludf.DUMMYFUNCTION("""COMPUTED_VALUE"""),69.47)</f>
        <v>69.47</v>
      </c>
      <c r="F3223" s="1">
        <f>IFERROR(__xludf.DUMMYFUNCTION("""COMPUTED_VALUE"""),7358039.0)</f>
        <v>7358039</v>
      </c>
    </row>
    <row r="3224">
      <c r="A3224" s="2">
        <f>IFERROR(__xludf.DUMMYFUNCTION("""COMPUTED_VALUE"""),41201.666666666664)</f>
        <v>41201.66667</v>
      </c>
      <c r="B3224" s="1">
        <f>IFERROR(__xludf.DUMMYFUNCTION("""COMPUTED_VALUE"""),69.36)</f>
        <v>69.36</v>
      </c>
      <c r="C3224" s="1">
        <f>IFERROR(__xludf.DUMMYFUNCTION("""COMPUTED_VALUE"""),69.49)</f>
        <v>69.49</v>
      </c>
      <c r="D3224" s="1">
        <f>IFERROR(__xludf.DUMMYFUNCTION("""COMPUTED_VALUE"""),68.45)</f>
        <v>68.45</v>
      </c>
      <c r="E3224" s="1">
        <f>IFERROR(__xludf.DUMMYFUNCTION("""COMPUTED_VALUE"""),68.57)</f>
        <v>68.57</v>
      </c>
      <c r="F3224" s="1">
        <f>IFERROR(__xludf.DUMMYFUNCTION("""COMPUTED_VALUE"""),1.0129461E7)</f>
        <v>10129461</v>
      </c>
    </row>
    <row r="3225">
      <c r="A3225" s="2">
        <f>IFERROR(__xludf.DUMMYFUNCTION("""COMPUTED_VALUE"""),41204.666666666664)</f>
        <v>41204.66667</v>
      </c>
      <c r="B3225" s="1">
        <f>IFERROR(__xludf.DUMMYFUNCTION("""COMPUTED_VALUE"""),68.35)</f>
        <v>68.35</v>
      </c>
      <c r="C3225" s="1">
        <f>IFERROR(__xludf.DUMMYFUNCTION("""COMPUTED_VALUE"""),68.55)</f>
        <v>68.55</v>
      </c>
      <c r="D3225" s="1">
        <f>IFERROR(__xludf.DUMMYFUNCTION("""COMPUTED_VALUE"""),67.87)</f>
        <v>67.87</v>
      </c>
      <c r="E3225" s="1">
        <f>IFERROR(__xludf.DUMMYFUNCTION("""COMPUTED_VALUE"""),68.5)</f>
        <v>68.5</v>
      </c>
      <c r="F3225" s="1">
        <f>IFERROR(__xludf.DUMMYFUNCTION("""COMPUTED_VALUE"""),7516798.0)</f>
        <v>7516798</v>
      </c>
    </row>
    <row r="3226">
      <c r="A3226" s="2">
        <f>IFERROR(__xludf.DUMMYFUNCTION("""COMPUTED_VALUE"""),41205.666666666664)</f>
        <v>41205.66667</v>
      </c>
      <c r="B3226" s="1">
        <f>IFERROR(__xludf.DUMMYFUNCTION("""COMPUTED_VALUE"""),67.98)</f>
        <v>67.98</v>
      </c>
      <c r="C3226" s="1">
        <f>IFERROR(__xludf.DUMMYFUNCTION("""COMPUTED_VALUE"""),68.13)</f>
        <v>68.13</v>
      </c>
      <c r="D3226" s="1">
        <f>IFERROR(__xludf.DUMMYFUNCTION("""COMPUTED_VALUE"""),67.26)</f>
        <v>67.26</v>
      </c>
      <c r="E3226" s="1">
        <f>IFERROR(__xludf.DUMMYFUNCTION("""COMPUTED_VALUE"""),67.44)</f>
        <v>67.44</v>
      </c>
      <c r="F3226" s="1">
        <f>IFERROR(__xludf.DUMMYFUNCTION("""COMPUTED_VALUE"""),8030901.0)</f>
        <v>8030901</v>
      </c>
    </row>
    <row r="3227">
      <c r="A3227" s="2">
        <f>IFERROR(__xludf.DUMMYFUNCTION("""COMPUTED_VALUE"""),41206.666666666664)</f>
        <v>41206.66667</v>
      </c>
      <c r="B3227" s="1">
        <f>IFERROR(__xludf.DUMMYFUNCTION("""COMPUTED_VALUE"""),67.37)</f>
        <v>67.37</v>
      </c>
      <c r="C3227" s="1">
        <f>IFERROR(__xludf.DUMMYFUNCTION("""COMPUTED_VALUE"""),68.37)</f>
        <v>68.37</v>
      </c>
      <c r="D3227" s="1">
        <f>IFERROR(__xludf.DUMMYFUNCTION("""COMPUTED_VALUE"""),67.37)</f>
        <v>67.37</v>
      </c>
      <c r="E3227" s="1">
        <f>IFERROR(__xludf.DUMMYFUNCTION("""COMPUTED_VALUE"""),68.08)</f>
        <v>68.08</v>
      </c>
      <c r="F3227" s="1">
        <f>IFERROR(__xludf.DUMMYFUNCTION("""COMPUTED_VALUE"""),1.0210526E7)</f>
        <v>10210526</v>
      </c>
    </row>
    <row r="3228">
      <c r="A3228" s="2">
        <f>IFERROR(__xludf.DUMMYFUNCTION("""COMPUTED_VALUE"""),41207.666666666664)</f>
        <v>41207.66667</v>
      </c>
      <c r="B3228" s="1">
        <f>IFERROR(__xludf.DUMMYFUNCTION("""COMPUTED_VALUE"""),69.75)</f>
        <v>69.75</v>
      </c>
      <c r="C3228" s="1">
        <f>IFERROR(__xludf.DUMMYFUNCTION("""COMPUTED_VALUE"""),70.83)</f>
        <v>70.83</v>
      </c>
      <c r="D3228" s="1">
        <f>IFERROR(__xludf.DUMMYFUNCTION("""COMPUTED_VALUE"""),69.58)</f>
        <v>69.58</v>
      </c>
      <c r="E3228" s="1">
        <f>IFERROR(__xludf.DUMMYFUNCTION("""COMPUTED_VALUE"""),70.07)</f>
        <v>70.07</v>
      </c>
      <c r="F3228" s="1">
        <f>IFERROR(__xludf.DUMMYFUNCTION("""COMPUTED_VALUE"""),2.4480252E7)</f>
        <v>24480252</v>
      </c>
    </row>
    <row r="3229">
      <c r="A3229" s="2">
        <f>IFERROR(__xludf.DUMMYFUNCTION("""COMPUTED_VALUE"""),41208.666666666664)</f>
        <v>41208.66667</v>
      </c>
      <c r="B3229" s="1">
        <f>IFERROR(__xludf.DUMMYFUNCTION("""COMPUTED_VALUE"""),69.74)</f>
        <v>69.74</v>
      </c>
      <c r="C3229" s="1">
        <f>IFERROR(__xludf.DUMMYFUNCTION("""COMPUTED_VALUE"""),70.36)</f>
        <v>70.36</v>
      </c>
      <c r="D3229" s="1">
        <f>IFERROR(__xludf.DUMMYFUNCTION("""COMPUTED_VALUE"""),69.39)</f>
        <v>69.39</v>
      </c>
      <c r="E3229" s="1">
        <f>IFERROR(__xludf.DUMMYFUNCTION("""COMPUTED_VALUE"""),69.44)</f>
        <v>69.44</v>
      </c>
      <c r="F3229" s="1">
        <f>IFERROR(__xludf.DUMMYFUNCTION("""COMPUTED_VALUE"""),1.1946172E7)</f>
        <v>11946172</v>
      </c>
    </row>
    <row r="3230">
      <c r="A3230" s="2">
        <f>IFERROR(__xludf.DUMMYFUNCTION("""COMPUTED_VALUE"""),41213.666666666664)</f>
        <v>41213.66667</v>
      </c>
      <c r="B3230" s="1">
        <f>IFERROR(__xludf.DUMMYFUNCTION("""COMPUTED_VALUE"""),69.51)</f>
        <v>69.51</v>
      </c>
      <c r="C3230" s="1">
        <f>IFERROR(__xludf.DUMMYFUNCTION("""COMPUTED_VALUE"""),69.95)</f>
        <v>69.95</v>
      </c>
      <c r="D3230" s="1">
        <f>IFERROR(__xludf.DUMMYFUNCTION("""COMPUTED_VALUE"""),69.01)</f>
        <v>69.01</v>
      </c>
      <c r="E3230" s="1">
        <f>IFERROR(__xludf.DUMMYFUNCTION("""COMPUTED_VALUE"""),69.24)</f>
        <v>69.24</v>
      </c>
      <c r="F3230" s="1">
        <f>IFERROR(__xludf.DUMMYFUNCTION("""COMPUTED_VALUE"""),9095341.0)</f>
        <v>9095341</v>
      </c>
    </row>
    <row r="3231">
      <c r="A3231" s="2">
        <f>IFERROR(__xludf.DUMMYFUNCTION("""COMPUTED_VALUE"""),41214.666666666664)</f>
        <v>41214.66667</v>
      </c>
      <c r="B3231" s="1">
        <f>IFERROR(__xludf.DUMMYFUNCTION("""COMPUTED_VALUE"""),69.16)</f>
        <v>69.16</v>
      </c>
      <c r="C3231" s="1">
        <f>IFERROR(__xludf.DUMMYFUNCTION("""COMPUTED_VALUE"""),69.51)</f>
        <v>69.51</v>
      </c>
      <c r="D3231" s="1">
        <f>IFERROR(__xludf.DUMMYFUNCTION("""COMPUTED_VALUE"""),69.14)</f>
        <v>69.14</v>
      </c>
      <c r="E3231" s="1">
        <f>IFERROR(__xludf.DUMMYFUNCTION("""COMPUTED_VALUE"""),69.25)</f>
        <v>69.25</v>
      </c>
      <c r="F3231" s="1">
        <f>IFERROR(__xludf.DUMMYFUNCTION("""COMPUTED_VALUE"""),7703861.0)</f>
        <v>7703861</v>
      </c>
    </row>
    <row r="3232">
      <c r="A3232" s="2">
        <f>IFERROR(__xludf.DUMMYFUNCTION("""COMPUTED_VALUE"""),41215.666666666664)</f>
        <v>41215.66667</v>
      </c>
      <c r="B3232" s="1">
        <f>IFERROR(__xludf.DUMMYFUNCTION("""COMPUTED_VALUE"""),69.74)</f>
        <v>69.74</v>
      </c>
      <c r="C3232" s="1">
        <f>IFERROR(__xludf.DUMMYFUNCTION("""COMPUTED_VALUE"""),69.77)</f>
        <v>69.77</v>
      </c>
      <c r="D3232" s="1">
        <f>IFERROR(__xludf.DUMMYFUNCTION("""COMPUTED_VALUE"""),69.06)</f>
        <v>69.06</v>
      </c>
      <c r="E3232" s="1">
        <f>IFERROR(__xludf.DUMMYFUNCTION("""COMPUTED_VALUE"""),69.19)</f>
        <v>69.19</v>
      </c>
      <c r="F3232" s="1">
        <f>IFERROR(__xludf.DUMMYFUNCTION("""COMPUTED_VALUE"""),6963421.0)</f>
        <v>6963421</v>
      </c>
    </row>
    <row r="3233">
      <c r="A3233" s="2">
        <f>IFERROR(__xludf.DUMMYFUNCTION("""COMPUTED_VALUE"""),41218.666666666664)</f>
        <v>41218.66667</v>
      </c>
      <c r="B3233" s="1">
        <f>IFERROR(__xludf.DUMMYFUNCTION("""COMPUTED_VALUE"""),69.22)</f>
        <v>69.22</v>
      </c>
      <c r="C3233" s="1">
        <f>IFERROR(__xludf.DUMMYFUNCTION("""COMPUTED_VALUE"""),69.22)</f>
        <v>69.22</v>
      </c>
      <c r="D3233" s="1">
        <f>IFERROR(__xludf.DUMMYFUNCTION("""COMPUTED_VALUE"""),68.35)</f>
        <v>68.35</v>
      </c>
      <c r="E3233" s="1">
        <f>IFERROR(__xludf.DUMMYFUNCTION("""COMPUTED_VALUE"""),68.67)</f>
        <v>68.67</v>
      </c>
      <c r="F3233" s="1">
        <f>IFERROR(__xludf.DUMMYFUNCTION("""COMPUTED_VALUE"""),6525654.0)</f>
        <v>6525654</v>
      </c>
    </row>
    <row r="3234">
      <c r="A3234" s="2">
        <f>IFERROR(__xludf.DUMMYFUNCTION("""COMPUTED_VALUE"""),41219.666666666664)</f>
        <v>41219.66667</v>
      </c>
      <c r="B3234" s="1">
        <f>IFERROR(__xludf.DUMMYFUNCTION("""COMPUTED_VALUE"""),68.6)</f>
        <v>68.6</v>
      </c>
      <c r="C3234" s="1">
        <f>IFERROR(__xludf.DUMMYFUNCTION("""COMPUTED_VALUE"""),69.0)</f>
        <v>69</v>
      </c>
      <c r="D3234" s="1">
        <f>IFERROR(__xludf.DUMMYFUNCTION("""COMPUTED_VALUE"""),68.36)</f>
        <v>68.36</v>
      </c>
      <c r="E3234" s="1">
        <f>IFERROR(__xludf.DUMMYFUNCTION("""COMPUTED_VALUE"""),68.93)</f>
        <v>68.93</v>
      </c>
      <c r="F3234" s="1">
        <f>IFERROR(__xludf.DUMMYFUNCTION("""COMPUTED_VALUE"""),6639797.0)</f>
        <v>6639797</v>
      </c>
    </row>
    <row r="3235">
      <c r="A3235" s="2">
        <f>IFERROR(__xludf.DUMMYFUNCTION("""COMPUTED_VALUE"""),41220.666666666664)</f>
        <v>41220.66667</v>
      </c>
      <c r="B3235" s="1">
        <f>IFERROR(__xludf.DUMMYFUNCTION("""COMPUTED_VALUE"""),68.82)</f>
        <v>68.82</v>
      </c>
      <c r="C3235" s="1">
        <f>IFERROR(__xludf.DUMMYFUNCTION("""COMPUTED_VALUE"""),68.87)</f>
        <v>68.87</v>
      </c>
      <c r="D3235" s="1">
        <f>IFERROR(__xludf.DUMMYFUNCTION("""COMPUTED_VALUE"""),67.79)</f>
        <v>67.79</v>
      </c>
      <c r="E3235" s="1">
        <f>IFERROR(__xludf.DUMMYFUNCTION("""COMPUTED_VALUE"""),68.06)</f>
        <v>68.06</v>
      </c>
      <c r="F3235" s="1">
        <f>IFERROR(__xludf.DUMMYFUNCTION("""COMPUTED_VALUE"""),8849525.0)</f>
        <v>8849525</v>
      </c>
    </row>
    <row r="3236">
      <c r="A3236" s="2">
        <f>IFERROR(__xludf.DUMMYFUNCTION("""COMPUTED_VALUE"""),41221.666666666664)</f>
        <v>41221.66667</v>
      </c>
      <c r="B3236" s="1">
        <f>IFERROR(__xludf.DUMMYFUNCTION("""COMPUTED_VALUE"""),67.98)</f>
        <v>67.98</v>
      </c>
      <c r="C3236" s="1">
        <f>IFERROR(__xludf.DUMMYFUNCTION("""COMPUTED_VALUE"""),68.09)</f>
        <v>68.09</v>
      </c>
      <c r="D3236" s="1">
        <f>IFERROR(__xludf.DUMMYFUNCTION("""COMPUTED_VALUE"""),66.9)</f>
        <v>66.9</v>
      </c>
      <c r="E3236" s="1">
        <f>IFERROR(__xludf.DUMMYFUNCTION("""COMPUTED_VALUE"""),66.91)</f>
        <v>66.91</v>
      </c>
      <c r="F3236" s="1">
        <f>IFERROR(__xludf.DUMMYFUNCTION("""COMPUTED_VALUE"""),7917627.0)</f>
        <v>7917627</v>
      </c>
    </row>
    <row r="3237">
      <c r="A3237" s="2">
        <f>IFERROR(__xludf.DUMMYFUNCTION("""COMPUTED_VALUE"""),41222.666666666664)</f>
        <v>41222.66667</v>
      </c>
      <c r="B3237" s="1">
        <f>IFERROR(__xludf.DUMMYFUNCTION("""COMPUTED_VALUE"""),66.83)</f>
        <v>66.83</v>
      </c>
      <c r="C3237" s="1">
        <f>IFERROR(__xludf.DUMMYFUNCTION("""COMPUTED_VALUE"""),67.46)</f>
        <v>67.46</v>
      </c>
      <c r="D3237" s="1">
        <f>IFERROR(__xludf.DUMMYFUNCTION("""COMPUTED_VALUE"""),66.76)</f>
        <v>66.76</v>
      </c>
      <c r="E3237" s="1">
        <f>IFERROR(__xludf.DUMMYFUNCTION("""COMPUTED_VALUE"""),67.01)</f>
        <v>67.01</v>
      </c>
      <c r="F3237" s="1">
        <f>IFERROR(__xludf.DUMMYFUNCTION("""COMPUTED_VALUE"""),8149322.0)</f>
        <v>8149322</v>
      </c>
    </row>
    <row r="3238">
      <c r="A3238" s="2">
        <f>IFERROR(__xludf.DUMMYFUNCTION("""COMPUTED_VALUE"""),41225.666666666664)</f>
        <v>41225.66667</v>
      </c>
      <c r="B3238" s="1">
        <f>IFERROR(__xludf.DUMMYFUNCTION("""COMPUTED_VALUE"""),67.15)</f>
        <v>67.15</v>
      </c>
      <c r="C3238" s="1">
        <f>IFERROR(__xludf.DUMMYFUNCTION("""COMPUTED_VALUE"""),67.4)</f>
        <v>67.4</v>
      </c>
      <c r="D3238" s="1">
        <f>IFERROR(__xludf.DUMMYFUNCTION("""COMPUTED_VALUE"""),66.91)</f>
        <v>66.91</v>
      </c>
      <c r="E3238" s="1">
        <f>IFERROR(__xludf.DUMMYFUNCTION("""COMPUTED_VALUE"""),67.08)</f>
        <v>67.08</v>
      </c>
      <c r="F3238" s="1">
        <f>IFERROR(__xludf.DUMMYFUNCTION("""COMPUTED_VALUE"""),4373089.0)</f>
        <v>4373089</v>
      </c>
    </row>
    <row r="3239">
      <c r="A3239" s="2">
        <f>IFERROR(__xludf.DUMMYFUNCTION("""COMPUTED_VALUE"""),41226.666666666664)</f>
        <v>41226.66667</v>
      </c>
      <c r="B3239" s="1">
        <f>IFERROR(__xludf.DUMMYFUNCTION("""COMPUTED_VALUE"""),66.77)</f>
        <v>66.77</v>
      </c>
      <c r="C3239" s="1">
        <f>IFERROR(__xludf.DUMMYFUNCTION("""COMPUTED_VALUE"""),67.6)</f>
        <v>67.6</v>
      </c>
      <c r="D3239" s="1">
        <f>IFERROR(__xludf.DUMMYFUNCTION("""COMPUTED_VALUE"""),66.77)</f>
        <v>66.77</v>
      </c>
      <c r="E3239" s="1">
        <f>IFERROR(__xludf.DUMMYFUNCTION("""COMPUTED_VALUE"""),66.85)</f>
        <v>66.85</v>
      </c>
      <c r="F3239" s="1">
        <f>IFERROR(__xludf.DUMMYFUNCTION("""COMPUTED_VALUE"""),6769916.0)</f>
        <v>6769916</v>
      </c>
    </row>
    <row r="3240">
      <c r="A3240" s="2">
        <f>IFERROR(__xludf.DUMMYFUNCTION("""COMPUTED_VALUE"""),41227.666666666664)</f>
        <v>41227.66667</v>
      </c>
      <c r="B3240" s="1">
        <f>IFERROR(__xludf.DUMMYFUNCTION("""COMPUTED_VALUE"""),66.89)</f>
        <v>66.89</v>
      </c>
      <c r="C3240" s="1">
        <f>IFERROR(__xludf.DUMMYFUNCTION("""COMPUTED_VALUE"""),67.06)</f>
        <v>67.06</v>
      </c>
      <c r="D3240" s="1">
        <f>IFERROR(__xludf.DUMMYFUNCTION("""COMPUTED_VALUE"""),66.29)</f>
        <v>66.29</v>
      </c>
      <c r="E3240" s="1">
        <f>IFERROR(__xludf.DUMMYFUNCTION("""COMPUTED_VALUE"""),66.53)</f>
        <v>66.53</v>
      </c>
      <c r="F3240" s="1">
        <f>IFERROR(__xludf.DUMMYFUNCTION("""COMPUTED_VALUE"""),9680238.0)</f>
        <v>9680238</v>
      </c>
    </row>
    <row r="3241">
      <c r="A3241" s="2">
        <f>IFERROR(__xludf.DUMMYFUNCTION("""COMPUTED_VALUE"""),41228.666666666664)</f>
        <v>41228.66667</v>
      </c>
      <c r="B3241" s="1">
        <f>IFERROR(__xludf.DUMMYFUNCTION("""COMPUTED_VALUE"""),66.76)</f>
        <v>66.76</v>
      </c>
      <c r="C3241" s="1">
        <f>IFERROR(__xludf.DUMMYFUNCTION("""COMPUTED_VALUE"""),67.0)</f>
        <v>67</v>
      </c>
      <c r="D3241" s="1">
        <f>IFERROR(__xludf.DUMMYFUNCTION("""COMPUTED_VALUE"""),65.83)</f>
        <v>65.83</v>
      </c>
      <c r="E3241" s="1">
        <f>IFERROR(__xludf.DUMMYFUNCTION("""COMPUTED_VALUE"""),66.32)</f>
        <v>66.32</v>
      </c>
      <c r="F3241" s="1">
        <f>IFERROR(__xludf.DUMMYFUNCTION("""COMPUTED_VALUE"""),9290579.0)</f>
        <v>9290579</v>
      </c>
    </row>
    <row r="3242">
      <c r="A3242" s="2">
        <f>IFERROR(__xludf.DUMMYFUNCTION("""COMPUTED_VALUE"""),41229.666666666664)</f>
        <v>41229.66667</v>
      </c>
      <c r="B3242" s="1">
        <f>IFERROR(__xludf.DUMMYFUNCTION("""COMPUTED_VALUE"""),66.36)</f>
        <v>66.36</v>
      </c>
      <c r="C3242" s="1">
        <f>IFERROR(__xludf.DUMMYFUNCTION("""COMPUTED_VALUE"""),66.97)</f>
        <v>66.97</v>
      </c>
      <c r="D3242" s="1">
        <f>IFERROR(__xludf.DUMMYFUNCTION("""COMPUTED_VALUE"""),66.14)</f>
        <v>66.14</v>
      </c>
      <c r="E3242" s="1">
        <f>IFERROR(__xludf.DUMMYFUNCTION("""COMPUTED_VALUE"""),66.82)</f>
        <v>66.82</v>
      </c>
      <c r="F3242" s="1">
        <f>IFERROR(__xludf.DUMMYFUNCTION("""COMPUTED_VALUE"""),1.1354178E7)</f>
        <v>11354178</v>
      </c>
    </row>
    <row r="3243">
      <c r="A3243" s="2">
        <f>IFERROR(__xludf.DUMMYFUNCTION("""COMPUTED_VALUE"""),41232.666666666664)</f>
        <v>41232.66667</v>
      </c>
      <c r="B3243" s="1">
        <f>IFERROR(__xludf.DUMMYFUNCTION("""COMPUTED_VALUE"""),66.99)</f>
        <v>66.99</v>
      </c>
      <c r="C3243" s="1">
        <f>IFERROR(__xludf.DUMMYFUNCTION("""COMPUTED_VALUE"""),67.92)</f>
        <v>67.92</v>
      </c>
      <c r="D3243" s="1">
        <f>IFERROR(__xludf.DUMMYFUNCTION("""COMPUTED_VALUE"""),66.86)</f>
        <v>66.86</v>
      </c>
      <c r="E3243" s="1">
        <f>IFERROR(__xludf.DUMMYFUNCTION("""COMPUTED_VALUE"""),67.92)</f>
        <v>67.92</v>
      </c>
      <c r="F3243" s="1">
        <f>IFERROR(__xludf.DUMMYFUNCTION("""COMPUTED_VALUE"""),8741358.0)</f>
        <v>8741358</v>
      </c>
    </row>
    <row r="3244">
      <c r="A3244" s="2">
        <f>IFERROR(__xludf.DUMMYFUNCTION("""COMPUTED_VALUE"""),41233.666666666664)</f>
        <v>41233.66667</v>
      </c>
      <c r="B3244" s="1">
        <f>IFERROR(__xludf.DUMMYFUNCTION("""COMPUTED_VALUE"""),67.81)</f>
        <v>67.81</v>
      </c>
      <c r="C3244" s="1">
        <f>IFERROR(__xludf.DUMMYFUNCTION("""COMPUTED_VALUE"""),68.49)</f>
        <v>68.49</v>
      </c>
      <c r="D3244" s="1">
        <f>IFERROR(__xludf.DUMMYFUNCTION("""COMPUTED_VALUE"""),67.76)</f>
        <v>67.76</v>
      </c>
      <c r="E3244" s="1">
        <f>IFERROR(__xludf.DUMMYFUNCTION("""COMPUTED_VALUE"""),68.3)</f>
        <v>68.3</v>
      </c>
      <c r="F3244" s="1">
        <f>IFERROR(__xludf.DUMMYFUNCTION("""COMPUTED_VALUE"""),7611575.0)</f>
        <v>7611575</v>
      </c>
    </row>
    <row r="3245">
      <c r="A3245" s="2">
        <f>IFERROR(__xludf.DUMMYFUNCTION("""COMPUTED_VALUE"""),41234.666666666664)</f>
        <v>41234.66667</v>
      </c>
      <c r="B3245" s="1">
        <f>IFERROR(__xludf.DUMMYFUNCTION("""COMPUTED_VALUE"""),68.16)</f>
        <v>68.16</v>
      </c>
      <c r="C3245" s="1">
        <f>IFERROR(__xludf.DUMMYFUNCTION("""COMPUTED_VALUE"""),68.5)</f>
        <v>68.5</v>
      </c>
      <c r="D3245" s="1">
        <f>IFERROR(__xludf.DUMMYFUNCTION("""COMPUTED_VALUE"""),67.97)</f>
        <v>67.97</v>
      </c>
      <c r="E3245" s="1">
        <f>IFERROR(__xludf.DUMMYFUNCTION("""COMPUTED_VALUE"""),68.47)</f>
        <v>68.47</v>
      </c>
      <c r="F3245" s="1">
        <f>IFERROR(__xludf.DUMMYFUNCTION("""COMPUTED_VALUE"""),6201379.0)</f>
        <v>6201379</v>
      </c>
    </row>
    <row r="3246">
      <c r="A3246" s="2">
        <f>IFERROR(__xludf.DUMMYFUNCTION("""COMPUTED_VALUE"""),41236.666666666664)</f>
        <v>41236.66667</v>
      </c>
      <c r="B3246" s="1">
        <f>IFERROR(__xludf.DUMMYFUNCTION("""COMPUTED_VALUE"""),68.75)</f>
        <v>68.75</v>
      </c>
      <c r="C3246" s="1">
        <f>IFERROR(__xludf.DUMMYFUNCTION("""COMPUTED_VALUE"""),69.61)</f>
        <v>69.61</v>
      </c>
      <c r="D3246" s="1">
        <f>IFERROR(__xludf.DUMMYFUNCTION("""COMPUTED_VALUE"""),68.71)</f>
        <v>68.71</v>
      </c>
      <c r="E3246" s="1">
        <f>IFERROR(__xludf.DUMMYFUNCTION("""COMPUTED_VALUE"""),69.59)</f>
        <v>69.59</v>
      </c>
      <c r="F3246" s="1">
        <f>IFERROR(__xludf.DUMMYFUNCTION("""COMPUTED_VALUE"""),4598159.0)</f>
        <v>4598159</v>
      </c>
    </row>
    <row r="3247">
      <c r="A3247" s="2">
        <f>IFERROR(__xludf.DUMMYFUNCTION("""COMPUTED_VALUE"""),41239.666666666664)</f>
        <v>41239.66667</v>
      </c>
      <c r="B3247" s="1">
        <f>IFERROR(__xludf.DUMMYFUNCTION("""COMPUTED_VALUE"""),69.14)</f>
        <v>69.14</v>
      </c>
      <c r="C3247" s="1">
        <f>IFERROR(__xludf.DUMMYFUNCTION("""COMPUTED_VALUE"""),69.57)</f>
        <v>69.57</v>
      </c>
      <c r="D3247" s="1">
        <f>IFERROR(__xludf.DUMMYFUNCTION("""COMPUTED_VALUE"""),69.05)</f>
        <v>69.05</v>
      </c>
      <c r="E3247" s="1">
        <f>IFERROR(__xludf.DUMMYFUNCTION("""COMPUTED_VALUE"""),69.48)</f>
        <v>69.48</v>
      </c>
      <c r="F3247" s="1">
        <f>IFERROR(__xludf.DUMMYFUNCTION("""COMPUTED_VALUE"""),7494413.0)</f>
        <v>7494413</v>
      </c>
    </row>
    <row r="3248">
      <c r="A3248" s="2">
        <f>IFERROR(__xludf.DUMMYFUNCTION("""COMPUTED_VALUE"""),41240.666666666664)</f>
        <v>41240.66667</v>
      </c>
      <c r="B3248" s="1">
        <f>IFERROR(__xludf.DUMMYFUNCTION("""COMPUTED_VALUE"""),69.2)</f>
        <v>69.2</v>
      </c>
      <c r="C3248" s="1">
        <f>IFERROR(__xludf.DUMMYFUNCTION("""COMPUTED_VALUE"""),69.48)</f>
        <v>69.48</v>
      </c>
      <c r="D3248" s="1">
        <f>IFERROR(__xludf.DUMMYFUNCTION("""COMPUTED_VALUE"""),68.91)</f>
        <v>68.91</v>
      </c>
      <c r="E3248" s="1">
        <f>IFERROR(__xludf.DUMMYFUNCTION("""COMPUTED_VALUE"""),68.99)</f>
        <v>68.99</v>
      </c>
      <c r="F3248" s="1">
        <f>IFERROR(__xludf.DUMMYFUNCTION("""COMPUTED_VALUE"""),8154266.0)</f>
        <v>8154266</v>
      </c>
    </row>
    <row r="3249">
      <c r="A3249" s="2">
        <f>IFERROR(__xludf.DUMMYFUNCTION("""COMPUTED_VALUE"""),41241.666666666664)</f>
        <v>41241.66667</v>
      </c>
      <c r="B3249" s="1">
        <f>IFERROR(__xludf.DUMMYFUNCTION("""COMPUTED_VALUE"""),69.0)</f>
        <v>69</v>
      </c>
      <c r="C3249" s="1">
        <f>IFERROR(__xludf.DUMMYFUNCTION("""COMPUTED_VALUE"""),69.74)</f>
        <v>69.74</v>
      </c>
      <c r="D3249" s="1">
        <f>IFERROR(__xludf.DUMMYFUNCTION("""COMPUTED_VALUE"""),68.9)</f>
        <v>68.9</v>
      </c>
      <c r="E3249" s="1">
        <f>IFERROR(__xludf.DUMMYFUNCTION("""COMPUTED_VALUE"""),69.44)</f>
        <v>69.44</v>
      </c>
      <c r="F3249" s="1">
        <f>IFERROR(__xludf.DUMMYFUNCTION("""COMPUTED_VALUE"""),1.1256194E7)</f>
        <v>11256194</v>
      </c>
    </row>
    <row r="3250">
      <c r="A3250" s="2">
        <f>IFERROR(__xludf.DUMMYFUNCTION("""COMPUTED_VALUE"""),41242.666666666664)</f>
        <v>41242.66667</v>
      </c>
      <c r="B3250" s="1">
        <f>IFERROR(__xludf.DUMMYFUNCTION("""COMPUTED_VALUE"""),69.41)</f>
        <v>69.41</v>
      </c>
      <c r="C3250" s="1">
        <f>IFERROR(__xludf.DUMMYFUNCTION("""COMPUTED_VALUE"""),69.8)</f>
        <v>69.8</v>
      </c>
      <c r="D3250" s="1">
        <f>IFERROR(__xludf.DUMMYFUNCTION("""COMPUTED_VALUE"""),69.13)</f>
        <v>69.13</v>
      </c>
      <c r="E3250" s="1">
        <f>IFERROR(__xludf.DUMMYFUNCTION("""COMPUTED_VALUE"""),69.5)</f>
        <v>69.5</v>
      </c>
      <c r="F3250" s="1">
        <f>IFERROR(__xludf.DUMMYFUNCTION("""COMPUTED_VALUE"""),8783793.0)</f>
        <v>8783793</v>
      </c>
    </row>
    <row r="3251">
      <c r="A3251" s="2">
        <f>IFERROR(__xludf.DUMMYFUNCTION("""COMPUTED_VALUE"""),41243.666666666664)</f>
        <v>41243.66667</v>
      </c>
      <c r="B3251" s="1">
        <f>IFERROR(__xludf.DUMMYFUNCTION("""COMPUTED_VALUE"""),69.37)</f>
        <v>69.37</v>
      </c>
      <c r="C3251" s="1">
        <f>IFERROR(__xludf.DUMMYFUNCTION("""COMPUTED_VALUE"""),69.89)</f>
        <v>69.89</v>
      </c>
      <c r="D3251" s="1">
        <f>IFERROR(__xludf.DUMMYFUNCTION("""COMPUTED_VALUE"""),69.37)</f>
        <v>69.37</v>
      </c>
      <c r="E3251" s="1">
        <f>IFERROR(__xludf.DUMMYFUNCTION("""COMPUTED_VALUE"""),69.83)</f>
        <v>69.83</v>
      </c>
      <c r="F3251" s="1">
        <f>IFERROR(__xludf.DUMMYFUNCTION("""COMPUTED_VALUE"""),8888268.0)</f>
        <v>8888268</v>
      </c>
    </row>
    <row r="3252">
      <c r="A3252" s="2">
        <f>IFERROR(__xludf.DUMMYFUNCTION("""COMPUTED_VALUE"""),41246.666666666664)</f>
        <v>41246.66667</v>
      </c>
      <c r="B3252" s="1">
        <f>IFERROR(__xludf.DUMMYFUNCTION("""COMPUTED_VALUE"""),69.84)</f>
        <v>69.84</v>
      </c>
      <c r="C3252" s="1">
        <f>IFERROR(__xludf.DUMMYFUNCTION("""COMPUTED_VALUE"""),69.93)</f>
        <v>69.93</v>
      </c>
      <c r="D3252" s="1">
        <f>IFERROR(__xludf.DUMMYFUNCTION("""COMPUTED_VALUE"""),69.5)</f>
        <v>69.5</v>
      </c>
      <c r="E3252" s="1">
        <f>IFERROR(__xludf.DUMMYFUNCTION("""COMPUTED_VALUE"""),69.58)</f>
        <v>69.58</v>
      </c>
      <c r="F3252" s="1">
        <f>IFERROR(__xludf.DUMMYFUNCTION("""COMPUTED_VALUE"""),7404522.0)</f>
        <v>7404522</v>
      </c>
    </row>
    <row r="3253">
      <c r="A3253" s="2">
        <f>IFERROR(__xludf.DUMMYFUNCTION("""COMPUTED_VALUE"""),41247.666666666664)</f>
        <v>41247.66667</v>
      </c>
      <c r="B3253" s="1">
        <f>IFERROR(__xludf.DUMMYFUNCTION("""COMPUTED_VALUE"""),69.5)</f>
        <v>69.5</v>
      </c>
      <c r="C3253" s="1">
        <f>IFERROR(__xludf.DUMMYFUNCTION("""COMPUTED_VALUE"""),69.85)</f>
        <v>69.85</v>
      </c>
      <c r="D3253" s="1">
        <f>IFERROR(__xludf.DUMMYFUNCTION("""COMPUTED_VALUE"""),69.07)</f>
        <v>69.07</v>
      </c>
      <c r="E3253" s="1">
        <f>IFERROR(__xludf.DUMMYFUNCTION("""COMPUTED_VALUE"""),69.31)</f>
        <v>69.31</v>
      </c>
      <c r="F3253" s="1">
        <f>IFERROR(__xludf.DUMMYFUNCTION("""COMPUTED_VALUE"""),6634805.0)</f>
        <v>6634805</v>
      </c>
    </row>
    <row r="3254">
      <c r="A3254" s="2">
        <f>IFERROR(__xludf.DUMMYFUNCTION("""COMPUTED_VALUE"""),41248.666666666664)</f>
        <v>41248.66667</v>
      </c>
      <c r="B3254" s="1">
        <f>IFERROR(__xludf.DUMMYFUNCTION("""COMPUTED_VALUE"""),69.48)</f>
        <v>69.48</v>
      </c>
      <c r="C3254" s="1">
        <f>IFERROR(__xludf.DUMMYFUNCTION("""COMPUTED_VALUE"""),69.88)</f>
        <v>69.88</v>
      </c>
      <c r="D3254" s="1">
        <f>IFERROR(__xludf.DUMMYFUNCTION("""COMPUTED_VALUE"""),69.08)</f>
        <v>69.08</v>
      </c>
      <c r="E3254" s="1">
        <f>IFERROR(__xludf.DUMMYFUNCTION("""COMPUTED_VALUE"""),69.41)</f>
        <v>69.41</v>
      </c>
      <c r="F3254" s="1">
        <f>IFERROR(__xludf.DUMMYFUNCTION("""COMPUTED_VALUE"""),7623954.0)</f>
        <v>7623954</v>
      </c>
    </row>
    <row r="3255">
      <c r="A3255" s="2">
        <f>IFERROR(__xludf.DUMMYFUNCTION("""COMPUTED_VALUE"""),41249.666666666664)</f>
        <v>41249.66667</v>
      </c>
      <c r="B3255" s="1">
        <f>IFERROR(__xludf.DUMMYFUNCTION("""COMPUTED_VALUE"""),69.48)</f>
        <v>69.48</v>
      </c>
      <c r="C3255" s="1">
        <f>IFERROR(__xludf.DUMMYFUNCTION("""COMPUTED_VALUE"""),70.24)</f>
        <v>70.24</v>
      </c>
      <c r="D3255" s="1">
        <f>IFERROR(__xludf.DUMMYFUNCTION("""COMPUTED_VALUE"""),69.44)</f>
        <v>69.44</v>
      </c>
      <c r="E3255" s="1">
        <f>IFERROR(__xludf.DUMMYFUNCTION("""COMPUTED_VALUE"""),69.95)</f>
        <v>69.95</v>
      </c>
      <c r="F3255" s="1">
        <f>IFERROR(__xludf.DUMMYFUNCTION("""COMPUTED_VALUE"""),1.0687824E7)</f>
        <v>10687824</v>
      </c>
    </row>
    <row r="3256">
      <c r="A3256" s="2">
        <f>IFERROR(__xludf.DUMMYFUNCTION("""COMPUTED_VALUE"""),41250.666666666664)</f>
        <v>41250.66667</v>
      </c>
      <c r="B3256" s="1">
        <f>IFERROR(__xludf.DUMMYFUNCTION("""COMPUTED_VALUE"""),69.85)</f>
        <v>69.85</v>
      </c>
      <c r="C3256" s="1">
        <f>IFERROR(__xludf.DUMMYFUNCTION("""COMPUTED_VALUE"""),70.66)</f>
        <v>70.66</v>
      </c>
      <c r="D3256" s="1">
        <f>IFERROR(__xludf.DUMMYFUNCTION("""COMPUTED_VALUE"""),69.85)</f>
        <v>69.85</v>
      </c>
      <c r="E3256" s="1">
        <f>IFERROR(__xludf.DUMMYFUNCTION("""COMPUTED_VALUE"""),70.29)</f>
        <v>70.29</v>
      </c>
      <c r="F3256" s="1">
        <f>IFERROR(__xludf.DUMMYFUNCTION("""COMPUTED_VALUE"""),1.1591081E7)</f>
        <v>11591081</v>
      </c>
    </row>
    <row r="3257">
      <c r="A3257" s="2">
        <f>IFERROR(__xludf.DUMMYFUNCTION("""COMPUTED_VALUE"""),41253.666666666664)</f>
        <v>41253.66667</v>
      </c>
      <c r="B3257" s="1">
        <f>IFERROR(__xludf.DUMMYFUNCTION("""COMPUTED_VALUE"""),70.12)</f>
        <v>70.12</v>
      </c>
      <c r="C3257" s="1">
        <f>IFERROR(__xludf.DUMMYFUNCTION("""COMPUTED_VALUE"""),70.42)</f>
        <v>70.42</v>
      </c>
      <c r="D3257" s="1">
        <f>IFERROR(__xludf.DUMMYFUNCTION("""COMPUTED_VALUE"""),70.03)</f>
        <v>70.03</v>
      </c>
      <c r="E3257" s="1">
        <f>IFERROR(__xludf.DUMMYFUNCTION("""COMPUTED_VALUE"""),70.22)</f>
        <v>70.22</v>
      </c>
      <c r="F3257" s="1">
        <f>IFERROR(__xludf.DUMMYFUNCTION("""COMPUTED_VALUE"""),8124045.0)</f>
        <v>8124045</v>
      </c>
    </row>
    <row r="3258">
      <c r="A3258" s="2">
        <f>IFERROR(__xludf.DUMMYFUNCTION("""COMPUTED_VALUE"""),41254.666666666664)</f>
        <v>41254.66667</v>
      </c>
      <c r="B3258" s="1">
        <f>IFERROR(__xludf.DUMMYFUNCTION("""COMPUTED_VALUE"""),70.29)</f>
        <v>70.29</v>
      </c>
      <c r="C3258" s="1">
        <f>IFERROR(__xludf.DUMMYFUNCTION("""COMPUTED_VALUE"""),70.97)</f>
        <v>70.97</v>
      </c>
      <c r="D3258" s="1">
        <f>IFERROR(__xludf.DUMMYFUNCTION("""COMPUTED_VALUE"""),70.14)</f>
        <v>70.14</v>
      </c>
      <c r="E3258" s="1">
        <f>IFERROR(__xludf.DUMMYFUNCTION("""COMPUTED_VALUE"""),70.66)</f>
        <v>70.66</v>
      </c>
      <c r="F3258" s="1">
        <f>IFERROR(__xludf.DUMMYFUNCTION("""COMPUTED_VALUE"""),9298121.0)</f>
        <v>9298121</v>
      </c>
    </row>
    <row r="3259">
      <c r="A3259" s="2">
        <f>IFERROR(__xludf.DUMMYFUNCTION("""COMPUTED_VALUE"""),41255.666666666664)</f>
        <v>41255.66667</v>
      </c>
      <c r="B3259" s="1">
        <f>IFERROR(__xludf.DUMMYFUNCTION("""COMPUTED_VALUE"""),70.76)</f>
        <v>70.76</v>
      </c>
      <c r="C3259" s="1">
        <f>IFERROR(__xludf.DUMMYFUNCTION("""COMPUTED_VALUE"""),70.99)</f>
        <v>70.99</v>
      </c>
      <c r="D3259" s="1">
        <f>IFERROR(__xludf.DUMMYFUNCTION("""COMPUTED_VALUE"""),70.61)</f>
        <v>70.61</v>
      </c>
      <c r="E3259" s="1">
        <f>IFERROR(__xludf.DUMMYFUNCTION("""COMPUTED_VALUE"""),70.76)</f>
        <v>70.76</v>
      </c>
      <c r="F3259" s="1">
        <f>IFERROR(__xludf.DUMMYFUNCTION("""COMPUTED_VALUE"""),8405845.0)</f>
        <v>8405845</v>
      </c>
    </row>
    <row r="3260">
      <c r="A3260" s="2">
        <f>IFERROR(__xludf.DUMMYFUNCTION("""COMPUTED_VALUE"""),41256.666666666664)</f>
        <v>41256.66667</v>
      </c>
      <c r="B3260" s="1">
        <f>IFERROR(__xludf.DUMMYFUNCTION("""COMPUTED_VALUE"""),70.55)</f>
        <v>70.55</v>
      </c>
      <c r="C3260" s="1">
        <f>IFERROR(__xludf.DUMMYFUNCTION("""COMPUTED_VALUE"""),70.64)</f>
        <v>70.64</v>
      </c>
      <c r="D3260" s="1">
        <f>IFERROR(__xludf.DUMMYFUNCTION("""COMPUTED_VALUE"""),69.9)</f>
        <v>69.9</v>
      </c>
      <c r="E3260" s="1">
        <f>IFERROR(__xludf.DUMMYFUNCTION("""COMPUTED_VALUE"""),70.13)</f>
        <v>70.13</v>
      </c>
      <c r="F3260" s="1">
        <f>IFERROR(__xludf.DUMMYFUNCTION("""COMPUTED_VALUE"""),8478239.0)</f>
        <v>8478239</v>
      </c>
    </row>
    <row r="3261">
      <c r="A3261" s="2">
        <f>IFERROR(__xludf.DUMMYFUNCTION("""COMPUTED_VALUE"""),41257.666666666664)</f>
        <v>41257.66667</v>
      </c>
      <c r="B3261" s="1">
        <f>IFERROR(__xludf.DUMMYFUNCTION("""COMPUTED_VALUE"""),69.92)</f>
        <v>69.92</v>
      </c>
      <c r="C3261" s="1">
        <f>IFERROR(__xludf.DUMMYFUNCTION("""COMPUTED_VALUE"""),70.47)</f>
        <v>70.47</v>
      </c>
      <c r="D3261" s="1">
        <f>IFERROR(__xludf.DUMMYFUNCTION("""COMPUTED_VALUE"""),69.78)</f>
        <v>69.78</v>
      </c>
      <c r="E3261" s="1">
        <f>IFERROR(__xludf.DUMMYFUNCTION("""COMPUTED_VALUE"""),69.93)</f>
        <v>69.93</v>
      </c>
      <c r="F3261" s="1">
        <f>IFERROR(__xludf.DUMMYFUNCTION("""COMPUTED_VALUE"""),8997647.0)</f>
        <v>8997647</v>
      </c>
    </row>
    <row r="3262">
      <c r="A3262" s="2">
        <f>IFERROR(__xludf.DUMMYFUNCTION("""COMPUTED_VALUE"""),41260.666666666664)</f>
        <v>41260.66667</v>
      </c>
      <c r="B3262" s="1">
        <f>IFERROR(__xludf.DUMMYFUNCTION("""COMPUTED_VALUE"""),69.95)</f>
        <v>69.95</v>
      </c>
      <c r="C3262" s="1">
        <f>IFERROR(__xludf.DUMMYFUNCTION("""COMPUTED_VALUE"""),70.15)</f>
        <v>70.15</v>
      </c>
      <c r="D3262" s="1">
        <f>IFERROR(__xludf.DUMMYFUNCTION("""COMPUTED_VALUE"""),69.62)</f>
        <v>69.62</v>
      </c>
      <c r="E3262" s="1">
        <f>IFERROR(__xludf.DUMMYFUNCTION("""COMPUTED_VALUE"""),69.93)</f>
        <v>69.93</v>
      </c>
      <c r="F3262" s="1">
        <f>IFERROR(__xludf.DUMMYFUNCTION("""COMPUTED_VALUE"""),8796578.0)</f>
        <v>8796578</v>
      </c>
    </row>
    <row r="3263">
      <c r="A3263" s="2">
        <f>IFERROR(__xludf.DUMMYFUNCTION("""COMPUTED_VALUE"""),41261.666666666664)</f>
        <v>41261.66667</v>
      </c>
      <c r="B3263" s="1">
        <f>IFERROR(__xludf.DUMMYFUNCTION("""COMPUTED_VALUE"""),69.89)</f>
        <v>69.89</v>
      </c>
      <c r="C3263" s="1">
        <f>IFERROR(__xludf.DUMMYFUNCTION("""COMPUTED_VALUE"""),70.28)</f>
        <v>70.28</v>
      </c>
      <c r="D3263" s="1">
        <f>IFERROR(__xludf.DUMMYFUNCTION("""COMPUTED_VALUE"""),69.43)</f>
        <v>69.43</v>
      </c>
      <c r="E3263" s="1">
        <f>IFERROR(__xludf.DUMMYFUNCTION("""COMPUTED_VALUE"""),69.97)</f>
        <v>69.97</v>
      </c>
      <c r="F3263" s="1">
        <f>IFERROR(__xludf.DUMMYFUNCTION("""COMPUTED_VALUE"""),1.3570059E7)</f>
        <v>13570059</v>
      </c>
    </row>
    <row r="3264">
      <c r="A3264" s="2">
        <f>IFERROR(__xludf.DUMMYFUNCTION("""COMPUTED_VALUE"""),41262.666666666664)</f>
        <v>41262.66667</v>
      </c>
      <c r="B3264" s="1">
        <f>IFERROR(__xludf.DUMMYFUNCTION("""COMPUTED_VALUE"""),69.76)</f>
        <v>69.76</v>
      </c>
      <c r="C3264" s="1">
        <f>IFERROR(__xludf.DUMMYFUNCTION("""COMPUTED_VALUE"""),69.99)</f>
        <v>69.99</v>
      </c>
      <c r="D3264" s="1">
        <f>IFERROR(__xludf.DUMMYFUNCTION("""COMPUTED_VALUE"""),68.77)</f>
        <v>68.77</v>
      </c>
      <c r="E3264" s="1">
        <f>IFERROR(__xludf.DUMMYFUNCTION("""COMPUTED_VALUE"""),69.34)</f>
        <v>69.34</v>
      </c>
      <c r="F3264" s="1">
        <f>IFERROR(__xludf.DUMMYFUNCTION("""COMPUTED_VALUE"""),1.0304842E7)</f>
        <v>10304842</v>
      </c>
    </row>
    <row r="3265">
      <c r="A3265" s="2">
        <f>IFERROR(__xludf.DUMMYFUNCTION("""COMPUTED_VALUE"""),41263.666666666664)</f>
        <v>41263.66667</v>
      </c>
      <c r="B3265" s="1">
        <f>IFERROR(__xludf.DUMMYFUNCTION("""COMPUTED_VALUE"""),69.3)</f>
        <v>69.3</v>
      </c>
      <c r="C3265" s="1">
        <f>IFERROR(__xludf.DUMMYFUNCTION("""COMPUTED_VALUE"""),70.25)</f>
        <v>70.25</v>
      </c>
      <c r="D3265" s="1">
        <f>IFERROR(__xludf.DUMMYFUNCTION("""COMPUTED_VALUE"""),69.3)</f>
        <v>69.3</v>
      </c>
      <c r="E3265" s="1">
        <f>IFERROR(__xludf.DUMMYFUNCTION("""COMPUTED_VALUE"""),69.82)</f>
        <v>69.82</v>
      </c>
      <c r="F3265" s="1">
        <f>IFERROR(__xludf.DUMMYFUNCTION("""COMPUTED_VALUE"""),1.0218784E7)</f>
        <v>10218784</v>
      </c>
    </row>
    <row r="3266">
      <c r="A3266" s="2">
        <f>IFERROR(__xludf.DUMMYFUNCTION("""COMPUTED_VALUE"""),41264.666666666664)</f>
        <v>41264.66667</v>
      </c>
      <c r="B3266" s="1">
        <f>IFERROR(__xludf.DUMMYFUNCTION("""COMPUTED_VALUE"""),69.43)</f>
        <v>69.43</v>
      </c>
      <c r="C3266" s="1">
        <f>IFERROR(__xludf.DUMMYFUNCTION("""COMPUTED_VALUE"""),69.82)</f>
        <v>69.82</v>
      </c>
      <c r="D3266" s="1">
        <f>IFERROR(__xludf.DUMMYFUNCTION("""COMPUTED_VALUE"""),68.38)</f>
        <v>68.38</v>
      </c>
      <c r="E3266" s="1">
        <f>IFERROR(__xludf.DUMMYFUNCTION("""COMPUTED_VALUE"""),68.72)</f>
        <v>68.72</v>
      </c>
      <c r="F3266" s="1">
        <f>IFERROR(__xludf.DUMMYFUNCTION("""COMPUTED_VALUE"""),1.7767908E7)</f>
        <v>17767908</v>
      </c>
    </row>
    <row r="3267">
      <c r="A3267" s="2">
        <f>IFERROR(__xludf.DUMMYFUNCTION("""COMPUTED_VALUE"""),41267.666666666664)</f>
        <v>41267.66667</v>
      </c>
      <c r="B3267" s="1">
        <f>IFERROR(__xludf.DUMMYFUNCTION("""COMPUTED_VALUE"""),68.67)</f>
        <v>68.67</v>
      </c>
      <c r="C3267" s="1">
        <f>IFERROR(__xludf.DUMMYFUNCTION("""COMPUTED_VALUE"""),68.69)</f>
        <v>68.69</v>
      </c>
      <c r="D3267" s="1">
        <f>IFERROR(__xludf.DUMMYFUNCTION("""COMPUTED_VALUE"""),68.24)</f>
        <v>68.24</v>
      </c>
      <c r="E3267" s="1">
        <f>IFERROR(__xludf.DUMMYFUNCTION("""COMPUTED_VALUE"""),68.52)</f>
        <v>68.52</v>
      </c>
      <c r="F3267" s="1">
        <f>IFERROR(__xludf.DUMMYFUNCTION("""COMPUTED_VALUE"""),3580123.0)</f>
        <v>3580123</v>
      </c>
    </row>
    <row r="3268">
      <c r="A3268" s="2">
        <f>IFERROR(__xludf.DUMMYFUNCTION("""COMPUTED_VALUE"""),41269.666666666664)</f>
        <v>41269.66667</v>
      </c>
      <c r="B3268" s="1">
        <f>IFERROR(__xludf.DUMMYFUNCTION("""COMPUTED_VALUE"""),68.57)</f>
        <v>68.57</v>
      </c>
      <c r="C3268" s="1">
        <f>IFERROR(__xludf.DUMMYFUNCTION("""COMPUTED_VALUE"""),68.59)</f>
        <v>68.59</v>
      </c>
      <c r="D3268" s="1">
        <f>IFERROR(__xludf.DUMMYFUNCTION("""COMPUTED_VALUE"""),67.7)</f>
        <v>67.7</v>
      </c>
      <c r="E3268" s="1">
        <f>IFERROR(__xludf.DUMMYFUNCTION("""COMPUTED_VALUE"""),68.0)</f>
        <v>68</v>
      </c>
      <c r="F3268" s="1">
        <f>IFERROR(__xludf.DUMMYFUNCTION("""COMPUTED_VALUE"""),6936987.0)</f>
        <v>6936987</v>
      </c>
    </row>
    <row r="3269">
      <c r="A3269" s="2">
        <f>IFERROR(__xludf.DUMMYFUNCTION("""COMPUTED_VALUE"""),41270.666666666664)</f>
        <v>41270.66667</v>
      </c>
      <c r="B3269" s="1">
        <f>IFERROR(__xludf.DUMMYFUNCTION("""COMPUTED_VALUE"""),67.88)</f>
        <v>67.88</v>
      </c>
      <c r="C3269" s="1">
        <f>IFERROR(__xludf.DUMMYFUNCTION("""COMPUTED_VALUE"""),68.16)</f>
        <v>68.16</v>
      </c>
      <c r="D3269" s="1">
        <f>IFERROR(__xludf.DUMMYFUNCTION("""COMPUTED_VALUE"""),67.41)</f>
        <v>67.41</v>
      </c>
      <c r="E3269" s="1">
        <f>IFERROR(__xludf.DUMMYFUNCTION("""COMPUTED_VALUE"""),67.97)</f>
        <v>67.97</v>
      </c>
      <c r="F3269" s="1">
        <f>IFERROR(__xludf.DUMMYFUNCTION("""COMPUTED_VALUE"""),7648795.0)</f>
        <v>7648795</v>
      </c>
    </row>
    <row r="3270">
      <c r="A3270" s="2">
        <f>IFERROR(__xludf.DUMMYFUNCTION("""COMPUTED_VALUE"""),41271.666666666664)</f>
        <v>41271.66667</v>
      </c>
      <c r="B3270" s="1">
        <f>IFERROR(__xludf.DUMMYFUNCTION("""COMPUTED_VALUE"""),67.73)</f>
        <v>67.73</v>
      </c>
      <c r="C3270" s="1">
        <f>IFERROR(__xludf.DUMMYFUNCTION("""COMPUTED_VALUE"""),67.91)</f>
        <v>67.91</v>
      </c>
      <c r="D3270" s="1">
        <f>IFERROR(__xludf.DUMMYFUNCTION("""COMPUTED_VALUE"""),67.06)</f>
        <v>67.06</v>
      </c>
      <c r="E3270" s="1">
        <f>IFERROR(__xludf.DUMMYFUNCTION("""COMPUTED_VALUE"""),67.15)</f>
        <v>67.15</v>
      </c>
      <c r="F3270" s="1">
        <f>IFERROR(__xludf.DUMMYFUNCTION("""COMPUTED_VALUE"""),6463698.0)</f>
        <v>6463698</v>
      </c>
    </row>
    <row r="3271">
      <c r="A3271" s="2">
        <f>IFERROR(__xludf.DUMMYFUNCTION("""COMPUTED_VALUE"""),41274.666666666664)</f>
        <v>41274.66667</v>
      </c>
      <c r="B3271" s="1">
        <f>IFERROR(__xludf.DUMMYFUNCTION("""COMPUTED_VALUE"""),67.0)</f>
        <v>67</v>
      </c>
      <c r="C3271" s="1">
        <f>IFERROR(__xludf.DUMMYFUNCTION("""COMPUTED_VALUE"""),67.97)</f>
        <v>67.97</v>
      </c>
      <c r="D3271" s="1">
        <f>IFERROR(__xludf.DUMMYFUNCTION("""COMPUTED_VALUE"""),66.83)</f>
        <v>66.83</v>
      </c>
      <c r="E3271" s="1">
        <f>IFERROR(__xludf.DUMMYFUNCTION("""COMPUTED_VALUE"""),67.89)</f>
        <v>67.89</v>
      </c>
      <c r="F3271" s="1">
        <f>IFERROR(__xludf.DUMMYFUNCTION("""COMPUTED_VALUE"""),9063489.0)</f>
        <v>9063489</v>
      </c>
    </row>
    <row r="3272">
      <c r="A3272" s="2">
        <f>IFERROR(__xludf.DUMMYFUNCTION("""COMPUTED_VALUE"""),41276.666666666664)</f>
        <v>41276.66667</v>
      </c>
      <c r="B3272" s="1">
        <f>IFERROR(__xludf.DUMMYFUNCTION("""COMPUTED_VALUE"""),68.65)</f>
        <v>68.65</v>
      </c>
      <c r="C3272" s="1">
        <f>IFERROR(__xludf.DUMMYFUNCTION("""COMPUTED_VALUE"""),69.39)</f>
        <v>69.39</v>
      </c>
      <c r="D3272" s="1">
        <f>IFERROR(__xludf.DUMMYFUNCTION("""COMPUTED_VALUE"""),68.35)</f>
        <v>68.35</v>
      </c>
      <c r="E3272" s="1">
        <f>IFERROR(__xludf.DUMMYFUNCTION("""COMPUTED_VALUE"""),69.39)</f>
        <v>69.39</v>
      </c>
      <c r="F3272" s="1">
        <f>IFERROR(__xludf.DUMMYFUNCTION("""COMPUTED_VALUE"""),9988348.0)</f>
        <v>9988348</v>
      </c>
    </row>
    <row r="3273">
      <c r="A3273" s="2">
        <f>IFERROR(__xludf.DUMMYFUNCTION("""COMPUTED_VALUE"""),41277.666666666664)</f>
        <v>41277.66667</v>
      </c>
      <c r="B3273" s="1">
        <f>IFERROR(__xludf.DUMMYFUNCTION("""COMPUTED_VALUE"""),69.44)</f>
        <v>69.44</v>
      </c>
      <c r="C3273" s="1">
        <f>IFERROR(__xludf.DUMMYFUNCTION("""COMPUTED_VALUE"""),69.5)</f>
        <v>69.5</v>
      </c>
      <c r="D3273" s="1">
        <f>IFERROR(__xludf.DUMMYFUNCTION("""COMPUTED_VALUE"""),68.94)</f>
        <v>68.94</v>
      </c>
      <c r="E3273" s="1">
        <f>IFERROR(__xludf.DUMMYFUNCTION("""COMPUTED_VALUE"""),68.95)</f>
        <v>68.95</v>
      </c>
      <c r="F3273" s="1">
        <f>IFERROR(__xludf.DUMMYFUNCTION("""COMPUTED_VALUE"""),7741978.0)</f>
        <v>7741978</v>
      </c>
    </row>
    <row r="3274">
      <c r="A3274" s="2">
        <f>IFERROR(__xludf.DUMMYFUNCTION("""COMPUTED_VALUE"""),41278.666666666664)</f>
        <v>41278.66667</v>
      </c>
      <c r="B3274" s="1">
        <f>IFERROR(__xludf.DUMMYFUNCTION("""COMPUTED_VALUE"""),69.01)</f>
        <v>69.01</v>
      </c>
      <c r="C3274" s="1">
        <f>IFERROR(__xludf.DUMMYFUNCTION("""COMPUTED_VALUE"""),69.17)</f>
        <v>69.17</v>
      </c>
      <c r="D3274" s="1">
        <f>IFERROR(__xludf.DUMMYFUNCTION("""COMPUTED_VALUE"""),68.68)</f>
        <v>68.68</v>
      </c>
      <c r="E3274" s="1">
        <f>IFERROR(__xludf.DUMMYFUNCTION("""COMPUTED_VALUE"""),69.09)</f>
        <v>69.09</v>
      </c>
      <c r="F3274" s="1">
        <f>IFERROR(__xludf.DUMMYFUNCTION("""COMPUTED_VALUE"""),5853921.0)</f>
        <v>5853921</v>
      </c>
    </row>
    <row r="3275">
      <c r="A3275" s="2">
        <f>IFERROR(__xludf.DUMMYFUNCTION("""COMPUTED_VALUE"""),41281.666666666664)</f>
        <v>41281.66667</v>
      </c>
      <c r="B3275" s="1">
        <f>IFERROR(__xludf.DUMMYFUNCTION("""COMPUTED_VALUE"""),68.92)</f>
        <v>68.92</v>
      </c>
      <c r="C3275" s="1">
        <f>IFERROR(__xludf.DUMMYFUNCTION("""COMPUTED_VALUE"""),68.92)</f>
        <v>68.92</v>
      </c>
      <c r="D3275" s="1">
        <f>IFERROR(__xludf.DUMMYFUNCTION("""COMPUTED_VALUE"""),68.38)</f>
        <v>68.38</v>
      </c>
      <c r="E3275" s="1">
        <f>IFERROR(__xludf.DUMMYFUNCTION("""COMPUTED_VALUE"""),68.62)</f>
        <v>68.62</v>
      </c>
      <c r="F3275" s="1">
        <f>IFERROR(__xludf.DUMMYFUNCTION("""COMPUTED_VALUE"""),5271338.0)</f>
        <v>5271338</v>
      </c>
    </row>
    <row r="3276">
      <c r="A3276" s="2">
        <f>IFERROR(__xludf.DUMMYFUNCTION("""COMPUTED_VALUE"""),41282.666666666664)</f>
        <v>41282.66667</v>
      </c>
      <c r="B3276" s="1">
        <f>IFERROR(__xludf.DUMMYFUNCTION("""COMPUTED_VALUE"""),68.52)</f>
        <v>68.52</v>
      </c>
      <c r="C3276" s="1">
        <f>IFERROR(__xludf.DUMMYFUNCTION("""COMPUTED_VALUE"""),68.73)</f>
        <v>68.73</v>
      </c>
      <c r="D3276" s="1">
        <f>IFERROR(__xludf.DUMMYFUNCTION("""COMPUTED_VALUE"""),68.4)</f>
        <v>68.4</v>
      </c>
      <c r="E3276" s="1">
        <f>IFERROR(__xludf.DUMMYFUNCTION("""COMPUTED_VALUE"""),68.51)</f>
        <v>68.51</v>
      </c>
      <c r="F3276" s="1">
        <f>IFERROR(__xludf.DUMMYFUNCTION("""COMPUTED_VALUE"""),7362468.0)</f>
        <v>7362468</v>
      </c>
    </row>
    <row r="3277">
      <c r="A3277" s="2">
        <f>IFERROR(__xludf.DUMMYFUNCTION("""COMPUTED_VALUE"""),41283.666666666664)</f>
        <v>41283.66667</v>
      </c>
      <c r="B3277" s="1">
        <f>IFERROR(__xludf.DUMMYFUNCTION("""COMPUTED_VALUE"""),68.77)</f>
        <v>68.77</v>
      </c>
      <c r="C3277" s="1">
        <f>IFERROR(__xludf.DUMMYFUNCTION("""COMPUTED_VALUE"""),69.11)</f>
        <v>69.11</v>
      </c>
      <c r="D3277" s="1">
        <f>IFERROR(__xludf.DUMMYFUNCTION("""COMPUTED_VALUE"""),68.61)</f>
        <v>68.61</v>
      </c>
      <c r="E3277" s="1">
        <f>IFERROR(__xludf.DUMMYFUNCTION("""COMPUTED_VALUE"""),68.88)</f>
        <v>68.88</v>
      </c>
      <c r="F3277" s="1">
        <f>IFERROR(__xludf.DUMMYFUNCTION("""COMPUTED_VALUE"""),5762881.0)</f>
        <v>5762881</v>
      </c>
    </row>
    <row r="3278">
      <c r="A3278" s="2">
        <f>IFERROR(__xludf.DUMMYFUNCTION("""COMPUTED_VALUE"""),41284.666666666664)</f>
        <v>41284.66667</v>
      </c>
      <c r="B3278" s="1">
        <f>IFERROR(__xludf.DUMMYFUNCTION("""COMPUTED_VALUE"""),68.98)</f>
        <v>68.98</v>
      </c>
      <c r="C3278" s="1">
        <f>IFERROR(__xludf.DUMMYFUNCTION("""COMPUTED_VALUE"""),69.29)</f>
        <v>69.29</v>
      </c>
      <c r="D3278" s="1">
        <f>IFERROR(__xludf.DUMMYFUNCTION("""COMPUTED_VALUE"""),68.68)</f>
        <v>68.68</v>
      </c>
      <c r="E3278" s="1">
        <f>IFERROR(__xludf.DUMMYFUNCTION("""COMPUTED_VALUE"""),69.27)</f>
        <v>69.27</v>
      </c>
      <c r="F3278" s="1">
        <f>IFERROR(__xludf.DUMMYFUNCTION("""COMPUTED_VALUE"""),1.2855121E7)</f>
        <v>12855121</v>
      </c>
    </row>
    <row r="3279">
      <c r="A3279" s="2">
        <f>IFERROR(__xludf.DUMMYFUNCTION("""COMPUTED_VALUE"""),41285.666666666664)</f>
        <v>41285.66667</v>
      </c>
      <c r="B3279" s="1">
        <f>IFERROR(__xludf.DUMMYFUNCTION("""COMPUTED_VALUE"""),69.3)</f>
        <v>69.3</v>
      </c>
      <c r="C3279" s="1">
        <f>IFERROR(__xludf.DUMMYFUNCTION("""COMPUTED_VALUE"""),69.3)</f>
        <v>69.3</v>
      </c>
      <c r="D3279" s="1">
        <f>IFERROR(__xludf.DUMMYFUNCTION("""COMPUTED_VALUE"""),69.01)</f>
        <v>69.01</v>
      </c>
      <c r="E3279" s="1">
        <f>IFERROR(__xludf.DUMMYFUNCTION("""COMPUTED_VALUE"""),69.22)</f>
        <v>69.22</v>
      </c>
      <c r="F3279" s="1">
        <f>IFERROR(__xludf.DUMMYFUNCTION("""COMPUTED_VALUE"""),1.2193435E7)</f>
        <v>12193435</v>
      </c>
    </row>
    <row r="3280">
      <c r="A3280" s="2">
        <f>IFERROR(__xludf.DUMMYFUNCTION("""COMPUTED_VALUE"""),41288.666666666664)</f>
        <v>41288.66667</v>
      </c>
      <c r="B3280" s="1">
        <f>IFERROR(__xludf.DUMMYFUNCTION("""COMPUTED_VALUE"""),69.31)</f>
        <v>69.31</v>
      </c>
      <c r="C3280" s="1">
        <f>IFERROR(__xludf.DUMMYFUNCTION("""COMPUTED_VALUE"""),69.97)</f>
        <v>69.97</v>
      </c>
      <c r="D3280" s="1">
        <f>IFERROR(__xludf.DUMMYFUNCTION("""COMPUTED_VALUE"""),69.23)</f>
        <v>69.23</v>
      </c>
      <c r="E3280" s="1">
        <f>IFERROR(__xludf.DUMMYFUNCTION("""COMPUTED_VALUE"""),69.63)</f>
        <v>69.63</v>
      </c>
      <c r="F3280" s="1">
        <f>IFERROR(__xludf.DUMMYFUNCTION("""COMPUTED_VALUE"""),1.1570746E7)</f>
        <v>11570746</v>
      </c>
    </row>
    <row r="3281">
      <c r="A3281" s="2">
        <f>IFERROR(__xludf.DUMMYFUNCTION("""COMPUTED_VALUE"""),41289.666666666664)</f>
        <v>41289.66667</v>
      </c>
      <c r="B3281" s="1">
        <f>IFERROR(__xludf.DUMMYFUNCTION("""COMPUTED_VALUE"""),69.16)</f>
        <v>69.16</v>
      </c>
      <c r="C3281" s="1">
        <f>IFERROR(__xludf.DUMMYFUNCTION("""COMPUTED_VALUE"""),69.96)</f>
        <v>69.96</v>
      </c>
      <c r="D3281" s="1">
        <f>IFERROR(__xludf.DUMMYFUNCTION("""COMPUTED_VALUE"""),69.15)</f>
        <v>69.15</v>
      </c>
      <c r="E3281" s="1">
        <f>IFERROR(__xludf.DUMMYFUNCTION("""COMPUTED_VALUE"""),69.88)</f>
        <v>69.88</v>
      </c>
      <c r="F3281" s="1">
        <f>IFERROR(__xludf.DUMMYFUNCTION("""COMPUTED_VALUE"""),7563552.0)</f>
        <v>7563552</v>
      </c>
    </row>
    <row r="3282">
      <c r="A3282" s="2">
        <f>IFERROR(__xludf.DUMMYFUNCTION("""COMPUTED_VALUE"""),41290.666666666664)</f>
        <v>41290.66667</v>
      </c>
      <c r="B3282" s="1">
        <f>IFERROR(__xludf.DUMMYFUNCTION("""COMPUTED_VALUE"""),69.42)</f>
        <v>69.42</v>
      </c>
      <c r="C3282" s="1">
        <f>IFERROR(__xludf.DUMMYFUNCTION("""COMPUTED_VALUE"""),69.7)</f>
        <v>69.7</v>
      </c>
      <c r="D3282" s="1">
        <f>IFERROR(__xludf.DUMMYFUNCTION("""COMPUTED_VALUE"""),69.11)</f>
        <v>69.11</v>
      </c>
      <c r="E3282" s="1">
        <f>IFERROR(__xludf.DUMMYFUNCTION("""COMPUTED_VALUE"""),69.34)</f>
        <v>69.34</v>
      </c>
      <c r="F3282" s="1">
        <f>IFERROR(__xludf.DUMMYFUNCTION("""COMPUTED_VALUE"""),7060975.0)</f>
        <v>7060975</v>
      </c>
    </row>
    <row r="3283">
      <c r="A3283" s="2">
        <f>IFERROR(__xludf.DUMMYFUNCTION("""COMPUTED_VALUE"""),41291.666666666664)</f>
        <v>41291.66667</v>
      </c>
      <c r="B3283" s="1">
        <f>IFERROR(__xludf.DUMMYFUNCTION("""COMPUTED_VALUE"""),69.56)</f>
        <v>69.56</v>
      </c>
      <c r="C3283" s="1">
        <f>IFERROR(__xludf.DUMMYFUNCTION("""COMPUTED_VALUE"""),69.96)</f>
        <v>69.96</v>
      </c>
      <c r="D3283" s="1">
        <f>IFERROR(__xludf.DUMMYFUNCTION("""COMPUTED_VALUE"""),69.34)</f>
        <v>69.34</v>
      </c>
      <c r="E3283" s="1">
        <f>IFERROR(__xludf.DUMMYFUNCTION("""COMPUTED_VALUE"""),69.67)</f>
        <v>69.67</v>
      </c>
      <c r="F3283" s="1">
        <f>IFERROR(__xludf.DUMMYFUNCTION("""COMPUTED_VALUE"""),6271801.0)</f>
        <v>6271801</v>
      </c>
    </row>
    <row r="3284">
      <c r="A3284" s="2">
        <f>IFERROR(__xludf.DUMMYFUNCTION("""COMPUTED_VALUE"""),41292.666666666664)</f>
        <v>41292.66667</v>
      </c>
      <c r="B3284" s="1">
        <f>IFERROR(__xludf.DUMMYFUNCTION("""COMPUTED_VALUE"""),69.69)</f>
        <v>69.69</v>
      </c>
      <c r="C3284" s="1">
        <f>IFERROR(__xludf.DUMMYFUNCTION("""COMPUTED_VALUE"""),70.0)</f>
        <v>70</v>
      </c>
      <c r="D3284" s="1">
        <f>IFERROR(__xludf.DUMMYFUNCTION("""COMPUTED_VALUE"""),69.67)</f>
        <v>69.67</v>
      </c>
      <c r="E3284" s="1">
        <f>IFERROR(__xludf.DUMMYFUNCTION("""COMPUTED_VALUE"""),69.94)</f>
        <v>69.94</v>
      </c>
      <c r="F3284" s="1">
        <f>IFERROR(__xludf.DUMMYFUNCTION("""COMPUTED_VALUE"""),1.0618124E7)</f>
        <v>10618124</v>
      </c>
    </row>
    <row r="3285">
      <c r="A3285" s="2">
        <f>IFERROR(__xludf.DUMMYFUNCTION("""COMPUTED_VALUE"""),41296.666666666664)</f>
        <v>41296.66667</v>
      </c>
      <c r="B3285" s="1">
        <f>IFERROR(__xludf.DUMMYFUNCTION("""COMPUTED_VALUE"""),69.86)</f>
        <v>69.86</v>
      </c>
      <c r="C3285" s="1">
        <f>IFERROR(__xludf.DUMMYFUNCTION("""COMPUTED_VALUE"""),69.98)</f>
        <v>69.98</v>
      </c>
      <c r="D3285" s="1">
        <f>IFERROR(__xludf.DUMMYFUNCTION("""COMPUTED_VALUE"""),69.75)</f>
        <v>69.75</v>
      </c>
      <c r="E3285" s="1">
        <f>IFERROR(__xludf.DUMMYFUNCTION("""COMPUTED_VALUE"""),69.95)</f>
        <v>69.95</v>
      </c>
      <c r="F3285" s="1">
        <f>IFERROR(__xludf.DUMMYFUNCTION("""COMPUTED_VALUE"""),8315138.0)</f>
        <v>8315138</v>
      </c>
    </row>
    <row r="3286">
      <c r="A3286" s="2">
        <f>IFERROR(__xludf.DUMMYFUNCTION("""COMPUTED_VALUE"""),41297.666666666664)</f>
        <v>41297.66667</v>
      </c>
      <c r="B3286" s="1">
        <f>IFERROR(__xludf.DUMMYFUNCTION("""COMPUTED_VALUE"""),69.84)</f>
        <v>69.84</v>
      </c>
      <c r="C3286" s="1">
        <f>IFERROR(__xludf.DUMMYFUNCTION("""COMPUTED_VALUE"""),70.7)</f>
        <v>70.7</v>
      </c>
      <c r="D3286" s="1">
        <f>IFERROR(__xludf.DUMMYFUNCTION("""COMPUTED_VALUE"""),69.8)</f>
        <v>69.8</v>
      </c>
      <c r="E3286" s="1">
        <f>IFERROR(__xludf.DUMMYFUNCTION("""COMPUTED_VALUE"""),70.69)</f>
        <v>70.69</v>
      </c>
      <c r="F3286" s="1">
        <f>IFERROR(__xludf.DUMMYFUNCTION("""COMPUTED_VALUE"""),1.0588506E7)</f>
        <v>10588506</v>
      </c>
    </row>
    <row r="3287">
      <c r="A3287" s="2">
        <f>IFERROR(__xludf.DUMMYFUNCTION("""COMPUTED_VALUE"""),41298.666666666664)</f>
        <v>41298.66667</v>
      </c>
      <c r="B3287" s="1">
        <f>IFERROR(__xludf.DUMMYFUNCTION("""COMPUTED_VALUE"""),70.68)</f>
        <v>70.68</v>
      </c>
      <c r="C3287" s="1">
        <f>IFERROR(__xludf.DUMMYFUNCTION("""COMPUTED_VALUE"""),70.85)</f>
        <v>70.85</v>
      </c>
      <c r="D3287" s="1">
        <f>IFERROR(__xludf.DUMMYFUNCTION("""COMPUTED_VALUE"""),70.2)</f>
        <v>70.2</v>
      </c>
      <c r="E3287" s="1">
        <f>IFERROR(__xludf.DUMMYFUNCTION("""COMPUTED_VALUE"""),70.42)</f>
        <v>70.42</v>
      </c>
      <c r="F3287" s="1">
        <f>IFERROR(__xludf.DUMMYFUNCTION("""COMPUTED_VALUE"""),8879385.0)</f>
        <v>8879385</v>
      </c>
    </row>
    <row r="3288">
      <c r="A3288" s="2">
        <f>IFERROR(__xludf.DUMMYFUNCTION("""COMPUTED_VALUE"""),41299.666666666664)</f>
        <v>41299.66667</v>
      </c>
      <c r="B3288" s="1">
        <f>IFERROR(__xludf.DUMMYFUNCTION("""COMPUTED_VALUE"""),71.75)</f>
        <v>71.75</v>
      </c>
      <c r="C3288" s="1">
        <f>IFERROR(__xludf.DUMMYFUNCTION("""COMPUTED_VALUE"""),73.25)</f>
        <v>73.25</v>
      </c>
      <c r="D3288" s="1">
        <f>IFERROR(__xludf.DUMMYFUNCTION("""COMPUTED_VALUE"""),71.75)</f>
        <v>71.75</v>
      </c>
      <c r="E3288" s="1">
        <f>IFERROR(__xludf.DUMMYFUNCTION("""COMPUTED_VALUE"""),73.25)</f>
        <v>73.25</v>
      </c>
      <c r="F3288" s="1">
        <f>IFERROR(__xludf.DUMMYFUNCTION("""COMPUTED_VALUE"""),2.876044E7)</f>
        <v>28760440</v>
      </c>
    </row>
    <row r="3289">
      <c r="A3289" s="2">
        <f>IFERROR(__xludf.DUMMYFUNCTION("""COMPUTED_VALUE"""),41302.666666666664)</f>
        <v>41302.66667</v>
      </c>
      <c r="B3289" s="1">
        <f>IFERROR(__xludf.DUMMYFUNCTION("""COMPUTED_VALUE"""),73.73)</f>
        <v>73.73</v>
      </c>
      <c r="C3289" s="1">
        <f>IFERROR(__xludf.DUMMYFUNCTION("""COMPUTED_VALUE"""),74.23)</f>
        <v>74.23</v>
      </c>
      <c r="D3289" s="1">
        <f>IFERROR(__xludf.DUMMYFUNCTION("""COMPUTED_VALUE"""),73.19)</f>
        <v>73.19</v>
      </c>
      <c r="E3289" s="1">
        <f>IFERROR(__xludf.DUMMYFUNCTION("""COMPUTED_VALUE"""),73.77)</f>
        <v>73.77</v>
      </c>
      <c r="F3289" s="1">
        <f>IFERROR(__xludf.DUMMYFUNCTION("""COMPUTED_VALUE"""),1.401077E7)</f>
        <v>14010770</v>
      </c>
    </row>
    <row r="3290">
      <c r="A3290" s="2">
        <f>IFERROR(__xludf.DUMMYFUNCTION("""COMPUTED_VALUE"""),41303.666666666664)</f>
        <v>41303.66667</v>
      </c>
      <c r="B3290" s="1">
        <f>IFERROR(__xludf.DUMMYFUNCTION("""COMPUTED_VALUE"""),73.55)</f>
        <v>73.55</v>
      </c>
      <c r="C3290" s="1">
        <f>IFERROR(__xludf.DUMMYFUNCTION("""COMPUTED_VALUE"""),75.31)</f>
        <v>75.31</v>
      </c>
      <c r="D3290" s="1">
        <f>IFERROR(__xludf.DUMMYFUNCTION("""COMPUTED_VALUE"""),73.52)</f>
        <v>73.52</v>
      </c>
      <c r="E3290" s="1">
        <f>IFERROR(__xludf.DUMMYFUNCTION("""COMPUTED_VALUE"""),75.0)</f>
        <v>75</v>
      </c>
      <c r="F3290" s="1">
        <f>IFERROR(__xludf.DUMMYFUNCTION("""COMPUTED_VALUE"""),1.757687E7)</f>
        <v>17576870</v>
      </c>
    </row>
    <row r="3291">
      <c r="A3291" s="2">
        <f>IFERROR(__xludf.DUMMYFUNCTION("""COMPUTED_VALUE"""),41304.666666666664)</f>
        <v>41304.66667</v>
      </c>
      <c r="B3291" s="1">
        <f>IFERROR(__xludf.DUMMYFUNCTION("""COMPUTED_VALUE"""),74.75)</f>
        <v>74.75</v>
      </c>
      <c r="C3291" s="1">
        <f>IFERROR(__xludf.DUMMYFUNCTION("""COMPUTED_VALUE"""),75.48)</f>
        <v>75.48</v>
      </c>
      <c r="D3291" s="1">
        <f>IFERROR(__xludf.DUMMYFUNCTION("""COMPUTED_VALUE"""),74.67)</f>
        <v>74.67</v>
      </c>
      <c r="E3291" s="1">
        <f>IFERROR(__xludf.DUMMYFUNCTION("""COMPUTED_VALUE"""),75.08)</f>
        <v>75.08</v>
      </c>
      <c r="F3291" s="1">
        <f>IFERROR(__xludf.DUMMYFUNCTION("""COMPUTED_VALUE"""),1.2682309E7)</f>
        <v>12682309</v>
      </c>
    </row>
    <row r="3292">
      <c r="A3292" s="2">
        <f>IFERROR(__xludf.DUMMYFUNCTION("""COMPUTED_VALUE"""),41305.666666666664)</f>
        <v>41305.66667</v>
      </c>
      <c r="B3292" s="1">
        <f>IFERROR(__xludf.DUMMYFUNCTION("""COMPUTED_VALUE"""),74.83)</f>
        <v>74.83</v>
      </c>
      <c r="C3292" s="1">
        <f>IFERROR(__xludf.DUMMYFUNCTION("""COMPUTED_VALUE"""),75.26)</f>
        <v>75.26</v>
      </c>
      <c r="D3292" s="1">
        <f>IFERROR(__xludf.DUMMYFUNCTION("""COMPUTED_VALUE"""),74.67)</f>
        <v>74.67</v>
      </c>
      <c r="E3292" s="1">
        <f>IFERROR(__xludf.DUMMYFUNCTION("""COMPUTED_VALUE"""),75.16)</f>
        <v>75.16</v>
      </c>
      <c r="F3292" s="1">
        <f>IFERROR(__xludf.DUMMYFUNCTION("""COMPUTED_VALUE"""),1.1661744E7)</f>
        <v>11661744</v>
      </c>
    </row>
    <row r="3293">
      <c r="A3293" s="2">
        <f>IFERROR(__xludf.DUMMYFUNCTION("""COMPUTED_VALUE"""),41306.666666666664)</f>
        <v>41306.66667</v>
      </c>
      <c r="B3293" s="1">
        <f>IFERROR(__xludf.DUMMYFUNCTION("""COMPUTED_VALUE"""),75.3)</f>
        <v>75.3</v>
      </c>
      <c r="C3293" s="1">
        <f>IFERROR(__xludf.DUMMYFUNCTION("""COMPUTED_VALUE"""),75.97)</f>
        <v>75.97</v>
      </c>
      <c r="D3293" s="1">
        <f>IFERROR(__xludf.DUMMYFUNCTION("""COMPUTED_VALUE"""),75.17)</f>
        <v>75.17</v>
      </c>
      <c r="E3293" s="1">
        <f>IFERROR(__xludf.DUMMYFUNCTION("""COMPUTED_VALUE"""),75.92)</f>
        <v>75.92</v>
      </c>
      <c r="F3293" s="1">
        <f>IFERROR(__xludf.DUMMYFUNCTION("""COMPUTED_VALUE"""),1.2204763E7)</f>
        <v>12204763</v>
      </c>
    </row>
    <row r="3294">
      <c r="A3294" s="2">
        <f>IFERROR(__xludf.DUMMYFUNCTION("""COMPUTED_VALUE"""),41309.666666666664)</f>
        <v>41309.66667</v>
      </c>
      <c r="B3294" s="1">
        <f>IFERROR(__xludf.DUMMYFUNCTION("""COMPUTED_VALUE"""),75.69)</f>
        <v>75.69</v>
      </c>
      <c r="C3294" s="1">
        <f>IFERROR(__xludf.DUMMYFUNCTION("""COMPUTED_VALUE"""),75.8)</f>
        <v>75.8</v>
      </c>
      <c r="D3294" s="1">
        <f>IFERROR(__xludf.DUMMYFUNCTION("""COMPUTED_VALUE"""),74.95)</f>
        <v>74.95</v>
      </c>
      <c r="E3294" s="1">
        <f>IFERROR(__xludf.DUMMYFUNCTION("""COMPUTED_VALUE"""),75.25)</f>
        <v>75.25</v>
      </c>
      <c r="F3294" s="1">
        <f>IFERROR(__xludf.DUMMYFUNCTION("""COMPUTED_VALUE"""),1.1086001E7)</f>
        <v>11086001</v>
      </c>
    </row>
    <row r="3295">
      <c r="A3295" s="2">
        <f>IFERROR(__xludf.DUMMYFUNCTION("""COMPUTED_VALUE"""),41310.666666666664)</f>
        <v>41310.66667</v>
      </c>
      <c r="B3295" s="1">
        <f>IFERROR(__xludf.DUMMYFUNCTION("""COMPUTED_VALUE"""),75.44)</f>
        <v>75.44</v>
      </c>
      <c r="C3295" s="1">
        <f>IFERROR(__xludf.DUMMYFUNCTION("""COMPUTED_VALUE"""),76.69)</f>
        <v>76.69</v>
      </c>
      <c r="D3295" s="1">
        <f>IFERROR(__xludf.DUMMYFUNCTION("""COMPUTED_VALUE"""),75.32)</f>
        <v>75.32</v>
      </c>
      <c r="E3295" s="1">
        <f>IFERROR(__xludf.DUMMYFUNCTION("""COMPUTED_VALUE"""),75.7)</f>
        <v>75.7</v>
      </c>
      <c r="F3295" s="1">
        <f>IFERROR(__xludf.DUMMYFUNCTION("""COMPUTED_VALUE"""),1.485254E7)</f>
        <v>14852540</v>
      </c>
    </row>
    <row r="3296">
      <c r="A3296" s="2">
        <f>IFERROR(__xludf.DUMMYFUNCTION("""COMPUTED_VALUE"""),41311.666666666664)</f>
        <v>41311.66667</v>
      </c>
      <c r="B3296" s="1">
        <f>IFERROR(__xludf.DUMMYFUNCTION("""COMPUTED_VALUE"""),75.32)</f>
        <v>75.32</v>
      </c>
      <c r="C3296" s="1">
        <f>IFERROR(__xludf.DUMMYFUNCTION("""COMPUTED_VALUE"""),76.19)</f>
        <v>76.19</v>
      </c>
      <c r="D3296" s="1">
        <f>IFERROR(__xludf.DUMMYFUNCTION("""COMPUTED_VALUE"""),75.04)</f>
        <v>75.04</v>
      </c>
      <c r="E3296" s="1">
        <f>IFERROR(__xludf.DUMMYFUNCTION("""COMPUTED_VALUE"""),76.15)</f>
        <v>76.15</v>
      </c>
      <c r="F3296" s="1">
        <f>IFERROR(__xludf.DUMMYFUNCTION("""COMPUTED_VALUE"""),1.7015896E7)</f>
        <v>17015896</v>
      </c>
    </row>
    <row r="3297">
      <c r="A3297" s="2">
        <f>IFERROR(__xludf.DUMMYFUNCTION("""COMPUTED_VALUE"""),41312.666666666664)</f>
        <v>41312.66667</v>
      </c>
      <c r="B3297" s="1">
        <f>IFERROR(__xludf.DUMMYFUNCTION("""COMPUTED_VALUE"""),75.98)</f>
        <v>75.98</v>
      </c>
      <c r="C3297" s="1">
        <f>IFERROR(__xludf.DUMMYFUNCTION("""COMPUTED_VALUE"""),76.42)</f>
        <v>76.42</v>
      </c>
      <c r="D3297" s="1">
        <f>IFERROR(__xludf.DUMMYFUNCTION("""COMPUTED_VALUE"""),75.79)</f>
        <v>75.79</v>
      </c>
      <c r="E3297" s="1">
        <f>IFERROR(__xludf.DUMMYFUNCTION("""COMPUTED_VALUE"""),76.15)</f>
        <v>76.15</v>
      </c>
      <c r="F3297" s="1">
        <f>IFERROR(__xludf.DUMMYFUNCTION("""COMPUTED_VALUE"""),9897722.0)</f>
        <v>9897722</v>
      </c>
    </row>
    <row r="3298">
      <c r="A3298" s="2">
        <f>IFERROR(__xludf.DUMMYFUNCTION("""COMPUTED_VALUE"""),41313.666666666664)</f>
        <v>41313.66667</v>
      </c>
      <c r="B3298" s="1">
        <f>IFERROR(__xludf.DUMMYFUNCTION("""COMPUTED_VALUE"""),76.15)</f>
        <v>76.15</v>
      </c>
      <c r="C3298" s="1">
        <f>IFERROR(__xludf.DUMMYFUNCTION("""COMPUTED_VALUE"""),76.48)</f>
        <v>76.48</v>
      </c>
      <c r="D3298" s="1">
        <f>IFERROR(__xludf.DUMMYFUNCTION("""COMPUTED_VALUE"""),75.56)</f>
        <v>75.56</v>
      </c>
      <c r="E3298" s="1">
        <f>IFERROR(__xludf.DUMMYFUNCTION("""COMPUTED_VALUE"""),75.75)</f>
        <v>75.75</v>
      </c>
      <c r="F3298" s="1">
        <f>IFERROR(__xludf.DUMMYFUNCTION("""COMPUTED_VALUE"""),9131527.0)</f>
        <v>9131527</v>
      </c>
    </row>
    <row r="3299">
      <c r="A3299" s="2">
        <f>IFERROR(__xludf.DUMMYFUNCTION("""COMPUTED_VALUE"""),41316.666666666664)</f>
        <v>41316.66667</v>
      </c>
      <c r="B3299" s="1">
        <f>IFERROR(__xludf.DUMMYFUNCTION("""COMPUTED_VALUE"""),75.41)</f>
        <v>75.41</v>
      </c>
      <c r="C3299" s="1">
        <f>IFERROR(__xludf.DUMMYFUNCTION("""COMPUTED_VALUE"""),75.92)</f>
        <v>75.92</v>
      </c>
      <c r="D3299" s="1">
        <f>IFERROR(__xludf.DUMMYFUNCTION("""COMPUTED_VALUE"""),75.12)</f>
        <v>75.12</v>
      </c>
      <c r="E3299" s="1">
        <f>IFERROR(__xludf.DUMMYFUNCTION("""COMPUTED_VALUE"""),75.81)</f>
        <v>75.81</v>
      </c>
      <c r="F3299" s="1">
        <f>IFERROR(__xludf.DUMMYFUNCTION("""COMPUTED_VALUE"""),6928133.0)</f>
        <v>6928133</v>
      </c>
    </row>
    <row r="3300">
      <c r="A3300" s="2">
        <f>IFERROR(__xludf.DUMMYFUNCTION("""COMPUTED_VALUE"""),41317.666666666664)</f>
        <v>41317.66667</v>
      </c>
      <c r="B3300" s="1">
        <f>IFERROR(__xludf.DUMMYFUNCTION("""COMPUTED_VALUE"""),75.96)</f>
        <v>75.96</v>
      </c>
      <c r="C3300" s="1">
        <f>IFERROR(__xludf.DUMMYFUNCTION("""COMPUTED_VALUE"""),76.31)</f>
        <v>76.31</v>
      </c>
      <c r="D3300" s="1">
        <f>IFERROR(__xludf.DUMMYFUNCTION("""COMPUTED_VALUE"""),75.81)</f>
        <v>75.81</v>
      </c>
      <c r="E3300" s="1">
        <f>IFERROR(__xludf.DUMMYFUNCTION("""COMPUTED_VALUE"""),75.98)</f>
        <v>75.98</v>
      </c>
      <c r="F3300" s="1">
        <f>IFERROR(__xludf.DUMMYFUNCTION("""COMPUTED_VALUE"""),6281995.0)</f>
        <v>6281995</v>
      </c>
    </row>
    <row r="3301">
      <c r="A3301" s="2">
        <f>IFERROR(__xludf.DUMMYFUNCTION("""COMPUTED_VALUE"""),41318.666666666664)</f>
        <v>41318.66667</v>
      </c>
      <c r="B3301" s="1">
        <f>IFERROR(__xludf.DUMMYFUNCTION("""COMPUTED_VALUE"""),76.01)</f>
        <v>76.01</v>
      </c>
      <c r="C3301" s="1">
        <f>IFERROR(__xludf.DUMMYFUNCTION("""COMPUTED_VALUE"""),76.58)</f>
        <v>76.58</v>
      </c>
      <c r="D3301" s="1">
        <f>IFERROR(__xludf.DUMMYFUNCTION("""COMPUTED_VALUE"""),75.98)</f>
        <v>75.98</v>
      </c>
      <c r="E3301" s="1">
        <f>IFERROR(__xludf.DUMMYFUNCTION("""COMPUTED_VALUE"""),76.56)</f>
        <v>76.56</v>
      </c>
      <c r="F3301" s="1">
        <f>IFERROR(__xludf.DUMMYFUNCTION("""COMPUTED_VALUE"""),7113844.0)</f>
        <v>7113844</v>
      </c>
    </row>
    <row r="3302">
      <c r="A3302" s="2">
        <f>IFERROR(__xludf.DUMMYFUNCTION("""COMPUTED_VALUE"""),41319.666666666664)</f>
        <v>41319.66667</v>
      </c>
      <c r="B3302" s="1">
        <f>IFERROR(__xludf.DUMMYFUNCTION("""COMPUTED_VALUE"""),76.3)</f>
        <v>76.3</v>
      </c>
      <c r="C3302" s="1">
        <f>IFERROR(__xludf.DUMMYFUNCTION("""COMPUTED_VALUE"""),76.97)</f>
        <v>76.97</v>
      </c>
      <c r="D3302" s="1">
        <f>IFERROR(__xludf.DUMMYFUNCTION("""COMPUTED_VALUE"""),76.25)</f>
        <v>76.25</v>
      </c>
      <c r="E3302" s="1">
        <f>IFERROR(__xludf.DUMMYFUNCTION("""COMPUTED_VALUE"""),76.78)</f>
        <v>76.78</v>
      </c>
      <c r="F3302" s="1">
        <f>IFERROR(__xludf.DUMMYFUNCTION("""COMPUTED_VALUE"""),1.0049795E7)</f>
        <v>10049795</v>
      </c>
    </row>
    <row r="3303">
      <c r="A3303" s="2">
        <f>IFERROR(__xludf.DUMMYFUNCTION("""COMPUTED_VALUE"""),41320.666666666664)</f>
        <v>41320.66667</v>
      </c>
      <c r="B3303" s="1">
        <f>IFERROR(__xludf.DUMMYFUNCTION("""COMPUTED_VALUE"""),76.72)</f>
        <v>76.72</v>
      </c>
      <c r="C3303" s="1">
        <f>IFERROR(__xludf.DUMMYFUNCTION("""COMPUTED_VALUE"""),76.96)</f>
        <v>76.96</v>
      </c>
      <c r="D3303" s="1">
        <f>IFERROR(__xludf.DUMMYFUNCTION("""COMPUTED_VALUE"""),76.21)</f>
        <v>76.21</v>
      </c>
      <c r="E3303" s="1">
        <f>IFERROR(__xludf.DUMMYFUNCTION("""COMPUTED_VALUE"""),76.54)</f>
        <v>76.54</v>
      </c>
      <c r="F3303" s="1">
        <f>IFERROR(__xludf.DUMMYFUNCTION("""COMPUTED_VALUE"""),1.116737E7)</f>
        <v>11167370</v>
      </c>
    </row>
    <row r="3304">
      <c r="A3304" s="2">
        <f>IFERROR(__xludf.DUMMYFUNCTION("""COMPUTED_VALUE"""),41324.666666666664)</f>
        <v>41324.66667</v>
      </c>
      <c r="B3304" s="1">
        <f>IFERROR(__xludf.DUMMYFUNCTION("""COMPUTED_VALUE"""),76.56)</f>
        <v>76.56</v>
      </c>
      <c r="C3304" s="1">
        <f>IFERROR(__xludf.DUMMYFUNCTION("""COMPUTED_VALUE"""),77.77)</f>
        <v>77.77</v>
      </c>
      <c r="D3304" s="1">
        <f>IFERROR(__xludf.DUMMYFUNCTION("""COMPUTED_VALUE"""),76.49)</f>
        <v>76.49</v>
      </c>
      <c r="E3304" s="1">
        <f>IFERROR(__xludf.DUMMYFUNCTION("""COMPUTED_VALUE"""),77.38)</f>
        <v>77.38</v>
      </c>
      <c r="F3304" s="1">
        <f>IFERROR(__xludf.DUMMYFUNCTION("""COMPUTED_VALUE"""),1.1783779E7)</f>
        <v>11783779</v>
      </c>
    </row>
    <row r="3305">
      <c r="A3305" s="2">
        <f>IFERROR(__xludf.DUMMYFUNCTION("""COMPUTED_VALUE"""),41325.666666666664)</f>
        <v>41325.66667</v>
      </c>
      <c r="B3305" s="1">
        <f>IFERROR(__xludf.DUMMYFUNCTION("""COMPUTED_VALUE"""),77.27)</f>
        <v>77.27</v>
      </c>
      <c r="C3305" s="1">
        <f>IFERROR(__xludf.DUMMYFUNCTION("""COMPUTED_VALUE"""),77.52)</f>
        <v>77.52</v>
      </c>
      <c r="D3305" s="1">
        <f>IFERROR(__xludf.DUMMYFUNCTION("""COMPUTED_VALUE"""),76.92)</f>
        <v>76.92</v>
      </c>
      <c r="E3305" s="1">
        <f>IFERROR(__xludf.DUMMYFUNCTION("""COMPUTED_VALUE"""),77.08)</f>
        <v>77.08</v>
      </c>
      <c r="F3305" s="1">
        <f>IFERROR(__xludf.DUMMYFUNCTION("""COMPUTED_VALUE"""),9277078.0)</f>
        <v>9277078</v>
      </c>
    </row>
    <row r="3306">
      <c r="A3306" s="2">
        <f>IFERROR(__xludf.DUMMYFUNCTION("""COMPUTED_VALUE"""),41326.666666666664)</f>
        <v>41326.66667</v>
      </c>
      <c r="B3306" s="1">
        <f>IFERROR(__xludf.DUMMYFUNCTION("""COMPUTED_VALUE"""),76.28)</f>
        <v>76.28</v>
      </c>
      <c r="C3306" s="1">
        <f>IFERROR(__xludf.DUMMYFUNCTION("""COMPUTED_VALUE"""),77.2)</f>
        <v>77.2</v>
      </c>
      <c r="D3306" s="1">
        <f>IFERROR(__xludf.DUMMYFUNCTION("""COMPUTED_VALUE"""),75.9)</f>
        <v>75.9</v>
      </c>
      <c r="E3306" s="1">
        <f>IFERROR(__xludf.DUMMYFUNCTION("""COMPUTED_VALUE"""),77.04)</f>
        <v>77.04</v>
      </c>
      <c r="F3306" s="1">
        <f>IFERROR(__xludf.DUMMYFUNCTION("""COMPUTED_VALUE"""),1.0305115E7)</f>
        <v>10305115</v>
      </c>
    </row>
    <row r="3307">
      <c r="A3307" s="2">
        <f>IFERROR(__xludf.DUMMYFUNCTION("""COMPUTED_VALUE"""),41327.666666666664)</f>
        <v>41327.66667</v>
      </c>
      <c r="B3307" s="1">
        <f>IFERROR(__xludf.DUMMYFUNCTION("""COMPUTED_VALUE"""),77.05)</f>
        <v>77.05</v>
      </c>
      <c r="C3307" s="1">
        <f>IFERROR(__xludf.DUMMYFUNCTION("""COMPUTED_VALUE"""),77.19)</f>
        <v>77.19</v>
      </c>
      <c r="D3307" s="1">
        <f>IFERROR(__xludf.DUMMYFUNCTION("""COMPUTED_VALUE"""),76.75)</f>
        <v>76.75</v>
      </c>
      <c r="E3307" s="1">
        <f>IFERROR(__xludf.DUMMYFUNCTION("""COMPUTED_VALUE"""),76.99)</f>
        <v>76.99</v>
      </c>
      <c r="F3307" s="1">
        <f>IFERROR(__xludf.DUMMYFUNCTION("""COMPUTED_VALUE"""),8433530.0)</f>
        <v>8433530</v>
      </c>
    </row>
    <row r="3308">
      <c r="A3308" s="2">
        <f>IFERROR(__xludf.DUMMYFUNCTION("""COMPUTED_VALUE"""),41330.666666666664)</f>
        <v>41330.66667</v>
      </c>
      <c r="B3308" s="1">
        <f>IFERROR(__xludf.DUMMYFUNCTION("""COMPUTED_VALUE"""),77.07)</f>
        <v>77.07</v>
      </c>
      <c r="C3308" s="1">
        <f>IFERROR(__xludf.DUMMYFUNCTION("""COMPUTED_VALUE"""),77.67)</f>
        <v>77.67</v>
      </c>
      <c r="D3308" s="1">
        <f>IFERROR(__xludf.DUMMYFUNCTION("""COMPUTED_VALUE"""),75.92)</f>
        <v>75.92</v>
      </c>
      <c r="E3308" s="1">
        <f>IFERROR(__xludf.DUMMYFUNCTION("""COMPUTED_VALUE"""),75.92)</f>
        <v>75.92</v>
      </c>
      <c r="F3308" s="1">
        <f>IFERROR(__xludf.DUMMYFUNCTION("""COMPUTED_VALUE"""),9970631.0)</f>
        <v>9970631</v>
      </c>
    </row>
    <row r="3309">
      <c r="A3309" s="2">
        <f>IFERROR(__xludf.DUMMYFUNCTION("""COMPUTED_VALUE"""),41331.666666666664)</f>
        <v>41331.66667</v>
      </c>
      <c r="B3309" s="1">
        <f>IFERROR(__xludf.DUMMYFUNCTION("""COMPUTED_VALUE"""),75.99)</f>
        <v>75.99</v>
      </c>
      <c r="C3309" s="1">
        <f>IFERROR(__xludf.DUMMYFUNCTION("""COMPUTED_VALUE"""),76.38)</f>
        <v>76.38</v>
      </c>
      <c r="D3309" s="1">
        <f>IFERROR(__xludf.DUMMYFUNCTION("""COMPUTED_VALUE"""),75.77)</f>
        <v>75.77</v>
      </c>
      <c r="E3309" s="1">
        <f>IFERROR(__xludf.DUMMYFUNCTION("""COMPUTED_VALUE"""),76.08)</f>
        <v>76.08</v>
      </c>
      <c r="F3309" s="1">
        <f>IFERROR(__xludf.DUMMYFUNCTION("""COMPUTED_VALUE"""),8378943.0)</f>
        <v>8378943</v>
      </c>
    </row>
    <row r="3310">
      <c r="A3310" s="2">
        <f>IFERROR(__xludf.DUMMYFUNCTION("""COMPUTED_VALUE"""),41332.666666666664)</f>
        <v>41332.66667</v>
      </c>
      <c r="B3310" s="1">
        <f>IFERROR(__xludf.DUMMYFUNCTION("""COMPUTED_VALUE"""),75.95)</f>
        <v>75.95</v>
      </c>
      <c r="C3310" s="1">
        <f>IFERROR(__xludf.DUMMYFUNCTION("""COMPUTED_VALUE"""),76.95)</f>
        <v>76.95</v>
      </c>
      <c r="D3310" s="1">
        <f>IFERROR(__xludf.DUMMYFUNCTION("""COMPUTED_VALUE"""),75.7)</f>
        <v>75.7</v>
      </c>
      <c r="E3310" s="1">
        <f>IFERROR(__xludf.DUMMYFUNCTION("""COMPUTED_VALUE"""),76.75)</f>
        <v>76.75</v>
      </c>
      <c r="F3310" s="1">
        <f>IFERROR(__xludf.DUMMYFUNCTION("""COMPUTED_VALUE"""),7568986.0)</f>
        <v>7568986</v>
      </c>
    </row>
    <row r="3311">
      <c r="A3311" s="2">
        <f>IFERROR(__xludf.DUMMYFUNCTION("""COMPUTED_VALUE"""),41333.666666666664)</f>
        <v>41333.66667</v>
      </c>
      <c r="B3311" s="1">
        <f>IFERROR(__xludf.DUMMYFUNCTION("""COMPUTED_VALUE"""),76.66)</f>
        <v>76.66</v>
      </c>
      <c r="C3311" s="1">
        <f>IFERROR(__xludf.DUMMYFUNCTION("""COMPUTED_VALUE"""),76.91)</f>
        <v>76.91</v>
      </c>
      <c r="D3311" s="1">
        <f>IFERROR(__xludf.DUMMYFUNCTION("""COMPUTED_VALUE"""),76.17)</f>
        <v>76.17</v>
      </c>
      <c r="E3311" s="1">
        <f>IFERROR(__xludf.DUMMYFUNCTION("""COMPUTED_VALUE"""),76.18)</f>
        <v>76.18</v>
      </c>
      <c r="F3311" s="1">
        <f>IFERROR(__xludf.DUMMYFUNCTION("""COMPUTED_VALUE"""),1.0472126E7)</f>
        <v>10472126</v>
      </c>
    </row>
    <row r="3312">
      <c r="A3312" s="2">
        <f>IFERROR(__xludf.DUMMYFUNCTION("""COMPUTED_VALUE"""),41334.666666666664)</f>
        <v>41334.66667</v>
      </c>
      <c r="B3312" s="1">
        <f>IFERROR(__xludf.DUMMYFUNCTION("""COMPUTED_VALUE"""),75.7)</f>
        <v>75.7</v>
      </c>
      <c r="C3312" s="1">
        <f>IFERROR(__xludf.DUMMYFUNCTION("""COMPUTED_VALUE"""),76.72)</f>
        <v>76.72</v>
      </c>
      <c r="D3312" s="1">
        <f>IFERROR(__xludf.DUMMYFUNCTION("""COMPUTED_VALUE"""),75.56)</f>
        <v>75.56</v>
      </c>
      <c r="E3312" s="1">
        <f>IFERROR(__xludf.DUMMYFUNCTION("""COMPUTED_VALUE"""),76.49)</f>
        <v>76.49</v>
      </c>
      <c r="F3312" s="1">
        <f>IFERROR(__xludf.DUMMYFUNCTION("""COMPUTED_VALUE"""),9601420.0)</f>
        <v>9601420</v>
      </c>
    </row>
    <row r="3313">
      <c r="A3313" s="2">
        <f>IFERROR(__xludf.DUMMYFUNCTION("""COMPUTED_VALUE"""),41337.666666666664)</f>
        <v>41337.66667</v>
      </c>
      <c r="B3313" s="1">
        <f>IFERROR(__xludf.DUMMYFUNCTION("""COMPUTED_VALUE"""),76.25)</f>
        <v>76.25</v>
      </c>
      <c r="C3313" s="1">
        <f>IFERROR(__xludf.DUMMYFUNCTION("""COMPUTED_VALUE"""),76.68)</f>
        <v>76.68</v>
      </c>
      <c r="D3313" s="1">
        <f>IFERROR(__xludf.DUMMYFUNCTION("""COMPUTED_VALUE"""),75.97)</f>
        <v>75.97</v>
      </c>
      <c r="E3313" s="1">
        <f>IFERROR(__xludf.DUMMYFUNCTION("""COMPUTED_VALUE"""),76.68)</f>
        <v>76.68</v>
      </c>
      <c r="F3313" s="1">
        <f>IFERROR(__xludf.DUMMYFUNCTION("""COMPUTED_VALUE"""),7632402.0)</f>
        <v>7632402</v>
      </c>
    </row>
    <row r="3314">
      <c r="A3314" s="2">
        <f>IFERROR(__xludf.DUMMYFUNCTION("""COMPUTED_VALUE"""),41338.666666666664)</f>
        <v>41338.66667</v>
      </c>
      <c r="B3314" s="1">
        <f>IFERROR(__xludf.DUMMYFUNCTION("""COMPUTED_VALUE"""),76.78)</f>
        <v>76.78</v>
      </c>
      <c r="C3314" s="1">
        <f>IFERROR(__xludf.DUMMYFUNCTION("""COMPUTED_VALUE"""),77.39)</f>
        <v>77.39</v>
      </c>
      <c r="D3314" s="1">
        <f>IFERROR(__xludf.DUMMYFUNCTION("""COMPUTED_VALUE"""),76.72)</f>
        <v>76.72</v>
      </c>
      <c r="E3314" s="1">
        <f>IFERROR(__xludf.DUMMYFUNCTION("""COMPUTED_VALUE"""),77.05)</f>
        <v>77.05</v>
      </c>
      <c r="F3314" s="1">
        <f>IFERROR(__xludf.DUMMYFUNCTION("""COMPUTED_VALUE"""),9717368.0)</f>
        <v>9717368</v>
      </c>
    </row>
    <row r="3315">
      <c r="A3315" s="2">
        <f>IFERROR(__xludf.DUMMYFUNCTION("""COMPUTED_VALUE"""),41339.666666666664)</f>
        <v>41339.66667</v>
      </c>
      <c r="B3315" s="1">
        <f>IFERROR(__xludf.DUMMYFUNCTION("""COMPUTED_VALUE"""),77.01)</f>
        <v>77.01</v>
      </c>
      <c r="C3315" s="1">
        <f>IFERROR(__xludf.DUMMYFUNCTION("""COMPUTED_VALUE"""),77.45)</f>
        <v>77.45</v>
      </c>
      <c r="D3315" s="1">
        <f>IFERROR(__xludf.DUMMYFUNCTION("""COMPUTED_VALUE"""),76.81)</f>
        <v>76.81</v>
      </c>
      <c r="E3315" s="1">
        <f>IFERROR(__xludf.DUMMYFUNCTION("""COMPUTED_VALUE"""),77.2)</f>
        <v>77.2</v>
      </c>
      <c r="F3315" s="1">
        <f>IFERROR(__xludf.DUMMYFUNCTION("""COMPUTED_VALUE"""),7196031.0)</f>
        <v>7196031</v>
      </c>
    </row>
    <row r="3316">
      <c r="A3316" s="2">
        <f>IFERROR(__xludf.DUMMYFUNCTION("""COMPUTED_VALUE"""),41340.666666666664)</f>
        <v>41340.66667</v>
      </c>
      <c r="B3316" s="1">
        <f>IFERROR(__xludf.DUMMYFUNCTION("""COMPUTED_VALUE"""),77.22)</f>
        <v>77.22</v>
      </c>
      <c r="C3316" s="1">
        <f>IFERROR(__xludf.DUMMYFUNCTION("""COMPUTED_VALUE"""),77.49)</f>
        <v>77.49</v>
      </c>
      <c r="D3316" s="1">
        <f>IFERROR(__xludf.DUMMYFUNCTION("""COMPUTED_VALUE"""),76.78)</f>
        <v>76.78</v>
      </c>
      <c r="E3316" s="1">
        <f>IFERROR(__xludf.DUMMYFUNCTION("""COMPUTED_VALUE"""),76.9)</f>
        <v>76.9</v>
      </c>
      <c r="F3316" s="1">
        <f>IFERROR(__xludf.DUMMYFUNCTION("""COMPUTED_VALUE"""),7111415.0)</f>
        <v>7111415</v>
      </c>
    </row>
    <row r="3317">
      <c r="A3317" s="2">
        <f>IFERROR(__xludf.DUMMYFUNCTION("""COMPUTED_VALUE"""),41341.666666666664)</f>
        <v>41341.66667</v>
      </c>
      <c r="B3317" s="1">
        <f>IFERROR(__xludf.DUMMYFUNCTION("""COMPUTED_VALUE"""),77.01)</f>
        <v>77.01</v>
      </c>
      <c r="C3317" s="1">
        <f>IFERROR(__xludf.DUMMYFUNCTION("""COMPUTED_VALUE"""),77.2)</f>
        <v>77.2</v>
      </c>
      <c r="D3317" s="1">
        <f>IFERROR(__xludf.DUMMYFUNCTION("""COMPUTED_VALUE"""),76.46)</f>
        <v>76.46</v>
      </c>
      <c r="E3317" s="1">
        <f>IFERROR(__xludf.DUMMYFUNCTION("""COMPUTED_VALUE"""),77.18)</f>
        <v>77.18</v>
      </c>
      <c r="F3317" s="1">
        <f>IFERROR(__xludf.DUMMYFUNCTION("""COMPUTED_VALUE"""),7257183.0)</f>
        <v>7257183</v>
      </c>
    </row>
    <row r="3318">
      <c r="A3318" s="2">
        <f>IFERROR(__xludf.DUMMYFUNCTION("""COMPUTED_VALUE"""),41344.666666666664)</f>
        <v>41344.66667</v>
      </c>
      <c r="B3318" s="1">
        <f>IFERROR(__xludf.DUMMYFUNCTION("""COMPUTED_VALUE"""),77.02)</f>
        <v>77.02</v>
      </c>
      <c r="C3318" s="1">
        <f>IFERROR(__xludf.DUMMYFUNCTION("""COMPUTED_VALUE"""),77.39)</f>
        <v>77.39</v>
      </c>
      <c r="D3318" s="1">
        <f>IFERROR(__xludf.DUMMYFUNCTION("""COMPUTED_VALUE"""),76.9)</f>
        <v>76.9</v>
      </c>
      <c r="E3318" s="1">
        <f>IFERROR(__xludf.DUMMYFUNCTION("""COMPUTED_VALUE"""),77.35)</f>
        <v>77.35</v>
      </c>
      <c r="F3318" s="1">
        <f>IFERROR(__xludf.DUMMYFUNCTION("""COMPUTED_VALUE"""),6621712.0)</f>
        <v>6621712</v>
      </c>
    </row>
    <row r="3319">
      <c r="A3319" s="2">
        <f>IFERROR(__xludf.DUMMYFUNCTION("""COMPUTED_VALUE"""),41345.666666666664)</f>
        <v>41345.66667</v>
      </c>
      <c r="B3319" s="1">
        <f>IFERROR(__xludf.DUMMYFUNCTION("""COMPUTED_VALUE"""),77.19)</f>
        <v>77.19</v>
      </c>
      <c r="C3319" s="1">
        <f>IFERROR(__xludf.DUMMYFUNCTION("""COMPUTED_VALUE"""),77.45)</f>
        <v>77.45</v>
      </c>
      <c r="D3319" s="1">
        <f>IFERROR(__xludf.DUMMYFUNCTION("""COMPUTED_VALUE"""),77.0)</f>
        <v>77</v>
      </c>
      <c r="E3319" s="1">
        <f>IFERROR(__xludf.DUMMYFUNCTION("""COMPUTED_VALUE"""),77.17)</f>
        <v>77.17</v>
      </c>
      <c r="F3319" s="1">
        <f>IFERROR(__xludf.DUMMYFUNCTION("""COMPUTED_VALUE"""),7016698.0)</f>
        <v>7016698</v>
      </c>
    </row>
    <row r="3320">
      <c r="A3320" s="2">
        <f>IFERROR(__xludf.DUMMYFUNCTION("""COMPUTED_VALUE"""),41346.666666666664)</f>
        <v>41346.66667</v>
      </c>
      <c r="B3320" s="1">
        <f>IFERROR(__xludf.DUMMYFUNCTION("""COMPUTED_VALUE"""),77.07)</f>
        <v>77.07</v>
      </c>
      <c r="C3320" s="1">
        <f>IFERROR(__xludf.DUMMYFUNCTION("""COMPUTED_VALUE"""),77.1)</f>
        <v>77.1</v>
      </c>
      <c r="D3320" s="1">
        <f>IFERROR(__xludf.DUMMYFUNCTION("""COMPUTED_VALUE"""),76.52)</f>
        <v>76.52</v>
      </c>
      <c r="E3320" s="1">
        <f>IFERROR(__xludf.DUMMYFUNCTION("""COMPUTED_VALUE"""),76.8)</f>
        <v>76.8</v>
      </c>
      <c r="F3320" s="1">
        <f>IFERROR(__xludf.DUMMYFUNCTION("""COMPUTED_VALUE"""),6340460.0)</f>
        <v>6340460</v>
      </c>
    </row>
    <row r="3321">
      <c r="A3321" s="2">
        <f>IFERROR(__xludf.DUMMYFUNCTION("""COMPUTED_VALUE"""),41347.666666666664)</f>
        <v>41347.66667</v>
      </c>
      <c r="B3321" s="1">
        <f>IFERROR(__xludf.DUMMYFUNCTION("""COMPUTED_VALUE"""),76.87)</f>
        <v>76.87</v>
      </c>
      <c r="C3321" s="1">
        <f>IFERROR(__xludf.DUMMYFUNCTION("""COMPUTED_VALUE"""),77.47)</f>
        <v>77.47</v>
      </c>
      <c r="D3321" s="1">
        <f>IFERROR(__xludf.DUMMYFUNCTION("""COMPUTED_VALUE"""),76.83)</f>
        <v>76.83</v>
      </c>
      <c r="E3321" s="1">
        <f>IFERROR(__xludf.DUMMYFUNCTION("""COMPUTED_VALUE"""),77.39)</f>
        <v>77.39</v>
      </c>
      <c r="F3321" s="1">
        <f>IFERROR(__xludf.DUMMYFUNCTION("""COMPUTED_VALUE"""),8083421.0)</f>
        <v>8083421</v>
      </c>
    </row>
    <row r="3322">
      <c r="A3322" s="2">
        <f>IFERROR(__xludf.DUMMYFUNCTION("""COMPUTED_VALUE"""),41348.666666666664)</f>
        <v>41348.66667</v>
      </c>
      <c r="B3322" s="1">
        <f>IFERROR(__xludf.DUMMYFUNCTION("""COMPUTED_VALUE"""),77.08)</f>
        <v>77.08</v>
      </c>
      <c r="C3322" s="1">
        <f>IFERROR(__xludf.DUMMYFUNCTION("""COMPUTED_VALUE"""),77.38)</f>
        <v>77.38</v>
      </c>
      <c r="D3322" s="1">
        <f>IFERROR(__xludf.DUMMYFUNCTION("""COMPUTED_VALUE"""),76.34)</f>
        <v>76.34</v>
      </c>
      <c r="E3322" s="1">
        <f>IFERROR(__xludf.DUMMYFUNCTION("""COMPUTED_VALUE"""),76.34)</f>
        <v>76.34</v>
      </c>
      <c r="F3322" s="1">
        <f>IFERROR(__xludf.DUMMYFUNCTION("""COMPUTED_VALUE"""),1.5251189E7)</f>
        <v>15251189</v>
      </c>
    </row>
    <row r="3323">
      <c r="A3323" s="2">
        <f>IFERROR(__xludf.DUMMYFUNCTION("""COMPUTED_VALUE"""),41351.666666666664)</f>
        <v>41351.66667</v>
      </c>
      <c r="B3323" s="1">
        <f>IFERROR(__xludf.DUMMYFUNCTION("""COMPUTED_VALUE"""),75.9)</f>
        <v>75.9</v>
      </c>
      <c r="C3323" s="1">
        <f>IFERROR(__xludf.DUMMYFUNCTION("""COMPUTED_VALUE"""),76.55)</f>
        <v>76.55</v>
      </c>
      <c r="D3323" s="1">
        <f>IFERROR(__xludf.DUMMYFUNCTION("""COMPUTED_VALUE"""),75.8)</f>
        <v>75.8</v>
      </c>
      <c r="E3323" s="1">
        <f>IFERROR(__xludf.DUMMYFUNCTION("""COMPUTED_VALUE"""),76.16)</f>
        <v>76.16</v>
      </c>
      <c r="F3323" s="1">
        <f>IFERROR(__xludf.DUMMYFUNCTION("""COMPUTED_VALUE"""),7081774.0)</f>
        <v>7081774</v>
      </c>
    </row>
    <row r="3324">
      <c r="A3324" s="2">
        <f>IFERROR(__xludf.DUMMYFUNCTION("""COMPUTED_VALUE"""),41352.666666666664)</f>
        <v>41352.66667</v>
      </c>
      <c r="B3324" s="1">
        <f>IFERROR(__xludf.DUMMYFUNCTION("""COMPUTED_VALUE"""),76.14)</f>
        <v>76.14</v>
      </c>
      <c r="C3324" s="1">
        <f>IFERROR(__xludf.DUMMYFUNCTION("""COMPUTED_VALUE"""),77.18)</f>
        <v>77.18</v>
      </c>
      <c r="D3324" s="1">
        <f>IFERROR(__xludf.DUMMYFUNCTION("""COMPUTED_VALUE"""),76.11)</f>
        <v>76.11</v>
      </c>
      <c r="E3324" s="1">
        <f>IFERROR(__xludf.DUMMYFUNCTION("""COMPUTED_VALUE"""),77.11)</f>
        <v>77.11</v>
      </c>
      <c r="F3324" s="1">
        <f>IFERROR(__xludf.DUMMYFUNCTION("""COMPUTED_VALUE"""),9326358.0)</f>
        <v>9326358</v>
      </c>
    </row>
    <row r="3325">
      <c r="A3325" s="2">
        <f>IFERROR(__xludf.DUMMYFUNCTION("""COMPUTED_VALUE"""),41353.666666666664)</f>
        <v>41353.66667</v>
      </c>
      <c r="B3325" s="1">
        <f>IFERROR(__xludf.DUMMYFUNCTION("""COMPUTED_VALUE"""),77.29)</f>
        <v>77.29</v>
      </c>
      <c r="C3325" s="1">
        <f>IFERROR(__xludf.DUMMYFUNCTION("""COMPUTED_VALUE"""),77.82)</f>
        <v>77.82</v>
      </c>
      <c r="D3325" s="1">
        <f>IFERROR(__xludf.DUMMYFUNCTION("""COMPUTED_VALUE"""),77.27)</f>
        <v>77.27</v>
      </c>
      <c r="E3325" s="1">
        <f>IFERROR(__xludf.DUMMYFUNCTION("""COMPUTED_VALUE"""),77.58)</f>
        <v>77.58</v>
      </c>
      <c r="F3325" s="1">
        <f>IFERROR(__xludf.DUMMYFUNCTION("""COMPUTED_VALUE"""),8615856.0)</f>
        <v>8615856</v>
      </c>
    </row>
    <row r="3326">
      <c r="A3326" s="2">
        <f>IFERROR(__xludf.DUMMYFUNCTION("""COMPUTED_VALUE"""),41354.666666666664)</f>
        <v>41354.66667</v>
      </c>
      <c r="B3326" s="1">
        <f>IFERROR(__xludf.DUMMYFUNCTION("""COMPUTED_VALUE"""),77.42)</f>
        <v>77.42</v>
      </c>
      <c r="C3326" s="1">
        <f>IFERROR(__xludf.DUMMYFUNCTION("""COMPUTED_VALUE"""),77.67)</f>
        <v>77.67</v>
      </c>
      <c r="D3326" s="1">
        <f>IFERROR(__xludf.DUMMYFUNCTION("""COMPUTED_VALUE"""),77.14)</f>
        <v>77.14</v>
      </c>
      <c r="E3326" s="1">
        <f>IFERROR(__xludf.DUMMYFUNCTION("""COMPUTED_VALUE"""),77.21)</f>
        <v>77.21</v>
      </c>
      <c r="F3326" s="1">
        <f>IFERROR(__xludf.DUMMYFUNCTION("""COMPUTED_VALUE"""),6320751.0)</f>
        <v>6320751</v>
      </c>
    </row>
    <row r="3327">
      <c r="A3327" s="2">
        <f>IFERROR(__xludf.DUMMYFUNCTION("""COMPUTED_VALUE"""),41355.666666666664)</f>
        <v>41355.66667</v>
      </c>
      <c r="B3327" s="1">
        <f>IFERROR(__xludf.DUMMYFUNCTION("""COMPUTED_VALUE"""),77.18)</f>
        <v>77.18</v>
      </c>
      <c r="C3327" s="1">
        <f>IFERROR(__xludf.DUMMYFUNCTION("""COMPUTED_VALUE"""),77.45)</f>
        <v>77.45</v>
      </c>
      <c r="D3327" s="1">
        <f>IFERROR(__xludf.DUMMYFUNCTION("""COMPUTED_VALUE"""),77.0)</f>
        <v>77</v>
      </c>
      <c r="E3327" s="1">
        <f>IFERROR(__xludf.DUMMYFUNCTION("""COMPUTED_VALUE"""),77.27)</f>
        <v>77.27</v>
      </c>
      <c r="F3327" s="1">
        <f>IFERROR(__xludf.DUMMYFUNCTION("""COMPUTED_VALUE"""),5878093.0)</f>
        <v>5878093</v>
      </c>
    </row>
    <row r="3328">
      <c r="A3328" s="2">
        <f>IFERROR(__xludf.DUMMYFUNCTION("""COMPUTED_VALUE"""),41358.666666666664)</f>
        <v>41358.66667</v>
      </c>
      <c r="B3328" s="1">
        <f>IFERROR(__xludf.DUMMYFUNCTION("""COMPUTED_VALUE"""),77.27)</f>
        <v>77.27</v>
      </c>
      <c r="C3328" s="1">
        <f>IFERROR(__xludf.DUMMYFUNCTION("""COMPUTED_VALUE"""),77.62)</f>
        <v>77.62</v>
      </c>
      <c r="D3328" s="1">
        <f>IFERROR(__xludf.DUMMYFUNCTION("""COMPUTED_VALUE"""),76.44)</f>
        <v>76.44</v>
      </c>
      <c r="E3328" s="1">
        <f>IFERROR(__xludf.DUMMYFUNCTION("""COMPUTED_VALUE"""),76.68)</f>
        <v>76.68</v>
      </c>
      <c r="F3328" s="1">
        <f>IFERROR(__xludf.DUMMYFUNCTION("""COMPUTED_VALUE"""),6843553.0)</f>
        <v>6843553</v>
      </c>
    </row>
    <row r="3329">
      <c r="A3329" s="2">
        <f>IFERROR(__xludf.DUMMYFUNCTION("""COMPUTED_VALUE"""),41359.666666666664)</f>
        <v>41359.66667</v>
      </c>
      <c r="B3329" s="1">
        <f>IFERROR(__xludf.DUMMYFUNCTION("""COMPUTED_VALUE"""),77.02)</f>
        <v>77.02</v>
      </c>
      <c r="C3329" s="1">
        <f>IFERROR(__xludf.DUMMYFUNCTION("""COMPUTED_VALUE"""),77.5)</f>
        <v>77.5</v>
      </c>
      <c r="D3329" s="1">
        <f>IFERROR(__xludf.DUMMYFUNCTION("""COMPUTED_VALUE"""),76.89)</f>
        <v>76.89</v>
      </c>
      <c r="E3329" s="1">
        <f>IFERROR(__xludf.DUMMYFUNCTION("""COMPUTED_VALUE"""),77.4)</f>
        <v>77.4</v>
      </c>
      <c r="F3329" s="1">
        <f>IFERROR(__xludf.DUMMYFUNCTION("""COMPUTED_VALUE"""),5387206.0)</f>
        <v>5387206</v>
      </c>
    </row>
    <row r="3330">
      <c r="A3330" s="2">
        <f>IFERROR(__xludf.DUMMYFUNCTION("""COMPUTED_VALUE"""),41360.666666666664)</f>
        <v>41360.66667</v>
      </c>
      <c r="B3330" s="1">
        <f>IFERROR(__xludf.DUMMYFUNCTION("""COMPUTED_VALUE"""),76.98)</f>
        <v>76.98</v>
      </c>
      <c r="C3330" s="1">
        <f>IFERROR(__xludf.DUMMYFUNCTION("""COMPUTED_VALUE"""),77.11)</f>
        <v>77.11</v>
      </c>
      <c r="D3330" s="1">
        <f>IFERROR(__xludf.DUMMYFUNCTION("""COMPUTED_VALUE"""),76.57)</f>
        <v>76.57</v>
      </c>
      <c r="E3330" s="1">
        <f>IFERROR(__xludf.DUMMYFUNCTION("""COMPUTED_VALUE"""),77.06)</f>
        <v>77.06</v>
      </c>
      <c r="F3330" s="1">
        <f>IFERROR(__xludf.DUMMYFUNCTION("""COMPUTED_VALUE"""),5274747.0)</f>
        <v>5274747</v>
      </c>
    </row>
    <row r="3331">
      <c r="A3331" s="2">
        <f>IFERROR(__xludf.DUMMYFUNCTION("""COMPUTED_VALUE"""),41361.666666666664)</f>
        <v>41361.66667</v>
      </c>
      <c r="B3331" s="1">
        <f>IFERROR(__xludf.DUMMYFUNCTION("""COMPUTED_VALUE"""),76.95)</f>
        <v>76.95</v>
      </c>
      <c r="C3331" s="1">
        <f>IFERROR(__xludf.DUMMYFUNCTION("""COMPUTED_VALUE"""),77.16)</f>
        <v>77.16</v>
      </c>
      <c r="D3331" s="1">
        <f>IFERROR(__xludf.DUMMYFUNCTION("""COMPUTED_VALUE"""),76.66)</f>
        <v>76.66</v>
      </c>
      <c r="E3331" s="1">
        <f>IFERROR(__xludf.DUMMYFUNCTION("""COMPUTED_VALUE"""),77.06)</f>
        <v>77.06</v>
      </c>
      <c r="F3331" s="1">
        <f>IFERROR(__xludf.DUMMYFUNCTION("""COMPUTED_VALUE"""),8017630.0)</f>
        <v>8017630</v>
      </c>
    </row>
    <row r="3332">
      <c r="A3332" s="2">
        <f>IFERROR(__xludf.DUMMYFUNCTION("""COMPUTED_VALUE"""),41365.666666666664)</f>
        <v>41365.66667</v>
      </c>
      <c r="B3332" s="1">
        <f>IFERROR(__xludf.DUMMYFUNCTION("""COMPUTED_VALUE"""),76.85)</f>
        <v>76.85</v>
      </c>
      <c r="C3332" s="1">
        <f>IFERROR(__xludf.DUMMYFUNCTION("""COMPUTED_VALUE"""),77.85)</f>
        <v>77.85</v>
      </c>
      <c r="D3332" s="1">
        <f>IFERROR(__xludf.DUMMYFUNCTION("""COMPUTED_VALUE"""),76.73)</f>
        <v>76.73</v>
      </c>
      <c r="E3332" s="1">
        <f>IFERROR(__xludf.DUMMYFUNCTION("""COMPUTED_VALUE"""),77.7)</f>
        <v>77.7</v>
      </c>
      <c r="F3332" s="1">
        <f>IFERROR(__xludf.DUMMYFUNCTION("""COMPUTED_VALUE"""),7268209.0)</f>
        <v>7268209</v>
      </c>
    </row>
    <row r="3333">
      <c r="A3333" s="2">
        <f>IFERROR(__xludf.DUMMYFUNCTION("""COMPUTED_VALUE"""),41366.666666666664)</f>
        <v>41366.66667</v>
      </c>
      <c r="B3333" s="1">
        <f>IFERROR(__xludf.DUMMYFUNCTION("""COMPUTED_VALUE"""),77.84)</f>
        <v>77.84</v>
      </c>
      <c r="C3333" s="1">
        <f>IFERROR(__xludf.DUMMYFUNCTION("""COMPUTED_VALUE"""),79.15)</f>
        <v>79.15</v>
      </c>
      <c r="D3333" s="1">
        <f>IFERROR(__xludf.DUMMYFUNCTION("""COMPUTED_VALUE"""),77.65)</f>
        <v>77.65</v>
      </c>
      <c r="E3333" s="1">
        <f>IFERROR(__xludf.DUMMYFUNCTION("""COMPUTED_VALUE"""),78.96)</f>
        <v>78.96</v>
      </c>
      <c r="F3333" s="1">
        <f>IFERROR(__xludf.DUMMYFUNCTION("""COMPUTED_VALUE"""),1.3374845E7)</f>
        <v>13374845</v>
      </c>
    </row>
    <row r="3334">
      <c r="A3334" s="2">
        <f>IFERROR(__xludf.DUMMYFUNCTION("""COMPUTED_VALUE"""),41367.666666666664)</f>
        <v>41367.66667</v>
      </c>
      <c r="B3334" s="1">
        <f>IFERROR(__xludf.DUMMYFUNCTION("""COMPUTED_VALUE"""),78.88)</f>
        <v>78.88</v>
      </c>
      <c r="C3334" s="1">
        <f>IFERROR(__xludf.DUMMYFUNCTION("""COMPUTED_VALUE"""),79.08)</f>
        <v>79.08</v>
      </c>
      <c r="D3334" s="1">
        <f>IFERROR(__xludf.DUMMYFUNCTION("""COMPUTED_VALUE"""),77.84)</f>
        <v>77.84</v>
      </c>
      <c r="E3334" s="1">
        <f>IFERROR(__xludf.DUMMYFUNCTION("""COMPUTED_VALUE"""),78.12)</f>
        <v>78.12</v>
      </c>
      <c r="F3334" s="1">
        <f>IFERROR(__xludf.DUMMYFUNCTION("""COMPUTED_VALUE"""),8427549.0)</f>
        <v>8427549</v>
      </c>
    </row>
    <row r="3335">
      <c r="A3335" s="2">
        <f>IFERROR(__xludf.DUMMYFUNCTION("""COMPUTED_VALUE"""),41368.666666666664)</f>
        <v>41368.66667</v>
      </c>
      <c r="B3335" s="1">
        <f>IFERROR(__xludf.DUMMYFUNCTION("""COMPUTED_VALUE"""),78.32)</f>
        <v>78.32</v>
      </c>
      <c r="C3335" s="1">
        <f>IFERROR(__xludf.DUMMYFUNCTION("""COMPUTED_VALUE"""),78.98)</f>
        <v>78.98</v>
      </c>
      <c r="D3335" s="1">
        <f>IFERROR(__xludf.DUMMYFUNCTION("""COMPUTED_VALUE"""),78.25)</f>
        <v>78.25</v>
      </c>
      <c r="E3335" s="1">
        <f>IFERROR(__xludf.DUMMYFUNCTION("""COMPUTED_VALUE"""),78.54)</f>
        <v>78.54</v>
      </c>
      <c r="F3335" s="1">
        <f>IFERROR(__xludf.DUMMYFUNCTION("""COMPUTED_VALUE"""),8770597.0)</f>
        <v>8770597</v>
      </c>
    </row>
    <row r="3336">
      <c r="A3336" s="2">
        <f>IFERROR(__xludf.DUMMYFUNCTION("""COMPUTED_VALUE"""),41369.666666666664)</f>
        <v>41369.66667</v>
      </c>
      <c r="B3336" s="1">
        <f>IFERROR(__xludf.DUMMYFUNCTION("""COMPUTED_VALUE"""),77.88)</f>
        <v>77.88</v>
      </c>
      <c r="C3336" s="1">
        <f>IFERROR(__xludf.DUMMYFUNCTION("""COMPUTED_VALUE"""),78.39)</f>
        <v>78.39</v>
      </c>
      <c r="D3336" s="1">
        <f>IFERROR(__xludf.DUMMYFUNCTION("""COMPUTED_VALUE"""),77.83)</f>
        <v>77.83</v>
      </c>
      <c r="E3336" s="1">
        <f>IFERROR(__xludf.DUMMYFUNCTION("""COMPUTED_VALUE"""),78.23)</f>
        <v>78.23</v>
      </c>
      <c r="F3336" s="1">
        <f>IFERROR(__xludf.DUMMYFUNCTION("""COMPUTED_VALUE"""),6565480.0)</f>
        <v>6565480</v>
      </c>
    </row>
    <row r="3337">
      <c r="A3337" s="2">
        <f>IFERROR(__xludf.DUMMYFUNCTION("""COMPUTED_VALUE"""),41372.666666666664)</f>
        <v>41372.66667</v>
      </c>
      <c r="B3337" s="1">
        <f>IFERROR(__xludf.DUMMYFUNCTION("""COMPUTED_VALUE"""),78.12)</f>
        <v>78.12</v>
      </c>
      <c r="C3337" s="1">
        <f>IFERROR(__xludf.DUMMYFUNCTION("""COMPUTED_VALUE"""),78.88)</f>
        <v>78.88</v>
      </c>
      <c r="D3337" s="1">
        <f>IFERROR(__xludf.DUMMYFUNCTION("""COMPUTED_VALUE"""),77.88)</f>
        <v>77.88</v>
      </c>
      <c r="E3337" s="1">
        <f>IFERROR(__xludf.DUMMYFUNCTION("""COMPUTED_VALUE"""),78.79)</f>
        <v>78.79</v>
      </c>
      <c r="F3337" s="1">
        <f>IFERROR(__xludf.DUMMYFUNCTION("""COMPUTED_VALUE"""),6284547.0)</f>
        <v>6284547</v>
      </c>
    </row>
    <row r="3338">
      <c r="A3338" s="2">
        <f>IFERROR(__xludf.DUMMYFUNCTION("""COMPUTED_VALUE"""),41373.666666666664)</f>
        <v>41373.66667</v>
      </c>
      <c r="B3338" s="1">
        <f>IFERROR(__xludf.DUMMYFUNCTION("""COMPUTED_VALUE"""),78.82)</f>
        <v>78.82</v>
      </c>
      <c r="C3338" s="1">
        <f>IFERROR(__xludf.DUMMYFUNCTION("""COMPUTED_VALUE"""),78.89)</f>
        <v>78.89</v>
      </c>
      <c r="D3338" s="1">
        <f>IFERROR(__xludf.DUMMYFUNCTION("""COMPUTED_VALUE"""),78.07)</f>
        <v>78.07</v>
      </c>
      <c r="E3338" s="1">
        <f>IFERROR(__xludf.DUMMYFUNCTION("""COMPUTED_VALUE"""),78.26)</f>
        <v>78.26</v>
      </c>
      <c r="F3338" s="1">
        <f>IFERROR(__xludf.DUMMYFUNCTION("""COMPUTED_VALUE"""),6760799.0)</f>
        <v>6760799</v>
      </c>
    </row>
    <row r="3339">
      <c r="A3339" s="2">
        <f>IFERROR(__xludf.DUMMYFUNCTION("""COMPUTED_VALUE"""),41374.666666666664)</f>
        <v>41374.66667</v>
      </c>
      <c r="B3339" s="1">
        <f>IFERROR(__xludf.DUMMYFUNCTION("""COMPUTED_VALUE"""),78.49)</f>
        <v>78.49</v>
      </c>
      <c r="C3339" s="1">
        <f>IFERROR(__xludf.DUMMYFUNCTION("""COMPUTED_VALUE"""),79.49)</f>
        <v>79.49</v>
      </c>
      <c r="D3339" s="1">
        <f>IFERROR(__xludf.DUMMYFUNCTION("""COMPUTED_VALUE"""),78.43)</f>
        <v>78.43</v>
      </c>
      <c r="E3339" s="1">
        <f>IFERROR(__xludf.DUMMYFUNCTION("""COMPUTED_VALUE"""),79.24)</f>
        <v>79.24</v>
      </c>
      <c r="F3339" s="1">
        <f>IFERROR(__xludf.DUMMYFUNCTION("""COMPUTED_VALUE"""),7948100.0)</f>
        <v>7948100</v>
      </c>
    </row>
    <row r="3340">
      <c r="A3340" s="2">
        <f>IFERROR(__xludf.DUMMYFUNCTION("""COMPUTED_VALUE"""),41375.666666666664)</f>
        <v>41375.66667</v>
      </c>
      <c r="B3340" s="1">
        <f>IFERROR(__xludf.DUMMYFUNCTION("""COMPUTED_VALUE"""),79.37)</f>
        <v>79.37</v>
      </c>
      <c r="C3340" s="1">
        <f>IFERROR(__xludf.DUMMYFUNCTION("""COMPUTED_VALUE"""),80.13)</f>
        <v>80.13</v>
      </c>
      <c r="D3340" s="1">
        <f>IFERROR(__xludf.DUMMYFUNCTION("""COMPUTED_VALUE"""),79.33)</f>
        <v>79.33</v>
      </c>
      <c r="E3340" s="1">
        <f>IFERROR(__xludf.DUMMYFUNCTION("""COMPUTED_VALUE"""),79.67)</f>
        <v>79.67</v>
      </c>
      <c r="F3340" s="1">
        <f>IFERROR(__xludf.DUMMYFUNCTION("""COMPUTED_VALUE"""),1.1832445E7)</f>
        <v>11832445</v>
      </c>
    </row>
    <row r="3341">
      <c r="A3341" s="2">
        <f>IFERROR(__xludf.DUMMYFUNCTION("""COMPUTED_VALUE"""),41376.666666666664)</f>
        <v>41376.66667</v>
      </c>
      <c r="B3341" s="1">
        <f>IFERROR(__xludf.DUMMYFUNCTION("""COMPUTED_VALUE"""),79.51)</f>
        <v>79.51</v>
      </c>
      <c r="C3341" s="1">
        <f>IFERROR(__xludf.DUMMYFUNCTION("""COMPUTED_VALUE"""),80.66)</f>
        <v>80.66</v>
      </c>
      <c r="D3341" s="1">
        <f>IFERROR(__xludf.DUMMYFUNCTION("""COMPUTED_VALUE"""),79.47)</f>
        <v>79.47</v>
      </c>
      <c r="E3341" s="1">
        <f>IFERROR(__xludf.DUMMYFUNCTION("""COMPUTED_VALUE"""),80.08)</f>
        <v>80.08</v>
      </c>
      <c r="F3341" s="1">
        <f>IFERROR(__xludf.DUMMYFUNCTION("""COMPUTED_VALUE"""),9383965.0)</f>
        <v>9383965</v>
      </c>
    </row>
    <row r="3342">
      <c r="A3342" s="2">
        <f>IFERROR(__xludf.DUMMYFUNCTION("""COMPUTED_VALUE"""),41379.666666666664)</f>
        <v>41379.66667</v>
      </c>
      <c r="B3342" s="1">
        <f>IFERROR(__xludf.DUMMYFUNCTION("""COMPUTED_VALUE"""),79.79)</f>
        <v>79.79</v>
      </c>
      <c r="C3342" s="1">
        <f>IFERROR(__xludf.DUMMYFUNCTION("""COMPUTED_VALUE"""),80.84)</f>
        <v>80.84</v>
      </c>
      <c r="D3342" s="1">
        <f>IFERROR(__xludf.DUMMYFUNCTION("""COMPUTED_VALUE"""),79.6)</f>
        <v>79.6</v>
      </c>
      <c r="E3342" s="1">
        <f>IFERROR(__xludf.DUMMYFUNCTION("""COMPUTED_VALUE"""),79.65)</f>
        <v>79.65</v>
      </c>
      <c r="F3342" s="1">
        <f>IFERROR(__xludf.DUMMYFUNCTION("""COMPUTED_VALUE"""),1.0877312E7)</f>
        <v>10877312</v>
      </c>
    </row>
    <row r="3343">
      <c r="A3343" s="2">
        <f>IFERROR(__xludf.DUMMYFUNCTION("""COMPUTED_VALUE"""),41380.666666666664)</f>
        <v>41380.66667</v>
      </c>
      <c r="B3343" s="1">
        <f>IFERROR(__xludf.DUMMYFUNCTION("""COMPUTED_VALUE"""),79.83)</f>
        <v>79.83</v>
      </c>
      <c r="C3343" s="1">
        <f>IFERROR(__xludf.DUMMYFUNCTION("""COMPUTED_VALUE"""),80.21)</f>
        <v>80.21</v>
      </c>
      <c r="D3343" s="1">
        <f>IFERROR(__xludf.DUMMYFUNCTION("""COMPUTED_VALUE"""),79.37)</f>
        <v>79.37</v>
      </c>
      <c r="E3343" s="1">
        <f>IFERROR(__xludf.DUMMYFUNCTION("""COMPUTED_VALUE"""),80.1)</f>
        <v>80.1</v>
      </c>
      <c r="F3343" s="1">
        <f>IFERROR(__xludf.DUMMYFUNCTION("""COMPUTED_VALUE"""),9366412.0)</f>
        <v>9366412</v>
      </c>
    </row>
    <row r="3344">
      <c r="A3344" s="2">
        <f>IFERROR(__xludf.DUMMYFUNCTION("""COMPUTED_VALUE"""),41381.666666666664)</f>
        <v>41381.66667</v>
      </c>
      <c r="B3344" s="1">
        <f>IFERROR(__xludf.DUMMYFUNCTION("""COMPUTED_VALUE"""),79.98)</f>
        <v>79.98</v>
      </c>
      <c r="C3344" s="1">
        <f>IFERROR(__xludf.DUMMYFUNCTION("""COMPUTED_VALUE"""),80.14)</f>
        <v>80.14</v>
      </c>
      <c r="D3344" s="1">
        <f>IFERROR(__xludf.DUMMYFUNCTION("""COMPUTED_VALUE"""),78.85)</f>
        <v>78.85</v>
      </c>
      <c r="E3344" s="1">
        <f>IFERROR(__xludf.DUMMYFUNCTION("""COMPUTED_VALUE"""),79.06)</f>
        <v>79.06</v>
      </c>
      <c r="F3344" s="1">
        <f>IFERROR(__xludf.DUMMYFUNCTION("""COMPUTED_VALUE"""),1.0964702E7)</f>
        <v>10964702</v>
      </c>
    </row>
    <row r="3345">
      <c r="A3345" s="2">
        <f>IFERROR(__xludf.DUMMYFUNCTION("""COMPUTED_VALUE"""),41382.666666666664)</f>
        <v>41382.66667</v>
      </c>
      <c r="B3345" s="1">
        <f>IFERROR(__xludf.DUMMYFUNCTION("""COMPUTED_VALUE"""),79.09)</f>
        <v>79.09</v>
      </c>
      <c r="C3345" s="1">
        <f>IFERROR(__xludf.DUMMYFUNCTION("""COMPUTED_VALUE"""),80.18)</f>
        <v>80.18</v>
      </c>
      <c r="D3345" s="1">
        <f>IFERROR(__xludf.DUMMYFUNCTION("""COMPUTED_VALUE"""),79.06)</f>
        <v>79.06</v>
      </c>
      <c r="E3345" s="1">
        <f>IFERROR(__xludf.DUMMYFUNCTION("""COMPUTED_VALUE"""),79.87)</f>
        <v>79.87</v>
      </c>
      <c r="F3345" s="1">
        <f>IFERROR(__xludf.DUMMYFUNCTION("""COMPUTED_VALUE"""),1.0896644E7)</f>
        <v>10896644</v>
      </c>
    </row>
    <row r="3346">
      <c r="A3346" s="2">
        <f>IFERROR(__xludf.DUMMYFUNCTION("""COMPUTED_VALUE"""),41383.666666666664)</f>
        <v>41383.66667</v>
      </c>
      <c r="B3346" s="1">
        <f>IFERROR(__xludf.DUMMYFUNCTION("""COMPUTED_VALUE"""),80.37)</f>
        <v>80.37</v>
      </c>
      <c r="C3346" s="1">
        <f>IFERROR(__xludf.DUMMYFUNCTION("""COMPUTED_VALUE"""),81.7)</f>
        <v>81.7</v>
      </c>
      <c r="D3346" s="1">
        <f>IFERROR(__xludf.DUMMYFUNCTION("""COMPUTED_VALUE"""),80.2)</f>
        <v>80.2</v>
      </c>
      <c r="E3346" s="1">
        <f>IFERROR(__xludf.DUMMYFUNCTION("""COMPUTED_VALUE"""),81.43)</f>
        <v>81.43</v>
      </c>
      <c r="F3346" s="1">
        <f>IFERROR(__xludf.DUMMYFUNCTION("""COMPUTED_VALUE"""),1.3147597E7)</f>
        <v>13147597</v>
      </c>
    </row>
    <row r="3347">
      <c r="A3347" s="2">
        <f>IFERROR(__xludf.DUMMYFUNCTION("""COMPUTED_VALUE"""),41386.666666666664)</f>
        <v>41386.66667</v>
      </c>
      <c r="B3347" s="1">
        <f>IFERROR(__xludf.DUMMYFUNCTION("""COMPUTED_VALUE"""),81.31)</f>
        <v>81.31</v>
      </c>
      <c r="C3347" s="1">
        <f>IFERROR(__xludf.DUMMYFUNCTION("""COMPUTED_VALUE"""),81.59)</f>
        <v>81.59</v>
      </c>
      <c r="D3347" s="1">
        <f>IFERROR(__xludf.DUMMYFUNCTION("""COMPUTED_VALUE"""),81.12)</f>
        <v>81.12</v>
      </c>
      <c r="E3347" s="1">
        <f>IFERROR(__xludf.DUMMYFUNCTION("""COMPUTED_VALUE"""),81.4)</f>
        <v>81.4</v>
      </c>
      <c r="F3347" s="1">
        <f>IFERROR(__xludf.DUMMYFUNCTION("""COMPUTED_VALUE"""),7530705.0)</f>
        <v>7530705</v>
      </c>
    </row>
    <row r="3348">
      <c r="A3348" s="2">
        <f>IFERROR(__xludf.DUMMYFUNCTION("""COMPUTED_VALUE"""),41387.666666666664)</f>
        <v>41387.66667</v>
      </c>
      <c r="B3348" s="1">
        <f>IFERROR(__xludf.DUMMYFUNCTION("""COMPUTED_VALUE"""),81.46)</f>
        <v>81.46</v>
      </c>
      <c r="C3348" s="1">
        <f>IFERROR(__xludf.DUMMYFUNCTION("""COMPUTED_VALUE"""),82.54)</f>
        <v>82.54</v>
      </c>
      <c r="D3348" s="1">
        <f>IFERROR(__xludf.DUMMYFUNCTION("""COMPUTED_VALUE"""),80.51)</f>
        <v>80.51</v>
      </c>
      <c r="E3348" s="1">
        <f>IFERROR(__xludf.DUMMYFUNCTION("""COMPUTED_VALUE"""),82.54)</f>
        <v>82.54</v>
      </c>
      <c r="F3348" s="1">
        <f>IFERROR(__xludf.DUMMYFUNCTION("""COMPUTED_VALUE"""),1.268944E7)</f>
        <v>12689440</v>
      </c>
    </row>
    <row r="3349">
      <c r="A3349" s="2">
        <f>IFERROR(__xludf.DUMMYFUNCTION("""COMPUTED_VALUE"""),41388.666666666664)</f>
        <v>41388.66667</v>
      </c>
      <c r="B3349" s="1">
        <f>IFERROR(__xludf.DUMMYFUNCTION("""COMPUTED_VALUE"""),79.49)</f>
        <v>79.49</v>
      </c>
      <c r="C3349" s="1">
        <f>IFERROR(__xludf.DUMMYFUNCTION("""COMPUTED_VALUE"""),79.61)</f>
        <v>79.61</v>
      </c>
      <c r="D3349" s="1">
        <f>IFERROR(__xludf.DUMMYFUNCTION("""COMPUTED_VALUE"""),76.93)</f>
        <v>76.93</v>
      </c>
      <c r="E3349" s="1">
        <f>IFERROR(__xludf.DUMMYFUNCTION("""COMPUTED_VALUE"""),77.12)</f>
        <v>77.12</v>
      </c>
      <c r="F3349" s="1">
        <f>IFERROR(__xludf.DUMMYFUNCTION("""COMPUTED_VALUE"""),2.5710052E7)</f>
        <v>25710052</v>
      </c>
    </row>
    <row r="3350">
      <c r="A3350" s="2">
        <f>IFERROR(__xludf.DUMMYFUNCTION("""COMPUTED_VALUE"""),41389.666666666664)</f>
        <v>41389.66667</v>
      </c>
      <c r="B3350" s="1">
        <f>IFERROR(__xludf.DUMMYFUNCTION("""COMPUTED_VALUE"""),77.67)</f>
        <v>77.67</v>
      </c>
      <c r="C3350" s="1">
        <f>IFERROR(__xludf.DUMMYFUNCTION("""COMPUTED_VALUE"""),77.67)</f>
        <v>77.67</v>
      </c>
      <c r="D3350" s="1">
        <f>IFERROR(__xludf.DUMMYFUNCTION("""COMPUTED_VALUE"""),76.35)</f>
        <v>76.35</v>
      </c>
      <c r="E3350" s="1">
        <f>IFERROR(__xludf.DUMMYFUNCTION("""COMPUTED_VALUE"""),76.58)</f>
        <v>76.58</v>
      </c>
      <c r="F3350" s="1">
        <f>IFERROR(__xludf.DUMMYFUNCTION("""COMPUTED_VALUE"""),1.470701E7)</f>
        <v>14707010</v>
      </c>
    </row>
    <row r="3351">
      <c r="A3351" s="2">
        <f>IFERROR(__xludf.DUMMYFUNCTION("""COMPUTED_VALUE"""),41390.666666666664)</f>
        <v>41390.66667</v>
      </c>
      <c r="B3351" s="1">
        <f>IFERROR(__xludf.DUMMYFUNCTION("""COMPUTED_VALUE"""),76.72)</f>
        <v>76.72</v>
      </c>
      <c r="C3351" s="1">
        <f>IFERROR(__xludf.DUMMYFUNCTION("""COMPUTED_VALUE"""),77.22)</f>
        <v>77.22</v>
      </c>
      <c r="D3351" s="1">
        <f>IFERROR(__xludf.DUMMYFUNCTION("""COMPUTED_VALUE"""),76.58)</f>
        <v>76.58</v>
      </c>
      <c r="E3351" s="1">
        <f>IFERROR(__xludf.DUMMYFUNCTION("""COMPUTED_VALUE"""),77.1)</f>
        <v>77.1</v>
      </c>
      <c r="F3351" s="1">
        <f>IFERROR(__xludf.DUMMYFUNCTION("""COMPUTED_VALUE"""),8769251.0)</f>
        <v>8769251</v>
      </c>
    </row>
    <row r="3352">
      <c r="A3352" s="2">
        <f>IFERROR(__xludf.DUMMYFUNCTION("""COMPUTED_VALUE"""),41393.666666666664)</f>
        <v>41393.66667</v>
      </c>
      <c r="B3352" s="1">
        <f>IFERROR(__xludf.DUMMYFUNCTION("""COMPUTED_VALUE"""),77.56)</f>
        <v>77.56</v>
      </c>
      <c r="C3352" s="1">
        <f>IFERROR(__xludf.DUMMYFUNCTION("""COMPUTED_VALUE"""),77.98)</f>
        <v>77.98</v>
      </c>
      <c r="D3352" s="1">
        <f>IFERROR(__xludf.DUMMYFUNCTION("""COMPUTED_VALUE"""),77.23)</f>
        <v>77.23</v>
      </c>
      <c r="E3352" s="1">
        <f>IFERROR(__xludf.DUMMYFUNCTION("""COMPUTED_VALUE"""),77.68)</f>
        <v>77.68</v>
      </c>
      <c r="F3352" s="1">
        <f>IFERROR(__xludf.DUMMYFUNCTION("""COMPUTED_VALUE"""),6638356.0)</f>
        <v>6638356</v>
      </c>
    </row>
    <row r="3353">
      <c r="A3353" s="2">
        <f>IFERROR(__xludf.DUMMYFUNCTION("""COMPUTED_VALUE"""),41394.666666666664)</f>
        <v>41394.66667</v>
      </c>
      <c r="B3353" s="1">
        <f>IFERROR(__xludf.DUMMYFUNCTION("""COMPUTED_VALUE"""),77.86)</f>
        <v>77.86</v>
      </c>
      <c r="C3353" s="1">
        <f>IFERROR(__xludf.DUMMYFUNCTION("""COMPUTED_VALUE"""),77.89)</f>
        <v>77.89</v>
      </c>
      <c r="D3353" s="1">
        <f>IFERROR(__xludf.DUMMYFUNCTION("""COMPUTED_VALUE"""),76.6)</f>
        <v>76.6</v>
      </c>
      <c r="E3353" s="1">
        <f>IFERROR(__xludf.DUMMYFUNCTION("""COMPUTED_VALUE"""),76.77)</f>
        <v>76.77</v>
      </c>
      <c r="F3353" s="1">
        <f>IFERROR(__xludf.DUMMYFUNCTION("""COMPUTED_VALUE"""),9656333.0)</f>
        <v>9656333</v>
      </c>
    </row>
    <row r="3354">
      <c r="A3354" s="2">
        <f>IFERROR(__xludf.DUMMYFUNCTION("""COMPUTED_VALUE"""),41395.666666666664)</f>
        <v>41395.66667</v>
      </c>
      <c r="B3354" s="1">
        <f>IFERROR(__xludf.DUMMYFUNCTION("""COMPUTED_VALUE"""),76.83)</f>
        <v>76.83</v>
      </c>
      <c r="C3354" s="1">
        <f>IFERROR(__xludf.DUMMYFUNCTION("""COMPUTED_VALUE"""),77.77)</f>
        <v>77.77</v>
      </c>
      <c r="D3354" s="1">
        <f>IFERROR(__xludf.DUMMYFUNCTION("""COMPUTED_VALUE"""),76.72)</f>
        <v>76.72</v>
      </c>
      <c r="E3354" s="1">
        <f>IFERROR(__xludf.DUMMYFUNCTION("""COMPUTED_VALUE"""),76.99)</f>
        <v>76.99</v>
      </c>
      <c r="F3354" s="1">
        <f>IFERROR(__xludf.DUMMYFUNCTION("""COMPUTED_VALUE"""),8388710.0)</f>
        <v>8388710</v>
      </c>
    </row>
    <row r="3355">
      <c r="A3355" s="2">
        <f>IFERROR(__xludf.DUMMYFUNCTION("""COMPUTED_VALUE"""),41396.666666666664)</f>
        <v>41396.66667</v>
      </c>
      <c r="B3355" s="1">
        <f>IFERROR(__xludf.DUMMYFUNCTION("""COMPUTED_VALUE"""),77.39)</f>
        <v>77.39</v>
      </c>
      <c r="C3355" s="1">
        <f>IFERROR(__xludf.DUMMYFUNCTION("""COMPUTED_VALUE"""),78.28)</f>
        <v>78.28</v>
      </c>
      <c r="D3355" s="1">
        <f>IFERROR(__xludf.DUMMYFUNCTION("""COMPUTED_VALUE"""),77.14)</f>
        <v>77.14</v>
      </c>
      <c r="E3355" s="1">
        <f>IFERROR(__xludf.DUMMYFUNCTION("""COMPUTED_VALUE"""),77.76)</f>
        <v>77.76</v>
      </c>
      <c r="F3355" s="1">
        <f>IFERROR(__xludf.DUMMYFUNCTION("""COMPUTED_VALUE"""),7288202.0)</f>
        <v>7288202</v>
      </c>
    </row>
    <row r="3356">
      <c r="A3356" s="2">
        <f>IFERROR(__xludf.DUMMYFUNCTION("""COMPUTED_VALUE"""),41397.666666666664)</f>
        <v>41397.66667</v>
      </c>
      <c r="B3356" s="1">
        <f>IFERROR(__xludf.DUMMYFUNCTION("""COMPUTED_VALUE"""),78.1)</f>
        <v>78.1</v>
      </c>
      <c r="C3356" s="1">
        <f>IFERROR(__xludf.DUMMYFUNCTION("""COMPUTED_VALUE"""),78.46)</f>
        <v>78.46</v>
      </c>
      <c r="D3356" s="1">
        <f>IFERROR(__xludf.DUMMYFUNCTION("""COMPUTED_VALUE"""),77.66)</f>
        <v>77.66</v>
      </c>
      <c r="E3356" s="1">
        <f>IFERROR(__xludf.DUMMYFUNCTION("""COMPUTED_VALUE"""),78.19)</f>
        <v>78.19</v>
      </c>
      <c r="F3356" s="1">
        <f>IFERROR(__xludf.DUMMYFUNCTION("""COMPUTED_VALUE"""),7885067.0)</f>
        <v>7885067</v>
      </c>
    </row>
    <row r="3357">
      <c r="A3357" s="2">
        <f>IFERROR(__xludf.DUMMYFUNCTION("""COMPUTED_VALUE"""),41400.666666666664)</f>
        <v>41400.66667</v>
      </c>
      <c r="B3357" s="1">
        <f>IFERROR(__xludf.DUMMYFUNCTION("""COMPUTED_VALUE"""),78.03)</f>
        <v>78.03</v>
      </c>
      <c r="C3357" s="1">
        <f>IFERROR(__xludf.DUMMYFUNCTION("""COMPUTED_VALUE"""),78.4)</f>
        <v>78.4</v>
      </c>
      <c r="D3357" s="1">
        <f>IFERROR(__xludf.DUMMYFUNCTION("""COMPUTED_VALUE"""),77.52)</f>
        <v>77.52</v>
      </c>
      <c r="E3357" s="1">
        <f>IFERROR(__xludf.DUMMYFUNCTION("""COMPUTED_VALUE"""),77.75)</f>
        <v>77.75</v>
      </c>
      <c r="F3357" s="1">
        <f>IFERROR(__xludf.DUMMYFUNCTION("""COMPUTED_VALUE"""),7204494.0)</f>
        <v>7204494</v>
      </c>
    </row>
    <row r="3358">
      <c r="A3358" s="2">
        <f>IFERROR(__xludf.DUMMYFUNCTION("""COMPUTED_VALUE"""),41401.666666666664)</f>
        <v>41401.66667</v>
      </c>
      <c r="B3358" s="1">
        <f>IFERROR(__xludf.DUMMYFUNCTION("""COMPUTED_VALUE"""),77.98)</f>
        <v>77.98</v>
      </c>
      <c r="C3358" s="1">
        <f>IFERROR(__xludf.DUMMYFUNCTION("""COMPUTED_VALUE"""),78.2)</f>
        <v>78.2</v>
      </c>
      <c r="D3358" s="1">
        <f>IFERROR(__xludf.DUMMYFUNCTION("""COMPUTED_VALUE"""),77.27)</f>
        <v>77.27</v>
      </c>
      <c r="E3358" s="1">
        <f>IFERROR(__xludf.DUMMYFUNCTION("""COMPUTED_VALUE"""),77.94)</f>
        <v>77.94</v>
      </c>
      <c r="F3358" s="1">
        <f>IFERROR(__xludf.DUMMYFUNCTION("""COMPUTED_VALUE"""),9574392.0)</f>
        <v>9574392</v>
      </c>
    </row>
    <row r="3359">
      <c r="A3359" s="2">
        <f>IFERROR(__xludf.DUMMYFUNCTION("""COMPUTED_VALUE"""),41402.666666666664)</f>
        <v>41402.66667</v>
      </c>
      <c r="B3359" s="1">
        <f>IFERROR(__xludf.DUMMYFUNCTION("""COMPUTED_VALUE"""),77.9)</f>
        <v>77.9</v>
      </c>
      <c r="C3359" s="1">
        <f>IFERROR(__xludf.DUMMYFUNCTION("""COMPUTED_VALUE"""),78.51)</f>
        <v>78.51</v>
      </c>
      <c r="D3359" s="1">
        <f>IFERROR(__xludf.DUMMYFUNCTION("""COMPUTED_VALUE"""),77.23)</f>
        <v>77.23</v>
      </c>
      <c r="E3359" s="1">
        <f>IFERROR(__xludf.DUMMYFUNCTION("""COMPUTED_VALUE"""),78.44)</f>
        <v>78.44</v>
      </c>
      <c r="F3359" s="1">
        <f>IFERROR(__xludf.DUMMYFUNCTION("""COMPUTED_VALUE"""),1.2067285E7)</f>
        <v>12067285</v>
      </c>
    </row>
    <row r="3360">
      <c r="A3360" s="2">
        <f>IFERROR(__xludf.DUMMYFUNCTION("""COMPUTED_VALUE"""),41403.666666666664)</f>
        <v>41403.66667</v>
      </c>
      <c r="B3360" s="1">
        <f>IFERROR(__xludf.DUMMYFUNCTION("""COMPUTED_VALUE"""),78.57)</f>
        <v>78.57</v>
      </c>
      <c r="C3360" s="1">
        <f>IFERROR(__xludf.DUMMYFUNCTION("""COMPUTED_VALUE"""),78.89)</f>
        <v>78.89</v>
      </c>
      <c r="D3360" s="1">
        <f>IFERROR(__xludf.DUMMYFUNCTION("""COMPUTED_VALUE"""),78.02)</f>
        <v>78.02</v>
      </c>
      <c r="E3360" s="1">
        <f>IFERROR(__xludf.DUMMYFUNCTION("""COMPUTED_VALUE"""),78.21)</f>
        <v>78.21</v>
      </c>
      <c r="F3360" s="1">
        <f>IFERROR(__xludf.DUMMYFUNCTION("""COMPUTED_VALUE"""),7189750.0)</f>
        <v>7189750</v>
      </c>
    </row>
    <row r="3361">
      <c r="A3361" s="2">
        <f>IFERROR(__xludf.DUMMYFUNCTION("""COMPUTED_VALUE"""),41404.666666666664)</f>
        <v>41404.66667</v>
      </c>
      <c r="B3361" s="1">
        <f>IFERROR(__xludf.DUMMYFUNCTION("""COMPUTED_VALUE"""),78.41)</f>
        <v>78.41</v>
      </c>
      <c r="C3361" s="1">
        <f>IFERROR(__xludf.DUMMYFUNCTION("""COMPUTED_VALUE"""),78.79)</f>
        <v>78.79</v>
      </c>
      <c r="D3361" s="1">
        <f>IFERROR(__xludf.DUMMYFUNCTION("""COMPUTED_VALUE"""),78.23)</f>
        <v>78.23</v>
      </c>
      <c r="E3361" s="1">
        <f>IFERROR(__xludf.DUMMYFUNCTION("""COMPUTED_VALUE"""),78.76)</f>
        <v>78.76</v>
      </c>
      <c r="F3361" s="1">
        <f>IFERROR(__xludf.DUMMYFUNCTION("""COMPUTED_VALUE"""),6163514.0)</f>
        <v>6163514</v>
      </c>
    </row>
    <row r="3362">
      <c r="A3362" s="2">
        <f>IFERROR(__xludf.DUMMYFUNCTION("""COMPUTED_VALUE"""),41407.666666666664)</f>
        <v>41407.66667</v>
      </c>
      <c r="B3362" s="1">
        <f>IFERROR(__xludf.DUMMYFUNCTION("""COMPUTED_VALUE"""),78.51)</f>
        <v>78.51</v>
      </c>
      <c r="C3362" s="1">
        <f>IFERROR(__xludf.DUMMYFUNCTION("""COMPUTED_VALUE"""),78.97)</f>
        <v>78.97</v>
      </c>
      <c r="D3362" s="1">
        <f>IFERROR(__xludf.DUMMYFUNCTION("""COMPUTED_VALUE"""),78.42)</f>
        <v>78.42</v>
      </c>
      <c r="E3362" s="1">
        <f>IFERROR(__xludf.DUMMYFUNCTION("""COMPUTED_VALUE"""),78.59)</f>
        <v>78.59</v>
      </c>
      <c r="F3362" s="1">
        <f>IFERROR(__xludf.DUMMYFUNCTION("""COMPUTED_VALUE"""),5420181.0)</f>
        <v>5420181</v>
      </c>
    </row>
    <row r="3363">
      <c r="A3363" s="2">
        <f>IFERROR(__xludf.DUMMYFUNCTION("""COMPUTED_VALUE"""),41408.666666666664)</f>
        <v>41408.66667</v>
      </c>
      <c r="B3363" s="1">
        <f>IFERROR(__xludf.DUMMYFUNCTION("""COMPUTED_VALUE"""),78.93)</f>
        <v>78.93</v>
      </c>
      <c r="C3363" s="1">
        <f>IFERROR(__xludf.DUMMYFUNCTION("""COMPUTED_VALUE"""),79.47)</f>
        <v>79.47</v>
      </c>
      <c r="D3363" s="1">
        <f>IFERROR(__xludf.DUMMYFUNCTION("""COMPUTED_VALUE"""),78.74)</f>
        <v>78.74</v>
      </c>
      <c r="E3363" s="1">
        <f>IFERROR(__xludf.DUMMYFUNCTION("""COMPUTED_VALUE"""),79.47)</f>
        <v>79.47</v>
      </c>
      <c r="F3363" s="1">
        <f>IFERROR(__xludf.DUMMYFUNCTION("""COMPUTED_VALUE"""),6873326.0)</f>
        <v>6873326</v>
      </c>
    </row>
    <row r="3364">
      <c r="A3364" s="2">
        <f>IFERROR(__xludf.DUMMYFUNCTION("""COMPUTED_VALUE"""),41409.666666666664)</f>
        <v>41409.66667</v>
      </c>
      <c r="B3364" s="1">
        <f>IFERROR(__xludf.DUMMYFUNCTION("""COMPUTED_VALUE"""),79.47)</f>
        <v>79.47</v>
      </c>
      <c r="C3364" s="1">
        <f>IFERROR(__xludf.DUMMYFUNCTION("""COMPUTED_VALUE"""),81.0)</f>
        <v>81</v>
      </c>
      <c r="D3364" s="1">
        <f>IFERROR(__xludf.DUMMYFUNCTION("""COMPUTED_VALUE"""),79.47)</f>
        <v>79.47</v>
      </c>
      <c r="E3364" s="1">
        <f>IFERROR(__xludf.DUMMYFUNCTION("""COMPUTED_VALUE"""),80.68)</f>
        <v>80.68</v>
      </c>
      <c r="F3364" s="1">
        <f>IFERROR(__xludf.DUMMYFUNCTION("""COMPUTED_VALUE"""),1.1155732E7)</f>
        <v>11155732</v>
      </c>
    </row>
    <row r="3365">
      <c r="A3365" s="2">
        <f>IFERROR(__xludf.DUMMYFUNCTION("""COMPUTED_VALUE"""),41410.666666666664)</f>
        <v>41410.66667</v>
      </c>
      <c r="B3365" s="1">
        <f>IFERROR(__xludf.DUMMYFUNCTION("""COMPUTED_VALUE"""),80.49)</f>
        <v>80.49</v>
      </c>
      <c r="C3365" s="1">
        <f>IFERROR(__xludf.DUMMYFUNCTION("""COMPUTED_VALUE"""),80.74)</f>
        <v>80.74</v>
      </c>
      <c r="D3365" s="1">
        <f>IFERROR(__xludf.DUMMYFUNCTION("""COMPUTED_VALUE"""),79.89)</f>
        <v>79.89</v>
      </c>
      <c r="E3365" s="1">
        <f>IFERROR(__xludf.DUMMYFUNCTION("""COMPUTED_VALUE"""),80.2)</f>
        <v>80.2</v>
      </c>
      <c r="F3365" s="1">
        <f>IFERROR(__xludf.DUMMYFUNCTION("""COMPUTED_VALUE"""),8065730.0)</f>
        <v>8065730</v>
      </c>
    </row>
    <row r="3366">
      <c r="A3366" s="2">
        <f>IFERROR(__xludf.DUMMYFUNCTION("""COMPUTED_VALUE"""),41411.666666666664)</f>
        <v>41411.66667</v>
      </c>
      <c r="B3366" s="1">
        <f>IFERROR(__xludf.DUMMYFUNCTION("""COMPUTED_VALUE"""),79.91)</f>
        <v>79.91</v>
      </c>
      <c r="C3366" s="1">
        <f>IFERROR(__xludf.DUMMYFUNCTION("""COMPUTED_VALUE"""),80.18)</f>
        <v>80.18</v>
      </c>
      <c r="D3366" s="1">
        <f>IFERROR(__xludf.DUMMYFUNCTION("""COMPUTED_VALUE"""),79.31)</f>
        <v>79.31</v>
      </c>
      <c r="E3366" s="1">
        <f>IFERROR(__xludf.DUMMYFUNCTION("""COMPUTED_VALUE"""),80.02)</f>
        <v>80.02</v>
      </c>
      <c r="F3366" s="1">
        <f>IFERROR(__xludf.DUMMYFUNCTION("""COMPUTED_VALUE"""),8550094.0)</f>
        <v>8550094</v>
      </c>
    </row>
    <row r="3367">
      <c r="A3367" s="2">
        <f>IFERROR(__xludf.DUMMYFUNCTION("""COMPUTED_VALUE"""),41414.666666666664)</f>
        <v>41414.66667</v>
      </c>
      <c r="B3367" s="1">
        <f>IFERROR(__xludf.DUMMYFUNCTION("""COMPUTED_VALUE"""),79.98)</f>
        <v>79.98</v>
      </c>
      <c r="C3367" s="1">
        <f>IFERROR(__xludf.DUMMYFUNCTION("""COMPUTED_VALUE"""),79.98)</f>
        <v>79.98</v>
      </c>
      <c r="D3367" s="1">
        <f>IFERROR(__xludf.DUMMYFUNCTION("""COMPUTED_VALUE"""),78.78)</f>
        <v>78.78</v>
      </c>
      <c r="E3367" s="1">
        <f>IFERROR(__xludf.DUMMYFUNCTION("""COMPUTED_VALUE"""),79.09)</f>
        <v>79.09</v>
      </c>
      <c r="F3367" s="1">
        <f>IFERROR(__xludf.DUMMYFUNCTION("""COMPUTED_VALUE"""),7307256.0)</f>
        <v>7307256</v>
      </c>
    </row>
    <row r="3368">
      <c r="A3368" s="2">
        <f>IFERROR(__xludf.DUMMYFUNCTION("""COMPUTED_VALUE"""),41415.666666666664)</f>
        <v>41415.66667</v>
      </c>
      <c r="B3368" s="1">
        <f>IFERROR(__xludf.DUMMYFUNCTION("""COMPUTED_VALUE"""),79.17)</f>
        <v>79.17</v>
      </c>
      <c r="C3368" s="1">
        <f>IFERROR(__xludf.DUMMYFUNCTION("""COMPUTED_VALUE"""),79.22)</f>
        <v>79.22</v>
      </c>
      <c r="D3368" s="1">
        <f>IFERROR(__xludf.DUMMYFUNCTION("""COMPUTED_VALUE"""),78.22)</f>
        <v>78.22</v>
      </c>
      <c r="E3368" s="1">
        <f>IFERROR(__xludf.DUMMYFUNCTION("""COMPUTED_VALUE"""),78.8)</f>
        <v>78.8</v>
      </c>
      <c r="F3368" s="1">
        <f>IFERROR(__xludf.DUMMYFUNCTION("""COMPUTED_VALUE"""),7377650.0)</f>
        <v>7377650</v>
      </c>
    </row>
    <row r="3369">
      <c r="A3369" s="2">
        <f>IFERROR(__xludf.DUMMYFUNCTION("""COMPUTED_VALUE"""),41416.666666666664)</f>
        <v>41416.66667</v>
      </c>
      <c r="B3369" s="1">
        <f>IFERROR(__xludf.DUMMYFUNCTION("""COMPUTED_VALUE"""),78.84)</f>
        <v>78.84</v>
      </c>
      <c r="C3369" s="1">
        <f>IFERROR(__xludf.DUMMYFUNCTION("""COMPUTED_VALUE"""),79.68)</f>
        <v>79.68</v>
      </c>
      <c r="D3369" s="1">
        <f>IFERROR(__xludf.DUMMYFUNCTION("""COMPUTED_VALUE"""),78.62)</f>
        <v>78.62</v>
      </c>
      <c r="E3369" s="1">
        <f>IFERROR(__xludf.DUMMYFUNCTION("""COMPUTED_VALUE"""),78.82)</f>
        <v>78.82</v>
      </c>
      <c r="F3369" s="1">
        <f>IFERROR(__xludf.DUMMYFUNCTION("""COMPUTED_VALUE"""),8873352.0)</f>
        <v>8873352</v>
      </c>
    </row>
    <row r="3370">
      <c r="A3370" s="2">
        <f>IFERROR(__xludf.DUMMYFUNCTION("""COMPUTED_VALUE"""),41417.666666666664)</f>
        <v>41417.66667</v>
      </c>
      <c r="B3370" s="1">
        <f>IFERROR(__xludf.DUMMYFUNCTION("""COMPUTED_VALUE"""),78.27)</f>
        <v>78.27</v>
      </c>
      <c r="C3370" s="1">
        <f>IFERROR(__xludf.DUMMYFUNCTION("""COMPUTED_VALUE"""),79.11)</f>
        <v>79.11</v>
      </c>
      <c r="D3370" s="1">
        <f>IFERROR(__xludf.DUMMYFUNCTION("""COMPUTED_VALUE"""),78.23)</f>
        <v>78.23</v>
      </c>
      <c r="E3370" s="1">
        <f>IFERROR(__xludf.DUMMYFUNCTION("""COMPUTED_VALUE"""),78.7)</f>
        <v>78.7</v>
      </c>
      <c r="F3370" s="1">
        <f>IFERROR(__xludf.DUMMYFUNCTION("""COMPUTED_VALUE"""),7141119.0)</f>
        <v>7141119</v>
      </c>
    </row>
    <row r="3371">
      <c r="A3371" s="2">
        <f>IFERROR(__xludf.DUMMYFUNCTION("""COMPUTED_VALUE"""),41418.666666666664)</f>
        <v>41418.66667</v>
      </c>
      <c r="B3371" s="1">
        <f>IFERROR(__xludf.DUMMYFUNCTION("""COMPUTED_VALUE"""),81.88)</f>
        <v>81.88</v>
      </c>
      <c r="C3371" s="1">
        <f>IFERROR(__xludf.DUMMYFUNCTION("""COMPUTED_VALUE"""),82.35)</f>
        <v>82.35</v>
      </c>
      <c r="D3371" s="1">
        <f>IFERROR(__xludf.DUMMYFUNCTION("""COMPUTED_VALUE"""),81.44)</f>
        <v>81.44</v>
      </c>
      <c r="E3371" s="1">
        <f>IFERROR(__xludf.DUMMYFUNCTION("""COMPUTED_VALUE"""),81.88)</f>
        <v>81.88</v>
      </c>
      <c r="F3371" s="1">
        <f>IFERROR(__xludf.DUMMYFUNCTION("""COMPUTED_VALUE"""),2.55819E7)</f>
        <v>25581900</v>
      </c>
    </row>
    <row r="3372">
      <c r="A3372" s="2">
        <f>IFERROR(__xludf.DUMMYFUNCTION("""COMPUTED_VALUE"""),41422.666666666664)</f>
        <v>41422.66667</v>
      </c>
      <c r="B3372" s="1">
        <f>IFERROR(__xludf.DUMMYFUNCTION("""COMPUTED_VALUE"""),82.05)</f>
        <v>82.05</v>
      </c>
      <c r="C3372" s="1">
        <f>IFERROR(__xludf.DUMMYFUNCTION("""COMPUTED_VALUE"""),82.13)</f>
        <v>82.13</v>
      </c>
      <c r="D3372" s="1">
        <f>IFERROR(__xludf.DUMMYFUNCTION("""COMPUTED_VALUE"""),80.77)</f>
        <v>80.77</v>
      </c>
      <c r="E3372" s="1">
        <f>IFERROR(__xludf.DUMMYFUNCTION("""COMPUTED_VALUE"""),80.86)</f>
        <v>80.86</v>
      </c>
      <c r="F3372" s="1">
        <f>IFERROR(__xludf.DUMMYFUNCTION("""COMPUTED_VALUE"""),1.4373671E7)</f>
        <v>14373671</v>
      </c>
    </row>
    <row r="3373">
      <c r="A3373" s="2">
        <f>IFERROR(__xludf.DUMMYFUNCTION("""COMPUTED_VALUE"""),41423.666666666664)</f>
        <v>41423.66667</v>
      </c>
      <c r="B3373" s="1">
        <f>IFERROR(__xludf.DUMMYFUNCTION("""COMPUTED_VALUE"""),80.16)</f>
        <v>80.16</v>
      </c>
      <c r="C3373" s="1">
        <f>IFERROR(__xludf.DUMMYFUNCTION("""COMPUTED_VALUE"""),80.25)</f>
        <v>80.25</v>
      </c>
      <c r="D3373" s="1">
        <f>IFERROR(__xludf.DUMMYFUNCTION("""COMPUTED_VALUE"""),78.87)</f>
        <v>78.87</v>
      </c>
      <c r="E3373" s="1">
        <f>IFERROR(__xludf.DUMMYFUNCTION("""COMPUTED_VALUE"""),78.9)</f>
        <v>78.9</v>
      </c>
      <c r="F3373" s="1">
        <f>IFERROR(__xludf.DUMMYFUNCTION("""COMPUTED_VALUE"""),9995705.0)</f>
        <v>9995705</v>
      </c>
    </row>
    <row r="3374">
      <c r="A3374" s="2">
        <f>IFERROR(__xludf.DUMMYFUNCTION("""COMPUTED_VALUE"""),41424.666666666664)</f>
        <v>41424.66667</v>
      </c>
      <c r="B3374" s="1">
        <f>IFERROR(__xludf.DUMMYFUNCTION("""COMPUTED_VALUE"""),78.9)</f>
        <v>78.9</v>
      </c>
      <c r="C3374" s="1">
        <f>IFERROR(__xludf.DUMMYFUNCTION("""COMPUTED_VALUE"""),79.88)</f>
        <v>79.88</v>
      </c>
      <c r="D3374" s="1">
        <f>IFERROR(__xludf.DUMMYFUNCTION("""COMPUTED_VALUE"""),78.9)</f>
        <v>78.9</v>
      </c>
      <c r="E3374" s="1">
        <f>IFERROR(__xludf.DUMMYFUNCTION("""COMPUTED_VALUE"""),79.09)</f>
        <v>79.09</v>
      </c>
      <c r="F3374" s="1">
        <f>IFERROR(__xludf.DUMMYFUNCTION("""COMPUTED_VALUE"""),1.4761977E7)</f>
        <v>14761977</v>
      </c>
    </row>
    <row r="3375">
      <c r="A3375" s="2">
        <f>IFERROR(__xludf.DUMMYFUNCTION("""COMPUTED_VALUE"""),41425.666666666664)</f>
        <v>41425.66667</v>
      </c>
      <c r="B3375" s="1">
        <f>IFERROR(__xludf.DUMMYFUNCTION("""COMPUTED_VALUE"""),78.79)</f>
        <v>78.79</v>
      </c>
      <c r="C3375" s="1">
        <f>IFERROR(__xludf.DUMMYFUNCTION("""COMPUTED_VALUE"""),78.81)</f>
        <v>78.81</v>
      </c>
      <c r="D3375" s="1">
        <f>IFERROR(__xludf.DUMMYFUNCTION("""COMPUTED_VALUE"""),76.75)</f>
        <v>76.75</v>
      </c>
      <c r="E3375" s="1">
        <f>IFERROR(__xludf.DUMMYFUNCTION("""COMPUTED_VALUE"""),76.76)</f>
        <v>76.76</v>
      </c>
      <c r="F3375" s="1">
        <f>IFERROR(__xludf.DUMMYFUNCTION("""COMPUTED_VALUE"""),1.64636E7)</f>
        <v>16463600</v>
      </c>
    </row>
    <row r="3376">
      <c r="A3376" s="2">
        <f>IFERROR(__xludf.DUMMYFUNCTION("""COMPUTED_VALUE"""),41428.666666666664)</f>
        <v>41428.66667</v>
      </c>
      <c r="B3376" s="1">
        <f>IFERROR(__xludf.DUMMYFUNCTION("""COMPUTED_VALUE"""),76.87)</f>
        <v>76.87</v>
      </c>
      <c r="C3376" s="1">
        <f>IFERROR(__xludf.DUMMYFUNCTION("""COMPUTED_VALUE"""),77.7)</f>
        <v>77.7</v>
      </c>
      <c r="D3376" s="1">
        <f>IFERROR(__xludf.DUMMYFUNCTION("""COMPUTED_VALUE"""),76.12)</f>
        <v>76.12</v>
      </c>
      <c r="E3376" s="1">
        <f>IFERROR(__xludf.DUMMYFUNCTION("""COMPUTED_VALUE"""),77.66)</f>
        <v>77.66</v>
      </c>
      <c r="F3376" s="1">
        <f>IFERROR(__xludf.DUMMYFUNCTION("""COMPUTED_VALUE"""),1.1722813E7)</f>
        <v>11722813</v>
      </c>
    </row>
    <row r="3377">
      <c r="A3377" s="2">
        <f>IFERROR(__xludf.DUMMYFUNCTION("""COMPUTED_VALUE"""),41429.666666666664)</f>
        <v>41429.66667</v>
      </c>
      <c r="B3377" s="1">
        <f>IFERROR(__xludf.DUMMYFUNCTION("""COMPUTED_VALUE"""),77.71)</f>
        <v>77.71</v>
      </c>
      <c r="C3377" s="1">
        <f>IFERROR(__xludf.DUMMYFUNCTION("""COMPUTED_VALUE"""),78.47)</f>
        <v>78.47</v>
      </c>
      <c r="D3377" s="1">
        <f>IFERROR(__xludf.DUMMYFUNCTION("""COMPUTED_VALUE"""),76.75)</f>
        <v>76.75</v>
      </c>
      <c r="E3377" s="1">
        <f>IFERROR(__xludf.DUMMYFUNCTION("""COMPUTED_VALUE"""),77.37)</f>
        <v>77.37</v>
      </c>
      <c r="F3377" s="1">
        <f>IFERROR(__xludf.DUMMYFUNCTION("""COMPUTED_VALUE"""),1.1379461E7)</f>
        <v>11379461</v>
      </c>
    </row>
    <row r="3378">
      <c r="A3378" s="2">
        <f>IFERROR(__xludf.DUMMYFUNCTION("""COMPUTED_VALUE"""),41430.666666666664)</f>
        <v>41430.66667</v>
      </c>
      <c r="B3378" s="1">
        <f>IFERROR(__xludf.DUMMYFUNCTION("""COMPUTED_VALUE"""),77.08)</f>
        <v>77.08</v>
      </c>
      <c r="C3378" s="1">
        <f>IFERROR(__xludf.DUMMYFUNCTION("""COMPUTED_VALUE"""),77.21)</f>
        <v>77.21</v>
      </c>
      <c r="D3378" s="1">
        <f>IFERROR(__xludf.DUMMYFUNCTION("""COMPUTED_VALUE"""),76.63)</f>
        <v>76.63</v>
      </c>
      <c r="E3378" s="1">
        <f>IFERROR(__xludf.DUMMYFUNCTION("""COMPUTED_VALUE"""),76.66)</f>
        <v>76.66</v>
      </c>
      <c r="F3378" s="1">
        <f>IFERROR(__xludf.DUMMYFUNCTION("""COMPUTED_VALUE"""),8827670.0)</f>
        <v>8827670</v>
      </c>
    </row>
    <row r="3379">
      <c r="A3379" s="2">
        <f>IFERROR(__xludf.DUMMYFUNCTION("""COMPUTED_VALUE"""),41431.666666666664)</f>
        <v>41431.66667</v>
      </c>
      <c r="B3379" s="1">
        <f>IFERROR(__xludf.DUMMYFUNCTION("""COMPUTED_VALUE"""),76.56)</f>
        <v>76.56</v>
      </c>
      <c r="C3379" s="1">
        <f>IFERROR(__xludf.DUMMYFUNCTION("""COMPUTED_VALUE"""),76.97)</f>
        <v>76.97</v>
      </c>
      <c r="D3379" s="1">
        <f>IFERROR(__xludf.DUMMYFUNCTION("""COMPUTED_VALUE"""),75.83)</f>
        <v>75.83</v>
      </c>
      <c r="E3379" s="1">
        <f>IFERROR(__xludf.DUMMYFUNCTION("""COMPUTED_VALUE"""),76.82)</f>
        <v>76.82</v>
      </c>
      <c r="F3379" s="1">
        <f>IFERROR(__xludf.DUMMYFUNCTION("""COMPUTED_VALUE"""),1.1100096E7)</f>
        <v>11100096</v>
      </c>
    </row>
    <row r="3380">
      <c r="A3380" s="2">
        <f>IFERROR(__xludf.DUMMYFUNCTION("""COMPUTED_VALUE"""),41432.666666666664)</f>
        <v>41432.66667</v>
      </c>
      <c r="B3380" s="1">
        <f>IFERROR(__xludf.DUMMYFUNCTION("""COMPUTED_VALUE"""),77.44)</f>
        <v>77.44</v>
      </c>
      <c r="C3380" s="1">
        <f>IFERROR(__xludf.DUMMYFUNCTION("""COMPUTED_VALUE"""),78.28)</f>
        <v>78.28</v>
      </c>
      <c r="D3380" s="1">
        <f>IFERROR(__xludf.DUMMYFUNCTION("""COMPUTED_VALUE"""),77.27)</f>
        <v>77.27</v>
      </c>
      <c r="E3380" s="1">
        <f>IFERROR(__xludf.DUMMYFUNCTION("""COMPUTED_VALUE"""),77.75)</f>
        <v>77.75</v>
      </c>
      <c r="F3380" s="1">
        <f>IFERROR(__xludf.DUMMYFUNCTION("""COMPUTED_VALUE"""),7839574.0)</f>
        <v>7839574</v>
      </c>
    </row>
    <row r="3381">
      <c r="A3381" s="2">
        <f>IFERROR(__xludf.DUMMYFUNCTION("""COMPUTED_VALUE"""),41435.666666666664)</f>
        <v>41435.66667</v>
      </c>
      <c r="B3381" s="1">
        <f>IFERROR(__xludf.DUMMYFUNCTION("""COMPUTED_VALUE"""),77.69)</f>
        <v>77.69</v>
      </c>
      <c r="C3381" s="1">
        <f>IFERROR(__xludf.DUMMYFUNCTION("""COMPUTED_VALUE"""),78.22)</f>
        <v>78.22</v>
      </c>
      <c r="D3381" s="1">
        <f>IFERROR(__xludf.DUMMYFUNCTION("""COMPUTED_VALUE"""),77.26)</f>
        <v>77.26</v>
      </c>
      <c r="E3381" s="1">
        <f>IFERROR(__xludf.DUMMYFUNCTION("""COMPUTED_VALUE"""),78.07)</f>
        <v>78.07</v>
      </c>
      <c r="F3381" s="1">
        <f>IFERROR(__xludf.DUMMYFUNCTION("""COMPUTED_VALUE"""),8967455.0)</f>
        <v>8967455</v>
      </c>
    </row>
    <row r="3382">
      <c r="A3382" s="2">
        <f>IFERROR(__xludf.DUMMYFUNCTION("""COMPUTED_VALUE"""),41436.666666666664)</f>
        <v>41436.66667</v>
      </c>
      <c r="B3382" s="1">
        <f>IFERROR(__xludf.DUMMYFUNCTION("""COMPUTED_VALUE"""),77.68)</f>
        <v>77.68</v>
      </c>
      <c r="C3382" s="1">
        <f>IFERROR(__xludf.DUMMYFUNCTION("""COMPUTED_VALUE"""),78.75)</f>
        <v>78.75</v>
      </c>
      <c r="D3382" s="1">
        <f>IFERROR(__xludf.DUMMYFUNCTION("""COMPUTED_VALUE"""),77.45)</f>
        <v>77.45</v>
      </c>
      <c r="E3382" s="1">
        <f>IFERROR(__xludf.DUMMYFUNCTION("""COMPUTED_VALUE"""),78.12)</f>
        <v>78.12</v>
      </c>
      <c r="F3382" s="1">
        <f>IFERROR(__xludf.DUMMYFUNCTION("""COMPUTED_VALUE"""),6781538.0)</f>
        <v>6781538</v>
      </c>
    </row>
    <row r="3383">
      <c r="A3383" s="2">
        <f>IFERROR(__xludf.DUMMYFUNCTION("""COMPUTED_VALUE"""),41437.666666666664)</f>
        <v>41437.66667</v>
      </c>
      <c r="B3383" s="1">
        <f>IFERROR(__xludf.DUMMYFUNCTION("""COMPUTED_VALUE"""),78.64)</f>
        <v>78.64</v>
      </c>
      <c r="C3383" s="1">
        <f>IFERROR(__xludf.DUMMYFUNCTION("""COMPUTED_VALUE"""),78.89)</f>
        <v>78.89</v>
      </c>
      <c r="D3383" s="1">
        <f>IFERROR(__xludf.DUMMYFUNCTION("""COMPUTED_VALUE"""),77.48)</f>
        <v>77.48</v>
      </c>
      <c r="E3383" s="1">
        <f>IFERROR(__xludf.DUMMYFUNCTION("""COMPUTED_VALUE"""),77.6)</f>
        <v>77.6</v>
      </c>
      <c r="F3383" s="1">
        <f>IFERROR(__xludf.DUMMYFUNCTION("""COMPUTED_VALUE"""),7834172.0)</f>
        <v>7834172</v>
      </c>
    </row>
    <row r="3384">
      <c r="A3384" s="2">
        <f>IFERROR(__xludf.DUMMYFUNCTION("""COMPUTED_VALUE"""),41438.666666666664)</f>
        <v>41438.66667</v>
      </c>
      <c r="B3384" s="1">
        <f>IFERROR(__xludf.DUMMYFUNCTION("""COMPUTED_VALUE"""),77.54)</f>
        <v>77.54</v>
      </c>
      <c r="C3384" s="1">
        <f>IFERROR(__xludf.DUMMYFUNCTION("""COMPUTED_VALUE"""),78.69)</f>
        <v>78.69</v>
      </c>
      <c r="D3384" s="1">
        <f>IFERROR(__xludf.DUMMYFUNCTION("""COMPUTED_VALUE"""),77.14)</f>
        <v>77.14</v>
      </c>
      <c r="E3384" s="1">
        <f>IFERROR(__xludf.DUMMYFUNCTION("""COMPUTED_VALUE"""),78.43)</f>
        <v>78.43</v>
      </c>
      <c r="F3384" s="1">
        <f>IFERROR(__xludf.DUMMYFUNCTION("""COMPUTED_VALUE"""),6928935.0)</f>
        <v>6928935</v>
      </c>
    </row>
    <row r="3385">
      <c r="A3385" s="2">
        <f>IFERROR(__xludf.DUMMYFUNCTION("""COMPUTED_VALUE"""),41439.666666666664)</f>
        <v>41439.66667</v>
      </c>
      <c r="B3385" s="1">
        <f>IFERROR(__xludf.DUMMYFUNCTION("""COMPUTED_VALUE"""),78.49)</f>
        <v>78.49</v>
      </c>
      <c r="C3385" s="1">
        <f>IFERROR(__xludf.DUMMYFUNCTION("""COMPUTED_VALUE"""),78.79)</f>
        <v>78.79</v>
      </c>
      <c r="D3385" s="1">
        <f>IFERROR(__xludf.DUMMYFUNCTION("""COMPUTED_VALUE"""),77.67)</f>
        <v>77.67</v>
      </c>
      <c r="E3385" s="1">
        <f>IFERROR(__xludf.DUMMYFUNCTION("""COMPUTED_VALUE"""),78.03)</f>
        <v>78.03</v>
      </c>
      <c r="F3385" s="1">
        <f>IFERROR(__xludf.DUMMYFUNCTION("""COMPUTED_VALUE"""),6825874.0)</f>
        <v>6825874</v>
      </c>
    </row>
    <row r="3386">
      <c r="A3386" s="2">
        <f>IFERROR(__xludf.DUMMYFUNCTION("""COMPUTED_VALUE"""),41442.666666666664)</f>
        <v>41442.66667</v>
      </c>
      <c r="B3386" s="1">
        <f>IFERROR(__xludf.DUMMYFUNCTION("""COMPUTED_VALUE"""),78.26)</f>
        <v>78.26</v>
      </c>
      <c r="C3386" s="1">
        <f>IFERROR(__xludf.DUMMYFUNCTION("""COMPUTED_VALUE"""),79.47)</f>
        <v>79.47</v>
      </c>
      <c r="D3386" s="1">
        <f>IFERROR(__xludf.DUMMYFUNCTION("""COMPUTED_VALUE"""),78.25)</f>
        <v>78.25</v>
      </c>
      <c r="E3386" s="1">
        <f>IFERROR(__xludf.DUMMYFUNCTION("""COMPUTED_VALUE"""),78.96)</f>
        <v>78.96</v>
      </c>
      <c r="F3386" s="1">
        <f>IFERROR(__xludf.DUMMYFUNCTION("""COMPUTED_VALUE"""),7363260.0)</f>
        <v>7363260</v>
      </c>
    </row>
    <row r="3387">
      <c r="A3387" s="2">
        <f>IFERROR(__xludf.DUMMYFUNCTION("""COMPUTED_VALUE"""),41443.666666666664)</f>
        <v>41443.66667</v>
      </c>
      <c r="B3387" s="1">
        <f>IFERROR(__xludf.DUMMYFUNCTION("""COMPUTED_VALUE"""),78.95)</f>
        <v>78.95</v>
      </c>
      <c r="C3387" s="1">
        <f>IFERROR(__xludf.DUMMYFUNCTION("""COMPUTED_VALUE"""),79.23)</f>
        <v>79.23</v>
      </c>
      <c r="D3387" s="1">
        <f>IFERROR(__xludf.DUMMYFUNCTION("""COMPUTED_VALUE"""),78.7)</f>
        <v>78.7</v>
      </c>
      <c r="E3387" s="1">
        <f>IFERROR(__xludf.DUMMYFUNCTION("""COMPUTED_VALUE"""),79.04)</f>
        <v>79.04</v>
      </c>
      <c r="F3387" s="1">
        <f>IFERROR(__xludf.DUMMYFUNCTION("""COMPUTED_VALUE"""),6052240.0)</f>
        <v>6052240</v>
      </c>
    </row>
    <row r="3388">
      <c r="A3388" s="2">
        <f>IFERROR(__xludf.DUMMYFUNCTION("""COMPUTED_VALUE"""),41444.666666666664)</f>
        <v>41444.66667</v>
      </c>
      <c r="B3388" s="1">
        <f>IFERROR(__xludf.DUMMYFUNCTION("""COMPUTED_VALUE"""),79.05)</f>
        <v>79.05</v>
      </c>
      <c r="C3388" s="1">
        <f>IFERROR(__xludf.DUMMYFUNCTION("""COMPUTED_VALUE"""),79.47)</f>
        <v>79.47</v>
      </c>
      <c r="D3388" s="1">
        <f>IFERROR(__xludf.DUMMYFUNCTION("""COMPUTED_VALUE"""),77.59)</f>
        <v>77.59</v>
      </c>
      <c r="E3388" s="1">
        <f>IFERROR(__xludf.DUMMYFUNCTION("""COMPUTED_VALUE"""),77.61)</f>
        <v>77.61</v>
      </c>
      <c r="F3388" s="1">
        <f>IFERROR(__xludf.DUMMYFUNCTION("""COMPUTED_VALUE"""),7424500.0)</f>
        <v>7424500</v>
      </c>
    </row>
    <row r="3389">
      <c r="A3389" s="2">
        <f>IFERROR(__xludf.DUMMYFUNCTION("""COMPUTED_VALUE"""),41445.666666666664)</f>
        <v>41445.66667</v>
      </c>
      <c r="B3389" s="1">
        <f>IFERROR(__xludf.DUMMYFUNCTION("""COMPUTED_VALUE"""),77.21)</f>
        <v>77.21</v>
      </c>
      <c r="C3389" s="1">
        <f>IFERROR(__xludf.DUMMYFUNCTION("""COMPUTED_VALUE"""),77.33)</f>
        <v>77.33</v>
      </c>
      <c r="D3389" s="1">
        <f>IFERROR(__xludf.DUMMYFUNCTION("""COMPUTED_VALUE"""),75.1)</f>
        <v>75.1</v>
      </c>
      <c r="E3389" s="1">
        <f>IFERROR(__xludf.DUMMYFUNCTION("""COMPUTED_VALUE"""),75.25)</f>
        <v>75.25</v>
      </c>
      <c r="F3389" s="1">
        <f>IFERROR(__xludf.DUMMYFUNCTION("""COMPUTED_VALUE"""),1.5558292E7)</f>
        <v>15558292</v>
      </c>
    </row>
    <row r="3390">
      <c r="A3390" s="2">
        <f>IFERROR(__xludf.DUMMYFUNCTION("""COMPUTED_VALUE"""),41446.666666666664)</f>
        <v>41446.66667</v>
      </c>
      <c r="B3390" s="1">
        <f>IFERROR(__xludf.DUMMYFUNCTION("""COMPUTED_VALUE"""),76.25)</f>
        <v>76.25</v>
      </c>
      <c r="C3390" s="1">
        <f>IFERROR(__xludf.DUMMYFUNCTION("""COMPUTED_VALUE"""),77.53)</f>
        <v>77.53</v>
      </c>
      <c r="D3390" s="1">
        <f>IFERROR(__xludf.DUMMYFUNCTION("""COMPUTED_VALUE"""),75.69)</f>
        <v>75.69</v>
      </c>
      <c r="E3390" s="1">
        <f>IFERROR(__xludf.DUMMYFUNCTION("""COMPUTED_VALUE"""),77.43)</f>
        <v>77.43</v>
      </c>
      <c r="F3390" s="1">
        <f>IFERROR(__xludf.DUMMYFUNCTION("""COMPUTED_VALUE"""),2.00583E7)</f>
        <v>20058300</v>
      </c>
    </row>
    <row r="3391">
      <c r="A3391" s="2">
        <f>IFERROR(__xludf.DUMMYFUNCTION("""COMPUTED_VALUE"""),41449.666666666664)</f>
        <v>41449.66667</v>
      </c>
      <c r="B3391" s="1">
        <f>IFERROR(__xludf.DUMMYFUNCTION("""COMPUTED_VALUE"""),76.95)</f>
        <v>76.95</v>
      </c>
      <c r="C3391" s="1">
        <f>IFERROR(__xludf.DUMMYFUNCTION("""COMPUTED_VALUE"""),77.43)</f>
        <v>77.43</v>
      </c>
      <c r="D3391" s="1">
        <f>IFERROR(__xludf.DUMMYFUNCTION("""COMPUTED_VALUE"""),75.63)</f>
        <v>75.63</v>
      </c>
      <c r="E3391" s="1">
        <f>IFERROR(__xludf.DUMMYFUNCTION("""COMPUTED_VALUE"""),76.58)</f>
        <v>76.58</v>
      </c>
      <c r="F3391" s="1">
        <f>IFERROR(__xludf.DUMMYFUNCTION("""COMPUTED_VALUE"""),1.2564245E7)</f>
        <v>12564245</v>
      </c>
    </row>
    <row r="3392">
      <c r="A3392" s="2">
        <f>IFERROR(__xludf.DUMMYFUNCTION("""COMPUTED_VALUE"""),41450.666666666664)</f>
        <v>41450.66667</v>
      </c>
      <c r="B3392" s="1">
        <f>IFERROR(__xludf.DUMMYFUNCTION("""COMPUTED_VALUE"""),77.1)</f>
        <v>77.1</v>
      </c>
      <c r="C3392" s="1">
        <f>IFERROR(__xludf.DUMMYFUNCTION("""COMPUTED_VALUE"""),77.24)</f>
        <v>77.24</v>
      </c>
      <c r="D3392" s="1">
        <f>IFERROR(__xludf.DUMMYFUNCTION("""COMPUTED_VALUE"""),76.29)</f>
        <v>76.29</v>
      </c>
      <c r="E3392" s="1">
        <f>IFERROR(__xludf.DUMMYFUNCTION("""COMPUTED_VALUE"""),76.69)</f>
        <v>76.69</v>
      </c>
      <c r="F3392" s="1">
        <f>IFERROR(__xludf.DUMMYFUNCTION("""COMPUTED_VALUE"""),7911690.0)</f>
        <v>7911690</v>
      </c>
    </row>
    <row r="3393">
      <c r="A3393" s="2">
        <f>IFERROR(__xludf.DUMMYFUNCTION("""COMPUTED_VALUE"""),41451.666666666664)</f>
        <v>41451.66667</v>
      </c>
      <c r="B3393" s="1">
        <f>IFERROR(__xludf.DUMMYFUNCTION("""COMPUTED_VALUE"""),77.23)</f>
        <v>77.23</v>
      </c>
      <c r="C3393" s="1">
        <f>IFERROR(__xludf.DUMMYFUNCTION("""COMPUTED_VALUE"""),77.59)</f>
        <v>77.59</v>
      </c>
      <c r="D3393" s="1">
        <f>IFERROR(__xludf.DUMMYFUNCTION("""COMPUTED_VALUE"""),77.02)</f>
        <v>77.02</v>
      </c>
      <c r="E3393" s="1">
        <f>IFERROR(__xludf.DUMMYFUNCTION("""COMPUTED_VALUE"""),77.4)</f>
        <v>77.4</v>
      </c>
      <c r="F3393" s="1">
        <f>IFERROR(__xludf.DUMMYFUNCTION("""COMPUTED_VALUE"""),7329439.0)</f>
        <v>7329439</v>
      </c>
    </row>
    <row r="3394">
      <c r="A3394" s="2">
        <f>IFERROR(__xludf.DUMMYFUNCTION("""COMPUTED_VALUE"""),41452.666666666664)</f>
        <v>41452.66667</v>
      </c>
      <c r="B3394" s="1">
        <f>IFERROR(__xludf.DUMMYFUNCTION("""COMPUTED_VALUE"""),77.96)</f>
        <v>77.96</v>
      </c>
      <c r="C3394" s="1">
        <f>IFERROR(__xludf.DUMMYFUNCTION("""COMPUTED_VALUE"""),78.38)</f>
        <v>78.38</v>
      </c>
      <c r="D3394" s="1">
        <f>IFERROR(__xludf.DUMMYFUNCTION("""COMPUTED_VALUE"""),77.57)</f>
        <v>77.57</v>
      </c>
      <c r="E3394" s="1">
        <f>IFERROR(__xludf.DUMMYFUNCTION("""COMPUTED_VALUE"""),77.67)</f>
        <v>77.67</v>
      </c>
      <c r="F3394" s="1">
        <f>IFERROR(__xludf.DUMMYFUNCTION("""COMPUTED_VALUE"""),1.4733184E7)</f>
        <v>14733184</v>
      </c>
    </row>
    <row r="3395">
      <c r="A3395" s="2">
        <f>IFERROR(__xludf.DUMMYFUNCTION("""COMPUTED_VALUE"""),41453.666666666664)</f>
        <v>41453.66667</v>
      </c>
      <c r="B3395" s="1">
        <f>IFERROR(__xludf.DUMMYFUNCTION("""COMPUTED_VALUE"""),77.62)</f>
        <v>77.62</v>
      </c>
      <c r="C3395" s="1">
        <f>IFERROR(__xludf.DUMMYFUNCTION("""COMPUTED_VALUE"""),77.94)</f>
        <v>77.94</v>
      </c>
      <c r="D3395" s="1">
        <f>IFERROR(__xludf.DUMMYFUNCTION("""COMPUTED_VALUE"""),76.9)</f>
        <v>76.9</v>
      </c>
      <c r="E3395" s="1">
        <f>IFERROR(__xludf.DUMMYFUNCTION("""COMPUTED_VALUE"""),76.99)</f>
        <v>76.99</v>
      </c>
      <c r="F3395" s="1">
        <f>IFERROR(__xludf.DUMMYFUNCTION("""COMPUTED_VALUE"""),9868254.0)</f>
        <v>9868254</v>
      </c>
    </row>
    <row r="3396">
      <c r="A3396" s="2">
        <f>IFERROR(__xludf.DUMMYFUNCTION("""COMPUTED_VALUE"""),41456.666666666664)</f>
        <v>41456.66667</v>
      </c>
      <c r="B3396" s="1">
        <f>IFERROR(__xludf.DUMMYFUNCTION("""COMPUTED_VALUE"""),77.02)</f>
        <v>77.02</v>
      </c>
      <c r="C3396" s="1">
        <f>IFERROR(__xludf.DUMMYFUNCTION("""COMPUTED_VALUE"""),78.45)</f>
        <v>78.45</v>
      </c>
      <c r="D3396" s="1">
        <f>IFERROR(__xludf.DUMMYFUNCTION("""COMPUTED_VALUE"""),77.0)</f>
        <v>77</v>
      </c>
      <c r="E3396" s="1">
        <f>IFERROR(__xludf.DUMMYFUNCTION("""COMPUTED_VALUE"""),78.02)</f>
        <v>78.02</v>
      </c>
      <c r="F3396" s="1">
        <f>IFERROR(__xludf.DUMMYFUNCTION("""COMPUTED_VALUE"""),6699695.0)</f>
        <v>6699695</v>
      </c>
    </row>
    <row r="3397">
      <c r="A3397" s="2">
        <f>IFERROR(__xludf.DUMMYFUNCTION("""COMPUTED_VALUE"""),41457.666666666664)</f>
        <v>41457.66667</v>
      </c>
      <c r="B3397" s="1">
        <f>IFERROR(__xludf.DUMMYFUNCTION("""COMPUTED_VALUE"""),77.95)</f>
        <v>77.95</v>
      </c>
      <c r="C3397" s="1">
        <f>IFERROR(__xludf.DUMMYFUNCTION("""COMPUTED_VALUE"""),78.61)</f>
        <v>78.61</v>
      </c>
      <c r="D3397" s="1">
        <f>IFERROR(__xludf.DUMMYFUNCTION("""COMPUTED_VALUE"""),77.71)</f>
        <v>77.71</v>
      </c>
      <c r="E3397" s="1">
        <f>IFERROR(__xludf.DUMMYFUNCTION("""COMPUTED_VALUE"""),78.44)</f>
        <v>78.44</v>
      </c>
      <c r="F3397" s="1">
        <f>IFERROR(__xludf.DUMMYFUNCTION("""COMPUTED_VALUE"""),1.0229949E7)</f>
        <v>10229949</v>
      </c>
    </row>
    <row r="3398">
      <c r="A3398" s="2">
        <f>IFERROR(__xludf.DUMMYFUNCTION("""COMPUTED_VALUE"""),41458.666666666664)</f>
        <v>41458.66667</v>
      </c>
      <c r="B3398" s="1">
        <f>IFERROR(__xludf.DUMMYFUNCTION("""COMPUTED_VALUE"""),78.28)</f>
        <v>78.28</v>
      </c>
      <c r="C3398" s="1">
        <f>IFERROR(__xludf.DUMMYFUNCTION("""COMPUTED_VALUE"""),78.75)</f>
        <v>78.75</v>
      </c>
      <c r="D3398" s="1">
        <f>IFERROR(__xludf.DUMMYFUNCTION("""COMPUTED_VALUE"""),77.43)</f>
        <v>77.43</v>
      </c>
      <c r="E3398" s="1">
        <f>IFERROR(__xludf.DUMMYFUNCTION("""COMPUTED_VALUE"""),78.57)</f>
        <v>78.57</v>
      </c>
      <c r="F3398" s="1">
        <f>IFERROR(__xludf.DUMMYFUNCTION("""COMPUTED_VALUE"""),5347846.0)</f>
        <v>5347846</v>
      </c>
    </row>
    <row r="3399">
      <c r="A3399" s="2">
        <f>IFERROR(__xludf.DUMMYFUNCTION("""COMPUTED_VALUE"""),41460.666666666664)</f>
        <v>41460.66667</v>
      </c>
      <c r="B3399" s="1">
        <f>IFERROR(__xludf.DUMMYFUNCTION("""COMPUTED_VALUE"""),78.89)</f>
        <v>78.89</v>
      </c>
      <c r="C3399" s="1">
        <f>IFERROR(__xludf.DUMMYFUNCTION("""COMPUTED_VALUE"""),79.02)</f>
        <v>79.02</v>
      </c>
      <c r="D3399" s="1">
        <f>IFERROR(__xludf.DUMMYFUNCTION("""COMPUTED_VALUE"""),77.78)</f>
        <v>77.78</v>
      </c>
      <c r="E3399" s="1">
        <f>IFERROR(__xludf.DUMMYFUNCTION("""COMPUTED_VALUE"""),78.34)</f>
        <v>78.34</v>
      </c>
      <c r="F3399" s="1">
        <f>IFERROR(__xludf.DUMMYFUNCTION("""COMPUTED_VALUE"""),7265870.0)</f>
        <v>7265870</v>
      </c>
    </row>
    <row r="3400">
      <c r="A3400" s="2">
        <f>IFERROR(__xludf.DUMMYFUNCTION("""COMPUTED_VALUE"""),41463.666666666664)</f>
        <v>41463.66667</v>
      </c>
      <c r="B3400" s="1">
        <f>IFERROR(__xludf.DUMMYFUNCTION("""COMPUTED_VALUE"""),78.54)</f>
        <v>78.54</v>
      </c>
      <c r="C3400" s="1">
        <f>IFERROR(__xludf.DUMMYFUNCTION("""COMPUTED_VALUE"""),79.08)</f>
        <v>79.08</v>
      </c>
      <c r="D3400" s="1">
        <f>IFERROR(__xludf.DUMMYFUNCTION("""COMPUTED_VALUE"""),78.5)</f>
        <v>78.5</v>
      </c>
      <c r="E3400" s="1">
        <f>IFERROR(__xludf.DUMMYFUNCTION("""COMPUTED_VALUE"""),78.76)</f>
        <v>78.76</v>
      </c>
      <c r="F3400" s="1">
        <f>IFERROR(__xludf.DUMMYFUNCTION("""COMPUTED_VALUE"""),1.1153791E7)</f>
        <v>11153791</v>
      </c>
    </row>
    <row r="3401">
      <c r="A3401" s="2">
        <f>IFERROR(__xludf.DUMMYFUNCTION("""COMPUTED_VALUE"""),41464.666666666664)</f>
        <v>41464.66667</v>
      </c>
      <c r="B3401" s="1">
        <f>IFERROR(__xludf.DUMMYFUNCTION("""COMPUTED_VALUE"""),79.07)</f>
        <v>79.07</v>
      </c>
      <c r="C3401" s="1">
        <f>IFERROR(__xludf.DUMMYFUNCTION("""COMPUTED_VALUE"""),79.9)</f>
        <v>79.9</v>
      </c>
      <c r="D3401" s="1">
        <f>IFERROR(__xludf.DUMMYFUNCTION("""COMPUTED_VALUE"""),79.07)</f>
        <v>79.07</v>
      </c>
      <c r="E3401" s="1">
        <f>IFERROR(__xludf.DUMMYFUNCTION("""COMPUTED_VALUE"""),79.57)</f>
        <v>79.57</v>
      </c>
      <c r="F3401" s="1">
        <f>IFERROR(__xludf.DUMMYFUNCTION("""COMPUTED_VALUE"""),1.1458302E7)</f>
        <v>11458302</v>
      </c>
    </row>
    <row r="3402">
      <c r="A3402" s="2">
        <f>IFERROR(__xludf.DUMMYFUNCTION("""COMPUTED_VALUE"""),41465.666666666664)</f>
        <v>41465.66667</v>
      </c>
      <c r="B3402" s="1">
        <f>IFERROR(__xludf.DUMMYFUNCTION("""COMPUTED_VALUE"""),79.65)</f>
        <v>79.65</v>
      </c>
      <c r="C3402" s="1">
        <f>IFERROR(__xludf.DUMMYFUNCTION("""COMPUTED_VALUE"""),80.1)</f>
        <v>80.1</v>
      </c>
      <c r="D3402" s="1">
        <f>IFERROR(__xludf.DUMMYFUNCTION("""COMPUTED_VALUE"""),79.3)</f>
        <v>79.3</v>
      </c>
      <c r="E3402" s="1">
        <f>IFERROR(__xludf.DUMMYFUNCTION("""COMPUTED_VALUE"""),79.8)</f>
        <v>79.8</v>
      </c>
      <c r="F3402" s="1">
        <f>IFERROR(__xludf.DUMMYFUNCTION("""COMPUTED_VALUE"""),6863045.0)</f>
        <v>6863045</v>
      </c>
    </row>
    <row r="3403">
      <c r="A3403" s="2">
        <f>IFERROR(__xludf.DUMMYFUNCTION("""COMPUTED_VALUE"""),41466.666666666664)</f>
        <v>41466.66667</v>
      </c>
      <c r="B3403" s="1">
        <f>IFERROR(__xludf.DUMMYFUNCTION("""COMPUTED_VALUE"""),80.55)</f>
        <v>80.55</v>
      </c>
      <c r="C3403" s="1">
        <f>IFERROR(__xludf.DUMMYFUNCTION("""COMPUTED_VALUE"""),80.99)</f>
        <v>80.99</v>
      </c>
      <c r="D3403" s="1">
        <f>IFERROR(__xludf.DUMMYFUNCTION("""COMPUTED_VALUE"""),80.29)</f>
        <v>80.29</v>
      </c>
      <c r="E3403" s="1">
        <f>IFERROR(__xludf.DUMMYFUNCTION("""COMPUTED_VALUE"""),80.77)</f>
        <v>80.77</v>
      </c>
      <c r="F3403" s="1">
        <f>IFERROR(__xludf.DUMMYFUNCTION("""COMPUTED_VALUE"""),9185840.0)</f>
        <v>9185840</v>
      </c>
    </row>
    <row r="3404">
      <c r="A3404" s="2">
        <f>IFERROR(__xludf.DUMMYFUNCTION("""COMPUTED_VALUE"""),41467.666666666664)</f>
        <v>41467.66667</v>
      </c>
      <c r="B3404" s="1">
        <f>IFERROR(__xludf.DUMMYFUNCTION("""COMPUTED_VALUE"""),80.67)</f>
        <v>80.67</v>
      </c>
      <c r="C3404" s="1">
        <f>IFERROR(__xludf.DUMMYFUNCTION("""COMPUTED_VALUE"""),81.64)</f>
        <v>81.64</v>
      </c>
      <c r="D3404" s="1">
        <f>IFERROR(__xludf.DUMMYFUNCTION("""COMPUTED_VALUE"""),80.67)</f>
        <v>80.67</v>
      </c>
      <c r="E3404" s="1">
        <f>IFERROR(__xludf.DUMMYFUNCTION("""COMPUTED_VALUE"""),81.55)</f>
        <v>81.55</v>
      </c>
      <c r="F3404" s="1">
        <f>IFERROR(__xludf.DUMMYFUNCTION("""COMPUTED_VALUE"""),1.2587839E7)</f>
        <v>12587839</v>
      </c>
    </row>
    <row r="3405">
      <c r="A3405" s="2">
        <f>IFERROR(__xludf.DUMMYFUNCTION("""COMPUTED_VALUE"""),41470.666666666664)</f>
        <v>41470.66667</v>
      </c>
      <c r="B3405" s="1">
        <f>IFERROR(__xludf.DUMMYFUNCTION("""COMPUTED_VALUE"""),81.37)</f>
        <v>81.37</v>
      </c>
      <c r="C3405" s="1">
        <f>IFERROR(__xludf.DUMMYFUNCTION("""COMPUTED_VALUE"""),81.59)</f>
        <v>81.59</v>
      </c>
      <c r="D3405" s="1">
        <f>IFERROR(__xludf.DUMMYFUNCTION("""COMPUTED_VALUE"""),80.85)</f>
        <v>80.85</v>
      </c>
      <c r="E3405" s="1">
        <f>IFERROR(__xludf.DUMMYFUNCTION("""COMPUTED_VALUE"""),81.51)</f>
        <v>81.51</v>
      </c>
      <c r="F3405" s="1">
        <f>IFERROR(__xludf.DUMMYFUNCTION("""COMPUTED_VALUE"""),1.0025177E7)</f>
        <v>10025177</v>
      </c>
    </row>
    <row r="3406">
      <c r="A3406" s="2">
        <f>IFERROR(__xludf.DUMMYFUNCTION("""COMPUTED_VALUE"""),41471.666666666664)</f>
        <v>41471.66667</v>
      </c>
      <c r="B3406" s="1">
        <f>IFERROR(__xludf.DUMMYFUNCTION("""COMPUTED_VALUE"""),81.32)</f>
        <v>81.32</v>
      </c>
      <c r="C3406" s="1">
        <f>IFERROR(__xludf.DUMMYFUNCTION("""COMPUTED_VALUE"""),81.37)</f>
        <v>81.37</v>
      </c>
      <c r="D3406" s="1">
        <f>IFERROR(__xludf.DUMMYFUNCTION("""COMPUTED_VALUE"""),80.91)</f>
        <v>80.91</v>
      </c>
      <c r="E3406" s="1">
        <f>IFERROR(__xludf.DUMMYFUNCTION("""COMPUTED_VALUE"""),80.97)</f>
        <v>80.97</v>
      </c>
      <c r="F3406" s="1">
        <f>IFERROR(__xludf.DUMMYFUNCTION("""COMPUTED_VALUE"""),1.1208741E7)</f>
        <v>11208741</v>
      </c>
    </row>
    <row r="3407">
      <c r="A3407" s="2">
        <f>IFERROR(__xludf.DUMMYFUNCTION("""COMPUTED_VALUE"""),41472.666666666664)</f>
        <v>41472.66667</v>
      </c>
      <c r="B3407" s="1">
        <f>IFERROR(__xludf.DUMMYFUNCTION("""COMPUTED_VALUE"""),80.49)</f>
        <v>80.49</v>
      </c>
      <c r="C3407" s="1">
        <f>IFERROR(__xludf.DUMMYFUNCTION("""COMPUTED_VALUE"""),80.85)</f>
        <v>80.85</v>
      </c>
      <c r="D3407" s="1">
        <f>IFERROR(__xludf.DUMMYFUNCTION("""COMPUTED_VALUE"""),80.01)</f>
        <v>80.01</v>
      </c>
      <c r="E3407" s="1">
        <f>IFERROR(__xludf.DUMMYFUNCTION("""COMPUTED_VALUE"""),80.09)</f>
        <v>80.09</v>
      </c>
      <c r="F3407" s="1">
        <f>IFERROR(__xludf.DUMMYFUNCTION("""COMPUTED_VALUE"""),7645791.0)</f>
        <v>7645791</v>
      </c>
    </row>
    <row r="3408">
      <c r="A3408" s="2">
        <f>IFERROR(__xludf.DUMMYFUNCTION("""COMPUTED_VALUE"""),41473.666666666664)</f>
        <v>41473.66667</v>
      </c>
      <c r="B3408" s="1">
        <f>IFERROR(__xludf.DUMMYFUNCTION("""COMPUTED_VALUE"""),80.03)</f>
        <v>80.03</v>
      </c>
      <c r="C3408" s="1">
        <f>IFERROR(__xludf.DUMMYFUNCTION("""COMPUTED_VALUE"""),80.75)</f>
        <v>80.75</v>
      </c>
      <c r="D3408" s="1">
        <f>IFERROR(__xludf.DUMMYFUNCTION("""COMPUTED_VALUE"""),80.03)</f>
        <v>80.03</v>
      </c>
      <c r="E3408" s="1">
        <f>IFERROR(__xludf.DUMMYFUNCTION("""COMPUTED_VALUE"""),80.3)</f>
        <v>80.3</v>
      </c>
      <c r="F3408" s="1">
        <f>IFERROR(__xludf.DUMMYFUNCTION("""COMPUTED_VALUE"""),5525915.0)</f>
        <v>5525915</v>
      </c>
    </row>
    <row r="3409">
      <c r="A3409" s="2">
        <f>IFERROR(__xludf.DUMMYFUNCTION("""COMPUTED_VALUE"""),41474.666666666664)</f>
        <v>41474.66667</v>
      </c>
      <c r="B3409" s="1">
        <f>IFERROR(__xludf.DUMMYFUNCTION("""COMPUTED_VALUE"""),80.36)</f>
        <v>80.36</v>
      </c>
      <c r="C3409" s="1">
        <f>IFERROR(__xludf.DUMMYFUNCTION("""COMPUTED_VALUE"""),81.41)</f>
        <v>81.41</v>
      </c>
      <c r="D3409" s="1">
        <f>IFERROR(__xludf.DUMMYFUNCTION("""COMPUTED_VALUE"""),80.05)</f>
        <v>80.05</v>
      </c>
      <c r="E3409" s="1">
        <f>IFERROR(__xludf.DUMMYFUNCTION("""COMPUTED_VALUE"""),81.37)</f>
        <v>81.37</v>
      </c>
      <c r="F3409" s="1">
        <f>IFERROR(__xludf.DUMMYFUNCTION("""COMPUTED_VALUE"""),7863205.0)</f>
        <v>7863205</v>
      </c>
    </row>
    <row r="3410">
      <c r="A3410" s="2">
        <f>IFERROR(__xludf.DUMMYFUNCTION("""COMPUTED_VALUE"""),41477.666666666664)</f>
        <v>41477.66667</v>
      </c>
      <c r="B3410" s="1">
        <f>IFERROR(__xludf.DUMMYFUNCTION("""COMPUTED_VALUE"""),81.23)</f>
        <v>81.23</v>
      </c>
      <c r="C3410" s="1">
        <f>IFERROR(__xludf.DUMMYFUNCTION("""COMPUTED_VALUE"""),81.45)</f>
        <v>81.45</v>
      </c>
      <c r="D3410" s="1">
        <f>IFERROR(__xludf.DUMMYFUNCTION("""COMPUTED_VALUE"""),80.9)</f>
        <v>80.9</v>
      </c>
      <c r="E3410" s="1">
        <f>IFERROR(__xludf.DUMMYFUNCTION("""COMPUTED_VALUE"""),81.22)</f>
        <v>81.22</v>
      </c>
      <c r="F3410" s="1">
        <f>IFERROR(__xludf.DUMMYFUNCTION("""COMPUTED_VALUE"""),4813662.0)</f>
        <v>4813662</v>
      </c>
    </row>
    <row r="3411">
      <c r="A3411" s="2">
        <f>IFERROR(__xludf.DUMMYFUNCTION("""COMPUTED_VALUE"""),41478.666666666664)</f>
        <v>41478.66667</v>
      </c>
      <c r="B3411" s="1">
        <f>IFERROR(__xludf.DUMMYFUNCTION("""COMPUTED_VALUE"""),81.22)</f>
        <v>81.22</v>
      </c>
      <c r="C3411" s="1">
        <f>IFERROR(__xludf.DUMMYFUNCTION("""COMPUTED_VALUE"""),81.4)</f>
        <v>81.4</v>
      </c>
      <c r="D3411" s="1">
        <f>IFERROR(__xludf.DUMMYFUNCTION("""COMPUTED_VALUE"""),80.78)</f>
        <v>80.78</v>
      </c>
      <c r="E3411" s="1">
        <f>IFERROR(__xludf.DUMMYFUNCTION("""COMPUTED_VALUE"""),80.95)</f>
        <v>80.95</v>
      </c>
      <c r="F3411" s="1">
        <f>IFERROR(__xludf.DUMMYFUNCTION("""COMPUTED_VALUE"""),4311645.0)</f>
        <v>4311645</v>
      </c>
    </row>
    <row r="3412">
      <c r="A3412" s="2">
        <f>IFERROR(__xludf.DUMMYFUNCTION("""COMPUTED_VALUE"""),41479.666666666664)</f>
        <v>41479.66667</v>
      </c>
      <c r="B3412" s="1">
        <f>IFERROR(__xludf.DUMMYFUNCTION("""COMPUTED_VALUE"""),80.95)</f>
        <v>80.95</v>
      </c>
      <c r="C3412" s="1">
        <f>IFERROR(__xludf.DUMMYFUNCTION("""COMPUTED_VALUE"""),81.0)</f>
        <v>81</v>
      </c>
      <c r="D3412" s="1">
        <f>IFERROR(__xludf.DUMMYFUNCTION("""COMPUTED_VALUE"""),80.13)</f>
        <v>80.13</v>
      </c>
      <c r="E3412" s="1">
        <f>IFERROR(__xludf.DUMMYFUNCTION("""COMPUTED_VALUE"""),80.27)</f>
        <v>80.27</v>
      </c>
      <c r="F3412" s="1">
        <f>IFERROR(__xludf.DUMMYFUNCTION("""COMPUTED_VALUE"""),5607942.0)</f>
        <v>5607942</v>
      </c>
    </row>
    <row r="3413">
      <c r="A3413" s="2">
        <f>IFERROR(__xludf.DUMMYFUNCTION("""COMPUTED_VALUE"""),41480.666666666664)</f>
        <v>41480.66667</v>
      </c>
      <c r="B3413" s="1">
        <f>IFERROR(__xludf.DUMMYFUNCTION("""COMPUTED_VALUE"""),80.01)</f>
        <v>80.01</v>
      </c>
      <c r="C3413" s="1">
        <f>IFERROR(__xludf.DUMMYFUNCTION("""COMPUTED_VALUE"""),80.57)</f>
        <v>80.57</v>
      </c>
      <c r="D3413" s="1">
        <f>IFERROR(__xludf.DUMMYFUNCTION("""COMPUTED_VALUE"""),79.84)</f>
        <v>79.84</v>
      </c>
      <c r="E3413" s="1">
        <f>IFERROR(__xludf.DUMMYFUNCTION("""COMPUTED_VALUE"""),80.41)</f>
        <v>80.41</v>
      </c>
      <c r="F3413" s="1">
        <f>IFERROR(__xludf.DUMMYFUNCTION("""COMPUTED_VALUE"""),6239836.0)</f>
        <v>6239836</v>
      </c>
    </row>
    <row r="3414">
      <c r="A3414" s="2">
        <f>IFERROR(__xludf.DUMMYFUNCTION("""COMPUTED_VALUE"""),41481.666666666664)</f>
        <v>41481.66667</v>
      </c>
      <c r="B3414" s="1">
        <f>IFERROR(__xludf.DUMMYFUNCTION("""COMPUTED_VALUE"""),80.02)</f>
        <v>80.02</v>
      </c>
      <c r="C3414" s="1">
        <f>IFERROR(__xludf.DUMMYFUNCTION("""COMPUTED_VALUE"""),80.42)</f>
        <v>80.42</v>
      </c>
      <c r="D3414" s="1">
        <f>IFERROR(__xludf.DUMMYFUNCTION("""COMPUTED_VALUE"""),79.39)</f>
        <v>79.39</v>
      </c>
      <c r="E3414" s="1">
        <f>IFERROR(__xludf.DUMMYFUNCTION("""COMPUTED_VALUE"""),80.39)</f>
        <v>80.39</v>
      </c>
      <c r="F3414" s="1">
        <f>IFERROR(__xludf.DUMMYFUNCTION("""COMPUTED_VALUE"""),6544156.0)</f>
        <v>6544156</v>
      </c>
    </row>
    <row r="3415">
      <c r="A3415" s="2">
        <f>IFERROR(__xludf.DUMMYFUNCTION("""COMPUTED_VALUE"""),41484.666666666664)</f>
        <v>41484.66667</v>
      </c>
      <c r="B3415" s="1">
        <f>IFERROR(__xludf.DUMMYFUNCTION("""COMPUTED_VALUE"""),80.1)</f>
        <v>80.1</v>
      </c>
      <c r="C3415" s="1">
        <f>IFERROR(__xludf.DUMMYFUNCTION("""COMPUTED_VALUE"""),80.45)</f>
        <v>80.45</v>
      </c>
      <c r="D3415" s="1">
        <f>IFERROR(__xludf.DUMMYFUNCTION("""COMPUTED_VALUE"""),80.05)</f>
        <v>80.05</v>
      </c>
      <c r="E3415" s="1">
        <f>IFERROR(__xludf.DUMMYFUNCTION("""COMPUTED_VALUE"""),80.09)</f>
        <v>80.09</v>
      </c>
      <c r="F3415" s="1">
        <f>IFERROR(__xludf.DUMMYFUNCTION("""COMPUTED_VALUE"""),4389516.0)</f>
        <v>4389516</v>
      </c>
    </row>
    <row r="3416">
      <c r="A3416" s="2">
        <f>IFERROR(__xludf.DUMMYFUNCTION("""COMPUTED_VALUE"""),41485.666666666664)</f>
        <v>41485.66667</v>
      </c>
      <c r="B3416" s="1">
        <f>IFERROR(__xludf.DUMMYFUNCTION("""COMPUTED_VALUE"""),80.49)</f>
        <v>80.49</v>
      </c>
      <c r="C3416" s="1">
        <f>IFERROR(__xludf.DUMMYFUNCTION("""COMPUTED_VALUE"""),80.9)</f>
        <v>80.9</v>
      </c>
      <c r="D3416" s="1">
        <f>IFERROR(__xludf.DUMMYFUNCTION("""COMPUTED_VALUE"""),80.16)</f>
        <v>80.16</v>
      </c>
      <c r="E3416" s="1">
        <f>IFERROR(__xludf.DUMMYFUNCTION("""COMPUTED_VALUE"""),80.44)</f>
        <v>80.44</v>
      </c>
      <c r="F3416" s="1">
        <f>IFERROR(__xludf.DUMMYFUNCTION("""COMPUTED_VALUE"""),6434115.0)</f>
        <v>6434115</v>
      </c>
    </row>
    <row r="3417">
      <c r="A3417" s="2">
        <f>IFERROR(__xludf.DUMMYFUNCTION("""COMPUTED_VALUE"""),41486.666666666664)</f>
        <v>41486.66667</v>
      </c>
      <c r="B3417" s="1">
        <f>IFERROR(__xludf.DUMMYFUNCTION("""COMPUTED_VALUE"""),80.44)</f>
        <v>80.44</v>
      </c>
      <c r="C3417" s="1">
        <f>IFERROR(__xludf.DUMMYFUNCTION("""COMPUTED_VALUE"""),81.41)</f>
        <v>81.41</v>
      </c>
      <c r="D3417" s="1">
        <f>IFERROR(__xludf.DUMMYFUNCTION("""COMPUTED_VALUE"""),80.16)</f>
        <v>80.16</v>
      </c>
      <c r="E3417" s="1">
        <f>IFERROR(__xludf.DUMMYFUNCTION("""COMPUTED_VALUE"""),80.3)</f>
        <v>80.3</v>
      </c>
      <c r="F3417" s="1">
        <f>IFERROR(__xludf.DUMMYFUNCTION("""COMPUTED_VALUE"""),1.1864551E7)</f>
        <v>11864551</v>
      </c>
    </row>
    <row r="3418">
      <c r="A3418" s="2">
        <f>IFERROR(__xludf.DUMMYFUNCTION("""COMPUTED_VALUE"""),41487.666666666664)</f>
        <v>41487.66667</v>
      </c>
      <c r="B3418" s="1">
        <f>IFERROR(__xludf.DUMMYFUNCTION("""COMPUTED_VALUE"""),81.62)</f>
        <v>81.62</v>
      </c>
      <c r="C3418" s="1">
        <f>IFERROR(__xludf.DUMMYFUNCTION("""COMPUTED_VALUE"""),82.23)</f>
        <v>82.23</v>
      </c>
      <c r="D3418" s="1">
        <f>IFERROR(__xludf.DUMMYFUNCTION("""COMPUTED_VALUE"""),81.21)</f>
        <v>81.21</v>
      </c>
      <c r="E3418" s="1">
        <f>IFERROR(__xludf.DUMMYFUNCTION("""COMPUTED_VALUE"""),81.64)</f>
        <v>81.64</v>
      </c>
      <c r="F3418" s="1">
        <f>IFERROR(__xludf.DUMMYFUNCTION("""COMPUTED_VALUE"""),1.072479E7)</f>
        <v>10724790</v>
      </c>
    </row>
    <row r="3419">
      <c r="A3419" s="2">
        <f>IFERROR(__xludf.DUMMYFUNCTION("""COMPUTED_VALUE"""),41488.666666666664)</f>
        <v>41488.66667</v>
      </c>
      <c r="B3419" s="1">
        <f>IFERROR(__xludf.DUMMYFUNCTION("""COMPUTED_VALUE"""),81.42)</f>
        <v>81.42</v>
      </c>
      <c r="C3419" s="1">
        <f>IFERROR(__xludf.DUMMYFUNCTION("""COMPUTED_VALUE"""),81.5)</f>
        <v>81.5</v>
      </c>
      <c r="D3419" s="1">
        <f>IFERROR(__xludf.DUMMYFUNCTION("""COMPUTED_VALUE"""),80.56)</f>
        <v>80.56</v>
      </c>
      <c r="E3419" s="1">
        <f>IFERROR(__xludf.DUMMYFUNCTION("""COMPUTED_VALUE"""),81.29)</f>
        <v>81.29</v>
      </c>
      <c r="F3419" s="1">
        <f>IFERROR(__xludf.DUMMYFUNCTION("""COMPUTED_VALUE"""),6627864.0)</f>
        <v>6627864</v>
      </c>
    </row>
    <row r="3420">
      <c r="A3420" s="2">
        <f>IFERROR(__xludf.DUMMYFUNCTION("""COMPUTED_VALUE"""),41491.666666666664)</f>
        <v>41491.66667</v>
      </c>
      <c r="B3420" s="1">
        <f>IFERROR(__xludf.DUMMYFUNCTION("""COMPUTED_VALUE"""),81.05)</f>
        <v>81.05</v>
      </c>
      <c r="C3420" s="1">
        <f>IFERROR(__xludf.DUMMYFUNCTION("""COMPUTED_VALUE"""),81.65)</f>
        <v>81.65</v>
      </c>
      <c r="D3420" s="1">
        <f>IFERROR(__xludf.DUMMYFUNCTION("""COMPUTED_VALUE"""),80.96)</f>
        <v>80.96</v>
      </c>
      <c r="E3420" s="1">
        <f>IFERROR(__xludf.DUMMYFUNCTION("""COMPUTED_VALUE"""),81.4)</f>
        <v>81.4</v>
      </c>
      <c r="F3420" s="1">
        <f>IFERROR(__xludf.DUMMYFUNCTION("""COMPUTED_VALUE"""),4663095.0)</f>
        <v>4663095</v>
      </c>
    </row>
    <row r="3421">
      <c r="A3421" s="2">
        <f>IFERROR(__xludf.DUMMYFUNCTION("""COMPUTED_VALUE"""),41492.666666666664)</f>
        <v>41492.66667</v>
      </c>
      <c r="B3421" s="1">
        <f>IFERROR(__xludf.DUMMYFUNCTION("""COMPUTED_VALUE"""),81.3)</f>
        <v>81.3</v>
      </c>
      <c r="C3421" s="1">
        <f>IFERROR(__xludf.DUMMYFUNCTION("""COMPUTED_VALUE"""),81.97)</f>
        <v>81.97</v>
      </c>
      <c r="D3421" s="1">
        <f>IFERROR(__xludf.DUMMYFUNCTION("""COMPUTED_VALUE"""),81.3)</f>
        <v>81.3</v>
      </c>
      <c r="E3421" s="1">
        <f>IFERROR(__xludf.DUMMYFUNCTION("""COMPUTED_VALUE"""),81.74)</f>
        <v>81.74</v>
      </c>
      <c r="F3421" s="1">
        <f>IFERROR(__xludf.DUMMYFUNCTION("""COMPUTED_VALUE"""),6212664.0)</f>
        <v>6212664</v>
      </c>
    </row>
    <row r="3422">
      <c r="A3422" s="2">
        <f>IFERROR(__xludf.DUMMYFUNCTION("""COMPUTED_VALUE"""),41493.666666666664)</f>
        <v>41493.66667</v>
      </c>
      <c r="B3422" s="1">
        <f>IFERROR(__xludf.DUMMYFUNCTION("""COMPUTED_VALUE"""),81.41)</f>
        <v>81.41</v>
      </c>
      <c r="C3422" s="1">
        <f>IFERROR(__xludf.DUMMYFUNCTION("""COMPUTED_VALUE"""),82.21)</f>
        <v>82.21</v>
      </c>
      <c r="D3422" s="1">
        <f>IFERROR(__xludf.DUMMYFUNCTION("""COMPUTED_VALUE"""),81.38)</f>
        <v>81.38</v>
      </c>
      <c r="E3422" s="1">
        <f>IFERROR(__xludf.DUMMYFUNCTION("""COMPUTED_VALUE"""),81.96)</f>
        <v>81.96</v>
      </c>
      <c r="F3422" s="1">
        <f>IFERROR(__xludf.DUMMYFUNCTION("""COMPUTED_VALUE"""),5828509.0)</f>
        <v>5828509</v>
      </c>
    </row>
    <row r="3423">
      <c r="A3423" s="2">
        <f>IFERROR(__xludf.DUMMYFUNCTION("""COMPUTED_VALUE"""),41494.666666666664)</f>
        <v>41494.66667</v>
      </c>
      <c r="B3423" s="1">
        <f>IFERROR(__xludf.DUMMYFUNCTION("""COMPUTED_VALUE"""),82.11)</f>
        <v>82.11</v>
      </c>
      <c r="C3423" s="1">
        <f>IFERROR(__xludf.DUMMYFUNCTION("""COMPUTED_VALUE"""),82.4)</f>
        <v>82.4</v>
      </c>
      <c r="D3423" s="1">
        <f>IFERROR(__xludf.DUMMYFUNCTION("""COMPUTED_VALUE"""),81.51)</f>
        <v>81.51</v>
      </c>
      <c r="E3423" s="1">
        <f>IFERROR(__xludf.DUMMYFUNCTION("""COMPUTED_VALUE"""),82.17)</f>
        <v>82.17</v>
      </c>
      <c r="F3423" s="1">
        <f>IFERROR(__xludf.DUMMYFUNCTION("""COMPUTED_VALUE"""),6208233.0)</f>
        <v>6208233</v>
      </c>
    </row>
    <row r="3424">
      <c r="A3424" s="2">
        <f>IFERROR(__xludf.DUMMYFUNCTION("""COMPUTED_VALUE"""),41495.666666666664)</f>
        <v>41495.66667</v>
      </c>
      <c r="B3424" s="1">
        <f>IFERROR(__xludf.DUMMYFUNCTION("""COMPUTED_VALUE"""),81.92)</f>
        <v>81.92</v>
      </c>
      <c r="C3424" s="1">
        <f>IFERROR(__xludf.DUMMYFUNCTION("""COMPUTED_VALUE"""),82.06)</f>
        <v>82.06</v>
      </c>
      <c r="D3424" s="1">
        <f>IFERROR(__xludf.DUMMYFUNCTION("""COMPUTED_VALUE"""),81.19)</f>
        <v>81.19</v>
      </c>
      <c r="E3424" s="1">
        <f>IFERROR(__xludf.DUMMYFUNCTION("""COMPUTED_VALUE"""),81.64)</f>
        <v>81.64</v>
      </c>
      <c r="F3424" s="1">
        <f>IFERROR(__xludf.DUMMYFUNCTION("""COMPUTED_VALUE"""),6127710.0)</f>
        <v>6127710</v>
      </c>
    </row>
    <row r="3425">
      <c r="A3425" s="2">
        <f>IFERROR(__xludf.DUMMYFUNCTION("""COMPUTED_VALUE"""),41498.666666666664)</f>
        <v>41498.66667</v>
      </c>
      <c r="B3425" s="1">
        <f>IFERROR(__xludf.DUMMYFUNCTION("""COMPUTED_VALUE"""),81.23)</f>
        <v>81.23</v>
      </c>
      <c r="C3425" s="1">
        <f>IFERROR(__xludf.DUMMYFUNCTION("""COMPUTED_VALUE"""),81.73)</f>
        <v>81.73</v>
      </c>
      <c r="D3425" s="1">
        <f>IFERROR(__xludf.DUMMYFUNCTION("""COMPUTED_VALUE"""),81.04)</f>
        <v>81.04</v>
      </c>
      <c r="E3425" s="1">
        <f>IFERROR(__xludf.DUMMYFUNCTION("""COMPUTED_VALUE"""),81.62)</f>
        <v>81.62</v>
      </c>
      <c r="F3425" s="1">
        <f>IFERROR(__xludf.DUMMYFUNCTION("""COMPUTED_VALUE"""),4922205.0)</f>
        <v>4922205</v>
      </c>
    </row>
    <row r="3426">
      <c r="A3426" s="2">
        <f>IFERROR(__xludf.DUMMYFUNCTION("""COMPUTED_VALUE"""),41499.666666666664)</f>
        <v>41499.66667</v>
      </c>
      <c r="B3426" s="1">
        <f>IFERROR(__xludf.DUMMYFUNCTION("""COMPUTED_VALUE"""),81.78)</f>
        <v>81.78</v>
      </c>
      <c r="C3426" s="1">
        <f>IFERROR(__xludf.DUMMYFUNCTION("""COMPUTED_VALUE"""),81.99)</f>
        <v>81.99</v>
      </c>
      <c r="D3426" s="1">
        <f>IFERROR(__xludf.DUMMYFUNCTION("""COMPUTED_VALUE"""),81.33)</f>
        <v>81.33</v>
      </c>
      <c r="E3426" s="1">
        <f>IFERROR(__xludf.DUMMYFUNCTION("""COMPUTED_VALUE"""),81.66)</f>
        <v>81.66</v>
      </c>
      <c r="F3426" s="1">
        <f>IFERROR(__xludf.DUMMYFUNCTION("""COMPUTED_VALUE"""),4936360.0)</f>
        <v>4936360</v>
      </c>
    </row>
    <row r="3427">
      <c r="A3427" s="2">
        <f>IFERROR(__xludf.DUMMYFUNCTION("""COMPUTED_VALUE"""),41500.666666666664)</f>
        <v>41500.66667</v>
      </c>
      <c r="B3427" s="1">
        <f>IFERROR(__xludf.DUMMYFUNCTION("""COMPUTED_VALUE"""),81.67)</f>
        <v>81.67</v>
      </c>
      <c r="C3427" s="1">
        <f>IFERROR(__xludf.DUMMYFUNCTION("""COMPUTED_VALUE"""),81.78)</f>
        <v>81.78</v>
      </c>
      <c r="D3427" s="1">
        <f>IFERROR(__xludf.DUMMYFUNCTION("""COMPUTED_VALUE"""),81.19)</f>
        <v>81.19</v>
      </c>
      <c r="E3427" s="1">
        <f>IFERROR(__xludf.DUMMYFUNCTION("""COMPUTED_VALUE"""),81.25)</f>
        <v>81.25</v>
      </c>
      <c r="F3427" s="1">
        <f>IFERROR(__xludf.DUMMYFUNCTION("""COMPUTED_VALUE"""),5170822.0)</f>
        <v>5170822</v>
      </c>
    </row>
    <row r="3428">
      <c r="A3428" s="2">
        <f>IFERROR(__xludf.DUMMYFUNCTION("""COMPUTED_VALUE"""),41501.666666666664)</f>
        <v>41501.66667</v>
      </c>
      <c r="B3428" s="1">
        <f>IFERROR(__xludf.DUMMYFUNCTION("""COMPUTED_VALUE"""),80.96)</f>
        <v>80.96</v>
      </c>
      <c r="C3428" s="1">
        <f>IFERROR(__xludf.DUMMYFUNCTION("""COMPUTED_VALUE"""),81.08)</f>
        <v>81.08</v>
      </c>
      <c r="D3428" s="1">
        <f>IFERROR(__xludf.DUMMYFUNCTION("""COMPUTED_VALUE"""),80.17)</f>
        <v>80.17</v>
      </c>
      <c r="E3428" s="1">
        <f>IFERROR(__xludf.DUMMYFUNCTION("""COMPUTED_VALUE"""),80.48)</f>
        <v>80.48</v>
      </c>
      <c r="F3428" s="1">
        <f>IFERROR(__xludf.DUMMYFUNCTION("""COMPUTED_VALUE"""),7416297.0)</f>
        <v>7416297</v>
      </c>
    </row>
    <row r="3429">
      <c r="A3429" s="2">
        <f>IFERROR(__xludf.DUMMYFUNCTION("""COMPUTED_VALUE"""),41502.666666666664)</f>
        <v>41502.66667</v>
      </c>
      <c r="B3429" s="1">
        <f>IFERROR(__xludf.DUMMYFUNCTION("""COMPUTED_VALUE"""),80.27)</f>
        <v>80.27</v>
      </c>
      <c r="C3429" s="1">
        <f>IFERROR(__xludf.DUMMYFUNCTION("""COMPUTED_VALUE"""),80.49)</f>
        <v>80.49</v>
      </c>
      <c r="D3429" s="1">
        <f>IFERROR(__xludf.DUMMYFUNCTION("""COMPUTED_VALUE"""),79.06)</f>
        <v>79.06</v>
      </c>
      <c r="E3429" s="1">
        <f>IFERROR(__xludf.DUMMYFUNCTION("""COMPUTED_VALUE"""),79.9)</f>
        <v>79.9</v>
      </c>
      <c r="F3429" s="1">
        <f>IFERROR(__xludf.DUMMYFUNCTION("""COMPUTED_VALUE"""),9451584.0)</f>
        <v>9451584</v>
      </c>
    </row>
    <row r="3430">
      <c r="A3430" s="2">
        <f>IFERROR(__xludf.DUMMYFUNCTION("""COMPUTED_VALUE"""),41505.666666666664)</f>
        <v>41505.66667</v>
      </c>
      <c r="B3430" s="1">
        <f>IFERROR(__xludf.DUMMYFUNCTION("""COMPUTED_VALUE"""),79.64)</f>
        <v>79.64</v>
      </c>
      <c r="C3430" s="1">
        <f>IFERROR(__xludf.DUMMYFUNCTION("""COMPUTED_VALUE"""),80.09)</f>
        <v>80.09</v>
      </c>
      <c r="D3430" s="1">
        <f>IFERROR(__xludf.DUMMYFUNCTION("""COMPUTED_VALUE"""),79.42)</f>
        <v>79.42</v>
      </c>
      <c r="E3430" s="1">
        <f>IFERROR(__xludf.DUMMYFUNCTION("""COMPUTED_VALUE"""),79.59)</f>
        <v>79.59</v>
      </c>
      <c r="F3430" s="1">
        <f>IFERROR(__xludf.DUMMYFUNCTION("""COMPUTED_VALUE"""),5959413.0)</f>
        <v>5959413</v>
      </c>
    </row>
    <row r="3431">
      <c r="A3431" s="2">
        <f>IFERROR(__xludf.DUMMYFUNCTION("""COMPUTED_VALUE"""),41506.666666666664)</f>
        <v>41506.66667</v>
      </c>
      <c r="B3431" s="1">
        <f>IFERROR(__xludf.DUMMYFUNCTION("""COMPUTED_VALUE"""),79.72)</f>
        <v>79.72</v>
      </c>
      <c r="C3431" s="1">
        <f>IFERROR(__xludf.DUMMYFUNCTION("""COMPUTED_VALUE"""),80.1)</f>
        <v>80.1</v>
      </c>
      <c r="D3431" s="1">
        <f>IFERROR(__xludf.DUMMYFUNCTION("""COMPUTED_VALUE"""),79.28)</f>
        <v>79.28</v>
      </c>
      <c r="E3431" s="1">
        <f>IFERROR(__xludf.DUMMYFUNCTION("""COMPUTED_VALUE"""),79.53)</f>
        <v>79.53</v>
      </c>
      <c r="F3431" s="1">
        <f>IFERROR(__xludf.DUMMYFUNCTION("""COMPUTED_VALUE"""),5172491.0)</f>
        <v>5172491</v>
      </c>
    </row>
    <row r="3432">
      <c r="A3432" s="2">
        <f>IFERROR(__xludf.DUMMYFUNCTION("""COMPUTED_VALUE"""),41507.666666666664)</f>
        <v>41507.66667</v>
      </c>
      <c r="B3432" s="1">
        <f>IFERROR(__xludf.DUMMYFUNCTION("""COMPUTED_VALUE"""),79.5)</f>
        <v>79.5</v>
      </c>
      <c r="C3432" s="1">
        <f>IFERROR(__xludf.DUMMYFUNCTION("""COMPUTED_VALUE"""),80.12)</f>
        <v>80.12</v>
      </c>
      <c r="D3432" s="1">
        <f>IFERROR(__xludf.DUMMYFUNCTION("""COMPUTED_VALUE"""),79.05)</f>
        <v>79.05</v>
      </c>
      <c r="E3432" s="1">
        <f>IFERROR(__xludf.DUMMYFUNCTION("""COMPUTED_VALUE"""),79.38)</f>
        <v>79.38</v>
      </c>
      <c r="F3432" s="1">
        <f>IFERROR(__xludf.DUMMYFUNCTION("""COMPUTED_VALUE"""),7391355.0)</f>
        <v>7391355</v>
      </c>
    </row>
    <row r="3433">
      <c r="A3433" s="2">
        <f>IFERROR(__xludf.DUMMYFUNCTION("""COMPUTED_VALUE"""),41508.666666666664)</f>
        <v>41508.66667</v>
      </c>
      <c r="B3433" s="1">
        <f>IFERROR(__xludf.DUMMYFUNCTION("""COMPUTED_VALUE"""),79.3)</f>
        <v>79.3</v>
      </c>
      <c r="C3433" s="1">
        <f>IFERROR(__xludf.DUMMYFUNCTION("""COMPUTED_VALUE"""),80.05)</f>
        <v>80.05</v>
      </c>
      <c r="D3433" s="1">
        <f>IFERROR(__xludf.DUMMYFUNCTION("""COMPUTED_VALUE"""),78.87)</f>
        <v>78.87</v>
      </c>
      <c r="E3433" s="1">
        <f>IFERROR(__xludf.DUMMYFUNCTION("""COMPUTED_VALUE"""),79.77)</f>
        <v>79.77</v>
      </c>
      <c r="F3433" s="1">
        <f>IFERROR(__xludf.DUMMYFUNCTION("""COMPUTED_VALUE"""),6274357.0)</f>
        <v>6274357</v>
      </c>
    </row>
    <row r="3434">
      <c r="A3434" s="2">
        <f>IFERROR(__xludf.DUMMYFUNCTION("""COMPUTED_VALUE"""),41509.666666666664)</f>
        <v>41509.66667</v>
      </c>
      <c r="B3434" s="1">
        <f>IFERROR(__xludf.DUMMYFUNCTION("""COMPUTED_VALUE"""),79.87)</f>
        <v>79.87</v>
      </c>
      <c r="C3434" s="1">
        <f>IFERROR(__xludf.DUMMYFUNCTION("""COMPUTED_VALUE"""),80.07)</f>
        <v>80.07</v>
      </c>
      <c r="D3434" s="1">
        <f>IFERROR(__xludf.DUMMYFUNCTION("""COMPUTED_VALUE"""),79.59)</f>
        <v>79.59</v>
      </c>
      <c r="E3434" s="1">
        <f>IFERROR(__xludf.DUMMYFUNCTION("""COMPUTED_VALUE"""),80.01)</f>
        <v>80.01</v>
      </c>
      <c r="F3434" s="1">
        <f>IFERROR(__xludf.DUMMYFUNCTION("""COMPUTED_VALUE"""),5228946.0)</f>
        <v>5228946</v>
      </c>
    </row>
    <row r="3435">
      <c r="A3435" s="2">
        <f>IFERROR(__xludf.DUMMYFUNCTION("""COMPUTED_VALUE"""),41512.666666666664)</f>
        <v>41512.66667</v>
      </c>
      <c r="B3435" s="1">
        <f>IFERROR(__xludf.DUMMYFUNCTION("""COMPUTED_VALUE"""),79.92)</f>
        <v>79.92</v>
      </c>
      <c r="C3435" s="1">
        <f>IFERROR(__xludf.DUMMYFUNCTION("""COMPUTED_VALUE"""),79.98)</f>
        <v>79.98</v>
      </c>
      <c r="D3435" s="1">
        <f>IFERROR(__xludf.DUMMYFUNCTION("""COMPUTED_VALUE"""),78.53)</f>
        <v>78.53</v>
      </c>
      <c r="E3435" s="1">
        <f>IFERROR(__xludf.DUMMYFUNCTION("""COMPUTED_VALUE"""),78.54)</f>
        <v>78.54</v>
      </c>
      <c r="F3435" s="1">
        <f>IFERROR(__xludf.DUMMYFUNCTION("""COMPUTED_VALUE"""),6385334.0)</f>
        <v>6385334</v>
      </c>
    </row>
    <row r="3436">
      <c r="A3436" s="2">
        <f>IFERROR(__xludf.DUMMYFUNCTION("""COMPUTED_VALUE"""),41513.666666666664)</f>
        <v>41513.66667</v>
      </c>
      <c r="B3436" s="1">
        <f>IFERROR(__xludf.DUMMYFUNCTION("""COMPUTED_VALUE"""),77.87)</f>
        <v>77.87</v>
      </c>
      <c r="C3436" s="1">
        <f>IFERROR(__xludf.DUMMYFUNCTION("""COMPUTED_VALUE"""),78.36)</f>
        <v>78.36</v>
      </c>
      <c r="D3436" s="1">
        <f>IFERROR(__xludf.DUMMYFUNCTION("""COMPUTED_VALUE"""),77.33)</f>
        <v>77.33</v>
      </c>
      <c r="E3436" s="1">
        <f>IFERROR(__xludf.DUMMYFUNCTION("""COMPUTED_VALUE"""),77.97)</f>
        <v>77.97</v>
      </c>
      <c r="F3436" s="1">
        <f>IFERROR(__xludf.DUMMYFUNCTION("""COMPUTED_VALUE"""),7052154.0)</f>
        <v>7052154</v>
      </c>
    </row>
    <row r="3437">
      <c r="A3437" s="2">
        <f>IFERROR(__xludf.DUMMYFUNCTION("""COMPUTED_VALUE"""),41514.666666666664)</f>
        <v>41514.66667</v>
      </c>
      <c r="B3437" s="1">
        <f>IFERROR(__xludf.DUMMYFUNCTION("""COMPUTED_VALUE"""),77.86)</f>
        <v>77.86</v>
      </c>
      <c r="C3437" s="1">
        <f>IFERROR(__xludf.DUMMYFUNCTION("""COMPUTED_VALUE"""),77.86)</f>
        <v>77.86</v>
      </c>
      <c r="D3437" s="1">
        <f>IFERROR(__xludf.DUMMYFUNCTION("""COMPUTED_VALUE"""),76.85)</f>
        <v>76.85</v>
      </c>
      <c r="E3437" s="1">
        <f>IFERROR(__xludf.DUMMYFUNCTION("""COMPUTED_VALUE"""),76.85)</f>
        <v>76.85</v>
      </c>
      <c r="F3437" s="1">
        <f>IFERROR(__xludf.DUMMYFUNCTION("""COMPUTED_VALUE"""),9008484.0)</f>
        <v>9008484</v>
      </c>
    </row>
    <row r="3438">
      <c r="A3438" s="2">
        <f>IFERROR(__xludf.DUMMYFUNCTION("""COMPUTED_VALUE"""),41515.666666666664)</f>
        <v>41515.66667</v>
      </c>
      <c r="B3438" s="1">
        <f>IFERROR(__xludf.DUMMYFUNCTION("""COMPUTED_VALUE"""),76.76)</f>
        <v>76.76</v>
      </c>
      <c r="C3438" s="1">
        <f>IFERROR(__xludf.DUMMYFUNCTION("""COMPUTED_VALUE"""),77.84)</f>
        <v>77.84</v>
      </c>
      <c r="D3438" s="1">
        <f>IFERROR(__xludf.DUMMYFUNCTION("""COMPUTED_VALUE"""),76.42)</f>
        <v>76.42</v>
      </c>
      <c r="E3438" s="1">
        <f>IFERROR(__xludf.DUMMYFUNCTION("""COMPUTED_VALUE"""),77.31)</f>
        <v>77.31</v>
      </c>
      <c r="F3438" s="1">
        <f>IFERROR(__xludf.DUMMYFUNCTION("""COMPUTED_VALUE"""),5961734.0)</f>
        <v>5961734</v>
      </c>
    </row>
    <row r="3439">
      <c r="A3439" s="2">
        <f>IFERROR(__xludf.DUMMYFUNCTION("""COMPUTED_VALUE"""),41516.666666666664)</f>
        <v>41516.66667</v>
      </c>
      <c r="B3439" s="1">
        <f>IFERROR(__xludf.DUMMYFUNCTION("""COMPUTED_VALUE"""),77.53)</f>
        <v>77.53</v>
      </c>
      <c r="C3439" s="1">
        <f>IFERROR(__xludf.DUMMYFUNCTION("""COMPUTED_VALUE"""),78.07)</f>
        <v>78.07</v>
      </c>
      <c r="D3439" s="1">
        <f>IFERROR(__xludf.DUMMYFUNCTION("""COMPUTED_VALUE"""),73.61)</f>
        <v>73.61</v>
      </c>
      <c r="E3439" s="1">
        <f>IFERROR(__xludf.DUMMYFUNCTION("""COMPUTED_VALUE"""),77.89)</f>
        <v>77.89</v>
      </c>
      <c r="F3439" s="1">
        <f>IFERROR(__xludf.DUMMYFUNCTION("""COMPUTED_VALUE"""),9039485.0)</f>
        <v>9039485</v>
      </c>
    </row>
    <row r="3440">
      <c r="A3440" s="2">
        <f>IFERROR(__xludf.DUMMYFUNCTION("""COMPUTED_VALUE"""),41520.666666666664)</f>
        <v>41520.66667</v>
      </c>
      <c r="B3440" s="1">
        <f>IFERROR(__xludf.DUMMYFUNCTION("""COMPUTED_VALUE"""),78.27)</f>
        <v>78.27</v>
      </c>
      <c r="C3440" s="1">
        <f>IFERROR(__xludf.DUMMYFUNCTION("""COMPUTED_VALUE"""),78.42)</f>
        <v>78.42</v>
      </c>
      <c r="D3440" s="1">
        <f>IFERROR(__xludf.DUMMYFUNCTION("""COMPUTED_VALUE"""),77.44)</f>
        <v>77.44</v>
      </c>
      <c r="E3440" s="1">
        <f>IFERROR(__xludf.DUMMYFUNCTION("""COMPUTED_VALUE"""),77.75)</f>
        <v>77.75</v>
      </c>
      <c r="F3440" s="1">
        <f>IFERROR(__xludf.DUMMYFUNCTION("""COMPUTED_VALUE"""),6743818.0)</f>
        <v>6743818</v>
      </c>
    </row>
    <row r="3441">
      <c r="A3441" s="2">
        <f>IFERROR(__xludf.DUMMYFUNCTION("""COMPUTED_VALUE"""),41521.666666666664)</f>
        <v>41521.66667</v>
      </c>
      <c r="B3441" s="1">
        <f>IFERROR(__xludf.DUMMYFUNCTION("""COMPUTED_VALUE"""),77.52)</f>
        <v>77.52</v>
      </c>
      <c r="C3441" s="1">
        <f>IFERROR(__xludf.DUMMYFUNCTION("""COMPUTED_VALUE"""),77.75)</f>
        <v>77.75</v>
      </c>
      <c r="D3441" s="1">
        <f>IFERROR(__xludf.DUMMYFUNCTION("""COMPUTED_VALUE"""),77.12)</f>
        <v>77.12</v>
      </c>
      <c r="E3441" s="1">
        <f>IFERROR(__xludf.DUMMYFUNCTION("""COMPUTED_VALUE"""),77.49)</f>
        <v>77.49</v>
      </c>
      <c r="F3441" s="1">
        <f>IFERROR(__xludf.DUMMYFUNCTION("""COMPUTED_VALUE"""),6034964.0)</f>
        <v>6034964</v>
      </c>
    </row>
    <row r="3442">
      <c r="A3442" s="2">
        <f>IFERROR(__xludf.DUMMYFUNCTION("""COMPUTED_VALUE"""),41522.666666666664)</f>
        <v>41522.66667</v>
      </c>
      <c r="B3442" s="1">
        <f>IFERROR(__xludf.DUMMYFUNCTION("""COMPUTED_VALUE"""),77.58)</f>
        <v>77.58</v>
      </c>
      <c r="C3442" s="1">
        <f>IFERROR(__xludf.DUMMYFUNCTION("""COMPUTED_VALUE"""),77.63)</f>
        <v>77.63</v>
      </c>
      <c r="D3442" s="1">
        <f>IFERROR(__xludf.DUMMYFUNCTION("""COMPUTED_VALUE"""),76.83)</f>
        <v>76.83</v>
      </c>
      <c r="E3442" s="1">
        <f>IFERROR(__xludf.DUMMYFUNCTION("""COMPUTED_VALUE"""),77.14)</f>
        <v>77.14</v>
      </c>
      <c r="F3442" s="1">
        <f>IFERROR(__xludf.DUMMYFUNCTION("""COMPUTED_VALUE"""),7173600.0)</f>
        <v>7173600</v>
      </c>
    </row>
    <row r="3443">
      <c r="A3443" s="2">
        <f>IFERROR(__xludf.DUMMYFUNCTION("""COMPUTED_VALUE"""),41523.666666666664)</f>
        <v>41523.66667</v>
      </c>
      <c r="B3443" s="1">
        <f>IFERROR(__xludf.DUMMYFUNCTION("""COMPUTED_VALUE"""),77.12)</f>
        <v>77.12</v>
      </c>
      <c r="C3443" s="1">
        <f>IFERROR(__xludf.DUMMYFUNCTION("""COMPUTED_VALUE"""),77.61)</f>
        <v>77.61</v>
      </c>
      <c r="D3443" s="1">
        <f>IFERROR(__xludf.DUMMYFUNCTION("""COMPUTED_VALUE"""),76.4)</f>
        <v>76.4</v>
      </c>
      <c r="E3443" s="1">
        <f>IFERROR(__xludf.DUMMYFUNCTION("""COMPUTED_VALUE"""),77.15)</f>
        <v>77.15</v>
      </c>
      <c r="F3443" s="1">
        <f>IFERROR(__xludf.DUMMYFUNCTION("""COMPUTED_VALUE"""),6977354.0)</f>
        <v>6977354</v>
      </c>
    </row>
    <row r="3444">
      <c r="A3444" s="2">
        <f>IFERROR(__xludf.DUMMYFUNCTION("""COMPUTED_VALUE"""),41526.666666666664)</f>
        <v>41526.66667</v>
      </c>
      <c r="B3444" s="1">
        <f>IFERROR(__xludf.DUMMYFUNCTION("""COMPUTED_VALUE"""),77.37)</f>
        <v>77.37</v>
      </c>
      <c r="C3444" s="1">
        <f>IFERROR(__xludf.DUMMYFUNCTION("""COMPUTED_VALUE"""),78.2)</f>
        <v>78.2</v>
      </c>
      <c r="D3444" s="1">
        <f>IFERROR(__xludf.DUMMYFUNCTION("""COMPUTED_VALUE"""),77.37)</f>
        <v>77.37</v>
      </c>
      <c r="E3444" s="1">
        <f>IFERROR(__xludf.DUMMYFUNCTION("""COMPUTED_VALUE"""),78.16)</f>
        <v>78.16</v>
      </c>
      <c r="F3444" s="1">
        <f>IFERROR(__xludf.DUMMYFUNCTION("""COMPUTED_VALUE"""),6089257.0)</f>
        <v>6089257</v>
      </c>
    </row>
    <row r="3445">
      <c r="A3445" s="2">
        <f>IFERROR(__xludf.DUMMYFUNCTION("""COMPUTED_VALUE"""),41527.666666666664)</f>
        <v>41527.66667</v>
      </c>
      <c r="B3445" s="1">
        <f>IFERROR(__xludf.DUMMYFUNCTION("""COMPUTED_VALUE"""),78.5)</f>
        <v>78.5</v>
      </c>
      <c r="C3445" s="1">
        <f>IFERROR(__xludf.DUMMYFUNCTION("""COMPUTED_VALUE"""),78.64)</f>
        <v>78.64</v>
      </c>
      <c r="D3445" s="1">
        <f>IFERROR(__xludf.DUMMYFUNCTION("""COMPUTED_VALUE"""),77.78)</f>
        <v>77.78</v>
      </c>
      <c r="E3445" s="1">
        <f>IFERROR(__xludf.DUMMYFUNCTION("""COMPUTED_VALUE"""),77.95)</f>
        <v>77.95</v>
      </c>
      <c r="F3445" s="1">
        <f>IFERROR(__xludf.DUMMYFUNCTION("""COMPUTED_VALUE"""),6650813.0)</f>
        <v>6650813</v>
      </c>
    </row>
    <row r="3446">
      <c r="A3446" s="2">
        <f>IFERROR(__xludf.DUMMYFUNCTION("""COMPUTED_VALUE"""),41528.666666666664)</f>
        <v>41528.66667</v>
      </c>
      <c r="B3446" s="1">
        <f>IFERROR(__xludf.DUMMYFUNCTION("""COMPUTED_VALUE"""),77.26)</f>
        <v>77.26</v>
      </c>
      <c r="C3446" s="1">
        <f>IFERROR(__xludf.DUMMYFUNCTION("""COMPUTED_VALUE"""),78.27)</f>
        <v>78.27</v>
      </c>
      <c r="D3446" s="1">
        <f>IFERROR(__xludf.DUMMYFUNCTION("""COMPUTED_VALUE"""),77.25)</f>
        <v>77.25</v>
      </c>
      <c r="E3446" s="1">
        <f>IFERROR(__xludf.DUMMYFUNCTION("""COMPUTED_VALUE"""),78.27)</f>
        <v>78.27</v>
      </c>
      <c r="F3446" s="1">
        <f>IFERROR(__xludf.DUMMYFUNCTION("""COMPUTED_VALUE"""),7049958.0)</f>
        <v>7049958</v>
      </c>
    </row>
    <row r="3447">
      <c r="A3447" s="2">
        <f>IFERROR(__xludf.DUMMYFUNCTION("""COMPUTED_VALUE"""),41529.666666666664)</f>
        <v>41529.66667</v>
      </c>
      <c r="B3447" s="1">
        <f>IFERROR(__xludf.DUMMYFUNCTION("""COMPUTED_VALUE"""),78.4)</f>
        <v>78.4</v>
      </c>
      <c r="C3447" s="1">
        <f>IFERROR(__xludf.DUMMYFUNCTION("""COMPUTED_VALUE"""),78.8)</f>
        <v>78.8</v>
      </c>
      <c r="D3447" s="1">
        <f>IFERROR(__xludf.DUMMYFUNCTION("""COMPUTED_VALUE"""),78.17)</f>
        <v>78.17</v>
      </c>
      <c r="E3447" s="1">
        <f>IFERROR(__xludf.DUMMYFUNCTION("""COMPUTED_VALUE"""),78.26)</f>
        <v>78.26</v>
      </c>
      <c r="F3447" s="1">
        <f>IFERROR(__xludf.DUMMYFUNCTION("""COMPUTED_VALUE"""),6944863.0)</f>
        <v>6944863</v>
      </c>
    </row>
    <row r="3448">
      <c r="A3448" s="2">
        <f>IFERROR(__xludf.DUMMYFUNCTION("""COMPUTED_VALUE"""),41530.666666666664)</f>
        <v>41530.66667</v>
      </c>
      <c r="B3448" s="1">
        <f>IFERROR(__xludf.DUMMYFUNCTION("""COMPUTED_VALUE"""),78.44)</f>
        <v>78.44</v>
      </c>
      <c r="C3448" s="1">
        <f>IFERROR(__xludf.DUMMYFUNCTION("""COMPUTED_VALUE"""),79.18)</f>
        <v>79.18</v>
      </c>
      <c r="D3448" s="1">
        <f>IFERROR(__xludf.DUMMYFUNCTION("""COMPUTED_VALUE"""),78.41)</f>
        <v>78.41</v>
      </c>
      <c r="E3448" s="1">
        <f>IFERROR(__xludf.DUMMYFUNCTION("""COMPUTED_VALUE"""),79.05)</f>
        <v>79.05</v>
      </c>
      <c r="F3448" s="1">
        <f>IFERROR(__xludf.DUMMYFUNCTION("""COMPUTED_VALUE"""),4894112.0)</f>
        <v>4894112</v>
      </c>
    </row>
    <row r="3449">
      <c r="A3449" s="2">
        <f>IFERROR(__xludf.DUMMYFUNCTION("""COMPUTED_VALUE"""),41533.666666666664)</f>
        <v>41533.66667</v>
      </c>
      <c r="B3449" s="1">
        <f>IFERROR(__xludf.DUMMYFUNCTION("""COMPUTED_VALUE"""),79.72)</f>
        <v>79.72</v>
      </c>
      <c r="C3449" s="1">
        <f>IFERROR(__xludf.DUMMYFUNCTION("""COMPUTED_VALUE"""),80.21)</f>
        <v>80.21</v>
      </c>
      <c r="D3449" s="1">
        <f>IFERROR(__xludf.DUMMYFUNCTION("""COMPUTED_VALUE"""),79.71)</f>
        <v>79.71</v>
      </c>
      <c r="E3449" s="1">
        <f>IFERROR(__xludf.DUMMYFUNCTION("""COMPUTED_VALUE"""),80.16)</f>
        <v>80.16</v>
      </c>
      <c r="F3449" s="1">
        <f>IFERROR(__xludf.DUMMYFUNCTION("""COMPUTED_VALUE"""),7557605.0)</f>
        <v>7557605</v>
      </c>
    </row>
    <row r="3450">
      <c r="A3450" s="2">
        <f>IFERROR(__xludf.DUMMYFUNCTION("""COMPUTED_VALUE"""),41534.666666666664)</f>
        <v>41534.66667</v>
      </c>
      <c r="B3450" s="1">
        <f>IFERROR(__xludf.DUMMYFUNCTION("""COMPUTED_VALUE"""),79.96)</f>
        <v>79.96</v>
      </c>
      <c r="C3450" s="1">
        <f>IFERROR(__xludf.DUMMYFUNCTION("""COMPUTED_VALUE"""),80.25)</f>
        <v>80.25</v>
      </c>
      <c r="D3450" s="1">
        <f>IFERROR(__xludf.DUMMYFUNCTION("""COMPUTED_VALUE"""),79.64)</f>
        <v>79.64</v>
      </c>
      <c r="E3450" s="1">
        <f>IFERROR(__xludf.DUMMYFUNCTION("""COMPUTED_VALUE"""),79.83)</f>
        <v>79.83</v>
      </c>
      <c r="F3450" s="1">
        <f>IFERROR(__xludf.DUMMYFUNCTION("""COMPUTED_VALUE"""),5458695.0)</f>
        <v>5458695</v>
      </c>
    </row>
    <row r="3451">
      <c r="A3451" s="2">
        <f>IFERROR(__xludf.DUMMYFUNCTION("""COMPUTED_VALUE"""),41535.666666666664)</f>
        <v>41535.66667</v>
      </c>
      <c r="B3451" s="1">
        <f>IFERROR(__xludf.DUMMYFUNCTION("""COMPUTED_VALUE"""),79.06)</f>
        <v>79.06</v>
      </c>
      <c r="C3451" s="1">
        <f>IFERROR(__xludf.DUMMYFUNCTION("""COMPUTED_VALUE"""),80.48)</f>
        <v>80.48</v>
      </c>
      <c r="D3451" s="1">
        <f>IFERROR(__xludf.DUMMYFUNCTION("""COMPUTED_VALUE"""),78.53)</f>
        <v>78.53</v>
      </c>
      <c r="E3451" s="1">
        <f>IFERROR(__xludf.DUMMYFUNCTION("""COMPUTED_VALUE"""),80.29)</f>
        <v>80.29</v>
      </c>
      <c r="F3451" s="1">
        <f>IFERROR(__xludf.DUMMYFUNCTION("""COMPUTED_VALUE"""),1.0372303E7)</f>
        <v>10372303</v>
      </c>
    </row>
    <row r="3452">
      <c r="A3452" s="2">
        <f>IFERROR(__xludf.DUMMYFUNCTION("""COMPUTED_VALUE"""),41536.666666666664)</f>
        <v>41536.66667</v>
      </c>
      <c r="B3452" s="1">
        <f>IFERROR(__xludf.DUMMYFUNCTION("""COMPUTED_VALUE"""),80.5)</f>
        <v>80.5</v>
      </c>
      <c r="C3452" s="1">
        <f>IFERROR(__xludf.DUMMYFUNCTION("""COMPUTED_VALUE"""),80.53)</f>
        <v>80.53</v>
      </c>
      <c r="D3452" s="1">
        <f>IFERROR(__xludf.DUMMYFUNCTION("""COMPUTED_VALUE"""),79.79)</f>
        <v>79.79</v>
      </c>
      <c r="E3452" s="1">
        <f>IFERROR(__xludf.DUMMYFUNCTION("""COMPUTED_VALUE"""),80.12)</f>
        <v>80.12</v>
      </c>
      <c r="F3452" s="1">
        <f>IFERROR(__xludf.DUMMYFUNCTION("""COMPUTED_VALUE"""),8161768.0)</f>
        <v>8161768</v>
      </c>
    </row>
    <row r="3453">
      <c r="A3453" s="2">
        <f>IFERROR(__xludf.DUMMYFUNCTION("""COMPUTED_VALUE"""),41537.666666666664)</f>
        <v>41537.66667</v>
      </c>
      <c r="B3453" s="1">
        <f>IFERROR(__xludf.DUMMYFUNCTION("""COMPUTED_VALUE"""),80.09)</f>
        <v>80.09</v>
      </c>
      <c r="C3453" s="1">
        <f>IFERROR(__xludf.DUMMYFUNCTION("""COMPUTED_VALUE"""),80.18)</f>
        <v>80.18</v>
      </c>
      <c r="D3453" s="1">
        <f>IFERROR(__xludf.DUMMYFUNCTION("""COMPUTED_VALUE"""),79.39)</f>
        <v>79.39</v>
      </c>
      <c r="E3453" s="1">
        <f>IFERROR(__xludf.DUMMYFUNCTION("""COMPUTED_VALUE"""),79.39)</f>
        <v>79.39</v>
      </c>
      <c r="F3453" s="1">
        <f>IFERROR(__xludf.DUMMYFUNCTION("""COMPUTED_VALUE"""),1.1169399E7)</f>
        <v>11169399</v>
      </c>
    </row>
    <row r="3454">
      <c r="A3454" s="2">
        <f>IFERROR(__xludf.DUMMYFUNCTION("""COMPUTED_VALUE"""),41540.666666666664)</f>
        <v>41540.66667</v>
      </c>
      <c r="B3454" s="1">
        <f>IFERROR(__xludf.DUMMYFUNCTION("""COMPUTED_VALUE"""),79.2)</f>
        <v>79.2</v>
      </c>
      <c r="C3454" s="1">
        <f>IFERROR(__xludf.DUMMYFUNCTION("""COMPUTED_VALUE"""),79.58)</f>
        <v>79.58</v>
      </c>
      <c r="D3454" s="1">
        <f>IFERROR(__xludf.DUMMYFUNCTION("""COMPUTED_VALUE"""),78.67)</f>
        <v>78.67</v>
      </c>
      <c r="E3454" s="1">
        <f>IFERROR(__xludf.DUMMYFUNCTION("""COMPUTED_VALUE"""),79.28)</f>
        <v>79.28</v>
      </c>
      <c r="F3454" s="1">
        <f>IFERROR(__xludf.DUMMYFUNCTION("""COMPUTED_VALUE"""),6305070.0)</f>
        <v>6305070</v>
      </c>
    </row>
    <row r="3455">
      <c r="A3455" s="2">
        <f>IFERROR(__xludf.DUMMYFUNCTION("""COMPUTED_VALUE"""),41541.666666666664)</f>
        <v>41541.66667</v>
      </c>
      <c r="B3455" s="1">
        <f>IFERROR(__xludf.DUMMYFUNCTION("""COMPUTED_VALUE"""),78.96)</f>
        <v>78.96</v>
      </c>
      <c r="C3455" s="1">
        <f>IFERROR(__xludf.DUMMYFUNCTION("""COMPUTED_VALUE"""),79.48)</f>
        <v>79.48</v>
      </c>
      <c r="D3455" s="1">
        <f>IFERROR(__xludf.DUMMYFUNCTION("""COMPUTED_VALUE"""),78.59)</f>
        <v>78.59</v>
      </c>
      <c r="E3455" s="1">
        <f>IFERROR(__xludf.DUMMYFUNCTION("""COMPUTED_VALUE"""),78.62)</f>
        <v>78.62</v>
      </c>
      <c r="F3455" s="1">
        <f>IFERROR(__xludf.DUMMYFUNCTION("""COMPUTED_VALUE"""),7692080.0)</f>
        <v>7692080</v>
      </c>
    </row>
    <row r="3456">
      <c r="A3456" s="2">
        <f>IFERROR(__xludf.DUMMYFUNCTION("""COMPUTED_VALUE"""),41542.666666666664)</f>
        <v>41542.66667</v>
      </c>
      <c r="B3456" s="1">
        <f>IFERROR(__xludf.DUMMYFUNCTION("""COMPUTED_VALUE"""),78.84)</f>
        <v>78.84</v>
      </c>
      <c r="C3456" s="1">
        <f>IFERROR(__xludf.DUMMYFUNCTION("""COMPUTED_VALUE"""),79.0)</f>
        <v>79</v>
      </c>
      <c r="D3456" s="1">
        <f>IFERROR(__xludf.DUMMYFUNCTION("""COMPUTED_VALUE"""),77.71)</f>
        <v>77.71</v>
      </c>
      <c r="E3456" s="1">
        <f>IFERROR(__xludf.DUMMYFUNCTION("""COMPUTED_VALUE"""),77.72)</f>
        <v>77.72</v>
      </c>
      <c r="F3456" s="1">
        <f>IFERROR(__xludf.DUMMYFUNCTION("""COMPUTED_VALUE"""),7589283.0)</f>
        <v>7589283</v>
      </c>
    </row>
    <row r="3457">
      <c r="A3457" s="2">
        <f>IFERROR(__xludf.DUMMYFUNCTION("""COMPUTED_VALUE"""),41543.666666666664)</f>
        <v>41543.66667</v>
      </c>
      <c r="B3457" s="1">
        <f>IFERROR(__xludf.DUMMYFUNCTION("""COMPUTED_VALUE"""),77.91)</f>
        <v>77.91</v>
      </c>
      <c r="C3457" s="1">
        <f>IFERROR(__xludf.DUMMYFUNCTION("""COMPUTED_VALUE"""),78.14)</f>
        <v>78.14</v>
      </c>
      <c r="D3457" s="1">
        <f>IFERROR(__xludf.DUMMYFUNCTION("""COMPUTED_VALUE"""),77.62)</f>
        <v>77.62</v>
      </c>
      <c r="E3457" s="1">
        <f>IFERROR(__xludf.DUMMYFUNCTION("""COMPUTED_VALUE"""),78.05)</f>
        <v>78.05</v>
      </c>
      <c r="F3457" s="1">
        <f>IFERROR(__xludf.DUMMYFUNCTION("""COMPUTED_VALUE"""),4633310.0)</f>
        <v>4633310</v>
      </c>
    </row>
    <row r="3458">
      <c r="A3458" s="2">
        <f>IFERROR(__xludf.DUMMYFUNCTION("""COMPUTED_VALUE"""),41544.666666666664)</f>
        <v>41544.66667</v>
      </c>
      <c r="B3458" s="1">
        <f>IFERROR(__xludf.DUMMYFUNCTION("""COMPUTED_VALUE"""),77.75)</f>
        <v>77.75</v>
      </c>
      <c r="C3458" s="1">
        <f>IFERROR(__xludf.DUMMYFUNCTION("""COMPUTED_VALUE"""),77.75)</f>
        <v>77.75</v>
      </c>
      <c r="D3458" s="1">
        <f>IFERROR(__xludf.DUMMYFUNCTION("""COMPUTED_VALUE"""),76.77)</f>
        <v>76.77</v>
      </c>
      <c r="E3458" s="1">
        <f>IFERROR(__xludf.DUMMYFUNCTION("""COMPUTED_VALUE"""),77.21)</f>
        <v>77.21</v>
      </c>
      <c r="F3458" s="1">
        <f>IFERROR(__xludf.DUMMYFUNCTION("""COMPUTED_VALUE"""),6556805.0)</f>
        <v>6556805</v>
      </c>
    </row>
    <row r="3459">
      <c r="A3459" s="2">
        <f>IFERROR(__xludf.DUMMYFUNCTION("""COMPUTED_VALUE"""),41547.666666666664)</f>
        <v>41547.66667</v>
      </c>
      <c r="B3459" s="1">
        <f>IFERROR(__xludf.DUMMYFUNCTION("""COMPUTED_VALUE"""),76.8)</f>
        <v>76.8</v>
      </c>
      <c r="C3459" s="1">
        <f>IFERROR(__xludf.DUMMYFUNCTION("""COMPUTED_VALUE"""),77.16)</f>
        <v>77.16</v>
      </c>
      <c r="D3459" s="1">
        <f>IFERROR(__xludf.DUMMYFUNCTION("""COMPUTED_VALUE"""),75.35)</f>
        <v>75.35</v>
      </c>
      <c r="E3459" s="1">
        <f>IFERROR(__xludf.DUMMYFUNCTION("""COMPUTED_VALUE"""),75.59)</f>
        <v>75.59</v>
      </c>
      <c r="F3459" s="1">
        <f>IFERROR(__xludf.DUMMYFUNCTION("""COMPUTED_VALUE"""),1.5028471E7)</f>
        <v>15028471</v>
      </c>
    </row>
    <row r="3460">
      <c r="A3460" s="2">
        <f>IFERROR(__xludf.DUMMYFUNCTION("""COMPUTED_VALUE"""),41548.666666666664)</f>
        <v>41548.66667</v>
      </c>
      <c r="B3460" s="1">
        <f>IFERROR(__xludf.DUMMYFUNCTION("""COMPUTED_VALUE"""),75.52)</f>
        <v>75.52</v>
      </c>
      <c r="C3460" s="1">
        <f>IFERROR(__xludf.DUMMYFUNCTION("""COMPUTED_VALUE"""),76.5)</f>
        <v>76.5</v>
      </c>
      <c r="D3460" s="1">
        <f>IFERROR(__xludf.DUMMYFUNCTION("""COMPUTED_VALUE"""),75.44)</f>
        <v>75.44</v>
      </c>
      <c r="E3460" s="1">
        <f>IFERROR(__xludf.DUMMYFUNCTION("""COMPUTED_VALUE"""),76.16)</f>
        <v>76.16</v>
      </c>
      <c r="F3460" s="1">
        <f>IFERROR(__xludf.DUMMYFUNCTION("""COMPUTED_VALUE"""),8082469.0)</f>
        <v>8082469</v>
      </c>
    </row>
    <row r="3461">
      <c r="A3461" s="2">
        <f>IFERROR(__xludf.DUMMYFUNCTION("""COMPUTED_VALUE"""),41549.666666666664)</f>
        <v>41549.66667</v>
      </c>
      <c r="B3461" s="1">
        <f>IFERROR(__xludf.DUMMYFUNCTION("""COMPUTED_VALUE"""),75.91)</f>
        <v>75.91</v>
      </c>
      <c r="C3461" s="1">
        <f>IFERROR(__xludf.DUMMYFUNCTION("""COMPUTED_VALUE"""),76.14)</f>
        <v>76.14</v>
      </c>
      <c r="D3461" s="1">
        <f>IFERROR(__xludf.DUMMYFUNCTION("""COMPUTED_VALUE"""),75.42)</f>
        <v>75.42</v>
      </c>
      <c r="E3461" s="1">
        <f>IFERROR(__xludf.DUMMYFUNCTION("""COMPUTED_VALUE"""),75.93)</f>
        <v>75.93</v>
      </c>
      <c r="F3461" s="1">
        <f>IFERROR(__xludf.DUMMYFUNCTION("""COMPUTED_VALUE"""),8523395.0)</f>
        <v>8523395</v>
      </c>
    </row>
    <row r="3462">
      <c r="A3462" s="2">
        <f>IFERROR(__xludf.DUMMYFUNCTION("""COMPUTED_VALUE"""),41550.666666666664)</f>
        <v>41550.66667</v>
      </c>
      <c r="B3462" s="1">
        <f>IFERROR(__xludf.DUMMYFUNCTION("""COMPUTED_VALUE"""),75.89)</f>
        <v>75.89</v>
      </c>
      <c r="C3462" s="1">
        <f>IFERROR(__xludf.DUMMYFUNCTION("""COMPUTED_VALUE"""),76.14)</f>
        <v>76.14</v>
      </c>
      <c r="D3462" s="1">
        <f>IFERROR(__xludf.DUMMYFUNCTION("""COMPUTED_VALUE"""),75.2)</f>
        <v>75.2</v>
      </c>
      <c r="E3462" s="1">
        <f>IFERROR(__xludf.DUMMYFUNCTION("""COMPUTED_VALUE"""),75.84)</f>
        <v>75.84</v>
      </c>
      <c r="F3462" s="1">
        <f>IFERROR(__xludf.DUMMYFUNCTION("""COMPUTED_VALUE"""),9254910.0)</f>
        <v>9254910</v>
      </c>
    </row>
    <row r="3463">
      <c r="A3463" s="2">
        <f>IFERROR(__xludf.DUMMYFUNCTION("""COMPUTED_VALUE"""),41551.666666666664)</f>
        <v>41551.66667</v>
      </c>
      <c r="B3463" s="1">
        <f>IFERROR(__xludf.DUMMYFUNCTION("""COMPUTED_VALUE"""),75.98)</f>
        <v>75.98</v>
      </c>
      <c r="C3463" s="1">
        <f>IFERROR(__xludf.DUMMYFUNCTION("""COMPUTED_VALUE"""),76.12)</f>
        <v>76.12</v>
      </c>
      <c r="D3463" s="1">
        <f>IFERROR(__xludf.DUMMYFUNCTION("""COMPUTED_VALUE"""),75.51)</f>
        <v>75.51</v>
      </c>
      <c r="E3463" s="1">
        <f>IFERROR(__xludf.DUMMYFUNCTION("""COMPUTED_VALUE"""),76.02)</f>
        <v>76.02</v>
      </c>
      <c r="F3463" s="1">
        <f>IFERROR(__xludf.DUMMYFUNCTION("""COMPUTED_VALUE"""),4984717.0)</f>
        <v>4984717</v>
      </c>
    </row>
    <row r="3464">
      <c r="A3464" s="2">
        <f>IFERROR(__xludf.DUMMYFUNCTION("""COMPUTED_VALUE"""),41554.666666666664)</f>
        <v>41554.66667</v>
      </c>
      <c r="B3464" s="1">
        <f>IFERROR(__xludf.DUMMYFUNCTION("""COMPUTED_VALUE"""),75.66)</f>
        <v>75.66</v>
      </c>
      <c r="C3464" s="1">
        <f>IFERROR(__xludf.DUMMYFUNCTION("""COMPUTED_VALUE"""),76.1)</f>
        <v>76.1</v>
      </c>
      <c r="D3464" s="1">
        <f>IFERROR(__xludf.DUMMYFUNCTION("""COMPUTED_VALUE"""),75.48)</f>
        <v>75.48</v>
      </c>
      <c r="E3464" s="1">
        <f>IFERROR(__xludf.DUMMYFUNCTION("""COMPUTED_VALUE"""),75.65)</f>
        <v>75.65</v>
      </c>
      <c r="F3464" s="1">
        <f>IFERROR(__xludf.DUMMYFUNCTION("""COMPUTED_VALUE"""),6373266.0)</f>
        <v>6373266</v>
      </c>
    </row>
    <row r="3465">
      <c r="A3465" s="2">
        <f>IFERROR(__xludf.DUMMYFUNCTION("""COMPUTED_VALUE"""),41555.666666666664)</f>
        <v>41555.66667</v>
      </c>
      <c r="B3465" s="1">
        <f>IFERROR(__xludf.DUMMYFUNCTION("""COMPUTED_VALUE"""),76.39)</f>
        <v>76.39</v>
      </c>
      <c r="C3465" s="1">
        <f>IFERROR(__xludf.DUMMYFUNCTION("""COMPUTED_VALUE"""),77.0)</f>
        <v>77</v>
      </c>
      <c r="D3465" s="1">
        <f>IFERROR(__xludf.DUMMYFUNCTION("""COMPUTED_VALUE"""),76.05)</f>
        <v>76.05</v>
      </c>
      <c r="E3465" s="1">
        <f>IFERROR(__xludf.DUMMYFUNCTION("""COMPUTED_VALUE"""),76.33)</f>
        <v>76.33</v>
      </c>
      <c r="F3465" s="1">
        <f>IFERROR(__xludf.DUMMYFUNCTION("""COMPUTED_VALUE"""),9657117.0)</f>
        <v>9657117</v>
      </c>
    </row>
    <row r="3466">
      <c r="A3466" s="2">
        <f>IFERROR(__xludf.DUMMYFUNCTION("""COMPUTED_VALUE"""),41556.666666666664)</f>
        <v>41556.66667</v>
      </c>
      <c r="B3466" s="1">
        <f>IFERROR(__xludf.DUMMYFUNCTION("""COMPUTED_VALUE"""),76.58)</f>
        <v>76.58</v>
      </c>
      <c r="C3466" s="1">
        <f>IFERROR(__xludf.DUMMYFUNCTION("""COMPUTED_VALUE"""),77.16)</f>
        <v>77.16</v>
      </c>
      <c r="D3466" s="1">
        <f>IFERROR(__xludf.DUMMYFUNCTION("""COMPUTED_VALUE"""),76.1)</f>
        <v>76.1</v>
      </c>
      <c r="E3466" s="1">
        <f>IFERROR(__xludf.DUMMYFUNCTION("""COMPUTED_VALUE"""),76.95)</f>
        <v>76.95</v>
      </c>
      <c r="F3466" s="1">
        <f>IFERROR(__xludf.DUMMYFUNCTION("""COMPUTED_VALUE"""),8471029.0)</f>
        <v>8471029</v>
      </c>
    </row>
    <row r="3467">
      <c r="A3467" s="2">
        <f>IFERROR(__xludf.DUMMYFUNCTION("""COMPUTED_VALUE"""),41557.666666666664)</f>
        <v>41557.66667</v>
      </c>
      <c r="B3467" s="1">
        <f>IFERROR(__xludf.DUMMYFUNCTION("""COMPUTED_VALUE"""),77.41)</f>
        <v>77.41</v>
      </c>
      <c r="C3467" s="1">
        <f>IFERROR(__xludf.DUMMYFUNCTION("""COMPUTED_VALUE"""),77.92)</f>
        <v>77.92</v>
      </c>
      <c r="D3467" s="1">
        <f>IFERROR(__xludf.DUMMYFUNCTION("""COMPUTED_VALUE"""),77.15)</f>
        <v>77.15</v>
      </c>
      <c r="E3467" s="1">
        <f>IFERROR(__xludf.DUMMYFUNCTION("""COMPUTED_VALUE"""),77.89)</f>
        <v>77.89</v>
      </c>
      <c r="F3467" s="1">
        <f>IFERROR(__xludf.DUMMYFUNCTION("""COMPUTED_VALUE"""),1.012376E7)</f>
        <v>10123760</v>
      </c>
    </row>
    <row r="3468">
      <c r="A3468" s="2">
        <f>IFERROR(__xludf.DUMMYFUNCTION("""COMPUTED_VALUE"""),41558.666666666664)</f>
        <v>41558.66667</v>
      </c>
      <c r="B3468" s="1">
        <f>IFERROR(__xludf.DUMMYFUNCTION("""COMPUTED_VALUE"""),78.0)</f>
        <v>78</v>
      </c>
      <c r="C3468" s="1">
        <f>IFERROR(__xludf.DUMMYFUNCTION("""COMPUTED_VALUE"""),78.49)</f>
        <v>78.49</v>
      </c>
      <c r="D3468" s="1">
        <f>IFERROR(__xludf.DUMMYFUNCTION("""COMPUTED_VALUE"""),77.81)</f>
        <v>77.81</v>
      </c>
      <c r="E3468" s="1">
        <f>IFERROR(__xludf.DUMMYFUNCTION("""COMPUTED_VALUE"""),78.48)</f>
        <v>78.48</v>
      </c>
      <c r="F3468" s="1">
        <f>IFERROR(__xludf.DUMMYFUNCTION("""COMPUTED_VALUE"""),6082205.0)</f>
        <v>6082205</v>
      </c>
    </row>
    <row r="3469">
      <c r="A3469" s="2">
        <f>IFERROR(__xludf.DUMMYFUNCTION("""COMPUTED_VALUE"""),41561.666666666664)</f>
        <v>41561.66667</v>
      </c>
      <c r="B3469" s="1">
        <f>IFERROR(__xludf.DUMMYFUNCTION("""COMPUTED_VALUE"""),78.01)</f>
        <v>78.01</v>
      </c>
      <c r="C3469" s="1">
        <f>IFERROR(__xludf.DUMMYFUNCTION("""COMPUTED_VALUE"""),78.79)</f>
        <v>78.79</v>
      </c>
      <c r="D3469" s="1">
        <f>IFERROR(__xludf.DUMMYFUNCTION("""COMPUTED_VALUE"""),77.93)</f>
        <v>77.93</v>
      </c>
      <c r="E3469" s="1">
        <f>IFERROR(__xludf.DUMMYFUNCTION("""COMPUTED_VALUE"""),78.74)</f>
        <v>78.74</v>
      </c>
      <c r="F3469" s="1">
        <f>IFERROR(__xludf.DUMMYFUNCTION("""COMPUTED_VALUE"""),6326438.0)</f>
        <v>6326438</v>
      </c>
    </row>
    <row r="3470">
      <c r="A3470" s="2">
        <f>IFERROR(__xludf.DUMMYFUNCTION("""COMPUTED_VALUE"""),41562.666666666664)</f>
        <v>41562.66667</v>
      </c>
      <c r="B3470" s="1">
        <f>IFERROR(__xludf.DUMMYFUNCTION("""COMPUTED_VALUE"""),78.38)</f>
        <v>78.38</v>
      </c>
      <c r="C3470" s="1">
        <f>IFERROR(__xludf.DUMMYFUNCTION("""COMPUTED_VALUE"""),78.61)</f>
        <v>78.61</v>
      </c>
      <c r="D3470" s="1">
        <f>IFERROR(__xludf.DUMMYFUNCTION("""COMPUTED_VALUE"""),77.44)</f>
        <v>77.44</v>
      </c>
      <c r="E3470" s="1">
        <f>IFERROR(__xludf.DUMMYFUNCTION("""COMPUTED_VALUE"""),77.6)</f>
        <v>77.6</v>
      </c>
      <c r="F3470" s="1">
        <f>IFERROR(__xludf.DUMMYFUNCTION("""COMPUTED_VALUE"""),1.119641E7)</f>
        <v>11196410</v>
      </c>
    </row>
    <row r="3471">
      <c r="A3471" s="2">
        <f>IFERROR(__xludf.DUMMYFUNCTION("""COMPUTED_VALUE"""),41563.666666666664)</f>
        <v>41563.66667</v>
      </c>
      <c r="B3471" s="1">
        <f>IFERROR(__xludf.DUMMYFUNCTION("""COMPUTED_VALUE"""),77.35)</f>
        <v>77.35</v>
      </c>
      <c r="C3471" s="1">
        <f>IFERROR(__xludf.DUMMYFUNCTION("""COMPUTED_VALUE"""),78.49)</f>
        <v>78.49</v>
      </c>
      <c r="D3471" s="1">
        <f>IFERROR(__xludf.DUMMYFUNCTION("""COMPUTED_VALUE"""),77.26)</f>
        <v>77.26</v>
      </c>
      <c r="E3471" s="1">
        <f>IFERROR(__xludf.DUMMYFUNCTION("""COMPUTED_VALUE"""),78.34)</f>
        <v>78.34</v>
      </c>
      <c r="F3471" s="1">
        <f>IFERROR(__xludf.DUMMYFUNCTION("""COMPUTED_VALUE"""),6562630.0)</f>
        <v>6562630</v>
      </c>
    </row>
    <row r="3472">
      <c r="A3472" s="2">
        <f>IFERROR(__xludf.DUMMYFUNCTION("""COMPUTED_VALUE"""),41564.666666666664)</f>
        <v>41564.66667</v>
      </c>
      <c r="B3472" s="1">
        <f>IFERROR(__xludf.DUMMYFUNCTION("""COMPUTED_VALUE"""),78.19)</f>
        <v>78.19</v>
      </c>
      <c r="C3472" s="1">
        <f>IFERROR(__xludf.DUMMYFUNCTION("""COMPUTED_VALUE"""),79.47)</f>
        <v>79.47</v>
      </c>
      <c r="D3472" s="1">
        <f>IFERROR(__xludf.DUMMYFUNCTION("""COMPUTED_VALUE"""),77.98)</f>
        <v>77.98</v>
      </c>
      <c r="E3472" s="1">
        <f>IFERROR(__xludf.DUMMYFUNCTION("""COMPUTED_VALUE"""),79.42)</f>
        <v>79.42</v>
      </c>
      <c r="F3472" s="1">
        <f>IFERROR(__xludf.DUMMYFUNCTION("""COMPUTED_VALUE"""),8680030.0)</f>
        <v>8680030</v>
      </c>
    </row>
    <row r="3473">
      <c r="A3473" s="2">
        <f>IFERROR(__xludf.DUMMYFUNCTION("""COMPUTED_VALUE"""),41565.666666666664)</f>
        <v>41565.66667</v>
      </c>
      <c r="B3473" s="1">
        <f>IFERROR(__xludf.DUMMYFUNCTION("""COMPUTED_VALUE"""),79.39)</f>
        <v>79.39</v>
      </c>
      <c r="C3473" s="1">
        <f>IFERROR(__xludf.DUMMYFUNCTION("""COMPUTED_VALUE"""),79.57)</f>
        <v>79.57</v>
      </c>
      <c r="D3473" s="1">
        <f>IFERROR(__xludf.DUMMYFUNCTION("""COMPUTED_VALUE"""),78.78)</f>
        <v>78.78</v>
      </c>
      <c r="E3473" s="1">
        <f>IFERROR(__xludf.DUMMYFUNCTION("""COMPUTED_VALUE"""),79.41)</f>
        <v>79.41</v>
      </c>
      <c r="F3473" s="1">
        <f>IFERROR(__xludf.DUMMYFUNCTION("""COMPUTED_VALUE"""),7958537.0)</f>
        <v>7958537</v>
      </c>
    </row>
    <row r="3474">
      <c r="A3474" s="2">
        <f>IFERROR(__xludf.DUMMYFUNCTION("""COMPUTED_VALUE"""),41568.666666666664)</f>
        <v>41568.66667</v>
      </c>
      <c r="B3474" s="1">
        <f>IFERROR(__xludf.DUMMYFUNCTION("""COMPUTED_VALUE"""),79.27)</f>
        <v>79.27</v>
      </c>
      <c r="C3474" s="1">
        <f>IFERROR(__xludf.DUMMYFUNCTION("""COMPUTED_VALUE"""),79.32)</f>
        <v>79.32</v>
      </c>
      <c r="D3474" s="1">
        <f>IFERROR(__xludf.DUMMYFUNCTION("""COMPUTED_VALUE"""),78.44)</f>
        <v>78.44</v>
      </c>
      <c r="E3474" s="1">
        <f>IFERROR(__xludf.DUMMYFUNCTION("""COMPUTED_VALUE"""),78.97)</f>
        <v>78.97</v>
      </c>
      <c r="F3474" s="1">
        <f>IFERROR(__xludf.DUMMYFUNCTION("""COMPUTED_VALUE"""),6478713.0)</f>
        <v>6478713</v>
      </c>
    </row>
    <row r="3475">
      <c r="A3475" s="2">
        <f>IFERROR(__xludf.DUMMYFUNCTION("""COMPUTED_VALUE"""),41569.666666666664)</f>
        <v>41569.66667</v>
      </c>
      <c r="B3475" s="1">
        <f>IFERROR(__xludf.DUMMYFUNCTION("""COMPUTED_VALUE"""),79.31)</f>
        <v>79.31</v>
      </c>
      <c r="C3475" s="1">
        <f>IFERROR(__xludf.DUMMYFUNCTION("""COMPUTED_VALUE"""),80.61)</f>
        <v>80.61</v>
      </c>
      <c r="D3475" s="1">
        <f>IFERROR(__xludf.DUMMYFUNCTION("""COMPUTED_VALUE"""),79.28)</f>
        <v>79.28</v>
      </c>
      <c r="E3475" s="1">
        <f>IFERROR(__xludf.DUMMYFUNCTION("""COMPUTED_VALUE"""),80.38)</f>
        <v>80.38</v>
      </c>
      <c r="F3475" s="1">
        <f>IFERROR(__xludf.DUMMYFUNCTION("""COMPUTED_VALUE"""),9572290.0)</f>
        <v>9572290</v>
      </c>
    </row>
    <row r="3476">
      <c r="A3476" s="2">
        <f>IFERROR(__xludf.DUMMYFUNCTION("""COMPUTED_VALUE"""),41570.666666666664)</f>
        <v>41570.66667</v>
      </c>
      <c r="B3476" s="1">
        <f>IFERROR(__xludf.DUMMYFUNCTION("""COMPUTED_VALUE"""),80.34)</f>
        <v>80.34</v>
      </c>
      <c r="C3476" s="1">
        <f>IFERROR(__xludf.DUMMYFUNCTION("""COMPUTED_VALUE"""),81.25)</f>
        <v>81.25</v>
      </c>
      <c r="D3476" s="1">
        <f>IFERROR(__xludf.DUMMYFUNCTION("""COMPUTED_VALUE"""),80.25)</f>
        <v>80.25</v>
      </c>
      <c r="E3476" s="1">
        <f>IFERROR(__xludf.DUMMYFUNCTION("""COMPUTED_VALUE"""),80.91)</f>
        <v>80.91</v>
      </c>
      <c r="F3476" s="1">
        <f>IFERROR(__xludf.DUMMYFUNCTION("""COMPUTED_VALUE"""),8960893.0)</f>
        <v>8960893</v>
      </c>
    </row>
    <row r="3477">
      <c r="A3477" s="2">
        <f>IFERROR(__xludf.DUMMYFUNCTION("""COMPUTED_VALUE"""),41571.666666666664)</f>
        <v>41571.66667</v>
      </c>
      <c r="B3477" s="1">
        <f>IFERROR(__xludf.DUMMYFUNCTION("""COMPUTED_VALUE"""),80.77)</f>
        <v>80.77</v>
      </c>
      <c r="C3477" s="1">
        <f>IFERROR(__xludf.DUMMYFUNCTION("""COMPUTED_VALUE"""),80.95)</f>
        <v>80.95</v>
      </c>
      <c r="D3477" s="1">
        <f>IFERROR(__xludf.DUMMYFUNCTION("""COMPUTED_VALUE"""),80.25)</f>
        <v>80.25</v>
      </c>
      <c r="E3477" s="1">
        <f>IFERROR(__xludf.DUMMYFUNCTION("""COMPUTED_VALUE"""),80.61)</f>
        <v>80.61</v>
      </c>
      <c r="F3477" s="1">
        <f>IFERROR(__xludf.DUMMYFUNCTION("""COMPUTED_VALUE"""),7521080.0)</f>
        <v>7521080</v>
      </c>
    </row>
    <row r="3478">
      <c r="A3478" s="2">
        <f>IFERROR(__xludf.DUMMYFUNCTION("""COMPUTED_VALUE"""),41572.666666666664)</f>
        <v>41572.66667</v>
      </c>
      <c r="B3478" s="1">
        <f>IFERROR(__xludf.DUMMYFUNCTION("""COMPUTED_VALUE"""),80.55)</f>
        <v>80.55</v>
      </c>
      <c r="C3478" s="1">
        <f>IFERROR(__xludf.DUMMYFUNCTION("""COMPUTED_VALUE"""),80.72)</f>
        <v>80.72</v>
      </c>
      <c r="D3478" s="1">
        <f>IFERROR(__xludf.DUMMYFUNCTION("""COMPUTED_VALUE"""),79.51)</f>
        <v>79.51</v>
      </c>
      <c r="E3478" s="1">
        <f>IFERROR(__xludf.DUMMYFUNCTION("""COMPUTED_VALUE"""),80.0)</f>
        <v>80</v>
      </c>
      <c r="F3478" s="1">
        <f>IFERROR(__xludf.DUMMYFUNCTION("""COMPUTED_VALUE"""),9609227.0)</f>
        <v>9609227</v>
      </c>
    </row>
    <row r="3479">
      <c r="A3479" s="2">
        <f>IFERROR(__xludf.DUMMYFUNCTION("""COMPUTED_VALUE"""),41575.666666666664)</f>
        <v>41575.66667</v>
      </c>
      <c r="B3479" s="1">
        <f>IFERROR(__xludf.DUMMYFUNCTION("""COMPUTED_VALUE"""),80.11)</f>
        <v>80.11</v>
      </c>
      <c r="C3479" s="1">
        <f>IFERROR(__xludf.DUMMYFUNCTION("""COMPUTED_VALUE"""),81.86)</f>
        <v>81.86</v>
      </c>
      <c r="D3479" s="1">
        <f>IFERROR(__xludf.DUMMYFUNCTION("""COMPUTED_VALUE"""),79.95)</f>
        <v>79.95</v>
      </c>
      <c r="E3479" s="1">
        <f>IFERROR(__xludf.DUMMYFUNCTION("""COMPUTED_VALUE"""),81.3)</f>
        <v>81.3</v>
      </c>
      <c r="F3479" s="1">
        <f>IFERROR(__xludf.DUMMYFUNCTION("""COMPUTED_VALUE"""),9820850.0)</f>
        <v>9820850</v>
      </c>
    </row>
    <row r="3480">
      <c r="A3480" s="2">
        <f>IFERROR(__xludf.DUMMYFUNCTION("""COMPUTED_VALUE"""),41576.666666666664)</f>
        <v>41576.66667</v>
      </c>
      <c r="B3480" s="1">
        <f>IFERROR(__xludf.DUMMYFUNCTION("""COMPUTED_VALUE"""),81.46)</f>
        <v>81.46</v>
      </c>
      <c r="C3480" s="1">
        <f>IFERROR(__xludf.DUMMYFUNCTION("""COMPUTED_VALUE"""),82.62)</f>
        <v>82.62</v>
      </c>
      <c r="D3480" s="1">
        <f>IFERROR(__xludf.DUMMYFUNCTION("""COMPUTED_VALUE"""),81.1)</f>
        <v>81.1</v>
      </c>
      <c r="E3480" s="1">
        <f>IFERROR(__xludf.DUMMYFUNCTION("""COMPUTED_VALUE"""),82.46)</f>
        <v>82.46</v>
      </c>
      <c r="F3480" s="1">
        <f>IFERROR(__xludf.DUMMYFUNCTION("""COMPUTED_VALUE"""),9486314.0)</f>
        <v>9486314</v>
      </c>
    </row>
    <row r="3481">
      <c r="A3481" s="2">
        <f>IFERROR(__xludf.DUMMYFUNCTION("""COMPUTED_VALUE"""),41577.666666666664)</f>
        <v>41577.66667</v>
      </c>
      <c r="B3481" s="1">
        <f>IFERROR(__xludf.DUMMYFUNCTION("""COMPUTED_VALUE"""),82.53)</f>
        <v>82.53</v>
      </c>
      <c r="C3481" s="1">
        <f>IFERROR(__xludf.DUMMYFUNCTION("""COMPUTED_VALUE"""),82.56)</f>
        <v>82.56</v>
      </c>
      <c r="D3481" s="1">
        <f>IFERROR(__xludf.DUMMYFUNCTION("""COMPUTED_VALUE"""),81.23)</f>
        <v>81.23</v>
      </c>
      <c r="E3481" s="1">
        <f>IFERROR(__xludf.DUMMYFUNCTION("""COMPUTED_VALUE"""),81.52)</f>
        <v>81.52</v>
      </c>
      <c r="F3481" s="1">
        <f>IFERROR(__xludf.DUMMYFUNCTION("""COMPUTED_VALUE"""),6490020.0)</f>
        <v>6490020</v>
      </c>
    </row>
    <row r="3482">
      <c r="A3482" s="2">
        <f>IFERROR(__xludf.DUMMYFUNCTION("""COMPUTED_VALUE"""),41578.666666666664)</f>
        <v>41578.66667</v>
      </c>
      <c r="B3482" s="1">
        <f>IFERROR(__xludf.DUMMYFUNCTION("""COMPUTED_VALUE"""),81.2)</f>
        <v>81.2</v>
      </c>
      <c r="C3482" s="1">
        <f>IFERROR(__xludf.DUMMYFUNCTION("""COMPUTED_VALUE"""),81.6)</f>
        <v>81.6</v>
      </c>
      <c r="D3482" s="1">
        <f>IFERROR(__xludf.DUMMYFUNCTION("""COMPUTED_VALUE"""),80.72)</f>
        <v>80.72</v>
      </c>
      <c r="E3482" s="1">
        <f>IFERROR(__xludf.DUMMYFUNCTION("""COMPUTED_VALUE"""),80.75)</f>
        <v>80.75</v>
      </c>
      <c r="F3482" s="1">
        <f>IFERROR(__xludf.DUMMYFUNCTION("""COMPUTED_VALUE"""),7787020.0)</f>
        <v>7787020</v>
      </c>
    </row>
    <row r="3483">
      <c r="A3483" s="2">
        <f>IFERROR(__xludf.DUMMYFUNCTION("""COMPUTED_VALUE"""),41579.666666666664)</f>
        <v>41579.66667</v>
      </c>
      <c r="B3483" s="1">
        <f>IFERROR(__xludf.DUMMYFUNCTION("""COMPUTED_VALUE"""),80.68)</f>
        <v>80.68</v>
      </c>
      <c r="C3483" s="1">
        <f>IFERROR(__xludf.DUMMYFUNCTION("""COMPUTED_VALUE"""),81.33)</f>
        <v>81.33</v>
      </c>
      <c r="D3483" s="1">
        <f>IFERROR(__xludf.DUMMYFUNCTION("""COMPUTED_VALUE"""),80.64)</f>
        <v>80.64</v>
      </c>
      <c r="E3483" s="1">
        <f>IFERROR(__xludf.DUMMYFUNCTION("""COMPUTED_VALUE"""),81.15)</f>
        <v>81.15</v>
      </c>
      <c r="F3483" s="1">
        <f>IFERROR(__xludf.DUMMYFUNCTION("""COMPUTED_VALUE"""),6802298.0)</f>
        <v>6802298</v>
      </c>
    </row>
    <row r="3484">
      <c r="A3484" s="2">
        <f>IFERROR(__xludf.DUMMYFUNCTION("""COMPUTED_VALUE"""),41582.666666666664)</f>
        <v>41582.66667</v>
      </c>
      <c r="B3484" s="1">
        <f>IFERROR(__xludf.DUMMYFUNCTION("""COMPUTED_VALUE"""),81.46)</f>
        <v>81.46</v>
      </c>
      <c r="C3484" s="1">
        <f>IFERROR(__xludf.DUMMYFUNCTION("""COMPUTED_VALUE"""),81.73)</f>
        <v>81.73</v>
      </c>
      <c r="D3484" s="1">
        <f>IFERROR(__xludf.DUMMYFUNCTION("""COMPUTED_VALUE"""),80.91)</f>
        <v>80.91</v>
      </c>
      <c r="E3484" s="1">
        <f>IFERROR(__xludf.DUMMYFUNCTION("""COMPUTED_VALUE"""),81.33)</f>
        <v>81.33</v>
      </c>
      <c r="F3484" s="1">
        <f>IFERROR(__xludf.DUMMYFUNCTION("""COMPUTED_VALUE"""),5460057.0)</f>
        <v>5460057</v>
      </c>
    </row>
    <row r="3485">
      <c r="A3485" s="2">
        <f>IFERROR(__xludf.DUMMYFUNCTION("""COMPUTED_VALUE"""),41583.666666666664)</f>
        <v>41583.66667</v>
      </c>
      <c r="B3485" s="1">
        <f>IFERROR(__xludf.DUMMYFUNCTION("""COMPUTED_VALUE"""),81.13)</f>
        <v>81.13</v>
      </c>
      <c r="C3485" s="1">
        <f>IFERROR(__xludf.DUMMYFUNCTION("""COMPUTED_VALUE"""),81.74)</f>
        <v>81.74</v>
      </c>
      <c r="D3485" s="1">
        <f>IFERROR(__xludf.DUMMYFUNCTION("""COMPUTED_VALUE"""),80.85)</f>
        <v>80.85</v>
      </c>
      <c r="E3485" s="1">
        <f>IFERROR(__xludf.DUMMYFUNCTION("""COMPUTED_VALUE"""),81.43)</f>
        <v>81.43</v>
      </c>
      <c r="F3485" s="1">
        <f>IFERROR(__xludf.DUMMYFUNCTION("""COMPUTED_VALUE"""),4955703.0)</f>
        <v>4955703</v>
      </c>
    </row>
    <row r="3486">
      <c r="A3486" s="2">
        <f>IFERROR(__xludf.DUMMYFUNCTION("""COMPUTED_VALUE"""),41584.666666666664)</f>
        <v>41584.66667</v>
      </c>
      <c r="B3486" s="1">
        <f>IFERROR(__xludf.DUMMYFUNCTION("""COMPUTED_VALUE"""),81.64)</f>
        <v>81.64</v>
      </c>
      <c r="C3486" s="1">
        <f>IFERROR(__xludf.DUMMYFUNCTION("""COMPUTED_VALUE"""),83.1)</f>
        <v>83.1</v>
      </c>
      <c r="D3486" s="1">
        <f>IFERROR(__xludf.DUMMYFUNCTION("""COMPUTED_VALUE"""),81.33)</f>
        <v>81.33</v>
      </c>
      <c r="E3486" s="1">
        <f>IFERROR(__xludf.DUMMYFUNCTION("""COMPUTED_VALUE"""),82.81)</f>
        <v>82.81</v>
      </c>
      <c r="F3486" s="1">
        <f>IFERROR(__xludf.DUMMYFUNCTION("""COMPUTED_VALUE"""),9526386.0)</f>
        <v>9526386</v>
      </c>
    </row>
    <row r="3487">
      <c r="A3487" s="2">
        <f>IFERROR(__xludf.DUMMYFUNCTION("""COMPUTED_VALUE"""),41585.666666666664)</f>
        <v>41585.66667</v>
      </c>
      <c r="B3487" s="1">
        <f>IFERROR(__xludf.DUMMYFUNCTION("""COMPUTED_VALUE"""),82.91)</f>
        <v>82.91</v>
      </c>
      <c r="C3487" s="1">
        <f>IFERROR(__xludf.DUMMYFUNCTION("""COMPUTED_VALUE"""),83.1)</f>
        <v>83.1</v>
      </c>
      <c r="D3487" s="1">
        <f>IFERROR(__xludf.DUMMYFUNCTION("""COMPUTED_VALUE"""),82.11)</f>
        <v>82.11</v>
      </c>
      <c r="E3487" s="1">
        <f>IFERROR(__xludf.DUMMYFUNCTION("""COMPUTED_VALUE"""),82.32)</f>
        <v>82.32</v>
      </c>
      <c r="F3487" s="1">
        <f>IFERROR(__xludf.DUMMYFUNCTION("""COMPUTED_VALUE"""),1.0088088E7)</f>
        <v>10088088</v>
      </c>
    </row>
    <row r="3488">
      <c r="A3488" s="2">
        <f>IFERROR(__xludf.DUMMYFUNCTION("""COMPUTED_VALUE"""),41586.666666666664)</f>
        <v>41586.66667</v>
      </c>
      <c r="B3488" s="1">
        <f>IFERROR(__xludf.DUMMYFUNCTION("""COMPUTED_VALUE"""),82.28)</f>
        <v>82.28</v>
      </c>
      <c r="C3488" s="1">
        <f>IFERROR(__xludf.DUMMYFUNCTION("""COMPUTED_VALUE"""),82.57)</f>
        <v>82.57</v>
      </c>
      <c r="D3488" s="1">
        <f>IFERROR(__xludf.DUMMYFUNCTION("""COMPUTED_VALUE"""),81.67)</f>
        <v>81.67</v>
      </c>
      <c r="E3488" s="1">
        <f>IFERROR(__xludf.DUMMYFUNCTION("""COMPUTED_VALUE"""),82.51)</f>
        <v>82.51</v>
      </c>
      <c r="F3488" s="1">
        <f>IFERROR(__xludf.DUMMYFUNCTION("""COMPUTED_VALUE"""),9768464.0)</f>
        <v>9768464</v>
      </c>
    </row>
    <row r="3489">
      <c r="A3489" s="2">
        <f>IFERROR(__xludf.DUMMYFUNCTION("""COMPUTED_VALUE"""),41589.666666666664)</f>
        <v>41589.66667</v>
      </c>
      <c r="B3489" s="1">
        <f>IFERROR(__xludf.DUMMYFUNCTION("""COMPUTED_VALUE"""),82.35)</f>
        <v>82.35</v>
      </c>
      <c r="C3489" s="1">
        <f>IFERROR(__xludf.DUMMYFUNCTION("""COMPUTED_VALUE"""),82.68)</f>
        <v>82.68</v>
      </c>
      <c r="D3489" s="1">
        <f>IFERROR(__xludf.DUMMYFUNCTION("""COMPUTED_VALUE"""),82.02)</f>
        <v>82.02</v>
      </c>
      <c r="E3489" s="1">
        <f>IFERROR(__xludf.DUMMYFUNCTION("""COMPUTED_VALUE"""),82.26)</f>
        <v>82.26</v>
      </c>
      <c r="F3489" s="1">
        <f>IFERROR(__xludf.DUMMYFUNCTION("""COMPUTED_VALUE"""),6173611.0)</f>
        <v>6173611</v>
      </c>
    </row>
    <row r="3490">
      <c r="A3490" s="2">
        <f>IFERROR(__xludf.DUMMYFUNCTION("""COMPUTED_VALUE"""),41590.666666666664)</f>
        <v>41590.66667</v>
      </c>
      <c r="B3490" s="1">
        <f>IFERROR(__xludf.DUMMYFUNCTION("""COMPUTED_VALUE"""),82.23)</f>
        <v>82.23</v>
      </c>
      <c r="C3490" s="1">
        <f>IFERROR(__xludf.DUMMYFUNCTION("""COMPUTED_VALUE"""),83.04)</f>
        <v>83.04</v>
      </c>
      <c r="D3490" s="1">
        <f>IFERROR(__xludf.DUMMYFUNCTION("""COMPUTED_VALUE"""),82.12)</f>
        <v>82.12</v>
      </c>
      <c r="E3490" s="1">
        <f>IFERROR(__xludf.DUMMYFUNCTION("""COMPUTED_VALUE"""),82.8)</f>
        <v>82.8</v>
      </c>
      <c r="F3490" s="1">
        <f>IFERROR(__xludf.DUMMYFUNCTION("""COMPUTED_VALUE"""),8201719.0)</f>
        <v>8201719</v>
      </c>
    </row>
    <row r="3491">
      <c r="A3491" s="2">
        <f>IFERROR(__xludf.DUMMYFUNCTION("""COMPUTED_VALUE"""),41591.666666666664)</f>
        <v>41591.66667</v>
      </c>
      <c r="B3491" s="1">
        <f>IFERROR(__xludf.DUMMYFUNCTION("""COMPUTED_VALUE"""),82.57)</f>
        <v>82.57</v>
      </c>
      <c r="C3491" s="1">
        <f>IFERROR(__xludf.DUMMYFUNCTION("""COMPUTED_VALUE"""),83.5)</f>
        <v>83.5</v>
      </c>
      <c r="D3491" s="1">
        <f>IFERROR(__xludf.DUMMYFUNCTION("""COMPUTED_VALUE"""),82.46)</f>
        <v>82.46</v>
      </c>
      <c r="E3491" s="1">
        <f>IFERROR(__xludf.DUMMYFUNCTION("""COMPUTED_VALUE"""),83.5)</f>
        <v>83.5</v>
      </c>
      <c r="F3491" s="1">
        <f>IFERROR(__xludf.DUMMYFUNCTION("""COMPUTED_VALUE"""),7582173.0)</f>
        <v>7582173</v>
      </c>
    </row>
    <row r="3492">
      <c r="A3492" s="2">
        <f>IFERROR(__xludf.DUMMYFUNCTION("""COMPUTED_VALUE"""),41592.666666666664)</f>
        <v>41592.66667</v>
      </c>
      <c r="B3492" s="1">
        <f>IFERROR(__xludf.DUMMYFUNCTION("""COMPUTED_VALUE"""),83.43)</f>
        <v>83.43</v>
      </c>
      <c r="C3492" s="1">
        <f>IFERROR(__xludf.DUMMYFUNCTION("""COMPUTED_VALUE"""),84.46)</f>
        <v>84.46</v>
      </c>
      <c r="D3492" s="1">
        <f>IFERROR(__xludf.DUMMYFUNCTION("""COMPUTED_VALUE"""),83.43)</f>
        <v>83.43</v>
      </c>
      <c r="E3492" s="1">
        <f>IFERROR(__xludf.DUMMYFUNCTION("""COMPUTED_VALUE"""),84.32)</f>
        <v>84.32</v>
      </c>
      <c r="F3492" s="1">
        <f>IFERROR(__xludf.DUMMYFUNCTION("""COMPUTED_VALUE"""),7586099.0)</f>
        <v>7586099</v>
      </c>
    </row>
    <row r="3493">
      <c r="A3493" s="2">
        <f>IFERROR(__xludf.DUMMYFUNCTION("""COMPUTED_VALUE"""),41593.666666666664)</f>
        <v>41593.66667</v>
      </c>
      <c r="B3493" s="1">
        <f>IFERROR(__xludf.DUMMYFUNCTION("""COMPUTED_VALUE"""),84.17)</f>
        <v>84.17</v>
      </c>
      <c r="C3493" s="1">
        <f>IFERROR(__xludf.DUMMYFUNCTION("""COMPUTED_VALUE"""),84.92)</f>
        <v>84.92</v>
      </c>
      <c r="D3493" s="1">
        <f>IFERROR(__xludf.DUMMYFUNCTION("""COMPUTED_VALUE"""),84.16)</f>
        <v>84.16</v>
      </c>
      <c r="E3493" s="1">
        <f>IFERROR(__xludf.DUMMYFUNCTION("""COMPUTED_VALUE"""),84.84)</f>
        <v>84.84</v>
      </c>
      <c r="F3493" s="1">
        <f>IFERROR(__xludf.DUMMYFUNCTION("""COMPUTED_VALUE"""),9671264.0)</f>
        <v>9671264</v>
      </c>
    </row>
    <row r="3494">
      <c r="A3494" s="2">
        <f>IFERROR(__xludf.DUMMYFUNCTION("""COMPUTED_VALUE"""),41596.666666666664)</f>
        <v>41596.66667</v>
      </c>
      <c r="B3494" s="1">
        <f>IFERROR(__xludf.DUMMYFUNCTION("""COMPUTED_VALUE"""),84.79)</f>
        <v>84.79</v>
      </c>
      <c r="C3494" s="1">
        <f>IFERROR(__xludf.DUMMYFUNCTION("""COMPUTED_VALUE"""),84.94)</f>
        <v>84.94</v>
      </c>
      <c r="D3494" s="1">
        <f>IFERROR(__xludf.DUMMYFUNCTION("""COMPUTED_VALUE"""),84.18)</f>
        <v>84.18</v>
      </c>
      <c r="E3494" s="1">
        <f>IFERROR(__xludf.DUMMYFUNCTION("""COMPUTED_VALUE"""),84.57)</f>
        <v>84.57</v>
      </c>
      <c r="F3494" s="1">
        <f>IFERROR(__xludf.DUMMYFUNCTION("""COMPUTED_VALUE"""),8507338.0)</f>
        <v>8507338</v>
      </c>
    </row>
    <row r="3495">
      <c r="A3495" s="2">
        <f>IFERROR(__xludf.DUMMYFUNCTION("""COMPUTED_VALUE"""),41597.666666666664)</f>
        <v>41597.66667</v>
      </c>
      <c r="B3495" s="1">
        <f>IFERROR(__xludf.DUMMYFUNCTION("""COMPUTED_VALUE"""),84.31)</f>
        <v>84.31</v>
      </c>
      <c r="C3495" s="1">
        <f>IFERROR(__xludf.DUMMYFUNCTION("""COMPUTED_VALUE"""),84.59)</f>
        <v>84.59</v>
      </c>
      <c r="D3495" s="1">
        <f>IFERROR(__xludf.DUMMYFUNCTION("""COMPUTED_VALUE"""),84.21)</f>
        <v>84.21</v>
      </c>
      <c r="E3495" s="1">
        <f>IFERROR(__xludf.DUMMYFUNCTION("""COMPUTED_VALUE"""),84.34)</f>
        <v>84.34</v>
      </c>
      <c r="F3495" s="1">
        <f>IFERROR(__xludf.DUMMYFUNCTION("""COMPUTED_VALUE"""),7924211.0)</f>
        <v>7924211</v>
      </c>
    </row>
    <row r="3496">
      <c r="A3496" s="2">
        <f>IFERROR(__xludf.DUMMYFUNCTION("""COMPUTED_VALUE"""),41598.666666666664)</f>
        <v>41598.66667</v>
      </c>
      <c r="B3496" s="1">
        <f>IFERROR(__xludf.DUMMYFUNCTION("""COMPUTED_VALUE"""),84.31)</f>
        <v>84.31</v>
      </c>
      <c r="C3496" s="1">
        <f>IFERROR(__xludf.DUMMYFUNCTION("""COMPUTED_VALUE"""),84.98)</f>
        <v>84.98</v>
      </c>
      <c r="D3496" s="1">
        <f>IFERROR(__xludf.DUMMYFUNCTION("""COMPUTED_VALUE"""),84.24)</f>
        <v>84.24</v>
      </c>
      <c r="E3496" s="1">
        <f>IFERROR(__xludf.DUMMYFUNCTION("""COMPUTED_VALUE"""),84.69)</f>
        <v>84.69</v>
      </c>
      <c r="F3496" s="1">
        <f>IFERROR(__xludf.DUMMYFUNCTION("""COMPUTED_VALUE"""),7680871.0)</f>
        <v>7680871</v>
      </c>
    </row>
    <row r="3497">
      <c r="A3497" s="2">
        <f>IFERROR(__xludf.DUMMYFUNCTION("""COMPUTED_VALUE"""),41599.666666666664)</f>
        <v>41599.66667</v>
      </c>
      <c r="B3497" s="1">
        <f>IFERROR(__xludf.DUMMYFUNCTION("""COMPUTED_VALUE"""),84.84)</f>
        <v>84.84</v>
      </c>
      <c r="C3497" s="1">
        <f>IFERROR(__xludf.DUMMYFUNCTION("""COMPUTED_VALUE"""),84.89)</f>
        <v>84.89</v>
      </c>
      <c r="D3497" s="1">
        <f>IFERROR(__xludf.DUMMYFUNCTION("""COMPUTED_VALUE"""),84.51)</f>
        <v>84.51</v>
      </c>
      <c r="E3497" s="1">
        <f>IFERROR(__xludf.DUMMYFUNCTION("""COMPUTED_VALUE"""),84.67)</f>
        <v>84.67</v>
      </c>
      <c r="F3497" s="1">
        <f>IFERROR(__xludf.DUMMYFUNCTION("""COMPUTED_VALUE"""),7289111.0)</f>
        <v>7289111</v>
      </c>
    </row>
    <row r="3498">
      <c r="A3498" s="2">
        <f>IFERROR(__xludf.DUMMYFUNCTION("""COMPUTED_VALUE"""),41600.666666666664)</f>
        <v>41600.66667</v>
      </c>
      <c r="B3498" s="1">
        <f>IFERROR(__xludf.DUMMYFUNCTION("""COMPUTED_VALUE"""),84.53)</f>
        <v>84.53</v>
      </c>
      <c r="C3498" s="1">
        <f>IFERROR(__xludf.DUMMYFUNCTION("""COMPUTED_VALUE"""),85.0)</f>
        <v>85</v>
      </c>
      <c r="D3498" s="1">
        <f>IFERROR(__xludf.DUMMYFUNCTION("""COMPUTED_VALUE"""),84.23)</f>
        <v>84.23</v>
      </c>
      <c r="E3498" s="1">
        <f>IFERROR(__xludf.DUMMYFUNCTION("""COMPUTED_VALUE"""),84.95)</f>
        <v>84.95</v>
      </c>
      <c r="F3498" s="1">
        <f>IFERROR(__xludf.DUMMYFUNCTION("""COMPUTED_VALUE"""),7436283.0)</f>
        <v>7436283</v>
      </c>
    </row>
    <row r="3499">
      <c r="A3499" s="2">
        <f>IFERROR(__xludf.DUMMYFUNCTION("""COMPUTED_VALUE"""),41603.666666666664)</f>
        <v>41603.66667</v>
      </c>
      <c r="B3499" s="1">
        <f>IFERROR(__xludf.DUMMYFUNCTION("""COMPUTED_VALUE"""),84.96)</f>
        <v>84.96</v>
      </c>
      <c r="C3499" s="1">
        <f>IFERROR(__xludf.DUMMYFUNCTION("""COMPUTED_VALUE"""),85.82)</f>
        <v>85.82</v>
      </c>
      <c r="D3499" s="1">
        <f>IFERROR(__xludf.DUMMYFUNCTION("""COMPUTED_VALUE"""),84.85)</f>
        <v>84.85</v>
      </c>
      <c r="E3499" s="1">
        <f>IFERROR(__xludf.DUMMYFUNCTION("""COMPUTED_VALUE"""),85.41)</f>
        <v>85.41</v>
      </c>
      <c r="F3499" s="1">
        <f>IFERROR(__xludf.DUMMYFUNCTION("""COMPUTED_VALUE"""),9670468.0)</f>
        <v>9670468</v>
      </c>
    </row>
    <row r="3500">
      <c r="A3500" s="2">
        <f>IFERROR(__xludf.DUMMYFUNCTION("""COMPUTED_VALUE"""),41604.666666666664)</f>
        <v>41604.66667</v>
      </c>
      <c r="B3500" s="1">
        <f>IFERROR(__xludf.DUMMYFUNCTION("""COMPUTED_VALUE"""),85.2)</f>
        <v>85.2</v>
      </c>
      <c r="C3500" s="1">
        <f>IFERROR(__xludf.DUMMYFUNCTION("""COMPUTED_VALUE"""),85.76)</f>
        <v>85.76</v>
      </c>
      <c r="D3500" s="1">
        <f>IFERROR(__xludf.DUMMYFUNCTION("""COMPUTED_VALUE"""),84.64)</f>
        <v>84.64</v>
      </c>
      <c r="E3500" s="1">
        <f>IFERROR(__xludf.DUMMYFUNCTION("""COMPUTED_VALUE"""),84.64)</f>
        <v>84.64</v>
      </c>
      <c r="F3500" s="1">
        <f>IFERROR(__xludf.DUMMYFUNCTION("""COMPUTED_VALUE"""),7111828.0)</f>
        <v>7111828</v>
      </c>
    </row>
    <row r="3501">
      <c r="A3501" s="2">
        <f>IFERROR(__xludf.DUMMYFUNCTION("""COMPUTED_VALUE"""),41605.666666666664)</f>
        <v>41605.66667</v>
      </c>
      <c r="B3501" s="1">
        <f>IFERROR(__xludf.DUMMYFUNCTION("""COMPUTED_VALUE"""),84.88)</f>
        <v>84.88</v>
      </c>
      <c r="C3501" s="1">
        <f>IFERROR(__xludf.DUMMYFUNCTION("""COMPUTED_VALUE"""),84.89)</f>
        <v>84.89</v>
      </c>
      <c r="D3501" s="1">
        <f>IFERROR(__xludf.DUMMYFUNCTION("""COMPUTED_VALUE"""),84.02)</f>
        <v>84.02</v>
      </c>
      <c r="E3501" s="1">
        <f>IFERROR(__xludf.DUMMYFUNCTION("""COMPUTED_VALUE"""),84.28)</f>
        <v>84.28</v>
      </c>
      <c r="F3501" s="1">
        <f>IFERROR(__xludf.DUMMYFUNCTION("""COMPUTED_VALUE"""),4905048.0)</f>
        <v>4905048</v>
      </c>
    </row>
    <row r="3502">
      <c r="A3502" s="2">
        <f>IFERROR(__xludf.DUMMYFUNCTION("""COMPUTED_VALUE"""),41607.666666666664)</f>
        <v>41607.66667</v>
      </c>
      <c r="B3502" s="1">
        <f>IFERROR(__xludf.DUMMYFUNCTION("""COMPUTED_VALUE"""),84.77)</f>
        <v>84.77</v>
      </c>
      <c r="C3502" s="1">
        <f>IFERROR(__xludf.DUMMYFUNCTION("""COMPUTED_VALUE"""),85.21)</f>
        <v>85.21</v>
      </c>
      <c r="D3502" s="1">
        <f>IFERROR(__xludf.DUMMYFUNCTION("""COMPUTED_VALUE"""),84.15)</f>
        <v>84.15</v>
      </c>
      <c r="E3502" s="1">
        <f>IFERROR(__xludf.DUMMYFUNCTION("""COMPUTED_VALUE"""),84.22)</f>
        <v>84.22</v>
      </c>
      <c r="F3502" s="1">
        <f>IFERROR(__xludf.DUMMYFUNCTION("""COMPUTED_VALUE"""),4954483.0)</f>
        <v>4954483</v>
      </c>
    </row>
    <row r="3503">
      <c r="A3503" s="2">
        <f>IFERROR(__xludf.DUMMYFUNCTION("""COMPUTED_VALUE"""),41610.666666666664)</f>
        <v>41610.66667</v>
      </c>
      <c r="B3503" s="1">
        <f>IFERROR(__xludf.DUMMYFUNCTION("""COMPUTED_VALUE"""),84.04)</f>
        <v>84.04</v>
      </c>
      <c r="C3503" s="1">
        <f>IFERROR(__xludf.DUMMYFUNCTION("""COMPUTED_VALUE"""),84.15)</f>
        <v>84.15</v>
      </c>
      <c r="D3503" s="1">
        <f>IFERROR(__xludf.DUMMYFUNCTION("""COMPUTED_VALUE"""),83.1)</f>
        <v>83.1</v>
      </c>
      <c r="E3503" s="1">
        <f>IFERROR(__xludf.DUMMYFUNCTION("""COMPUTED_VALUE"""),83.34)</f>
        <v>83.34</v>
      </c>
      <c r="F3503" s="1">
        <f>IFERROR(__xludf.DUMMYFUNCTION("""COMPUTED_VALUE"""),7497468.0)</f>
        <v>7497468</v>
      </c>
    </row>
    <row r="3504">
      <c r="A3504" s="2">
        <f>IFERROR(__xludf.DUMMYFUNCTION("""COMPUTED_VALUE"""),41611.666666666664)</f>
        <v>41611.66667</v>
      </c>
      <c r="B3504" s="1">
        <f>IFERROR(__xludf.DUMMYFUNCTION("""COMPUTED_VALUE"""),83.3)</f>
        <v>83.3</v>
      </c>
      <c r="C3504" s="1">
        <f>IFERROR(__xludf.DUMMYFUNCTION("""COMPUTED_VALUE"""),84.0)</f>
        <v>84</v>
      </c>
      <c r="D3504" s="1">
        <f>IFERROR(__xludf.DUMMYFUNCTION("""COMPUTED_VALUE"""),83.23)</f>
        <v>83.23</v>
      </c>
      <c r="E3504" s="1">
        <f>IFERROR(__xludf.DUMMYFUNCTION("""COMPUTED_VALUE"""),83.83)</f>
        <v>83.83</v>
      </c>
      <c r="F3504" s="1">
        <f>IFERROR(__xludf.DUMMYFUNCTION("""COMPUTED_VALUE"""),7533242.0)</f>
        <v>7533242</v>
      </c>
    </row>
    <row r="3505">
      <c r="A3505" s="2">
        <f>IFERROR(__xludf.DUMMYFUNCTION("""COMPUTED_VALUE"""),41612.666666666664)</f>
        <v>41612.66667</v>
      </c>
      <c r="B3505" s="1">
        <f>IFERROR(__xludf.DUMMYFUNCTION("""COMPUTED_VALUE"""),83.38)</f>
        <v>83.38</v>
      </c>
      <c r="C3505" s="1">
        <f>IFERROR(__xludf.DUMMYFUNCTION("""COMPUTED_VALUE"""),83.49)</f>
        <v>83.49</v>
      </c>
      <c r="D3505" s="1">
        <f>IFERROR(__xludf.DUMMYFUNCTION("""COMPUTED_VALUE"""),82.59)</f>
        <v>82.59</v>
      </c>
      <c r="E3505" s="1">
        <f>IFERROR(__xludf.DUMMYFUNCTION("""COMPUTED_VALUE"""),83.35)</f>
        <v>83.35</v>
      </c>
      <c r="F3505" s="1">
        <f>IFERROR(__xludf.DUMMYFUNCTION("""COMPUTED_VALUE"""),6807176.0)</f>
        <v>6807176</v>
      </c>
    </row>
    <row r="3506">
      <c r="A3506" s="2">
        <f>IFERROR(__xludf.DUMMYFUNCTION("""COMPUTED_VALUE"""),41613.666666666664)</f>
        <v>41613.66667</v>
      </c>
      <c r="B3506" s="1">
        <f>IFERROR(__xludf.DUMMYFUNCTION("""COMPUTED_VALUE"""),83.39)</f>
        <v>83.39</v>
      </c>
      <c r="C3506" s="1">
        <f>IFERROR(__xludf.DUMMYFUNCTION("""COMPUTED_VALUE"""),83.45)</f>
        <v>83.45</v>
      </c>
      <c r="D3506" s="1">
        <f>IFERROR(__xludf.DUMMYFUNCTION("""COMPUTED_VALUE"""),82.3)</f>
        <v>82.3</v>
      </c>
      <c r="E3506" s="1">
        <f>IFERROR(__xludf.DUMMYFUNCTION("""COMPUTED_VALUE"""),82.69)</f>
        <v>82.69</v>
      </c>
      <c r="F3506" s="1">
        <f>IFERROR(__xludf.DUMMYFUNCTION("""COMPUTED_VALUE"""),8186604.0)</f>
        <v>8186604</v>
      </c>
    </row>
    <row r="3507">
      <c r="A3507" s="2">
        <f>IFERROR(__xludf.DUMMYFUNCTION("""COMPUTED_VALUE"""),41614.666666666664)</f>
        <v>41614.66667</v>
      </c>
      <c r="B3507" s="1">
        <f>IFERROR(__xludf.DUMMYFUNCTION("""COMPUTED_VALUE"""),83.23)</f>
        <v>83.23</v>
      </c>
      <c r="C3507" s="1">
        <f>IFERROR(__xludf.DUMMYFUNCTION("""COMPUTED_VALUE"""),84.53)</f>
        <v>84.53</v>
      </c>
      <c r="D3507" s="1">
        <f>IFERROR(__xludf.DUMMYFUNCTION("""COMPUTED_VALUE"""),83.17)</f>
        <v>83.17</v>
      </c>
      <c r="E3507" s="1">
        <f>IFERROR(__xludf.DUMMYFUNCTION("""COMPUTED_VALUE"""),84.52)</f>
        <v>84.52</v>
      </c>
      <c r="F3507" s="1">
        <f>IFERROR(__xludf.DUMMYFUNCTION("""COMPUTED_VALUE"""),7195873.0)</f>
        <v>7195873</v>
      </c>
    </row>
    <row r="3508">
      <c r="A3508" s="2">
        <f>IFERROR(__xludf.DUMMYFUNCTION("""COMPUTED_VALUE"""),41617.666666666664)</f>
        <v>41617.66667</v>
      </c>
      <c r="B3508" s="1">
        <f>IFERROR(__xludf.DUMMYFUNCTION("""COMPUTED_VALUE"""),84.48)</f>
        <v>84.48</v>
      </c>
      <c r="C3508" s="1">
        <f>IFERROR(__xludf.DUMMYFUNCTION("""COMPUTED_VALUE"""),84.94)</f>
        <v>84.94</v>
      </c>
      <c r="D3508" s="1">
        <f>IFERROR(__xludf.DUMMYFUNCTION("""COMPUTED_VALUE"""),84.34)</f>
        <v>84.34</v>
      </c>
      <c r="E3508" s="1">
        <f>IFERROR(__xludf.DUMMYFUNCTION("""COMPUTED_VALUE"""),84.78)</f>
        <v>84.78</v>
      </c>
      <c r="F3508" s="1">
        <f>IFERROR(__xludf.DUMMYFUNCTION("""COMPUTED_VALUE"""),7395478.0)</f>
        <v>7395478</v>
      </c>
    </row>
    <row r="3509">
      <c r="A3509" s="2">
        <f>IFERROR(__xludf.DUMMYFUNCTION("""COMPUTED_VALUE"""),41618.666666666664)</f>
        <v>41618.66667</v>
      </c>
      <c r="B3509" s="1">
        <f>IFERROR(__xludf.DUMMYFUNCTION("""COMPUTED_VALUE"""),84.41)</f>
        <v>84.41</v>
      </c>
      <c r="C3509" s="1">
        <f>IFERROR(__xludf.DUMMYFUNCTION("""COMPUTED_VALUE"""),84.43)</f>
        <v>84.43</v>
      </c>
      <c r="D3509" s="1">
        <f>IFERROR(__xludf.DUMMYFUNCTION("""COMPUTED_VALUE"""),83.43)</f>
        <v>83.43</v>
      </c>
      <c r="E3509" s="1">
        <f>IFERROR(__xludf.DUMMYFUNCTION("""COMPUTED_VALUE"""),83.65)</f>
        <v>83.65</v>
      </c>
      <c r="F3509" s="1">
        <f>IFERROR(__xludf.DUMMYFUNCTION("""COMPUTED_VALUE"""),7377576.0)</f>
        <v>7377576</v>
      </c>
    </row>
    <row r="3510">
      <c r="A3510" s="2">
        <f>IFERROR(__xludf.DUMMYFUNCTION("""COMPUTED_VALUE"""),41619.666666666664)</f>
        <v>41619.66667</v>
      </c>
      <c r="B3510" s="1">
        <f>IFERROR(__xludf.DUMMYFUNCTION("""COMPUTED_VALUE"""),83.74)</f>
        <v>83.74</v>
      </c>
      <c r="C3510" s="1">
        <f>IFERROR(__xludf.DUMMYFUNCTION("""COMPUTED_VALUE"""),84.5)</f>
        <v>84.5</v>
      </c>
      <c r="D3510" s="1">
        <f>IFERROR(__xludf.DUMMYFUNCTION("""COMPUTED_VALUE"""),83.61)</f>
        <v>83.61</v>
      </c>
      <c r="E3510" s="1">
        <f>IFERROR(__xludf.DUMMYFUNCTION("""COMPUTED_VALUE"""),84.02)</f>
        <v>84.02</v>
      </c>
      <c r="F3510" s="1">
        <f>IFERROR(__xludf.DUMMYFUNCTION("""COMPUTED_VALUE"""),9787857.0)</f>
        <v>9787857</v>
      </c>
    </row>
    <row r="3511">
      <c r="A3511" s="2">
        <f>IFERROR(__xludf.DUMMYFUNCTION("""COMPUTED_VALUE"""),41620.666666666664)</f>
        <v>41620.66667</v>
      </c>
      <c r="B3511" s="1">
        <f>IFERROR(__xludf.DUMMYFUNCTION("""COMPUTED_VALUE"""),83.82)</f>
        <v>83.82</v>
      </c>
      <c r="C3511" s="1">
        <f>IFERROR(__xludf.DUMMYFUNCTION("""COMPUTED_VALUE"""),83.87)</f>
        <v>83.87</v>
      </c>
      <c r="D3511" s="1">
        <f>IFERROR(__xludf.DUMMYFUNCTION("""COMPUTED_VALUE"""),81.93)</f>
        <v>81.93</v>
      </c>
      <c r="E3511" s="1">
        <f>IFERROR(__xludf.DUMMYFUNCTION("""COMPUTED_VALUE"""),82.3)</f>
        <v>82.3</v>
      </c>
      <c r="F3511" s="1">
        <f>IFERROR(__xludf.DUMMYFUNCTION("""COMPUTED_VALUE"""),1.017625E7)</f>
        <v>10176250</v>
      </c>
    </row>
    <row r="3512">
      <c r="A3512" s="2">
        <f>IFERROR(__xludf.DUMMYFUNCTION("""COMPUTED_VALUE"""),41621.666666666664)</f>
        <v>41621.66667</v>
      </c>
      <c r="B3512" s="1">
        <f>IFERROR(__xludf.DUMMYFUNCTION("""COMPUTED_VALUE"""),82.32)</f>
        <v>82.32</v>
      </c>
      <c r="C3512" s="1">
        <f>IFERROR(__xludf.DUMMYFUNCTION("""COMPUTED_VALUE"""),82.46)</f>
        <v>82.46</v>
      </c>
      <c r="D3512" s="1">
        <f>IFERROR(__xludf.DUMMYFUNCTION("""COMPUTED_VALUE"""),81.56)</f>
        <v>81.56</v>
      </c>
      <c r="E3512" s="1">
        <f>IFERROR(__xludf.DUMMYFUNCTION("""COMPUTED_VALUE"""),82.37)</f>
        <v>82.37</v>
      </c>
      <c r="F3512" s="1">
        <f>IFERROR(__xludf.DUMMYFUNCTION("""COMPUTED_VALUE"""),7441760.0)</f>
        <v>7441760</v>
      </c>
    </row>
    <row r="3513">
      <c r="A3513" s="2">
        <f>IFERROR(__xludf.DUMMYFUNCTION("""COMPUTED_VALUE"""),41624.666666666664)</f>
        <v>41624.66667</v>
      </c>
      <c r="B3513" s="1">
        <f>IFERROR(__xludf.DUMMYFUNCTION("""COMPUTED_VALUE"""),82.72)</f>
        <v>82.72</v>
      </c>
      <c r="C3513" s="1">
        <f>IFERROR(__xludf.DUMMYFUNCTION("""COMPUTED_VALUE"""),83.07)</f>
        <v>83.07</v>
      </c>
      <c r="D3513" s="1">
        <f>IFERROR(__xludf.DUMMYFUNCTION("""COMPUTED_VALUE"""),81.6)</f>
        <v>81.6</v>
      </c>
      <c r="E3513" s="1">
        <f>IFERROR(__xludf.DUMMYFUNCTION("""COMPUTED_VALUE"""),81.69)</f>
        <v>81.69</v>
      </c>
      <c r="F3513" s="1">
        <f>IFERROR(__xludf.DUMMYFUNCTION("""COMPUTED_VALUE"""),8849683.0)</f>
        <v>8849683</v>
      </c>
    </row>
    <row r="3514">
      <c r="A3514" s="2">
        <f>IFERROR(__xludf.DUMMYFUNCTION("""COMPUTED_VALUE"""),41625.666666666664)</f>
        <v>41625.66667</v>
      </c>
      <c r="B3514" s="1">
        <f>IFERROR(__xludf.DUMMYFUNCTION("""COMPUTED_VALUE"""),81.79)</f>
        <v>81.79</v>
      </c>
      <c r="C3514" s="1">
        <f>IFERROR(__xludf.DUMMYFUNCTION("""COMPUTED_VALUE"""),81.85)</f>
        <v>81.85</v>
      </c>
      <c r="D3514" s="1">
        <f>IFERROR(__xludf.DUMMYFUNCTION("""COMPUTED_VALUE"""),80.69)</f>
        <v>80.69</v>
      </c>
      <c r="E3514" s="1">
        <f>IFERROR(__xludf.DUMMYFUNCTION("""COMPUTED_VALUE"""),80.91)</f>
        <v>80.91</v>
      </c>
      <c r="F3514" s="1">
        <f>IFERROR(__xludf.DUMMYFUNCTION("""COMPUTED_VALUE"""),1.1416357E7)</f>
        <v>11416357</v>
      </c>
    </row>
    <row r="3515">
      <c r="A3515" s="2">
        <f>IFERROR(__xludf.DUMMYFUNCTION("""COMPUTED_VALUE"""),41626.666666666664)</f>
        <v>41626.66667</v>
      </c>
      <c r="B3515" s="1">
        <f>IFERROR(__xludf.DUMMYFUNCTION("""COMPUTED_VALUE"""),81.21)</f>
        <v>81.21</v>
      </c>
      <c r="C3515" s="1">
        <f>IFERROR(__xludf.DUMMYFUNCTION("""COMPUTED_VALUE"""),82.42)</f>
        <v>82.42</v>
      </c>
      <c r="D3515" s="1">
        <f>IFERROR(__xludf.DUMMYFUNCTION("""COMPUTED_VALUE"""),80.48)</f>
        <v>80.48</v>
      </c>
      <c r="E3515" s="1">
        <f>IFERROR(__xludf.DUMMYFUNCTION("""COMPUTED_VALUE"""),82.38)</f>
        <v>82.38</v>
      </c>
      <c r="F3515" s="1">
        <f>IFERROR(__xludf.DUMMYFUNCTION("""COMPUTED_VALUE"""),1.2037277E7)</f>
        <v>12037277</v>
      </c>
    </row>
    <row r="3516">
      <c r="A3516" s="2">
        <f>IFERROR(__xludf.DUMMYFUNCTION("""COMPUTED_VALUE"""),41627.666666666664)</f>
        <v>41627.66667</v>
      </c>
      <c r="B3516" s="1">
        <f>IFERROR(__xludf.DUMMYFUNCTION("""COMPUTED_VALUE"""),81.98)</f>
        <v>81.98</v>
      </c>
      <c r="C3516" s="1">
        <f>IFERROR(__xludf.DUMMYFUNCTION("""COMPUTED_VALUE"""),82.29)</f>
        <v>82.29</v>
      </c>
      <c r="D3516" s="1">
        <f>IFERROR(__xludf.DUMMYFUNCTION("""COMPUTED_VALUE"""),81.51)</f>
        <v>81.51</v>
      </c>
      <c r="E3516" s="1">
        <f>IFERROR(__xludf.DUMMYFUNCTION("""COMPUTED_VALUE"""),81.9)</f>
        <v>81.9</v>
      </c>
      <c r="F3516" s="1">
        <f>IFERROR(__xludf.DUMMYFUNCTION("""COMPUTED_VALUE"""),6442665.0)</f>
        <v>6442665</v>
      </c>
    </row>
    <row r="3517">
      <c r="A3517" s="2">
        <f>IFERROR(__xludf.DUMMYFUNCTION("""COMPUTED_VALUE"""),41628.666666666664)</f>
        <v>41628.66667</v>
      </c>
      <c r="B3517" s="1">
        <f>IFERROR(__xludf.DUMMYFUNCTION("""COMPUTED_VALUE"""),81.98)</f>
        <v>81.98</v>
      </c>
      <c r="C3517" s="1">
        <f>IFERROR(__xludf.DUMMYFUNCTION("""COMPUTED_VALUE"""),82.54)</f>
        <v>82.54</v>
      </c>
      <c r="D3517" s="1">
        <f>IFERROR(__xludf.DUMMYFUNCTION("""COMPUTED_VALUE"""),81.82)</f>
        <v>81.82</v>
      </c>
      <c r="E3517" s="1">
        <f>IFERROR(__xludf.DUMMYFUNCTION("""COMPUTED_VALUE"""),81.84)</f>
        <v>81.84</v>
      </c>
      <c r="F3517" s="1">
        <f>IFERROR(__xludf.DUMMYFUNCTION("""COMPUTED_VALUE"""),1.3209405E7)</f>
        <v>13209405</v>
      </c>
    </row>
    <row r="3518">
      <c r="A3518" s="2">
        <f>IFERROR(__xludf.DUMMYFUNCTION("""COMPUTED_VALUE"""),41631.666666666664)</f>
        <v>41631.66667</v>
      </c>
      <c r="B3518" s="1">
        <f>IFERROR(__xludf.DUMMYFUNCTION("""COMPUTED_VALUE"""),82.14)</f>
        <v>82.14</v>
      </c>
      <c r="C3518" s="1">
        <f>IFERROR(__xludf.DUMMYFUNCTION("""COMPUTED_VALUE"""),82.14)</f>
        <v>82.14</v>
      </c>
      <c r="D3518" s="1">
        <f>IFERROR(__xludf.DUMMYFUNCTION("""COMPUTED_VALUE"""),81.01)</f>
        <v>81.01</v>
      </c>
      <c r="E3518" s="1">
        <f>IFERROR(__xludf.DUMMYFUNCTION("""COMPUTED_VALUE"""),81.31)</f>
        <v>81.31</v>
      </c>
      <c r="F3518" s="1">
        <f>IFERROR(__xludf.DUMMYFUNCTION("""COMPUTED_VALUE"""),8655988.0)</f>
        <v>8655988</v>
      </c>
    </row>
    <row r="3519">
      <c r="A3519" s="2">
        <f>IFERROR(__xludf.DUMMYFUNCTION("""COMPUTED_VALUE"""),41632.666666666664)</f>
        <v>41632.66667</v>
      </c>
      <c r="B3519" s="1">
        <f>IFERROR(__xludf.DUMMYFUNCTION("""COMPUTED_VALUE"""),81.33)</f>
        <v>81.33</v>
      </c>
      <c r="C3519" s="1">
        <f>IFERROR(__xludf.DUMMYFUNCTION("""COMPUTED_VALUE"""),81.61)</f>
        <v>81.61</v>
      </c>
      <c r="D3519" s="1">
        <f>IFERROR(__xludf.DUMMYFUNCTION("""COMPUTED_VALUE"""),81.25)</f>
        <v>81.25</v>
      </c>
      <c r="E3519" s="1">
        <f>IFERROR(__xludf.DUMMYFUNCTION("""COMPUTED_VALUE"""),81.31)</f>
        <v>81.31</v>
      </c>
      <c r="F3519" s="1">
        <f>IFERROR(__xludf.DUMMYFUNCTION("""COMPUTED_VALUE"""),2899142.0)</f>
        <v>2899142</v>
      </c>
    </row>
    <row r="3520">
      <c r="A3520" s="2">
        <f>IFERROR(__xludf.DUMMYFUNCTION("""COMPUTED_VALUE"""),41634.666666666664)</f>
        <v>41634.66667</v>
      </c>
      <c r="B3520" s="1">
        <f>IFERROR(__xludf.DUMMYFUNCTION("""COMPUTED_VALUE"""),81.49)</f>
        <v>81.49</v>
      </c>
      <c r="C3520" s="1">
        <f>IFERROR(__xludf.DUMMYFUNCTION("""COMPUTED_VALUE"""),81.89)</f>
        <v>81.89</v>
      </c>
      <c r="D3520" s="1">
        <f>IFERROR(__xludf.DUMMYFUNCTION("""COMPUTED_VALUE"""),81.29)</f>
        <v>81.29</v>
      </c>
      <c r="E3520" s="1">
        <f>IFERROR(__xludf.DUMMYFUNCTION("""COMPUTED_VALUE"""),81.76)</f>
        <v>81.76</v>
      </c>
      <c r="F3520" s="1">
        <f>IFERROR(__xludf.DUMMYFUNCTION("""COMPUTED_VALUE"""),5347162.0)</f>
        <v>5347162</v>
      </c>
    </row>
    <row r="3521">
      <c r="A3521" s="2">
        <f>IFERROR(__xludf.DUMMYFUNCTION("""COMPUTED_VALUE"""),41635.666666666664)</f>
        <v>41635.66667</v>
      </c>
      <c r="B3521" s="1">
        <f>IFERROR(__xludf.DUMMYFUNCTION("""COMPUTED_VALUE"""),82.09)</f>
        <v>82.09</v>
      </c>
      <c r="C3521" s="1">
        <f>IFERROR(__xludf.DUMMYFUNCTION("""COMPUTED_VALUE"""),82.48)</f>
        <v>82.48</v>
      </c>
      <c r="D3521" s="1">
        <f>IFERROR(__xludf.DUMMYFUNCTION("""COMPUTED_VALUE"""),81.86)</f>
        <v>81.86</v>
      </c>
      <c r="E3521" s="1">
        <f>IFERROR(__xludf.DUMMYFUNCTION("""COMPUTED_VALUE"""),82.01)</f>
        <v>82.01</v>
      </c>
      <c r="F3521" s="1">
        <f>IFERROR(__xludf.DUMMYFUNCTION("""COMPUTED_VALUE"""),4006049.0)</f>
        <v>4006049</v>
      </c>
    </row>
    <row r="3522">
      <c r="A3522" s="2">
        <f>IFERROR(__xludf.DUMMYFUNCTION("""COMPUTED_VALUE"""),41638.666666666664)</f>
        <v>41638.66667</v>
      </c>
      <c r="B3522" s="1">
        <f>IFERROR(__xludf.DUMMYFUNCTION("""COMPUTED_VALUE"""),82.0)</f>
        <v>82</v>
      </c>
      <c r="C3522" s="1">
        <f>IFERROR(__xludf.DUMMYFUNCTION("""COMPUTED_VALUE"""),82.05)</f>
        <v>82.05</v>
      </c>
      <c r="D3522" s="1">
        <f>IFERROR(__xludf.DUMMYFUNCTION("""COMPUTED_VALUE"""),81.57)</f>
        <v>81.57</v>
      </c>
      <c r="E3522" s="1">
        <f>IFERROR(__xludf.DUMMYFUNCTION("""COMPUTED_VALUE"""),82.0)</f>
        <v>82</v>
      </c>
      <c r="F3522" s="1">
        <f>IFERROR(__xludf.DUMMYFUNCTION("""COMPUTED_VALUE"""),4145666.0)</f>
        <v>4145666</v>
      </c>
    </row>
    <row r="3523">
      <c r="A3523" s="2">
        <f>IFERROR(__xludf.DUMMYFUNCTION("""COMPUTED_VALUE"""),41639.666666666664)</f>
        <v>41639.66667</v>
      </c>
      <c r="B3523" s="1">
        <f>IFERROR(__xludf.DUMMYFUNCTION("""COMPUTED_VALUE"""),81.83)</f>
        <v>81.83</v>
      </c>
      <c r="C3523" s="1">
        <f>IFERROR(__xludf.DUMMYFUNCTION("""COMPUTED_VALUE"""),82.0)</f>
        <v>82</v>
      </c>
      <c r="D3523" s="1">
        <f>IFERROR(__xludf.DUMMYFUNCTION("""COMPUTED_VALUE"""),81.09)</f>
        <v>81.09</v>
      </c>
      <c r="E3523" s="1">
        <f>IFERROR(__xludf.DUMMYFUNCTION("""COMPUTED_VALUE"""),81.41)</f>
        <v>81.41</v>
      </c>
      <c r="F3523" s="1">
        <f>IFERROR(__xludf.DUMMYFUNCTION("""COMPUTED_VALUE"""),5766693.0)</f>
        <v>5766693</v>
      </c>
    </row>
    <row r="3524">
      <c r="A3524" s="2">
        <f>IFERROR(__xludf.DUMMYFUNCTION("""COMPUTED_VALUE"""),41641.666666666664)</f>
        <v>41641.66667</v>
      </c>
      <c r="B3524" s="1">
        <f>IFERROR(__xludf.DUMMYFUNCTION("""COMPUTED_VALUE"""),81.33)</f>
        <v>81.33</v>
      </c>
      <c r="C3524" s="1">
        <f>IFERROR(__xludf.DUMMYFUNCTION("""COMPUTED_VALUE"""),81.36)</f>
        <v>81.36</v>
      </c>
      <c r="D3524" s="1">
        <f>IFERROR(__xludf.DUMMYFUNCTION("""COMPUTED_VALUE"""),80.32)</f>
        <v>80.32</v>
      </c>
      <c r="E3524" s="1">
        <f>IFERROR(__xludf.DUMMYFUNCTION("""COMPUTED_VALUE"""),80.54)</f>
        <v>80.54</v>
      </c>
      <c r="F3524" s="1">
        <f>IFERROR(__xludf.DUMMYFUNCTION("""COMPUTED_VALUE"""),6985476.0)</f>
        <v>6985476</v>
      </c>
    </row>
    <row r="3525">
      <c r="A3525" s="2">
        <f>IFERROR(__xludf.DUMMYFUNCTION("""COMPUTED_VALUE"""),41642.666666666664)</f>
        <v>41642.66667</v>
      </c>
      <c r="B3525" s="1">
        <f>IFERROR(__xludf.DUMMYFUNCTION("""COMPUTED_VALUE"""),80.76)</f>
        <v>80.76</v>
      </c>
      <c r="C3525" s="1">
        <f>IFERROR(__xludf.DUMMYFUNCTION("""COMPUTED_VALUE"""),80.85)</f>
        <v>80.85</v>
      </c>
      <c r="D3525" s="1">
        <f>IFERROR(__xludf.DUMMYFUNCTION("""COMPUTED_VALUE"""),80.19)</f>
        <v>80.19</v>
      </c>
      <c r="E3525" s="1">
        <f>IFERROR(__xludf.DUMMYFUNCTION("""COMPUTED_VALUE"""),80.45)</f>
        <v>80.45</v>
      </c>
      <c r="F3525" s="1">
        <f>IFERROR(__xludf.DUMMYFUNCTION("""COMPUTED_VALUE"""),6925922.0)</f>
        <v>6925922</v>
      </c>
    </row>
    <row r="3526">
      <c r="A3526" s="2">
        <f>IFERROR(__xludf.DUMMYFUNCTION("""COMPUTED_VALUE"""),41645.666666666664)</f>
        <v>41645.66667</v>
      </c>
      <c r="B3526" s="1">
        <f>IFERROR(__xludf.DUMMYFUNCTION("""COMPUTED_VALUE"""),80.61)</f>
        <v>80.61</v>
      </c>
      <c r="C3526" s="1">
        <f>IFERROR(__xludf.DUMMYFUNCTION("""COMPUTED_VALUE"""),80.98)</f>
        <v>80.98</v>
      </c>
      <c r="D3526" s="1">
        <f>IFERROR(__xludf.DUMMYFUNCTION("""COMPUTED_VALUE"""),80.3)</f>
        <v>80.3</v>
      </c>
      <c r="E3526" s="1">
        <f>IFERROR(__xludf.DUMMYFUNCTION("""COMPUTED_VALUE"""),80.64)</f>
        <v>80.64</v>
      </c>
      <c r="F3526" s="1">
        <f>IFERROR(__xludf.DUMMYFUNCTION("""COMPUTED_VALUE"""),7209873.0)</f>
        <v>7209873</v>
      </c>
    </row>
    <row r="3527">
      <c r="A3527" s="2">
        <f>IFERROR(__xludf.DUMMYFUNCTION("""COMPUTED_VALUE"""),41646.666666666664)</f>
        <v>41646.66667</v>
      </c>
      <c r="B3527" s="1">
        <f>IFERROR(__xludf.DUMMYFUNCTION("""COMPUTED_VALUE"""),80.71)</f>
        <v>80.71</v>
      </c>
      <c r="C3527" s="1">
        <f>IFERROR(__xludf.DUMMYFUNCTION("""COMPUTED_VALUE"""),81.58)</f>
        <v>81.58</v>
      </c>
      <c r="D3527" s="1">
        <f>IFERROR(__xludf.DUMMYFUNCTION("""COMPUTED_VALUE"""),80.62)</f>
        <v>80.62</v>
      </c>
      <c r="E3527" s="1">
        <f>IFERROR(__xludf.DUMMYFUNCTION("""COMPUTED_VALUE"""),81.42)</f>
        <v>81.42</v>
      </c>
      <c r="F3527" s="1">
        <f>IFERROR(__xludf.DUMMYFUNCTION("""COMPUTED_VALUE"""),7158171.0)</f>
        <v>7158171</v>
      </c>
    </row>
    <row r="3528">
      <c r="A3528" s="2">
        <f>IFERROR(__xludf.DUMMYFUNCTION("""COMPUTED_VALUE"""),41647.666666666664)</f>
        <v>41647.66667</v>
      </c>
      <c r="B3528" s="1">
        <f>IFERROR(__xludf.DUMMYFUNCTION("""COMPUTED_VALUE"""),80.97)</f>
        <v>80.97</v>
      </c>
      <c r="C3528" s="1">
        <f>IFERROR(__xludf.DUMMYFUNCTION("""COMPUTED_VALUE"""),81.15)</f>
        <v>81.15</v>
      </c>
      <c r="D3528" s="1">
        <f>IFERROR(__xludf.DUMMYFUNCTION("""COMPUTED_VALUE"""),80.05)</f>
        <v>80.05</v>
      </c>
      <c r="E3528" s="1">
        <f>IFERROR(__xludf.DUMMYFUNCTION("""COMPUTED_VALUE"""),80.24)</f>
        <v>80.24</v>
      </c>
      <c r="F3528" s="1">
        <f>IFERROR(__xludf.DUMMYFUNCTION("""COMPUTED_VALUE"""),1.3462911E7)</f>
        <v>13462911</v>
      </c>
    </row>
    <row r="3529">
      <c r="A3529" s="2">
        <f>IFERROR(__xludf.DUMMYFUNCTION("""COMPUTED_VALUE"""),41648.666666666664)</f>
        <v>41648.66667</v>
      </c>
      <c r="B3529" s="1">
        <f>IFERROR(__xludf.DUMMYFUNCTION("""COMPUTED_VALUE"""),80.54)</f>
        <v>80.54</v>
      </c>
      <c r="C3529" s="1">
        <f>IFERROR(__xludf.DUMMYFUNCTION("""COMPUTED_VALUE"""),80.8)</f>
        <v>80.8</v>
      </c>
      <c r="D3529" s="1">
        <f>IFERROR(__xludf.DUMMYFUNCTION("""COMPUTED_VALUE"""),80.03)</f>
        <v>80.03</v>
      </c>
      <c r="E3529" s="1">
        <f>IFERROR(__xludf.DUMMYFUNCTION("""COMPUTED_VALUE"""),80.42)</f>
        <v>80.42</v>
      </c>
      <c r="F3529" s="1">
        <f>IFERROR(__xludf.DUMMYFUNCTION("""COMPUTED_VALUE"""),1.083942E7)</f>
        <v>10839420</v>
      </c>
    </row>
    <row r="3530">
      <c r="A3530" s="2">
        <f>IFERROR(__xludf.DUMMYFUNCTION("""COMPUTED_VALUE"""),41649.666666666664)</f>
        <v>41649.66667</v>
      </c>
      <c r="B3530" s="1">
        <f>IFERROR(__xludf.DUMMYFUNCTION("""COMPUTED_VALUE"""),80.59)</f>
        <v>80.59</v>
      </c>
      <c r="C3530" s="1">
        <f>IFERROR(__xludf.DUMMYFUNCTION("""COMPUTED_VALUE"""),80.89)</f>
        <v>80.89</v>
      </c>
      <c r="D3530" s="1">
        <f>IFERROR(__xludf.DUMMYFUNCTION("""COMPUTED_VALUE"""),80.2)</f>
        <v>80.2</v>
      </c>
      <c r="E3530" s="1">
        <f>IFERROR(__xludf.DUMMYFUNCTION("""COMPUTED_VALUE"""),80.3)</f>
        <v>80.3</v>
      </c>
      <c r="F3530" s="1">
        <f>IFERROR(__xludf.DUMMYFUNCTION("""COMPUTED_VALUE"""),8452355.0)</f>
        <v>8452355</v>
      </c>
    </row>
    <row r="3531">
      <c r="A3531" s="2">
        <f>IFERROR(__xludf.DUMMYFUNCTION("""COMPUTED_VALUE"""),41652.666666666664)</f>
        <v>41652.66667</v>
      </c>
      <c r="B3531" s="1">
        <f>IFERROR(__xludf.DUMMYFUNCTION("""COMPUTED_VALUE"""),80.01)</f>
        <v>80.01</v>
      </c>
      <c r="C3531" s="1">
        <f>IFERROR(__xludf.DUMMYFUNCTION("""COMPUTED_VALUE"""),80.5)</f>
        <v>80.5</v>
      </c>
      <c r="D3531" s="1">
        <f>IFERROR(__xludf.DUMMYFUNCTION("""COMPUTED_VALUE"""),79.69)</f>
        <v>79.69</v>
      </c>
      <c r="E3531" s="1">
        <f>IFERROR(__xludf.DUMMYFUNCTION("""COMPUTED_VALUE"""),80.01)</f>
        <v>80.01</v>
      </c>
      <c r="F3531" s="1">
        <f>IFERROR(__xludf.DUMMYFUNCTION("""COMPUTED_VALUE"""),9366118.0)</f>
        <v>9366118</v>
      </c>
    </row>
    <row r="3532">
      <c r="A3532" s="2">
        <f>IFERROR(__xludf.DUMMYFUNCTION("""COMPUTED_VALUE"""),41653.666666666664)</f>
        <v>41653.66667</v>
      </c>
      <c r="B3532" s="1">
        <f>IFERROR(__xludf.DUMMYFUNCTION("""COMPUTED_VALUE"""),80.06)</f>
        <v>80.06</v>
      </c>
      <c r="C3532" s="1">
        <f>IFERROR(__xludf.DUMMYFUNCTION("""COMPUTED_VALUE"""),80.92)</f>
        <v>80.92</v>
      </c>
      <c r="D3532" s="1">
        <f>IFERROR(__xludf.DUMMYFUNCTION("""COMPUTED_VALUE"""),80.02)</f>
        <v>80.02</v>
      </c>
      <c r="E3532" s="1">
        <f>IFERROR(__xludf.DUMMYFUNCTION("""COMPUTED_VALUE"""),80.87)</f>
        <v>80.87</v>
      </c>
      <c r="F3532" s="1">
        <f>IFERROR(__xludf.DUMMYFUNCTION("""COMPUTED_VALUE"""),8737186.0)</f>
        <v>8737186</v>
      </c>
    </row>
    <row r="3533">
      <c r="A3533" s="2">
        <f>IFERROR(__xludf.DUMMYFUNCTION("""COMPUTED_VALUE"""),41654.666666666664)</f>
        <v>41654.66667</v>
      </c>
      <c r="B3533" s="1">
        <f>IFERROR(__xludf.DUMMYFUNCTION("""COMPUTED_VALUE"""),80.7)</f>
        <v>80.7</v>
      </c>
      <c r="C3533" s="1">
        <f>IFERROR(__xludf.DUMMYFUNCTION("""COMPUTED_VALUE"""),81.18)</f>
        <v>81.18</v>
      </c>
      <c r="D3533" s="1">
        <f>IFERROR(__xludf.DUMMYFUNCTION("""COMPUTED_VALUE"""),80.25)</f>
        <v>80.25</v>
      </c>
      <c r="E3533" s="1">
        <f>IFERROR(__xludf.DUMMYFUNCTION("""COMPUTED_VALUE"""),80.79)</f>
        <v>80.79</v>
      </c>
      <c r="F3533" s="1">
        <f>IFERROR(__xludf.DUMMYFUNCTION("""COMPUTED_VALUE"""),8223578.0)</f>
        <v>8223578</v>
      </c>
    </row>
    <row r="3534">
      <c r="A3534" s="2">
        <f>IFERROR(__xludf.DUMMYFUNCTION("""COMPUTED_VALUE"""),41655.666666666664)</f>
        <v>41655.66667</v>
      </c>
      <c r="B3534" s="1">
        <f>IFERROR(__xludf.DUMMYFUNCTION("""COMPUTED_VALUE"""),80.65)</f>
        <v>80.65</v>
      </c>
      <c r="C3534" s="1">
        <f>IFERROR(__xludf.DUMMYFUNCTION("""COMPUTED_VALUE"""),80.83)</f>
        <v>80.83</v>
      </c>
      <c r="D3534" s="1">
        <f>IFERROR(__xludf.DUMMYFUNCTION("""COMPUTED_VALUE"""),80.26)</f>
        <v>80.26</v>
      </c>
      <c r="E3534" s="1">
        <f>IFERROR(__xludf.DUMMYFUNCTION("""COMPUTED_VALUE"""),80.56)</f>
        <v>80.56</v>
      </c>
      <c r="F3534" s="1">
        <f>IFERROR(__xludf.DUMMYFUNCTION("""COMPUTED_VALUE"""),1.1673888E7)</f>
        <v>11673888</v>
      </c>
    </row>
    <row r="3535">
      <c r="A3535" s="2">
        <f>IFERROR(__xludf.DUMMYFUNCTION("""COMPUTED_VALUE"""),41656.666666666664)</f>
        <v>41656.66667</v>
      </c>
      <c r="B3535" s="1">
        <f>IFERROR(__xludf.DUMMYFUNCTION("""COMPUTED_VALUE"""),80.42)</f>
        <v>80.42</v>
      </c>
      <c r="C3535" s="1">
        <f>IFERROR(__xludf.DUMMYFUNCTION("""COMPUTED_VALUE"""),80.64)</f>
        <v>80.64</v>
      </c>
      <c r="D3535" s="1">
        <f>IFERROR(__xludf.DUMMYFUNCTION("""COMPUTED_VALUE"""),79.8)</f>
        <v>79.8</v>
      </c>
      <c r="E3535" s="1">
        <f>IFERROR(__xludf.DUMMYFUNCTION("""COMPUTED_VALUE"""),79.88)</f>
        <v>79.88</v>
      </c>
      <c r="F3535" s="1">
        <f>IFERROR(__xludf.DUMMYFUNCTION("""COMPUTED_VALUE"""),1.3633468E7)</f>
        <v>13633468</v>
      </c>
    </row>
    <row r="3536">
      <c r="A3536" s="2">
        <f>IFERROR(__xludf.DUMMYFUNCTION("""COMPUTED_VALUE"""),41660.666666666664)</f>
        <v>41660.66667</v>
      </c>
      <c r="B3536" s="1">
        <f>IFERROR(__xludf.DUMMYFUNCTION("""COMPUTED_VALUE"""),80.59)</f>
        <v>80.59</v>
      </c>
      <c r="C3536" s="1">
        <f>IFERROR(__xludf.DUMMYFUNCTION("""COMPUTED_VALUE"""),80.72)</f>
        <v>80.72</v>
      </c>
      <c r="D3536" s="1">
        <f>IFERROR(__xludf.DUMMYFUNCTION("""COMPUTED_VALUE"""),79.54)</f>
        <v>79.54</v>
      </c>
      <c r="E3536" s="1">
        <f>IFERROR(__xludf.DUMMYFUNCTION("""COMPUTED_VALUE"""),80.18)</f>
        <v>80.18</v>
      </c>
      <c r="F3536" s="1">
        <f>IFERROR(__xludf.DUMMYFUNCTION("""COMPUTED_VALUE"""),1.3216873E7)</f>
        <v>13216873</v>
      </c>
    </row>
    <row r="3537">
      <c r="A3537" s="2">
        <f>IFERROR(__xludf.DUMMYFUNCTION("""COMPUTED_VALUE"""),41661.666666666664)</f>
        <v>41661.66667</v>
      </c>
      <c r="B3537" s="1">
        <f>IFERROR(__xludf.DUMMYFUNCTION("""COMPUTED_VALUE"""),79.57)</f>
        <v>79.57</v>
      </c>
      <c r="C3537" s="1">
        <f>IFERROR(__xludf.DUMMYFUNCTION("""COMPUTED_VALUE"""),79.88)</f>
        <v>79.88</v>
      </c>
      <c r="D3537" s="1">
        <f>IFERROR(__xludf.DUMMYFUNCTION("""COMPUTED_VALUE"""),79.05)</f>
        <v>79.05</v>
      </c>
      <c r="E3537" s="1">
        <f>IFERROR(__xludf.DUMMYFUNCTION("""COMPUTED_VALUE"""),79.23)</f>
        <v>79.23</v>
      </c>
      <c r="F3537" s="1">
        <f>IFERROR(__xludf.DUMMYFUNCTION("""COMPUTED_VALUE"""),8455602.0)</f>
        <v>8455602</v>
      </c>
    </row>
    <row r="3538">
      <c r="A3538" s="2">
        <f>IFERROR(__xludf.DUMMYFUNCTION("""COMPUTED_VALUE"""),41662.666666666664)</f>
        <v>41662.66667</v>
      </c>
      <c r="B3538" s="1">
        <f>IFERROR(__xludf.DUMMYFUNCTION("""COMPUTED_VALUE"""),78.71)</f>
        <v>78.71</v>
      </c>
      <c r="C3538" s="1">
        <f>IFERROR(__xludf.DUMMYFUNCTION("""COMPUTED_VALUE"""),78.97)</f>
        <v>78.97</v>
      </c>
      <c r="D3538" s="1">
        <f>IFERROR(__xludf.DUMMYFUNCTION("""COMPUTED_VALUE"""),78.12)</f>
        <v>78.12</v>
      </c>
      <c r="E3538" s="1">
        <f>IFERROR(__xludf.DUMMYFUNCTION("""COMPUTED_VALUE"""),78.24)</f>
        <v>78.24</v>
      </c>
      <c r="F3538" s="1">
        <f>IFERROR(__xludf.DUMMYFUNCTION("""COMPUTED_VALUE"""),1.267465E7)</f>
        <v>12674650</v>
      </c>
    </row>
    <row r="3539">
      <c r="A3539" s="2">
        <f>IFERROR(__xludf.DUMMYFUNCTION("""COMPUTED_VALUE"""),41663.666666666664)</f>
        <v>41663.66667</v>
      </c>
      <c r="B3539" s="1">
        <f>IFERROR(__xludf.DUMMYFUNCTION("""COMPUTED_VALUE"""),79.33)</f>
        <v>79.33</v>
      </c>
      <c r="C3539" s="1">
        <f>IFERROR(__xludf.DUMMYFUNCTION("""COMPUTED_VALUE"""),81.7)</f>
        <v>81.7</v>
      </c>
      <c r="D3539" s="1">
        <f>IFERROR(__xludf.DUMMYFUNCTION("""COMPUTED_VALUE"""),79.05)</f>
        <v>79.05</v>
      </c>
      <c r="E3539" s="1">
        <f>IFERROR(__xludf.DUMMYFUNCTION("""COMPUTED_VALUE"""),79.18)</f>
        <v>79.18</v>
      </c>
      <c r="F3539" s="1">
        <f>IFERROR(__xludf.DUMMYFUNCTION("""COMPUTED_VALUE"""),2.0190733E7)</f>
        <v>20190733</v>
      </c>
    </row>
    <row r="3540">
      <c r="A3540" s="2">
        <f>IFERROR(__xludf.DUMMYFUNCTION("""COMPUTED_VALUE"""),41666.666666666664)</f>
        <v>41666.66667</v>
      </c>
      <c r="B3540" s="1">
        <f>IFERROR(__xludf.DUMMYFUNCTION("""COMPUTED_VALUE"""),79.24)</f>
        <v>79.24</v>
      </c>
      <c r="C3540" s="1">
        <f>IFERROR(__xludf.DUMMYFUNCTION("""COMPUTED_VALUE"""),79.3)</f>
        <v>79.3</v>
      </c>
      <c r="D3540" s="1">
        <f>IFERROR(__xludf.DUMMYFUNCTION("""COMPUTED_VALUE"""),78.42)</f>
        <v>78.42</v>
      </c>
      <c r="E3540" s="1">
        <f>IFERROR(__xludf.DUMMYFUNCTION("""COMPUTED_VALUE"""),78.47)</f>
        <v>78.47</v>
      </c>
      <c r="F3540" s="1">
        <f>IFERROR(__xludf.DUMMYFUNCTION("""COMPUTED_VALUE"""),1.0396538E7)</f>
        <v>10396538</v>
      </c>
    </row>
    <row r="3541">
      <c r="A3541" s="2">
        <f>IFERROR(__xludf.DUMMYFUNCTION("""COMPUTED_VALUE"""),41667.666666666664)</f>
        <v>41667.66667</v>
      </c>
      <c r="B3541" s="1">
        <f>IFERROR(__xludf.DUMMYFUNCTION("""COMPUTED_VALUE"""),78.67)</f>
        <v>78.67</v>
      </c>
      <c r="C3541" s="1">
        <f>IFERROR(__xludf.DUMMYFUNCTION("""COMPUTED_VALUE"""),79.52)</f>
        <v>79.52</v>
      </c>
      <c r="D3541" s="1">
        <f>IFERROR(__xludf.DUMMYFUNCTION("""COMPUTED_VALUE"""),78.43)</f>
        <v>78.43</v>
      </c>
      <c r="E3541" s="1">
        <f>IFERROR(__xludf.DUMMYFUNCTION("""COMPUTED_VALUE"""),79.11)</f>
        <v>79.11</v>
      </c>
      <c r="F3541" s="1">
        <f>IFERROR(__xludf.DUMMYFUNCTION("""COMPUTED_VALUE"""),1.0061868E7)</f>
        <v>10061868</v>
      </c>
    </row>
    <row r="3542">
      <c r="A3542" s="2">
        <f>IFERROR(__xludf.DUMMYFUNCTION("""COMPUTED_VALUE"""),41668.666666666664)</f>
        <v>41668.66667</v>
      </c>
      <c r="B3542" s="1">
        <f>IFERROR(__xludf.DUMMYFUNCTION("""COMPUTED_VALUE"""),78.8)</f>
        <v>78.8</v>
      </c>
      <c r="C3542" s="1">
        <f>IFERROR(__xludf.DUMMYFUNCTION("""COMPUTED_VALUE"""),78.8)</f>
        <v>78.8</v>
      </c>
      <c r="D3542" s="1">
        <f>IFERROR(__xludf.DUMMYFUNCTION("""COMPUTED_VALUE"""),77.38)</f>
        <v>77.38</v>
      </c>
      <c r="E3542" s="1">
        <f>IFERROR(__xludf.DUMMYFUNCTION("""COMPUTED_VALUE"""),77.64)</f>
        <v>77.64</v>
      </c>
      <c r="F3542" s="1">
        <f>IFERROR(__xludf.DUMMYFUNCTION("""COMPUTED_VALUE"""),1.3443126E7)</f>
        <v>13443126</v>
      </c>
    </row>
    <row r="3543">
      <c r="A3543" s="2">
        <f>IFERROR(__xludf.DUMMYFUNCTION("""COMPUTED_VALUE"""),41669.666666666664)</f>
        <v>41669.66667</v>
      </c>
      <c r="B3543" s="1">
        <f>IFERROR(__xludf.DUMMYFUNCTION("""COMPUTED_VALUE"""),78.05)</f>
        <v>78.05</v>
      </c>
      <c r="C3543" s="1">
        <f>IFERROR(__xludf.DUMMYFUNCTION("""COMPUTED_VALUE"""),78.05)</f>
        <v>78.05</v>
      </c>
      <c r="D3543" s="1">
        <f>IFERROR(__xludf.DUMMYFUNCTION("""COMPUTED_VALUE"""),76.77)</f>
        <v>76.77</v>
      </c>
      <c r="E3543" s="1">
        <f>IFERROR(__xludf.DUMMYFUNCTION("""COMPUTED_VALUE"""),76.87)</f>
        <v>76.87</v>
      </c>
      <c r="F3543" s="1">
        <f>IFERROR(__xludf.DUMMYFUNCTION("""COMPUTED_VALUE"""),9462515.0)</f>
        <v>9462515</v>
      </c>
    </row>
    <row r="3544">
      <c r="A3544" s="2">
        <f>IFERROR(__xludf.DUMMYFUNCTION("""COMPUTED_VALUE"""),41670.666666666664)</f>
        <v>41670.66667</v>
      </c>
      <c r="B3544" s="1">
        <f>IFERROR(__xludf.DUMMYFUNCTION("""COMPUTED_VALUE"""),76.03)</f>
        <v>76.03</v>
      </c>
      <c r="C3544" s="1">
        <f>IFERROR(__xludf.DUMMYFUNCTION("""COMPUTED_VALUE"""),77.19)</f>
        <v>77.19</v>
      </c>
      <c r="D3544" s="1">
        <f>IFERROR(__xludf.DUMMYFUNCTION("""COMPUTED_VALUE"""),75.26)</f>
        <v>75.26</v>
      </c>
      <c r="E3544" s="1">
        <f>IFERROR(__xludf.DUMMYFUNCTION("""COMPUTED_VALUE"""),76.62)</f>
        <v>76.62</v>
      </c>
      <c r="F3544" s="1">
        <f>IFERROR(__xludf.DUMMYFUNCTION("""COMPUTED_VALUE"""),1.2996679E7)</f>
        <v>12996679</v>
      </c>
    </row>
    <row r="3545">
      <c r="A3545" s="2">
        <f>IFERROR(__xludf.DUMMYFUNCTION("""COMPUTED_VALUE"""),41673.666666666664)</f>
        <v>41673.66667</v>
      </c>
      <c r="B3545" s="1">
        <f>IFERROR(__xludf.DUMMYFUNCTION("""COMPUTED_VALUE"""),76.69)</f>
        <v>76.69</v>
      </c>
      <c r="C3545" s="1">
        <f>IFERROR(__xludf.DUMMYFUNCTION("""COMPUTED_VALUE"""),76.76)</f>
        <v>76.76</v>
      </c>
      <c r="D3545" s="1">
        <f>IFERROR(__xludf.DUMMYFUNCTION("""COMPUTED_VALUE"""),75.6)</f>
        <v>75.6</v>
      </c>
      <c r="E3545" s="1">
        <f>IFERROR(__xludf.DUMMYFUNCTION("""COMPUTED_VALUE"""),75.7)</f>
        <v>75.7</v>
      </c>
      <c r="F3545" s="1">
        <f>IFERROR(__xludf.DUMMYFUNCTION("""COMPUTED_VALUE"""),1.4304728E7)</f>
        <v>14304728</v>
      </c>
    </row>
    <row r="3546">
      <c r="A3546" s="2">
        <f>IFERROR(__xludf.DUMMYFUNCTION("""COMPUTED_VALUE"""),41674.666666666664)</f>
        <v>41674.66667</v>
      </c>
      <c r="B3546" s="1">
        <f>IFERROR(__xludf.DUMMYFUNCTION("""COMPUTED_VALUE"""),76.0)</f>
        <v>76</v>
      </c>
      <c r="C3546" s="1">
        <f>IFERROR(__xludf.DUMMYFUNCTION("""COMPUTED_VALUE"""),76.39)</f>
        <v>76.39</v>
      </c>
      <c r="D3546" s="1">
        <f>IFERROR(__xludf.DUMMYFUNCTION("""COMPUTED_VALUE"""),75.4)</f>
        <v>75.4</v>
      </c>
      <c r="E3546" s="1">
        <f>IFERROR(__xludf.DUMMYFUNCTION("""COMPUTED_VALUE"""),76.09)</f>
        <v>76.09</v>
      </c>
      <c r="F3546" s="1">
        <f>IFERROR(__xludf.DUMMYFUNCTION("""COMPUTED_VALUE"""),1.5598441E7)</f>
        <v>15598441</v>
      </c>
    </row>
    <row r="3547">
      <c r="A3547" s="2">
        <f>IFERROR(__xludf.DUMMYFUNCTION("""COMPUTED_VALUE"""),41675.666666666664)</f>
        <v>41675.66667</v>
      </c>
      <c r="B3547" s="1">
        <f>IFERROR(__xludf.DUMMYFUNCTION("""COMPUTED_VALUE"""),75.94)</f>
        <v>75.94</v>
      </c>
      <c r="C3547" s="1">
        <f>IFERROR(__xludf.DUMMYFUNCTION("""COMPUTED_VALUE"""),76.8)</f>
        <v>76.8</v>
      </c>
      <c r="D3547" s="1">
        <f>IFERROR(__xludf.DUMMYFUNCTION("""COMPUTED_VALUE"""),75.67)</f>
        <v>75.67</v>
      </c>
      <c r="E3547" s="1">
        <f>IFERROR(__xludf.DUMMYFUNCTION("""COMPUTED_VALUE"""),76.45)</f>
        <v>76.45</v>
      </c>
      <c r="F3547" s="1">
        <f>IFERROR(__xludf.DUMMYFUNCTION("""COMPUTED_VALUE"""),9734258.0)</f>
        <v>9734258</v>
      </c>
    </row>
    <row r="3548">
      <c r="A3548" s="2">
        <f>IFERROR(__xludf.DUMMYFUNCTION("""COMPUTED_VALUE"""),41676.666666666664)</f>
        <v>41676.66667</v>
      </c>
      <c r="B3548" s="1">
        <f>IFERROR(__xludf.DUMMYFUNCTION("""COMPUTED_VALUE"""),76.53)</f>
        <v>76.53</v>
      </c>
      <c r="C3548" s="1">
        <f>IFERROR(__xludf.DUMMYFUNCTION("""COMPUTED_VALUE"""),76.99)</f>
        <v>76.99</v>
      </c>
      <c r="D3548" s="1">
        <f>IFERROR(__xludf.DUMMYFUNCTION("""COMPUTED_VALUE"""),76.48)</f>
        <v>76.48</v>
      </c>
      <c r="E3548" s="1">
        <f>IFERROR(__xludf.DUMMYFUNCTION("""COMPUTED_VALUE"""),76.9)</f>
        <v>76.9</v>
      </c>
      <c r="F3548" s="1">
        <f>IFERROR(__xludf.DUMMYFUNCTION("""COMPUTED_VALUE"""),7821991.0)</f>
        <v>7821991</v>
      </c>
    </row>
    <row r="3549">
      <c r="A3549" s="2">
        <f>IFERROR(__xludf.DUMMYFUNCTION("""COMPUTED_VALUE"""),41677.666666666664)</f>
        <v>41677.66667</v>
      </c>
      <c r="B3549" s="1">
        <f>IFERROR(__xludf.DUMMYFUNCTION("""COMPUTED_VALUE"""),76.99)</f>
        <v>76.99</v>
      </c>
      <c r="C3549" s="1">
        <f>IFERROR(__xludf.DUMMYFUNCTION("""COMPUTED_VALUE"""),77.39)</f>
        <v>77.39</v>
      </c>
      <c r="D3549" s="1">
        <f>IFERROR(__xludf.DUMMYFUNCTION("""COMPUTED_VALUE"""),76.75)</f>
        <v>76.75</v>
      </c>
      <c r="E3549" s="1">
        <f>IFERROR(__xludf.DUMMYFUNCTION("""COMPUTED_VALUE"""),77.31)</f>
        <v>77.31</v>
      </c>
      <c r="F3549" s="1">
        <f>IFERROR(__xludf.DUMMYFUNCTION("""COMPUTED_VALUE"""),7301419.0)</f>
        <v>7301419</v>
      </c>
    </row>
    <row r="3550">
      <c r="A3550" s="2">
        <f>IFERROR(__xludf.DUMMYFUNCTION("""COMPUTED_VALUE"""),41680.666666666664)</f>
        <v>41680.66667</v>
      </c>
      <c r="B3550" s="1">
        <f>IFERROR(__xludf.DUMMYFUNCTION("""COMPUTED_VALUE"""),77.43)</f>
        <v>77.43</v>
      </c>
      <c r="C3550" s="1">
        <f>IFERROR(__xludf.DUMMYFUNCTION("""COMPUTED_VALUE"""),78.09)</f>
        <v>78.09</v>
      </c>
      <c r="D3550" s="1">
        <f>IFERROR(__xludf.DUMMYFUNCTION("""COMPUTED_VALUE"""),77.19)</f>
        <v>77.19</v>
      </c>
      <c r="E3550" s="1">
        <f>IFERROR(__xludf.DUMMYFUNCTION("""COMPUTED_VALUE"""),78.03)</f>
        <v>78.03</v>
      </c>
      <c r="F3550" s="1">
        <f>IFERROR(__xludf.DUMMYFUNCTION("""COMPUTED_VALUE"""),8964308.0)</f>
        <v>8964308</v>
      </c>
    </row>
    <row r="3551">
      <c r="A3551" s="2">
        <f>IFERROR(__xludf.DUMMYFUNCTION("""COMPUTED_VALUE"""),41681.666666666664)</f>
        <v>41681.66667</v>
      </c>
      <c r="B3551" s="1">
        <f>IFERROR(__xludf.DUMMYFUNCTION("""COMPUTED_VALUE"""),78.1)</f>
        <v>78.1</v>
      </c>
      <c r="C3551" s="1">
        <f>IFERROR(__xludf.DUMMYFUNCTION("""COMPUTED_VALUE"""),79.11)</f>
        <v>79.11</v>
      </c>
      <c r="D3551" s="1">
        <f>IFERROR(__xludf.DUMMYFUNCTION("""COMPUTED_VALUE"""),77.64)</f>
        <v>77.64</v>
      </c>
      <c r="E3551" s="1">
        <f>IFERROR(__xludf.DUMMYFUNCTION("""COMPUTED_VALUE"""),78.84)</f>
        <v>78.84</v>
      </c>
      <c r="F3551" s="1">
        <f>IFERROR(__xludf.DUMMYFUNCTION("""COMPUTED_VALUE"""),1.0516106E7)</f>
        <v>10516106</v>
      </c>
    </row>
    <row r="3552">
      <c r="A3552" s="2">
        <f>IFERROR(__xludf.DUMMYFUNCTION("""COMPUTED_VALUE"""),41682.666666666664)</f>
        <v>41682.66667</v>
      </c>
      <c r="B3552" s="1">
        <f>IFERROR(__xludf.DUMMYFUNCTION("""COMPUTED_VALUE"""),78.13)</f>
        <v>78.13</v>
      </c>
      <c r="C3552" s="1">
        <f>IFERROR(__xludf.DUMMYFUNCTION("""COMPUTED_VALUE"""),78.53)</f>
        <v>78.53</v>
      </c>
      <c r="D3552" s="1">
        <f>IFERROR(__xludf.DUMMYFUNCTION("""COMPUTED_VALUE"""),77.06)</f>
        <v>77.06</v>
      </c>
      <c r="E3552" s="1">
        <f>IFERROR(__xludf.DUMMYFUNCTION("""COMPUTED_VALUE"""),77.49)</f>
        <v>77.49</v>
      </c>
      <c r="F3552" s="1">
        <f>IFERROR(__xludf.DUMMYFUNCTION("""COMPUTED_VALUE"""),1.103522E7)</f>
        <v>11035220</v>
      </c>
    </row>
    <row r="3553">
      <c r="A3553" s="2">
        <f>IFERROR(__xludf.DUMMYFUNCTION("""COMPUTED_VALUE"""),41683.666666666664)</f>
        <v>41683.66667</v>
      </c>
      <c r="B3553" s="1">
        <f>IFERROR(__xludf.DUMMYFUNCTION("""COMPUTED_VALUE"""),77.09)</f>
        <v>77.09</v>
      </c>
      <c r="C3553" s="1">
        <f>IFERROR(__xludf.DUMMYFUNCTION("""COMPUTED_VALUE"""),77.92)</f>
        <v>77.92</v>
      </c>
      <c r="D3553" s="1">
        <f>IFERROR(__xludf.DUMMYFUNCTION("""COMPUTED_VALUE"""),77.0)</f>
        <v>77</v>
      </c>
      <c r="E3553" s="1">
        <f>IFERROR(__xludf.DUMMYFUNCTION("""COMPUTED_VALUE"""),77.8)</f>
        <v>77.8</v>
      </c>
      <c r="F3553" s="1">
        <f>IFERROR(__xludf.DUMMYFUNCTION("""COMPUTED_VALUE"""),7422665.0)</f>
        <v>7422665</v>
      </c>
    </row>
    <row r="3554">
      <c r="A3554" s="2">
        <f>IFERROR(__xludf.DUMMYFUNCTION("""COMPUTED_VALUE"""),41684.666666666664)</f>
        <v>41684.66667</v>
      </c>
      <c r="B3554" s="1">
        <f>IFERROR(__xludf.DUMMYFUNCTION("""COMPUTED_VALUE"""),77.69)</f>
        <v>77.69</v>
      </c>
      <c r="C3554" s="1">
        <f>IFERROR(__xludf.DUMMYFUNCTION("""COMPUTED_VALUE"""),79.75)</f>
        <v>79.75</v>
      </c>
      <c r="D3554" s="1">
        <f>IFERROR(__xludf.DUMMYFUNCTION("""COMPUTED_VALUE"""),77.25)</f>
        <v>77.25</v>
      </c>
      <c r="E3554" s="1">
        <f>IFERROR(__xludf.DUMMYFUNCTION("""COMPUTED_VALUE"""),79.4)</f>
        <v>79.4</v>
      </c>
      <c r="F3554" s="1">
        <f>IFERROR(__xludf.DUMMYFUNCTION("""COMPUTED_VALUE"""),1.0819496E7)</f>
        <v>10819496</v>
      </c>
    </row>
    <row r="3555">
      <c r="A3555" s="2">
        <f>IFERROR(__xludf.DUMMYFUNCTION("""COMPUTED_VALUE"""),41688.666666666664)</f>
        <v>41688.66667</v>
      </c>
      <c r="B3555" s="1">
        <f>IFERROR(__xludf.DUMMYFUNCTION("""COMPUTED_VALUE"""),79.48)</f>
        <v>79.48</v>
      </c>
      <c r="C3555" s="1">
        <f>IFERROR(__xludf.DUMMYFUNCTION("""COMPUTED_VALUE"""),79.63)</f>
        <v>79.63</v>
      </c>
      <c r="D3555" s="1">
        <f>IFERROR(__xludf.DUMMYFUNCTION("""COMPUTED_VALUE"""),77.56)</f>
        <v>77.56</v>
      </c>
      <c r="E3555" s="1">
        <f>IFERROR(__xludf.DUMMYFUNCTION("""COMPUTED_VALUE"""),77.97)</f>
        <v>77.97</v>
      </c>
      <c r="F3555" s="1">
        <f>IFERROR(__xludf.DUMMYFUNCTION("""COMPUTED_VALUE"""),1.5763668E7)</f>
        <v>15763668</v>
      </c>
    </row>
    <row r="3556">
      <c r="A3556" s="2">
        <f>IFERROR(__xludf.DUMMYFUNCTION("""COMPUTED_VALUE"""),41689.666666666664)</f>
        <v>41689.66667</v>
      </c>
      <c r="B3556" s="1">
        <f>IFERROR(__xludf.DUMMYFUNCTION("""COMPUTED_VALUE"""),77.64)</f>
        <v>77.64</v>
      </c>
      <c r="C3556" s="1">
        <f>IFERROR(__xludf.DUMMYFUNCTION("""COMPUTED_VALUE"""),78.96)</f>
        <v>78.96</v>
      </c>
      <c r="D3556" s="1">
        <f>IFERROR(__xludf.DUMMYFUNCTION("""COMPUTED_VALUE"""),77.55)</f>
        <v>77.55</v>
      </c>
      <c r="E3556" s="1">
        <f>IFERROR(__xludf.DUMMYFUNCTION("""COMPUTED_VALUE"""),78.14)</f>
        <v>78.14</v>
      </c>
      <c r="F3556" s="1">
        <f>IFERROR(__xludf.DUMMYFUNCTION("""COMPUTED_VALUE"""),8740119.0)</f>
        <v>8740119</v>
      </c>
    </row>
    <row r="3557">
      <c r="A3557" s="2">
        <f>IFERROR(__xludf.DUMMYFUNCTION("""COMPUTED_VALUE"""),41690.666666666664)</f>
        <v>41690.66667</v>
      </c>
      <c r="B3557" s="1">
        <f>IFERROR(__xludf.DUMMYFUNCTION("""COMPUTED_VALUE"""),77.96)</f>
        <v>77.96</v>
      </c>
      <c r="C3557" s="1">
        <f>IFERROR(__xludf.DUMMYFUNCTION("""COMPUTED_VALUE"""),78.44)</f>
        <v>78.44</v>
      </c>
      <c r="D3557" s="1">
        <f>IFERROR(__xludf.DUMMYFUNCTION("""COMPUTED_VALUE"""),77.5)</f>
        <v>77.5</v>
      </c>
      <c r="E3557" s="1">
        <f>IFERROR(__xludf.DUMMYFUNCTION("""COMPUTED_VALUE"""),77.92)</f>
        <v>77.92</v>
      </c>
      <c r="F3557" s="1">
        <f>IFERROR(__xludf.DUMMYFUNCTION("""COMPUTED_VALUE"""),8275272.0)</f>
        <v>8275272</v>
      </c>
    </row>
    <row r="3558">
      <c r="A3558" s="2">
        <f>IFERROR(__xludf.DUMMYFUNCTION("""COMPUTED_VALUE"""),41691.666666666664)</f>
        <v>41691.66667</v>
      </c>
      <c r="B3558" s="1">
        <f>IFERROR(__xludf.DUMMYFUNCTION("""COMPUTED_VALUE"""),78.05)</f>
        <v>78.05</v>
      </c>
      <c r="C3558" s="1">
        <f>IFERROR(__xludf.DUMMYFUNCTION("""COMPUTED_VALUE"""),78.89)</f>
        <v>78.89</v>
      </c>
      <c r="D3558" s="1">
        <f>IFERROR(__xludf.DUMMYFUNCTION("""COMPUTED_VALUE"""),77.91)</f>
        <v>77.91</v>
      </c>
      <c r="E3558" s="1">
        <f>IFERROR(__xludf.DUMMYFUNCTION("""COMPUTED_VALUE"""),77.97)</f>
        <v>77.97</v>
      </c>
      <c r="F3558" s="1">
        <f>IFERROR(__xludf.DUMMYFUNCTION("""COMPUTED_VALUE"""),8095885.0)</f>
        <v>8095885</v>
      </c>
    </row>
    <row r="3559">
      <c r="A3559" s="2">
        <f>IFERROR(__xludf.DUMMYFUNCTION("""COMPUTED_VALUE"""),41694.666666666664)</f>
        <v>41694.66667</v>
      </c>
      <c r="B3559" s="1">
        <f>IFERROR(__xludf.DUMMYFUNCTION("""COMPUTED_VALUE"""),78.03)</f>
        <v>78.03</v>
      </c>
      <c r="C3559" s="1">
        <f>IFERROR(__xludf.DUMMYFUNCTION("""COMPUTED_VALUE"""),78.77)</f>
        <v>78.77</v>
      </c>
      <c r="D3559" s="1">
        <f>IFERROR(__xludf.DUMMYFUNCTION("""COMPUTED_VALUE"""),77.61)</f>
        <v>77.61</v>
      </c>
      <c r="E3559" s="1">
        <f>IFERROR(__xludf.DUMMYFUNCTION("""COMPUTED_VALUE"""),77.86)</f>
        <v>77.86</v>
      </c>
      <c r="F3559" s="1">
        <f>IFERROR(__xludf.DUMMYFUNCTION("""COMPUTED_VALUE"""),7838896.0)</f>
        <v>7838896</v>
      </c>
    </row>
    <row r="3560">
      <c r="A3560" s="2">
        <f>IFERROR(__xludf.DUMMYFUNCTION("""COMPUTED_VALUE"""),41695.666666666664)</f>
        <v>41695.66667</v>
      </c>
      <c r="B3560" s="1">
        <f>IFERROR(__xludf.DUMMYFUNCTION("""COMPUTED_VALUE"""),77.73)</f>
        <v>77.73</v>
      </c>
      <c r="C3560" s="1">
        <f>IFERROR(__xludf.DUMMYFUNCTION("""COMPUTED_VALUE"""),78.31)</f>
        <v>78.31</v>
      </c>
      <c r="D3560" s="1">
        <f>IFERROR(__xludf.DUMMYFUNCTION("""COMPUTED_VALUE"""),77.4)</f>
        <v>77.4</v>
      </c>
      <c r="E3560" s="1">
        <f>IFERROR(__xludf.DUMMYFUNCTION("""COMPUTED_VALUE"""),78.12)</f>
        <v>78.12</v>
      </c>
      <c r="F3560" s="1">
        <f>IFERROR(__xludf.DUMMYFUNCTION("""COMPUTED_VALUE"""),8182444.0)</f>
        <v>8182444</v>
      </c>
    </row>
    <row r="3561">
      <c r="A3561" s="2">
        <f>IFERROR(__xludf.DUMMYFUNCTION("""COMPUTED_VALUE"""),41696.666666666664)</f>
        <v>41696.66667</v>
      </c>
      <c r="B3561" s="1">
        <f>IFERROR(__xludf.DUMMYFUNCTION("""COMPUTED_VALUE"""),78.23)</f>
        <v>78.23</v>
      </c>
      <c r="C3561" s="1">
        <f>IFERROR(__xludf.DUMMYFUNCTION("""COMPUTED_VALUE"""),78.77)</f>
        <v>78.77</v>
      </c>
      <c r="D3561" s="1">
        <f>IFERROR(__xludf.DUMMYFUNCTION("""COMPUTED_VALUE"""),77.82)</f>
        <v>77.82</v>
      </c>
      <c r="E3561" s="1">
        <f>IFERROR(__xludf.DUMMYFUNCTION("""COMPUTED_VALUE"""),77.86)</f>
        <v>77.86</v>
      </c>
      <c r="F3561" s="1">
        <f>IFERROR(__xludf.DUMMYFUNCTION("""COMPUTED_VALUE"""),7772528.0)</f>
        <v>7772528</v>
      </c>
    </row>
    <row r="3562">
      <c r="A3562" s="2">
        <f>IFERROR(__xludf.DUMMYFUNCTION("""COMPUTED_VALUE"""),41697.666666666664)</f>
        <v>41697.66667</v>
      </c>
      <c r="B3562" s="1">
        <f>IFERROR(__xludf.DUMMYFUNCTION("""COMPUTED_VALUE"""),77.77)</f>
        <v>77.77</v>
      </c>
      <c r="C3562" s="1">
        <f>IFERROR(__xludf.DUMMYFUNCTION("""COMPUTED_VALUE"""),78.23)</f>
        <v>78.23</v>
      </c>
      <c r="D3562" s="1">
        <f>IFERROR(__xludf.DUMMYFUNCTION("""COMPUTED_VALUE"""),77.56)</f>
        <v>77.56</v>
      </c>
      <c r="E3562" s="1">
        <f>IFERROR(__xludf.DUMMYFUNCTION("""COMPUTED_VALUE"""),78.19)</f>
        <v>78.19</v>
      </c>
      <c r="F3562" s="1">
        <f>IFERROR(__xludf.DUMMYFUNCTION("""COMPUTED_VALUE"""),6549833.0)</f>
        <v>6549833</v>
      </c>
    </row>
    <row r="3563">
      <c r="A3563" s="2">
        <f>IFERROR(__xludf.DUMMYFUNCTION("""COMPUTED_VALUE"""),41698.666666666664)</f>
        <v>41698.66667</v>
      </c>
      <c r="B3563" s="1">
        <f>IFERROR(__xludf.DUMMYFUNCTION("""COMPUTED_VALUE"""),78.24)</f>
        <v>78.24</v>
      </c>
      <c r="C3563" s="1">
        <f>IFERROR(__xludf.DUMMYFUNCTION("""COMPUTED_VALUE"""),78.91)</f>
        <v>78.91</v>
      </c>
      <c r="D3563" s="1">
        <f>IFERROR(__xludf.DUMMYFUNCTION("""COMPUTED_VALUE"""),78.01)</f>
        <v>78.01</v>
      </c>
      <c r="E3563" s="1">
        <f>IFERROR(__xludf.DUMMYFUNCTION("""COMPUTED_VALUE"""),78.66)</f>
        <v>78.66</v>
      </c>
      <c r="F3563" s="1">
        <f>IFERROR(__xludf.DUMMYFUNCTION("""COMPUTED_VALUE"""),8489944.0)</f>
        <v>8489944</v>
      </c>
    </row>
    <row r="3564">
      <c r="A3564" s="2">
        <f>IFERROR(__xludf.DUMMYFUNCTION("""COMPUTED_VALUE"""),41701.666666666664)</f>
        <v>41701.66667</v>
      </c>
      <c r="B3564" s="1">
        <f>IFERROR(__xludf.DUMMYFUNCTION("""COMPUTED_VALUE"""),78.26)</f>
        <v>78.26</v>
      </c>
      <c r="C3564" s="1">
        <f>IFERROR(__xludf.DUMMYFUNCTION("""COMPUTED_VALUE"""),78.41)</f>
        <v>78.41</v>
      </c>
      <c r="D3564" s="1">
        <f>IFERROR(__xludf.DUMMYFUNCTION("""COMPUTED_VALUE"""),77.35)</f>
        <v>77.35</v>
      </c>
      <c r="E3564" s="1">
        <f>IFERROR(__xludf.DUMMYFUNCTION("""COMPUTED_VALUE"""),77.48)</f>
        <v>77.48</v>
      </c>
      <c r="F3564" s="1">
        <f>IFERROR(__xludf.DUMMYFUNCTION("""COMPUTED_VALUE"""),8609593.0)</f>
        <v>8609593</v>
      </c>
    </row>
    <row r="3565">
      <c r="A3565" s="2">
        <f>IFERROR(__xludf.DUMMYFUNCTION("""COMPUTED_VALUE"""),41702.666666666664)</f>
        <v>41702.66667</v>
      </c>
      <c r="B3565" s="1">
        <f>IFERROR(__xludf.DUMMYFUNCTION("""COMPUTED_VALUE"""),78.09)</f>
        <v>78.09</v>
      </c>
      <c r="C3565" s="1">
        <f>IFERROR(__xludf.DUMMYFUNCTION("""COMPUTED_VALUE"""),78.72)</f>
        <v>78.72</v>
      </c>
      <c r="D3565" s="1">
        <f>IFERROR(__xludf.DUMMYFUNCTION("""COMPUTED_VALUE"""),77.9)</f>
        <v>77.9</v>
      </c>
      <c r="E3565" s="1">
        <f>IFERROR(__xludf.DUMMYFUNCTION("""COMPUTED_VALUE"""),78.45)</f>
        <v>78.45</v>
      </c>
      <c r="F3565" s="1">
        <f>IFERROR(__xludf.DUMMYFUNCTION("""COMPUTED_VALUE"""),8306976.0)</f>
        <v>8306976</v>
      </c>
    </row>
    <row r="3566">
      <c r="A3566" s="2">
        <f>IFERROR(__xludf.DUMMYFUNCTION("""COMPUTED_VALUE"""),41703.666666666664)</f>
        <v>41703.66667</v>
      </c>
      <c r="B3566" s="1">
        <f>IFERROR(__xludf.DUMMYFUNCTION("""COMPUTED_VALUE"""),78.32)</f>
        <v>78.32</v>
      </c>
      <c r="C3566" s="1">
        <f>IFERROR(__xludf.DUMMYFUNCTION("""COMPUTED_VALUE"""),78.41)</f>
        <v>78.41</v>
      </c>
      <c r="D3566" s="1">
        <f>IFERROR(__xludf.DUMMYFUNCTION("""COMPUTED_VALUE"""),77.55)</f>
        <v>77.55</v>
      </c>
      <c r="E3566" s="1">
        <f>IFERROR(__xludf.DUMMYFUNCTION("""COMPUTED_VALUE"""),77.82)</f>
        <v>77.82</v>
      </c>
      <c r="F3566" s="1">
        <f>IFERROR(__xludf.DUMMYFUNCTION("""COMPUTED_VALUE"""),8542659.0)</f>
        <v>8542659</v>
      </c>
    </row>
    <row r="3567">
      <c r="A3567" s="2">
        <f>IFERROR(__xludf.DUMMYFUNCTION("""COMPUTED_VALUE"""),41704.666666666664)</f>
        <v>41704.66667</v>
      </c>
      <c r="B3567" s="1">
        <f>IFERROR(__xludf.DUMMYFUNCTION("""COMPUTED_VALUE"""),78.04)</f>
        <v>78.04</v>
      </c>
      <c r="C3567" s="1">
        <f>IFERROR(__xludf.DUMMYFUNCTION("""COMPUTED_VALUE"""),78.44)</f>
        <v>78.44</v>
      </c>
      <c r="D3567" s="1">
        <f>IFERROR(__xludf.DUMMYFUNCTION("""COMPUTED_VALUE"""),77.84)</f>
        <v>77.84</v>
      </c>
      <c r="E3567" s="1">
        <f>IFERROR(__xludf.DUMMYFUNCTION("""COMPUTED_VALUE"""),78.06)</f>
        <v>78.06</v>
      </c>
      <c r="F3567" s="1">
        <f>IFERROR(__xludf.DUMMYFUNCTION("""COMPUTED_VALUE"""),6475573.0)</f>
        <v>6475573</v>
      </c>
    </row>
    <row r="3568">
      <c r="A3568" s="2">
        <f>IFERROR(__xludf.DUMMYFUNCTION("""COMPUTED_VALUE"""),41705.666666666664)</f>
        <v>41705.66667</v>
      </c>
      <c r="B3568" s="1">
        <f>IFERROR(__xludf.DUMMYFUNCTION("""COMPUTED_VALUE"""),78.41)</f>
        <v>78.41</v>
      </c>
      <c r="C3568" s="1">
        <f>IFERROR(__xludf.DUMMYFUNCTION("""COMPUTED_VALUE"""),78.6)</f>
        <v>78.6</v>
      </c>
      <c r="D3568" s="1">
        <f>IFERROR(__xludf.DUMMYFUNCTION("""COMPUTED_VALUE"""),78.11)</f>
        <v>78.11</v>
      </c>
      <c r="E3568" s="1">
        <f>IFERROR(__xludf.DUMMYFUNCTION("""COMPUTED_VALUE"""),78.38)</f>
        <v>78.38</v>
      </c>
      <c r="F3568" s="1">
        <f>IFERROR(__xludf.DUMMYFUNCTION("""COMPUTED_VALUE"""),5865449.0)</f>
        <v>5865449</v>
      </c>
    </row>
    <row r="3569">
      <c r="A3569" s="2">
        <f>IFERROR(__xludf.DUMMYFUNCTION("""COMPUTED_VALUE"""),41708.666666666664)</f>
        <v>41708.66667</v>
      </c>
      <c r="B3569" s="1">
        <f>IFERROR(__xludf.DUMMYFUNCTION("""COMPUTED_VALUE"""),78.29)</f>
        <v>78.29</v>
      </c>
      <c r="C3569" s="1">
        <f>IFERROR(__xludf.DUMMYFUNCTION("""COMPUTED_VALUE"""),78.57)</f>
        <v>78.57</v>
      </c>
      <c r="D3569" s="1">
        <f>IFERROR(__xludf.DUMMYFUNCTION("""COMPUTED_VALUE"""),78.2)</f>
        <v>78.2</v>
      </c>
      <c r="E3569" s="1">
        <f>IFERROR(__xludf.DUMMYFUNCTION("""COMPUTED_VALUE"""),78.53)</f>
        <v>78.53</v>
      </c>
      <c r="F3569" s="1">
        <f>IFERROR(__xludf.DUMMYFUNCTION("""COMPUTED_VALUE"""),5233421.0)</f>
        <v>5233421</v>
      </c>
    </row>
    <row r="3570">
      <c r="A3570" s="2">
        <f>IFERROR(__xludf.DUMMYFUNCTION("""COMPUTED_VALUE"""),41709.666666666664)</f>
        <v>41709.66667</v>
      </c>
      <c r="B3570" s="1">
        <f>IFERROR(__xludf.DUMMYFUNCTION("""COMPUTED_VALUE"""),78.59)</f>
        <v>78.59</v>
      </c>
      <c r="C3570" s="1">
        <f>IFERROR(__xludf.DUMMYFUNCTION("""COMPUTED_VALUE"""),79.39)</f>
        <v>79.39</v>
      </c>
      <c r="D3570" s="1">
        <f>IFERROR(__xludf.DUMMYFUNCTION("""COMPUTED_VALUE"""),78.57)</f>
        <v>78.57</v>
      </c>
      <c r="E3570" s="1">
        <f>IFERROR(__xludf.DUMMYFUNCTION("""COMPUTED_VALUE"""),78.95)</f>
        <v>78.95</v>
      </c>
      <c r="F3570" s="1">
        <f>IFERROR(__xludf.DUMMYFUNCTION("""COMPUTED_VALUE"""),6599692.0)</f>
        <v>6599692</v>
      </c>
    </row>
    <row r="3571">
      <c r="A3571" s="2">
        <f>IFERROR(__xludf.DUMMYFUNCTION("""COMPUTED_VALUE"""),41710.666666666664)</f>
        <v>41710.66667</v>
      </c>
      <c r="B3571" s="1">
        <f>IFERROR(__xludf.DUMMYFUNCTION("""COMPUTED_VALUE"""),78.66)</f>
        <v>78.66</v>
      </c>
      <c r="C3571" s="1">
        <f>IFERROR(__xludf.DUMMYFUNCTION("""COMPUTED_VALUE"""),79.45)</f>
        <v>79.45</v>
      </c>
      <c r="D3571" s="1">
        <f>IFERROR(__xludf.DUMMYFUNCTION("""COMPUTED_VALUE"""),78.62)</f>
        <v>78.62</v>
      </c>
      <c r="E3571" s="1">
        <f>IFERROR(__xludf.DUMMYFUNCTION("""COMPUTED_VALUE"""),79.24)</f>
        <v>79.24</v>
      </c>
      <c r="F3571" s="1">
        <f>IFERROR(__xludf.DUMMYFUNCTION("""COMPUTED_VALUE"""),7470100.0)</f>
        <v>7470100</v>
      </c>
    </row>
    <row r="3572">
      <c r="A3572" s="2">
        <f>IFERROR(__xludf.DUMMYFUNCTION("""COMPUTED_VALUE"""),41711.666666666664)</f>
        <v>41711.66667</v>
      </c>
      <c r="B3572" s="1">
        <f>IFERROR(__xludf.DUMMYFUNCTION("""COMPUTED_VALUE"""),79.32)</f>
        <v>79.32</v>
      </c>
      <c r="C3572" s="1">
        <f>IFERROR(__xludf.DUMMYFUNCTION("""COMPUTED_VALUE"""),79.76)</f>
        <v>79.76</v>
      </c>
      <c r="D3572" s="1">
        <f>IFERROR(__xludf.DUMMYFUNCTION("""COMPUTED_VALUE"""),79.19)</f>
        <v>79.19</v>
      </c>
      <c r="E3572" s="1">
        <f>IFERROR(__xludf.DUMMYFUNCTION("""COMPUTED_VALUE"""),79.19)</f>
        <v>79.19</v>
      </c>
      <c r="F3572" s="1">
        <f>IFERROR(__xludf.DUMMYFUNCTION("""COMPUTED_VALUE"""),9676644.0)</f>
        <v>9676644</v>
      </c>
    </row>
    <row r="3573">
      <c r="A3573" s="2">
        <f>IFERROR(__xludf.DUMMYFUNCTION("""COMPUTED_VALUE"""),41712.666666666664)</f>
        <v>41712.66667</v>
      </c>
      <c r="B3573" s="1">
        <f>IFERROR(__xludf.DUMMYFUNCTION("""COMPUTED_VALUE"""),79.1)</f>
        <v>79.1</v>
      </c>
      <c r="C3573" s="1">
        <f>IFERROR(__xludf.DUMMYFUNCTION("""COMPUTED_VALUE"""),79.23)</f>
        <v>79.23</v>
      </c>
      <c r="D3573" s="1">
        <f>IFERROR(__xludf.DUMMYFUNCTION("""COMPUTED_VALUE"""),78.67)</f>
        <v>78.67</v>
      </c>
      <c r="E3573" s="1">
        <f>IFERROR(__xludf.DUMMYFUNCTION("""COMPUTED_VALUE"""),78.98)</f>
        <v>78.98</v>
      </c>
      <c r="F3573" s="1">
        <f>IFERROR(__xludf.DUMMYFUNCTION("""COMPUTED_VALUE"""),1.4850696E7)</f>
        <v>14850696</v>
      </c>
    </row>
    <row r="3574">
      <c r="A3574" s="2">
        <f>IFERROR(__xludf.DUMMYFUNCTION("""COMPUTED_VALUE"""),41715.666666666664)</f>
        <v>41715.66667</v>
      </c>
      <c r="B3574" s="1">
        <f>IFERROR(__xludf.DUMMYFUNCTION("""COMPUTED_VALUE"""),79.02)</f>
        <v>79.02</v>
      </c>
      <c r="C3574" s="1">
        <f>IFERROR(__xludf.DUMMYFUNCTION("""COMPUTED_VALUE"""),79.95)</f>
        <v>79.95</v>
      </c>
      <c r="D3574" s="1">
        <f>IFERROR(__xludf.DUMMYFUNCTION("""COMPUTED_VALUE"""),79.02)</f>
        <v>79.02</v>
      </c>
      <c r="E3574" s="1">
        <f>IFERROR(__xludf.DUMMYFUNCTION("""COMPUTED_VALUE"""),79.84)</f>
        <v>79.84</v>
      </c>
      <c r="F3574" s="1">
        <f>IFERROR(__xludf.DUMMYFUNCTION("""COMPUTED_VALUE"""),8452219.0)</f>
        <v>8452219</v>
      </c>
    </row>
    <row r="3575">
      <c r="A3575" s="2">
        <f>IFERROR(__xludf.DUMMYFUNCTION("""COMPUTED_VALUE"""),41716.666666666664)</f>
        <v>41716.66667</v>
      </c>
      <c r="B3575" s="1">
        <f>IFERROR(__xludf.DUMMYFUNCTION("""COMPUTED_VALUE"""),79.84)</f>
        <v>79.84</v>
      </c>
      <c r="C3575" s="1">
        <f>IFERROR(__xludf.DUMMYFUNCTION("""COMPUTED_VALUE"""),80.08)</f>
        <v>80.08</v>
      </c>
      <c r="D3575" s="1">
        <f>IFERROR(__xludf.DUMMYFUNCTION("""COMPUTED_VALUE"""),79.51)</f>
        <v>79.51</v>
      </c>
      <c r="E3575" s="1">
        <f>IFERROR(__xludf.DUMMYFUNCTION("""COMPUTED_VALUE"""),79.77)</f>
        <v>79.77</v>
      </c>
      <c r="F3575" s="1">
        <f>IFERROR(__xludf.DUMMYFUNCTION("""COMPUTED_VALUE"""),7703150.0)</f>
        <v>7703150</v>
      </c>
    </row>
    <row r="3576">
      <c r="A3576" s="2">
        <f>IFERROR(__xludf.DUMMYFUNCTION("""COMPUTED_VALUE"""),41717.666666666664)</f>
        <v>41717.66667</v>
      </c>
      <c r="B3576" s="1">
        <f>IFERROR(__xludf.DUMMYFUNCTION("""COMPUTED_VALUE"""),79.68)</f>
        <v>79.68</v>
      </c>
      <c r="C3576" s="1">
        <f>IFERROR(__xludf.DUMMYFUNCTION("""COMPUTED_VALUE"""),79.91)</f>
        <v>79.91</v>
      </c>
      <c r="D3576" s="1">
        <f>IFERROR(__xludf.DUMMYFUNCTION("""COMPUTED_VALUE"""),78.51)</f>
        <v>78.51</v>
      </c>
      <c r="E3576" s="1">
        <f>IFERROR(__xludf.DUMMYFUNCTION("""COMPUTED_VALUE"""),78.78)</f>
        <v>78.78</v>
      </c>
      <c r="F3576" s="1">
        <f>IFERROR(__xludf.DUMMYFUNCTION("""COMPUTED_VALUE"""),8607176.0)</f>
        <v>8607176</v>
      </c>
    </row>
    <row r="3577">
      <c r="A3577" s="2">
        <f>IFERROR(__xludf.DUMMYFUNCTION("""COMPUTED_VALUE"""),41718.666666666664)</f>
        <v>41718.66667</v>
      </c>
      <c r="B3577" s="1">
        <f>IFERROR(__xludf.DUMMYFUNCTION("""COMPUTED_VALUE"""),78.7)</f>
        <v>78.7</v>
      </c>
      <c r="C3577" s="1">
        <f>IFERROR(__xludf.DUMMYFUNCTION("""COMPUTED_VALUE"""),78.93)</f>
        <v>78.93</v>
      </c>
      <c r="D3577" s="1">
        <f>IFERROR(__xludf.DUMMYFUNCTION("""COMPUTED_VALUE"""),78.15)</f>
        <v>78.15</v>
      </c>
      <c r="E3577" s="1">
        <f>IFERROR(__xludf.DUMMYFUNCTION("""COMPUTED_VALUE"""),78.32)</f>
        <v>78.32</v>
      </c>
      <c r="F3577" s="1">
        <f>IFERROR(__xludf.DUMMYFUNCTION("""COMPUTED_VALUE"""),8659509.0)</f>
        <v>8659509</v>
      </c>
    </row>
    <row r="3578">
      <c r="A3578" s="2">
        <f>IFERROR(__xludf.DUMMYFUNCTION("""COMPUTED_VALUE"""),41719.666666666664)</f>
        <v>41719.66667</v>
      </c>
      <c r="B3578" s="1">
        <f>IFERROR(__xludf.DUMMYFUNCTION("""COMPUTED_VALUE"""),79.04)</f>
        <v>79.04</v>
      </c>
      <c r="C3578" s="1">
        <f>IFERROR(__xludf.DUMMYFUNCTION("""COMPUTED_VALUE"""),79.75)</f>
        <v>79.75</v>
      </c>
      <c r="D3578" s="1">
        <f>IFERROR(__xludf.DUMMYFUNCTION("""COMPUTED_VALUE"""),77.88)</f>
        <v>77.88</v>
      </c>
      <c r="E3578" s="1">
        <f>IFERROR(__xludf.DUMMYFUNCTION("""COMPUTED_VALUE"""),77.88)</f>
        <v>77.88</v>
      </c>
      <c r="F3578" s="1">
        <f>IFERROR(__xludf.DUMMYFUNCTION("""COMPUTED_VALUE"""),2.1250203E7)</f>
        <v>21250203</v>
      </c>
    </row>
    <row r="3579">
      <c r="A3579" s="2">
        <f>IFERROR(__xludf.DUMMYFUNCTION("""COMPUTED_VALUE"""),41722.666666666664)</f>
        <v>41722.66667</v>
      </c>
      <c r="B3579" s="1">
        <f>IFERROR(__xludf.DUMMYFUNCTION("""COMPUTED_VALUE"""),78.5)</f>
        <v>78.5</v>
      </c>
      <c r="C3579" s="1">
        <f>IFERROR(__xludf.DUMMYFUNCTION("""COMPUTED_VALUE"""),79.83)</f>
        <v>79.83</v>
      </c>
      <c r="D3579" s="1">
        <f>IFERROR(__xludf.DUMMYFUNCTION("""COMPUTED_VALUE"""),78.47)</f>
        <v>78.47</v>
      </c>
      <c r="E3579" s="1">
        <f>IFERROR(__xludf.DUMMYFUNCTION("""COMPUTED_VALUE"""),79.3)</f>
        <v>79.3</v>
      </c>
      <c r="F3579" s="1">
        <f>IFERROR(__xludf.DUMMYFUNCTION("""COMPUTED_VALUE"""),1.122157E7)</f>
        <v>11221570</v>
      </c>
    </row>
    <row r="3580">
      <c r="A3580" s="2">
        <f>IFERROR(__xludf.DUMMYFUNCTION("""COMPUTED_VALUE"""),41723.666666666664)</f>
        <v>41723.66667</v>
      </c>
      <c r="B3580" s="1">
        <f>IFERROR(__xludf.DUMMYFUNCTION("""COMPUTED_VALUE"""),79.52)</f>
        <v>79.52</v>
      </c>
      <c r="C3580" s="1">
        <f>IFERROR(__xludf.DUMMYFUNCTION("""COMPUTED_VALUE"""),79.99)</f>
        <v>79.99</v>
      </c>
      <c r="D3580" s="1">
        <f>IFERROR(__xludf.DUMMYFUNCTION("""COMPUTED_VALUE"""),79.44)</f>
        <v>79.44</v>
      </c>
      <c r="E3580" s="1">
        <f>IFERROR(__xludf.DUMMYFUNCTION("""COMPUTED_VALUE"""),79.81)</f>
        <v>79.81</v>
      </c>
      <c r="F3580" s="1">
        <f>IFERROR(__xludf.DUMMYFUNCTION("""COMPUTED_VALUE"""),8892450.0)</f>
        <v>8892450</v>
      </c>
    </row>
    <row r="3581">
      <c r="A3581" s="2">
        <f>IFERROR(__xludf.DUMMYFUNCTION("""COMPUTED_VALUE"""),41724.666666666664)</f>
        <v>41724.66667</v>
      </c>
      <c r="B3581" s="1">
        <f>IFERROR(__xludf.DUMMYFUNCTION("""COMPUTED_VALUE"""),80.03)</f>
        <v>80.03</v>
      </c>
      <c r="C3581" s="1">
        <f>IFERROR(__xludf.DUMMYFUNCTION("""COMPUTED_VALUE"""),80.18)</f>
        <v>80.18</v>
      </c>
      <c r="D3581" s="1">
        <f>IFERROR(__xludf.DUMMYFUNCTION("""COMPUTED_VALUE"""),79.33)</f>
        <v>79.33</v>
      </c>
      <c r="E3581" s="1">
        <f>IFERROR(__xludf.DUMMYFUNCTION("""COMPUTED_VALUE"""),79.5)</f>
        <v>79.5</v>
      </c>
      <c r="F3581" s="1">
        <f>IFERROR(__xludf.DUMMYFUNCTION("""COMPUTED_VALUE"""),8270011.0)</f>
        <v>8270011</v>
      </c>
    </row>
    <row r="3582">
      <c r="A3582" s="2">
        <f>IFERROR(__xludf.DUMMYFUNCTION("""COMPUTED_VALUE"""),41725.666666666664)</f>
        <v>41725.66667</v>
      </c>
      <c r="B3582" s="1">
        <f>IFERROR(__xludf.DUMMYFUNCTION("""COMPUTED_VALUE"""),79.55)</f>
        <v>79.55</v>
      </c>
      <c r="C3582" s="1">
        <f>IFERROR(__xludf.DUMMYFUNCTION("""COMPUTED_VALUE"""),80.43)</f>
        <v>80.43</v>
      </c>
      <c r="D3582" s="1">
        <f>IFERROR(__xludf.DUMMYFUNCTION("""COMPUTED_VALUE"""),79.38)</f>
        <v>79.38</v>
      </c>
      <c r="E3582" s="1">
        <f>IFERROR(__xludf.DUMMYFUNCTION("""COMPUTED_VALUE"""),79.65)</f>
        <v>79.65</v>
      </c>
      <c r="F3582" s="1">
        <f>IFERROR(__xludf.DUMMYFUNCTION("""COMPUTED_VALUE"""),8134097.0)</f>
        <v>8134097</v>
      </c>
    </row>
    <row r="3583">
      <c r="A3583" s="2">
        <f>IFERROR(__xludf.DUMMYFUNCTION("""COMPUTED_VALUE"""),41726.666666666664)</f>
        <v>41726.66667</v>
      </c>
      <c r="B3583" s="1">
        <f>IFERROR(__xludf.DUMMYFUNCTION("""COMPUTED_VALUE"""),79.94)</f>
        <v>79.94</v>
      </c>
      <c r="C3583" s="1">
        <f>IFERROR(__xludf.DUMMYFUNCTION("""COMPUTED_VALUE"""),80.32)</f>
        <v>80.32</v>
      </c>
      <c r="D3583" s="1">
        <f>IFERROR(__xludf.DUMMYFUNCTION("""COMPUTED_VALUE"""),79.52)</f>
        <v>79.52</v>
      </c>
      <c r="E3583" s="1">
        <f>IFERROR(__xludf.DUMMYFUNCTION("""COMPUTED_VALUE"""),79.76)</f>
        <v>79.76</v>
      </c>
      <c r="F3583" s="1">
        <f>IFERROR(__xludf.DUMMYFUNCTION("""COMPUTED_VALUE"""),6413509.0)</f>
        <v>6413509</v>
      </c>
    </row>
    <row r="3584">
      <c r="A3584" s="2">
        <f>IFERROR(__xludf.DUMMYFUNCTION("""COMPUTED_VALUE"""),41729.666666666664)</f>
        <v>41729.66667</v>
      </c>
      <c r="B3584" s="1">
        <f>IFERROR(__xludf.DUMMYFUNCTION("""COMPUTED_VALUE"""),80.0)</f>
        <v>80</v>
      </c>
      <c r="C3584" s="1">
        <f>IFERROR(__xludf.DUMMYFUNCTION("""COMPUTED_VALUE"""),80.83)</f>
        <v>80.83</v>
      </c>
      <c r="D3584" s="1">
        <f>IFERROR(__xludf.DUMMYFUNCTION("""COMPUTED_VALUE"""),79.55)</f>
        <v>79.55</v>
      </c>
      <c r="E3584" s="1">
        <f>IFERROR(__xludf.DUMMYFUNCTION("""COMPUTED_VALUE"""),80.6)</f>
        <v>80.6</v>
      </c>
      <c r="F3584" s="1">
        <f>IFERROR(__xludf.DUMMYFUNCTION("""COMPUTED_VALUE"""),8493091.0)</f>
        <v>8493091</v>
      </c>
    </row>
    <row r="3585">
      <c r="A3585" s="2">
        <f>IFERROR(__xludf.DUMMYFUNCTION("""COMPUTED_VALUE"""),41730.666666666664)</f>
        <v>41730.66667</v>
      </c>
      <c r="B3585" s="1">
        <f>IFERROR(__xludf.DUMMYFUNCTION("""COMPUTED_VALUE"""),80.6)</f>
        <v>80.6</v>
      </c>
      <c r="C3585" s="1">
        <f>IFERROR(__xludf.DUMMYFUNCTION("""COMPUTED_VALUE"""),80.84)</f>
        <v>80.84</v>
      </c>
      <c r="D3585" s="1">
        <f>IFERROR(__xludf.DUMMYFUNCTION("""COMPUTED_VALUE"""),80.21)</f>
        <v>80.21</v>
      </c>
      <c r="E3585" s="1">
        <f>IFERROR(__xludf.DUMMYFUNCTION("""COMPUTED_VALUE"""),80.34)</f>
        <v>80.34</v>
      </c>
      <c r="F3585" s="1">
        <f>IFERROR(__xludf.DUMMYFUNCTION("""COMPUTED_VALUE"""),8222389.0)</f>
        <v>8222389</v>
      </c>
    </row>
    <row r="3586">
      <c r="A3586" s="2">
        <f>IFERROR(__xludf.DUMMYFUNCTION("""COMPUTED_VALUE"""),41731.666666666664)</f>
        <v>41731.66667</v>
      </c>
      <c r="B3586" s="1">
        <f>IFERROR(__xludf.DUMMYFUNCTION("""COMPUTED_VALUE"""),80.19)</f>
        <v>80.19</v>
      </c>
      <c r="C3586" s="1">
        <f>IFERROR(__xludf.DUMMYFUNCTION("""COMPUTED_VALUE"""),80.33)</f>
        <v>80.33</v>
      </c>
      <c r="D3586" s="1">
        <f>IFERROR(__xludf.DUMMYFUNCTION("""COMPUTED_VALUE"""),79.8)</f>
        <v>79.8</v>
      </c>
      <c r="E3586" s="1">
        <f>IFERROR(__xludf.DUMMYFUNCTION("""COMPUTED_VALUE"""),80.13)</f>
        <v>80.13</v>
      </c>
      <c r="F3586" s="1">
        <f>IFERROR(__xludf.DUMMYFUNCTION("""COMPUTED_VALUE"""),6741754.0)</f>
        <v>6741754</v>
      </c>
    </row>
    <row r="3587">
      <c r="A3587" s="2">
        <f>IFERROR(__xludf.DUMMYFUNCTION("""COMPUTED_VALUE"""),41732.666666666664)</f>
        <v>41732.66667</v>
      </c>
      <c r="B3587" s="1">
        <f>IFERROR(__xludf.DUMMYFUNCTION("""COMPUTED_VALUE"""),80.28)</f>
        <v>80.28</v>
      </c>
      <c r="C3587" s="1">
        <f>IFERROR(__xludf.DUMMYFUNCTION("""COMPUTED_VALUE"""),80.58)</f>
        <v>80.58</v>
      </c>
      <c r="D3587" s="1">
        <f>IFERROR(__xludf.DUMMYFUNCTION("""COMPUTED_VALUE"""),79.93)</f>
        <v>79.93</v>
      </c>
      <c r="E3587" s="1">
        <f>IFERROR(__xludf.DUMMYFUNCTION("""COMPUTED_VALUE"""),80.1)</f>
        <v>80.1</v>
      </c>
      <c r="F3587" s="1">
        <f>IFERROR(__xludf.DUMMYFUNCTION("""COMPUTED_VALUE"""),5647193.0)</f>
        <v>5647193</v>
      </c>
    </row>
    <row r="3588">
      <c r="A3588" s="2">
        <f>IFERROR(__xludf.DUMMYFUNCTION("""COMPUTED_VALUE"""),41733.666666666664)</f>
        <v>41733.66667</v>
      </c>
      <c r="B3588" s="1">
        <f>IFERROR(__xludf.DUMMYFUNCTION("""COMPUTED_VALUE"""),80.47)</f>
        <v>80.47</v>
      </c>
      <c r="C3588" s="1">
        <f>IFERROR(__xludf.DUMMYFUNCTION("""COMPUTED_VALUE"""),80.56)</f>
        <v>80.56</v>
      </c>
      <c r="D3588" s="1">
        <f>IFERROR(__xludf.DUMMYFUNCTION("""COMPUTED_VALUE"""),79.75)</f>
        <v>79.75</v>
      </c>
      <c r="E3588" s="1">
        <f>IFERROR(__xludf.DUMMYFUNCTION("""COMPUTED_VALUE"""),79.77)</f>
        <v>79.77</v>
      </c>
      <c r="F3588" s="1">
        <f>IFERROR(__xludf.DUMMYFUNCTION("""COMPUTED_VALUE"""),8649667.0)</f>
        <v>8649667</v>
      </c>
    </row>
    <row r="3589">
      <c r="A3589" s="2">
        <f>IFERROR(__xludf.DUMMYFUNCTION("""COMPUTED_VALUE"""),41736.666666666664)</f>
        <v>41736.66667</v>
      </c>
      <c r="B3589" s="1">
        <f>IFERROR(__xludf.DUMMYFUNCTION("""COMPUTED_VALUE"""),80.02)</f>
        <v>80.02</v>
      </c>
      <c r="C3589" s="1">
        <f>IFERROR(__xludf.DUMMYFUNCTION("""COMPUTED_VALUE"""),81.07)</f>
        <v>81.07</v>
      </c>
      <c r="D3589" s="1">
        <f>IFERROR(__xludf.DUMMYFUNCTION("""COMPUTED_VALUE"""),79.93)</f>
        <v>79.93</v>
      </c>
      <c r="E3589" s="1">
        <f>IFERROR(__xludf.DUMMYFUNCTION("""COMPUTED_VALUE"""),80.49)</f>
        <v>80.49</v>
      </c>
      <c r="F3589" s="1">
        <f>IFERROR(__xludf.DUMMYFUNCTION("""COMPUTED_VALUE"""),1.3228988E7)</f>
        <v>13228988</v>
      </c>
    </row>
    <row r="3590">
      <c r="A3590" s="2">
        <f>IFERROR(__xludf.DUMMYFUNCTION("""COMPUTED_VALUE"""),41737.666666666664)</f>
        <v>41737.66667</v>
      </c>
      <c r="B3590" s="1">
        <f>IFERROR(__xludf.DUMMYFUNCTION("""COMPUTED_VALUE"""),80.51)</f>
        <v>80.51</v>
      </c>
      <c r="C3590" s="1">
        <f>IFERROR(__xludf.DUMMYFUNCTION("""COMPUTED_VALUE"""),81.38)</f>
        <v>81.38</v>
      </c>
      <c r="D3590" s="1">
        <f>IFERROR(__xludf.DUMMYFUNCTION("""COMPUTED_VALUE"""),80.02)</f>
        <v>80.02</v>
      </c>
      <c r="E3590" s="1">
        <f>IFERROR(__xludf.DUMMYFUNCTION("""COMPUTED_VALUE"""),81.35)</f>
        <v>81.35</v>
      </c>
      <c r="F3590" s="1">
        <f>IFERROR(__xludf.DUMMYFUNCTION("""COMPUTED_VALUE"""),1.1886367E7)</f>
        <v>11886367</v>
      </c>
    </row>
    <row r="3591">
      <c r="A3591" s="2">
        <f>IFERROR(__xludf.DUMMYFUNCTION("""COMPUTED_VALUE"""),41738.666666666664)</f>
        <v>41738.66667</v>
      </c>
      <c r="B3591" s="1">
        <f>IFERROR(__xludf.DUMMYFUNCTION("""COMPUTED_VALUE"""),81.8)</f>
        <v>81.8</v>
      </c>
      <c r="C3591" s="1">
        <f>IFERROR(__xludf.DUMMYFUNCTION("""COMPUTED_VALUE"""),82.24)</f>
        <v>82.24</v>
      </c>
      <c r="D3591" s="1">
        <f>IFERROR(__xludf.DUMMYFUNCTION("""COMPUTED_VALUE"""),81.32)</f>
        <v>81.32</v>
      </c>
      <c r="E3591" s="1">
        <f>IFERROR(__xludf.DUMMYFUNCTION("""COMPUTED_VALUE"""),81.49)</f>
        <v>81.49</v>
      </c>
      <c r="F3591" s="1">
        <f>IFERROR(__xludf.DUMMYFUNCTION("""COMPUTED_VALUE"""),1.1555284E7)</f>
        <v>11555284</v>
      </c>
    </row>
    <row r="3592">
      <c r="A3592" s="2">
        <f>IFERROR(__xludf.DUMMYFUNCTION("""COMPUTED_VALUE"""),41739.666666666664)</f>
        <v>41739.66667</v>
      </c>
      <c r="B3592" s="1">
        <f>IFERROR(__xludf.DUMMYFUNCTION("""COMPUTED_VALUE"""),81.58)</f>
        <v>81.58</v>
      </c>
      <c r="C3592" s="1">
        <f>IFERROR(__xludf.DUMMYFUNCTION("""COMPUTED_VALUE"""),82.13)</f>
        <v>82.13</v>
      </c>
      <c r="D3592" s="1">
        <f>IFERROR(__xludf.DUMMYFUNCTION("""COMPUTED_VALUE"""),80.89)</f>
        <v>80.89</v>
      </c>
      <c r="E3592" s="1">
        <f>IFERROR(__xludf.DUMMYFUNCTION("""COMPUTED_VALUE"""),81.09)</f>
        <v>81.09</v>
      </c>
      <c r="F3592" s="1">
        <f>IFERROR(__xludf.DUMMYFUNCTION("""COMPUTED_VALUE"""),1.2202694E7)</f>
        <v>12202694</v>
      </c>
    </row>
    <row r="3593">
      <c r="A3593" s="2">
        <f>IFERROR(__xludf.DUMMYFUNCTION("""COMPUTED_VALUE"""),41740.666666666664)</f>
        <v>41740.66667</v>
      </c>
      <c r="B3593" s="1">
        <f>IFERROR(__xludf.DUMMYFUNCTION("""COMPUTED_VALUE"""),80.98)</f>
        <v>80.98</v>
      </c>
      <c r="C3593" s="1">
        <f>IFERROR(__xludf.DUMMYFUNCTION("""COMPUTED_VALUE"""),81.66)</f>
        <v>81.66</v>
      </c>
      <c r="D3593" s="1">
        <f>IFERROR(__xludf.DUMMYFUNCTION("""COMPUTED_VALUE"""),80.5)</f>
        <v>80.5</v>
      </c>
      <c r="E3593" s="1">
        <f>IFERROR(__xludf.DUMMYFUNCTION("""COMPUTED_VALUE"""),80.76)</f>
        <v>80.76</v>
      </c>
      <c r="F3593" s="1">
        <f>IFERROR(__xludf.DUMMYFUNCTION("""COMPUTED_VALUE"""),1.1831591E7)</f>
        <v>11831591</v>
      </c>
    </row>
    <row r="3594">
      <c r="A3594" s="2">
        <f>IFERROR(__xludf.DUMMYFUNCTION("""COMPUTED_VALUE"""),41743.666666666664)</f>
        <v>41743.66667</v>
      </c>
      <c r="B3594" s="1">
        <f>IFERROR(__xludf.DUMMYFUNCTION("""COMPUTED_VALUE"""),81.0)</f>
        <v>81</v>
      </c>
      <c r="C3594" s="1">
        <f>IFERROR(__xludf.DUMMYFUNCTION("""COMPUTED_VALUE"""),81.2)</f>
        <v>81.2</v>
      </c>
      <c r="D3594" s="1">
        <f>IFERROR(__xludf.DUMMYFUNCTION("""COMPUTED_VALUE"""),80.51)</f>
        <v>80.51</v>
      </c>
      <c r="E3594" s="1">
        <f>IFERROR(__xludf.DUMMYFUNCTION("""COMPUTED_VALUE"""),80.81)</f>
        <v>80.81</v>
      </c>
      <c r="F3594" s="1">
        <f>IFERROR(__xludf.DUMMYFUNCTION("""COMPUTED_VALUE"""),7105587.0)</f>
        <v>7105587</v>
      </c>
    </row>
    <row r="3595">
      <c r="A3595" s="2">
        <f>IFERROR(__xludf.DUMMYFUNCTION("""COMPUTED_VALUE"""),41744.666666666664)</f>
        <v>41744.66667</v>
      </c>
      <c r="B3595" s="1">
        <f>IFERROR(__xludf.DUMMYFUNCTION("""COMPUTED_VALUE"""),80.79)</f>
        <v>80.79</v>
      </c>
      <c r="C3595" s="1">
        <f>IFERROR(__xludf.DUMMYFUNCTION("""COMPUTED_VALUE"""),81.09)</f>
        <v>81.09</v>
      </c>
      <c r="D3595" s="1">
        <f>IFERROR(__xludf.DUMMYFUNCTION("""COMPUTED_VALUE"""),80.52)</f>
        <v>80.52</v>
      </c>
      <c r="E3595" s="1">
        <f>IFERROR(__xludf.DUMMYFUNCTION("""COMPUTED_VALUE"""),80.84)</f>
        <v>80.84</v>
      </c>
      <c r="F3595" s="1">
        <f>IFERROR(__xludf.DUMMYFUNCTION("""COMPUTED_VALUE"""),9007674.0)</f>
        <v>9007674</v>
      </c>
    </row>
    <row r="3596">
      <c r="A3596" s="2">
        <f>IFERROR(__xludf.DUMMYFUNCTION("""COMPUTED_VALUE"""),41745.666666666664)</f>
        <v>41745.66667</v>
      </c>
      <c r="B3596" s="1">
        <f>IFERROR(__xludf.DUMMYFUNCTION("""COMPUTED_VALUE"""),81.28)</f>
        <v>81.28</v>
      </c>
      <c r="C3596" s="1">
        <f>IFERROR(__xludf.DUMMYFUNCTION("""COMPUTED_VALUE"""),81.88)</f>
        <v>81.88</v>
      </c>
      <c r="D3596" s="1">
        <f>IFERROR(__xludf.DUMMYFUNCTION("""COMPUTED_VALUE"""),81.03)</f>
        <v>81.03</v>
      </c>
      <c r="E3596" s="1">
        <f>IFERROR(__xludf.DUMMYFUNCTION("""COMPUTED_VALUE"""),81.65)</f>
        <v>81.65</v>
      </c>
      <c r="F3596" s="1">
        <f>IFERROR(__xludf.DUMMYFUNCTION("""COMPUTED_VALUE"""),8301006.0)</f>
        <v>8301006</v>
      </c>
    </row>
    <row r="3597">
      <c r="A3597" s="2">
        <f>IFERROR(__xludf.DUMMYFUNCTION("""COMPUTED_VALUE"""),41746.666666666664)</f>
        <v>41746.66667</v>
      </c>
      <c r="B3597" s="1">
        <f>IFERROR(__xludf.DUMMYFUNCTION("""COMPUTED_VALUE"""),81.47)</f>
        <v>81.47</v>
      </c>
      <c r="C3597" s="1">
        <f>IFERROR(__xludf.DUMMYFUNCTION("""COMPUTED_VALUE"""),81.89)</f>
        <v>81.89</v>
      </c>
      <c r="D3597" s="1">
        <f>IFERROR(__xludf.DUMMYFUNCTION("""COMPUTED_VALUE"""),81.34)</f>
        <v>81.34</v>
      </c>
      <c r="E3597" s="1">
        <f>IFERROR(__xludf.DUMMYFUNCTION("""COMPUTED_VALUE"""),81.76)</f>
        <v>81.76</v>
      </c>
      <c r="F3597" s="1">
        <f>IFERROR(__xludf.DUMMYFUNCTION("""COMPUTED_VALUE"""),8374713.0)</f>
        <v>8374713</v>
      </c>
    </row>
    <row r="3598">
      <c r="A3598" s="2">
        <f>IFERROR(__xludf.DUMMYFUNCTION("""COMPUTED_VALUE"""),41750.666666666664)</f>
        <v>41750.66667</v>
      </c>
      <c r="B3598" s="1">
        <f>IFERROR(__xludf.DUMMYFUNCTION("""COMPUTED_VALUE"""),81.81)</f>
        <v>81.81</v>
      </c>
      <c r="C3598" s="1">
        <f>IFERROR(__xludf.DUMMYFUNCTION("""COMPUTED_VALUE"""),81.81)</f>
        <v>81.81</v>
      </c>
      <c r="D3598" s="1">
        <f>IFERROR(__xludf.DUMMYFUNCTION("""COMPUTED_VALUE"""),81.29)</f>
        <v>81.29</v>
      </c>
      <c r="E3598" s="1">
        <f>IFERROR(__xludf.DUMMYFUNCTION("""COMPUTED_VALUE"""),81.56)</f>
        <v>81.56</v>
      </c>
      <c r="F3598" s="1">
        <f>IFERROR(__xludf.DUMMYFUNCTION("""COMPUTED_VALUE"""),6395150.0)</f>
        <v>6395150</v>
      </c>
    </row>
    <row r="3599">
      <c r="A3599" s="2">
        <f>IFERROR(__xludf.DUMMYFUNCTION("""COMPUTED_VALUE"""),41751.666666666664)</f>
        <v>41751.66667</v>
      </c>
      <c r="B3599" s="1">
        <f>IFERROR(__xludf.DUMMYFUNCTION("""COMPUTED_VALUE"""),81.54)</f>
        <v>81.54</v>
      </c>
      <c r="C3599" s="1">
        <f>IFERROR(__xludf.DUMMYFUNCTION("""COMPUTED_VALUE"""),81.67)</f>
        <v>81.67</v>
      </c>
      <c r="D3599" s="1">
        <f>IFERROR(__xludf.DUMMYFUNCTION("""COMPUTED_VALUE"""),81.15)</f>
        <v>81.15</v>
      </c>
      <c r="E3599" s="1">
        <f>IFERROR(__xludf.DUMMYFUNCTION("""COMPUTED_VALUE"""),81.25)</f>
        <v>81.25</v>
      </c>
      <c r="F3599" s="1">
        <f>IFERROR(__xludf.DUMMYFUNCTION("""COMPUTED_VALUE"""),9260267.0)</f>
        <v>9260267</v>
      </c>
    </row>
    <row r="3600">
      <c r="A3600" s="2">
        <f>IFERROR(__xludf.DUMMYFUNCTION("""COMPUTED_VALUE"""),41752.666666666664)</f>
        <v>41752.66667</v>
      </c>
      <c r="B3600" s="1">
        <f>IFERROR(__xludf.DUMMYFUNCTION("""COMPUTED_VALUE"""),80.72)</f>
        <v>80.72</v>
      </c>
      <c r="C3600" s="1">
        <f>IFERROR(__xludf.DUMMYFUNCTION("""COMPUTED_VALUE"""),80.72)</f>
        <v>80.72</v>
      </c>
      <c r="D3600" s="1">
        <f>IFERROR(__xludf.DUMMYFUNCTION("""COMPUTED_VALUE"""),79.38)</f>
        <v>79.38</v>
      </c>
      <c r="E3600" s="1">
        <f>IFERROR(__xludf.DUMMYFUNCTION("""COMPUTED_VALUE"""),80.36)</f>
        <v>80.36</v>
      </c>
      <c r="F3600" s="1">
        <f>IFERROR(__xludf.DUMMYFUNCTION("""COMPUTED_VALUE"""),9580599.0)</f>
        <v>9580599</v>
      </c>
    </row>
    <row r="3601">
      <c r="A3601" s="2">
        <f>IFERROR(__xludf.DUMMYFUNCTION("""COMPUTED_VALUE"""),41753.666666666664)</f>
        <v>41753.66667</v>
      </c>
      <c r="B3601" s="1">
        <f>IFERROR(__xludf.DUMMYFUNCTION("""COMPUTED_VALUE"""),80.26)</f>
        <v>80.26</v>
      </c>
      <c r="C3601" s="1">
        <f>IFERROR(__xludf.DUMMYFUNCTION("""COMPUTED_VALUE"""),81.38)</f>
        <v>81.38</v>
      </c>
      <c r="D3601" s="1">
        <f>IFERROR(__xludf.DUMMYFUNCTION("""COMPUTED_VALUE"""),80.01)</f>
        <v>80.01</v>
      </c>
      <c r="E3601" s="1">
        <f>IFERROR(__xludf.DUMMYFUNCTION("""COMPUTED_VALUE"""),81.15)</f>
        <v>81.15</v>
      </c>
      <c r="F3601" s="1">
        <f>IFERROR(__xludf.DUMMYFUNCTION("""COMPUTED_VALUE"""),9528562.0)</f>
        <v>9528562</v>
      </c>
    </row>
    <row r="3602">
      <c r="A3602" s="2">
        <f>IFERROR(__xludf.DUMMYFUNCTION("""COMPUTED_VALUE"""),41754.666666666664)</f>
        <v>41754.66667</v>
      </c>
      <c r="B3602" s="1">
        <f>IFERROR(__xludf.DUMMYFUNCTION("""COMPUTED_VALUE"""),81.2)</f>
        <v>81.2</v>
      </c>
      <c r="C3602" s="1">
        <f>IFERROR(__xludf.DUMMYFUNCTION("""COMPUTED_VALUE"""),81.58)</f>
        <v>81.58</v>
      </c>
      <c r="D3602" s="1">
        <f>IFERROR(__xludf.DUMMYFUNCTION("""COMPUTED_VALUE"""),80.97)</f>
        <v>80.97</v>
      </c>
      <c r="E3602" s="1">
        <f>IFERROR(__xludf.DUMMYFUNCTION("""COMPUTED_VALUE"""),81.41)</f>
        <v>81.41</v>
      </c>
      <c r="F3602" s="1">
        <f>IFERROR(__xludf.DUMMYFUNCTION("""COMPUTED_VALUE"""),7497404.0)</f>
        <v>7497404</v>
      </c>
    </row>
    <row r="3603">
      <c r="A3603" s="2">
        <f>IFERROR(__xludf.DUMMYFUNCTION("""COMPUTED_VALUE"""),41757.666666666664)</f>
        <v>41757.66667</v>
      </c>
      <c r="B3603" s="1">
        <f>IFERROR(__xludf.DUMMYFUNCTION("""COMPUTED_VALUE"""),81.54)</f>
        <v>81.54</v>
      </c>
      <c r="C3603" s="1">
        <f>IFERROR(__xludf.DUMMYFUNCTION("""COMPUTED_VALUE"""),82.98)</f>
        <v>82.98</v>
      </c>
      <c r="D3603" s="1">
        <f>IFERROR(__xludf.DUMMYFUNCTION("""COMPUTED_VALUE"""),81.51)</f>
        <v>81.51</v>
      </c>
      <c r="E3603" s="1">
        <f>IFERROR(__xludf.DUMMYFUNCTION("""COMPUTED_VALUE"""),82.94)</f>
        <v>82.94</v>
      </c>
      <c r="F3603" s="1">
        <f>IFERROR(__xludf.DUMMYFUNCTION("""COMPUTED_VALUE"""),1.1595127E7)</f>
        <v>11595127</v>
      </c>
    </row>
    <row r="3604">
      <c r="A3604" s="2">
        <f>IFERROR(__xludf.DUMMYFUNCTION("""COMPUTED_VALUE"""),41758.666666666664)</f>
        <v>41758.66667</v>
      </c>
      <c r="B3604" s="1">
        <f>IFERROR(__xludf.DUMMYFUNCTION("""COMPUTED_VALUE"""),82.75)</f>
        <v>82.75</v>
      </c>
      <c r="C3604" s="1">
        <f>IFERROR(__xludf.DUMMYFUNCTION("""COMPUTED_VALUE"""),82.95)</f>
        <v>82.95</v>
      </c>
      <c r="D3604" s="1">
        <f>IFERROR(__xludf.DUMMYFUNCTION("""COMPUTED_VALUE"""),82.36)</f>
        <v>82.36</v>
      </c>
      <c r="E3604" s="1">
        <f>IFERROR(__xludf.DUMMYFUNCTION("""COMPUTED_VALUE"""),82.44)</f>
        <v>82.44</v>
      </c>
      <c r="F3604" s="1">
        <f>IFERROR(__xludf.DUMMYFUNCTION("""COMPUTED_VALUE"""),7214281.0)</f>
        <v>7214281</v>
      </c>
    </row>
    <row r="3605">
      <c r="A3605" s="2">
        <f>IFERROR(__xludf.DUMMYFUNCTION("""COMPUTED_VALUE"""),41759.666666666664)</f>
        <v>41759.66667</v>
      </c>
      <c r="B3605" s="1">
        <f>IFERROR(__xludf.DUMMYFUNCTION("""COMPUTED_VALUE"""),82.39)</f>
        <v>82.39</v>
      </c>
      <c r="C3605" s="1">
        <f>IFERROR(__xludf.DUMMYFUNCTION("""COMPUTED_VALUE"""),82.75)</f>
        <v>82.75</v>
      </c>
      <c r="D3605" s="1">
        <f>IFERROR(__xludf.DUMMYFUNCTION("""COMPUTED_VALUE"""),82.24)</f>
        <v>82.24</v>
      </c>
      <c r="E3605" s="1">
        <f>IFERROR(__xludf.DUMMYFUNCTION("""COMPUTED_VALUE"""),82.55)</f>
        <v>82.55</v>
      </c>
      <c r="F3605" s="1">
        <f>IFERROR(__xludf.DUMMYFUNCTION("""COMPUTED_VALUE"""),6253243.0)</f>
        <v>6253243</v>
      </c>
    </row>
    <row r="3606">
      <c r="A3606" s="2">
        <f>IFERROR(__xludf.DUMMYFUNCTION("""COMPUTED_VALUE"""),41760.666666666664)</f>
        <v>41760.66667</v>
      </c>
      <c r="B3606" s="1">
        <f>IFERROR(__xludf.DUMMYFUNCTION("""COMPUTED_VALUE"""),82.39)</f>
        <v>82.39</v>
      </c>
      <c r="C3606" s="1">
        <f>IFERROR(__xludf.DUMMYFUNCTION("""COMPUTED_VALUE"""),82.47)</f>
        <v>82.47</v>
      </c>
      <c r="D3606" s="1">
        <f>IFERROR(__xludf.DUMMYFUNCTION("""COMPUTED_VALUE"""),81.76)</f>
        <v>81.76</v>
      </c>
      <c r="E3606" s="1">
        <f>IFERROR(__xludf.DUMMYFUNCTION("""COMPUTED_VALUE"""),82.34)</f>
        <v>82.34</v>
      </c>
      <c r="F3606" s="1">
        <f>IFERROR(__xludf.DUMMYFUNCTION("""COMPUTED_VALUE"""),5312492.0)</f>
        <v>5312492</v>
      </c>
    </row>
    <row r="3607">
      <c r="A3607" s="2">
        <f>IFERROR(__xludf.DUMMYFUNCTION("""COMPUTED_VALUE"""),41761.666666666664)</f>
        <v>41761.66667</v>
      </c>
      <c r="B3607" s="1">
        <f>IFERROR(__xludf.DUMMYFUNCTION("""COMPUTED_VALUE"""),82.22)</f>
        <v>82.22</v>
      </c>
      <c r="C3607" s="1">
        <f>IFERROR(__xludf.DUMMYFUNCTION("""COMPUTED_VALUE"""),82.6)</f>
        <v>82.6</v>
      </c>
      <c r="D3607" s="1">
        <f>IFERROR(__xludf.DUMMYFUNCTION("""COMPUTED_VALUE"""),81.75)</f>
        <v>81.75</v>
      </c>
      <c r="E3607" s="1">
        <f>IFERROR(__xludf.DUMMYFUNCTION("""COMPUTED_VALUE"""),81.92)</f>
        <v>81.92</v>
      </c>
      <c r="F3607" s="1">
        <f>IFERROR(__xludf.DUMMYFUNCTION("""COMPUTED_VALUE"""),6629371.0)</f>
        <v>6629371</v>
      </c>
    </row>
    <row r="3608">
      <c r="A3608" s="2">
        <f>IFERROR(__xludf.DUMMYFUNCTION("""COMPUTED_VALUE"""),41764.666666666664)</f>
        <v>41764.66667</v>
      </c>
      <c r="B3608" s="1">
        <f>IFERROR(__xludf.DUMMYFUNCTION("""COMPUTED_VALUE"""),81.64)</f>
        <v>81.64</v>
      </c>
      <c r="C3608" s="1">
        <f>IFERROR(__xludf.DUMMYFUNCTION("""COMPUTED_VALUE"""),81.88)</f>
        <v>81.88</v>
      </c>
      <c r="D3608" s="1">
        <f>IFERROR(__xludf.DUMMYFUNCTION("""COMPUTED_VALUE"""),81.47)</f>
        <v>81.47</v>
      </c>
      <c r="E3608" s="1">
        <f>IFERROR(__xludf.DUMMYFUNCTION("""COMPUTED_VALUE"""),81.7)</f>
        <v>81.7</v>
      </c>
      <c r="F3608" s="1">
        <f>IFERROR(__xludf.DUMMYFUNCTION("""COMPUTED_VALUE"""),4563610.0)</f>
        <v>4563610</v>
      </c>
    </row>
    <row r="3609">
      <c r="A3609" s="2">
        <f>IFERROR(__xludf.DUMMYFUNCTION("""COMPUTED_VALUE"""),41765.666666666664)</f>
        <v>41765.66667</v>
      </c>
      <c r="B3609" s="1">
        <f>IFERROR(__xludf.DUMMYFUNCTION("""COMPUTED_VALUE"""),81.76)</f>
        <v>81.76</v>
      </c>
      <c r="C3609" s="1">
        <f>IFERROR(__xludf.DUMMYFUNCTION("""COMPUTED_VALUE"""),81.76)</f>
        <v>81.76</v>
      </c>
      <c r="D3609" s="1">
        <f>IFERROR(__xludf.DUMMYFUNCTION("""COMPUTED_VALUE"""),81.12)</f>
        <v>81.12</v>
      </c>
      <c r="E3609" s="1">
        <f>IFERROR(__xludf.DUMMYFUNCTION("""COMPUTED_VALUE"""),81.13)</f>
        <v>81.13</v>
      </c>
      <c r="F3609" s="1">
        <f>IFERROR(__xludf.DUMMYFUNCTION("""COMPUTED_VALUE"""),4591267.0)</f>
        <v>4591267</v>
      </c>
    </row>
    <row r="3610">
      <c r="A3610" s="2">
        <f>IFERROR(__xludf.DUMMYFUNCTION("""COMPUTED_VALUE"""),41766.666666666664)</f>
        <v>41766.66667</v>
      </c>
      <c r="B3610" s="1">
        <f>IFERROR(__xludf.DUMMYFUNCTION("""COMPUTED_VALUE"""),81.45)</f>
        <v>81.45</v>
      </c>
      <c r="C3610" s="1">
        <f>IFERROR(__xludf.DUMMYFUNCTION("""COMPUTED_VALUE"""),82.14)</f>
        <v>82.14</v>
      </c>
      <c r="D3610" s="1">
        <f>IFERROR(__xludf.DUMMYFUNCTION("""COMPUTED_VALUE"""),81.42)</f>
        <v>81.42</v>
      </c>
      <c r="E3610" s="1">
        <f>IFERROR(__xludf.DUMMYFUNCTION("""COMPUTED_VALUE"""),82.09)</f>
        <v>82.09</v>
      </c>
      <c r="F3610" s="1">
        <f>IFERROR(__xludf.DUMMYFUNCTION("""COMPUTED_VALUE"""),6639614.0)</f>
        <v>6639614</v>
      </c>
    </row>
    <row r="3611">
      <c r="A3611" s="2">
        <f>IFERROR(__xludf.DUMMYFUNCTION("""COMPUTED_VALUE"""),41767.666666666664)</f>
        <v>41767.66667</v>
      </c>
      <c r="B3611" s="1">
        <f>IFERROR(__xludf.DUMMYFUNCTION("""COMPUTED_VALUE"""),82.06)</f>
        <v>82.06</v>
      </c>
      <c r="C3611" s="1">
        <f>IFERROR(__xludf.DUMMYFUNCTION("""COMPUTED_VALUE"""),82.32)</f>
        <v>82.32</v>
      </c>
      <c r="D3611" s="1">
        <f>IFERROR(__xludf.DUMMYFUNCTION("""COMPUTED_VALUE"""),81.82)</f>
        <v>81.82</v>
      </c>
      <c r="E3611" s="1">
        <f>IFERROR(__xludf.DUMMYFUNCTION("""COMPUTED_VALUE"""),82.16)</f>
        <v>82.16</v>
      </c>
      <c r="F3611" s="1">
        <f>IFERROR(__xludf.DUMMYFUNCTION("""COMPUTED_VALUE"""),4631207.0)</f>
        <v>4631207</v>
      </c>
    </row>
    <row r="3612">
      <c r="A3612" s="2">
        <f>IFERROR(__xludf.DUMMYFUNCTION("""COMPUTED_VALUE"""),41768.666666666664)</f>
        <v>41768.66667</v>
      </c>
      <c r="B3612" s="1">
        <f>IFERROR(__xludf.DUMMYFUNCTION("""COMPUTED_VALUE"""),82.2)</f>
        <v>82.2</v>
      </c>
      <c r="C3612" s="1">
        <f>IFERROR(__xludf.DUMMYFUNCTION("""COMPUTED_VALUE"""),82.8)</f>
        <v>82.8</v>
      </c>
      <c r="D3612" s="1">
        <f>IFERROR(__xludf.DUMMYFUNCTION("""COMPUTED_VALUE"""),82.14)</f>
        <v>82.14</v>
      </c>
      <c r="E3612" s="1">
        <f>IFERROR(__xludf.DUMMYFUNCTION("""COMPUTED_VALUE"""),82.39)</f>
        <v>82.39</v>
      </c>
      <c r="F3612" s="1">
        <f>IFERROR(__xludf.DUMMYFUNCTION("""COMPUTED_VALUE"""),7303502.0)</f>
        <v>7303502</v>
      </c>
    </row>
    <row r="3613">
      <c r="A3613" s="2">
        <f>IFERROR(__xludf.DUMMYFUNCTION("""COMPUTED_VALUE"""),41771.666666666664)</f>
        <v>41771.66667</v>
      </c>
      <c r="B3613" s="1">
        <f>IFERROR(__xludf.DUMMYFUNCTION("""COMPUTED_VALUE"""),82.61)</f>
        <v>82.61</v>
      </c>
      <c r="C3613" s="1">
        <f>IFERROR(__xludf.DUMMYFUNCTION("""COMPUTED_VALUE"""),82.71)</f>
        <v>82.71</v>
      </c>
      <c r="D3613" s="1">
        <f>IFERROR(__xludf.DUMMYFUNCTION("""COMPUTED_VALUE"""),81.71)</f>
        <v>81.71</v>
      </c>
      <c r="E3613" s="1">
        <f>IFERROR(__xludf.DUMMYFUNCTION("""COMPUTED_VALUE"""),81.73)</f>
        <v>81.73</v>
      </c>
      <c r="F3613" s="1">
        <f>IFERROR(__xludf.DUMMYFUNCTION("""COMPUTED_VALUE"""),7859053.0)</f>
        <v>7859053</v>
      </c>
    </row>
    <row r="3614">
      <c r="A3614" s="2">
        <f>IFERROR(__xludf.DUMMYFUNCTION("""COMPUTED_VALUE"""),41772.666666666664)</f>
        <v>41772.66667</v>
      </c>
      <c r="B3614" s="1">
        <f>IFERROR(__xludf.DUMMYFUNCTION("""COMPUTED_VALUE"""),81.94)</f>
        <v>81.94</v>
      </c>
      <c r="C3614" s="1">
        <f>IFERROR(__xludf.DUMMYFUNCTION("""COMPUTED_VALUE"""),81.98)</f>
        <v>81.98</v>
      </c>
      <c r="D3614" s="1">
        <f>IFERROR(__xludf.DUMMYFUNCTION("""COMPUTED_VALUE"""),81.42)</f>
        <v>81.42</v>
      </c>
      <c r="E3614" s="1">
        <f>IFERROR(__xludf.DUMMYFUNCTION("""COMPUTED_VALUE"""),81.61)</f>
        <v>81.61</v>
      </c>
      <c r="F3614" s="1">
        <f>IFERROR(__xludf.DUMMYFUNCTION("""COMPUTED_VALUE"""),6540218.0)</f>
        <v>6540218</v>
      </c>
    </row>
    <row r="3615">
      <c r="A3615" s="2">
        <f>IFERROR(__xludf.DUMMYFUNCTION("""COMPUTED_VALUE"""),41773.666666666664)</f>
        <v>41773.66667</v>
      </c>
      <c r="B3615" s="1">
        <f>IFERROR(__xludf.DUMMYFUNCTION("""COMPUTED_VALUE"""),81.74)</f>
        <v>81.74</v>
      </c>
      <c r="C3615" s="1">
        <f>IFERROR(__xludf.DUMMYFUNCTION("""COMPUTED_VALUE"""),81.91)</f>
        <v>81.91</v>
      </c>
      <c r="D3615" s="1">
        <f>IFERROR(__xludf.DUMMYFUNCTION("""COMPUTED_VALUE"""),81.12)</f>
        <v>81.12</v>
      </c>
      <c r="E3615" s="1">
        <f>IFERROR(__xludf.DUMMYFUNCTION("""COMPUTED_VALUE"""),81.17)</f>
        <v>81.17</v>
      </c>
      <c r="F3615" s="1">
        <f>IFERROR(__xludf.DUMMYFUNCTION("""COMPUTED_VALUE"""),6872657.0)</f>
        <v>6872657</v>
      </c>
    </row>
    <row r="3616">
      <c r="A3616" s="2">
        <f>IFERROR(__xludf.DUMMYFUNCTION("""COMPUTED_VALUE"""),41774.666666666664)</f>
        <v>41774.66667</v>
      </c>
      <c r="B3616" s="1">
        <f>IFERROR(__xludf.DUMMYFUNCTION("""COMPUTED_VALUE"""),81.25)</f>
        <v>81.25</v>
      </c>
      <c r="C3616" s="1">
        <f>IFERROR(__xludf.DUMMYFUNCTION("""COMPUTED_VALUE"""),81.37)</f>
        <v>81.37</v>
      </c>
      <c r="D3616" s="1">
        <f>IFERROR(__xludf.DUMMYFUNCTION("""COMPUTED_VALUE"""),80.44)</f>
        <v>80.44</v>
      </c>
      <c r="E3616" s="1">
        <f>IFERROR(__xludf.DUMMYFUNCTION("""COMPUTED_VALUE"""),80.53)</f>
        <v>80.53</v>
      </c>
      <c r="F3616" s="1">
        <f>IFERROR(__xludf.DUMMYFUNCTION("""COMPUTED_VALUE"""),9402103.0)</f>
        <v>9402103</v>
      </c>
    </row>
    <row r="3617">
      <c r="A3617" s="2">
        <f>IFERROR(__xludf.DUMMYFUNCTION("""COMPUTED_VALUE"""),41775.666666666664)</f>
        <v>41775.66667</v>
      </c>
      <c r="B3617" s="1">
        <f>IFERROR(__xludf.DUMMYFUNCTION("""COMPUTED_VALUE"""),80.63)</f>
        <v>80.63</v>
      </c>
      <c r="C3617" s="1">
        <f>IFERROR(__xludf.DUMMYFUNCTION("""COMPUTED_VALUE"""),80.76)</f>
        <v>80.76</v>
      </c>
      <c r="D3617" s="1">
        <f>IFERROR(__xludf.DUMMYFUNCTION("""COMPUTED_VALUE"""),80.0)</f>
        <v>80</v>
      </c>
      <c r="E3617" s="1">
        <f>IFERROR(__xludf.DUMMYFUNCTION("""COMPUTED_VALUE"""),80.33)</f>
        <v>80.33</v>
      </c>
      <c r="F3617" s="1">
        <f>IFERROR(__xludf.DUMMYFUNCTION("""COMPUTED_VALUE"""),1.1559255E7)</f>
        <v>11559255</v>
      </c>
    </row>
    <row r="3618">
      <c r="A3618" s="2">
        <f>IFERROR(__xludf.DUMMYFUNCTION("""COMPUTED_VALUE"""),41778.666666666664)</f>
        <v>41778.66667</v>
      </c>
      <c r="B3618" s="1">
        <f>IFERROR(__xludf.DUMMYFUNCTION("""COMPUTED_VALUE"""),80.01)</f>
        <v>80.01</v>
      </c>
      <c r="C3618" s="1">
        <f>IFERROR(__xludf.DUMMYFUNCTION("""COMPUTED_VALUE"""),80.05)</f>
        <v>80.05</v>
      </c>
      <c r="D3618" s="1">
        <f>IFERROR(__xludf.DUMMYFUNCTION("""COMPUTED_VALUE"""),79.54)</f>
        <v>79.54</v>
      </c>
      <c r="E3618" s="1">
        <f>IFERROR(__xludf.DUMMYFUNCTION("""COMPUTED_VALUE"""),79.93)</f>
        <v>79.93</v>
      </c>
      <c r="F3618" s="1">
        <f>IFERROR(__xludf.DUMMYFUNCTION("""COMPUTED_VALUE"""),6073538.0)</f>
        <v>6073538</v>
      </c>
    </row>
    <row r="3619">
      <c r="A3619" s="2">
        <f>IFERROR(__xludf.DUMMYFUNCTION("""COMPUTED_VALUE"""),41779.666666666664)</f>
        <v>41779.66667</v>
      </c>
      <c r="B3619" s="1">
        <f>IFERROR(__xludf.DUMMYFUNCTION("""COMPUTED_VALUE"""),80.02)</f>
        <v>80.02</v>
      </c>
      <c r="C3619" s="1">
        <f>IFERROR(__xludf.DUMMYFUNCTION("""COMPUTED_VALUE"""),80.58)</f>
        <v>80.58</v>
      </c>
      <c r="D3619" s="1">
        <f>IFERROR(__xludf.DUMMYFUNCTION("""COMPUTED_VALUE"""),79.97)</f>
        <v>79.97</v>
      </c>
      <c r="E3619" s="1">
        <f>IFERROR(__xludf.DUMMYFUNCTION("""COMPUTED_VALUE"""),80.23)</f>
        <v>80.23</v>
      </c>
      <c r="F3619" s="1">
        <f>IFERROR(__xludf.DUMMYFUNCTION("""COMPUTED_VALUE"""),7057232.0)</f>
        <v>7057232</v>
      </c>
    </row>
    <row r="3620">
      <c r="A3620" s="2">
        <f>IFERROR(__xludf.DUMMYFUNCTION("""COMPUTED_VALUE"""),41780.666666666664)</f>
        <v>41780.66667</v>
      </c>
      <c r="B3620" s="1">
        <f>IFERROR(__xludf.DUMMYFUNCTION("""COMPUTED_VALUE"""),80.34)</f>
        <v>80.34</v>
      </c>
      <c r="C3620" s="1">
        <f>IFERROR(__xludf.DUMMYFUNCTION("""COMPUTED_VALUE"""),80.67)</f>
        <v>80.67</v>
      </c>
      <c r="D3620" s="1">
        <f>IFERROR(__xludf.DUMMYFUNCTION("""COMPUTED_VALUE"""),80.02)</f>
        <v>80.02</v>
      </c>
      <c r="E3620" s="1">
        <f>IFERROR(__xludf.DUMMYFUNCTION("""COMPUTED_VALUE"""),80.49)</f>
        <v>80.49</v>
      </c>
      <c r="F3620" s="1">
        <f>IFERROR(__xludf.DUMMYFUNCTION("""COMPUTED_VALUE"""),6339794.0)</f>
        <v>6339794</v>
      </c>
    </row>
    <row r="3621">
      <c r="A3621" s="2">
        <f>IFERROR(__xludf.DUMMYFUNCTION("""COMPUTED_VALUE"""),41781.666666666664)</f>
        <v>41781.66667</v>
      </c>
      <c r="B3621" s="1">
        <f>IFERROR(__xludf.DUMMYFUNCTION("""COMPUTED_VALUE"""),80.37)</f>
        <v>80.37</v>
      </c>
      <c r="C3621" s="1">
        <f>IFERROR(__xludf.DUMMYFUNCTION("""COMPUTED_VALUE"""),80.67)</f>
        <v>80.67</v>
      </c>
      <c r="D3621" s="1">
        <f>IFERROR(__xludf.DUMMYFUNCTION("""COMPUTED_VALUE"""),80.05)</f>
        <v>80.05</v>
      </c>
      <c r="E3621" s="1">
        <f>IFERROR(__xludf.DUMMYFUNCTION("""COMPUTED_VALUE"""),80.65)</f>
        <v>80.65</v>
      </c>
      <c r="F3621" s="1">
        <f>IFERROR(__xludf.DUMMYFUNCTION("""COMPUTED_VALUE"""),5561257.0)</f>
        <v>5561257</v>
      </c>
    </row>
    <row r="3622">
      <c r="A3622" s="2">
        <f>IFERROR(__xludf.DUMMYFUNCTION("""COMPUTED_VALUE"""),41782.666666666664)</f>
        <v>41782.66667</v>
      </c>
      <c r="B3622" s="1">
        <f>IFERROR(__xludf.DUMMYFUNCTION("""COMPUTED_VALUE"""),80.51)</f>
        <v>80.51</v>
      </c>
      <c r="C3622" s="1">
        <f>IFERROR(__xludf.DUMMYFUNCTION("""COMPUTED_VALUE"""),80.85)</f>
        <v>80.85</v>
      </c>
      <c r="D3622" s="1">
        <f>IFERROR(__xludf.DUMMYFUNCTION("""COMPUTED_VALUE"""),80.4)</f>
        <v>80.4</v>
      </c>
      <c r="E3622" s="1">
        <f>IFERROR(__xludf.DUMMYFUNCTION("""COMPUTED_VALUE"""),80.52)</f>
        <v>80.52</v>
      </c>
      <c r="F3622" s="1">
        <f>IFERROR(__xludf.DUMMYFUNCTION("""COMPUTED_VALUE"""),4472635.0)</f>
        <v>4472635</v>
      </c>
    </row>
    <row r="3623">
      <c r="A3623" s="2">
        <f>IFERROR(__xludf.DUMMYFUNCTION("""COMPUTED_VALUE"""),41786.666666666664)</f>
        <v>41786.66667</v>
      </c>
      <c r="B3623" s="1">
        <f>IFERROR(__xludf.DUMMYFUNCTION("""COMPUTED_VALUE"""),80.55)</f>
        <v>80.55</v>
      </c>
      <c r="C3623" s="1">
        <f>IFERROR(__xludf.DUMMYFUNCTION("""COMPUTED_VALUE"""),80.58)</f>
        <v>80.58</v>
      </c>
      <c r="D3623" s="1">
        <f>IFERROR(__xludf.DUMMYFUNCTION("""COMPUTED_VALUE"""),80.05)</f>
        <v>80.05</v>
      </c>
      <c r="E3623" s="1">
        <f>IFERROR(__xludf.DUMMYFUNCTION("""COMPUTED_VALUE"""),80.08)</f>
        <v>80.08</v>
      </c>
      <c r="F3623" s="1">
        <f>IFERROR(__xludf.DUMMYFUNCTION("""COMPUTED_VALUE"""),7004714.0)</f>
        <v>7004714</v>
      </c>
    </row>
    <row r="3624">
      <c r="A3624" s="2">
        <f>IFERROR(__xludf.DUMMYFUNCTION("""COMPUTED_VALUE"""),41787.666666666664)</f>
        <v>41787.66667</v>
      </c>
      <c r="B3624" s="1">
        <f>IFERROR(__xludf.DUMMYFUNCTION("""COMPUTED_VALUE"""),80.03)</f>
        <v>80.03</v>
      </c>
      <c r="C3624" s="1">
        <f>IFERROR(__xludf.DUMMYFUNCTION("""COMPUTED_VALUE"""),80.28)</f>
        <v>80.28</v>
      </c>
      <c r="D3624" s="1">
        <f>IFERROR(__xludf.DUMMYFUNCTION("""COMPUTED_VALUE"""),80.02)</f>
        <v>80.02</v>
      </c>
      <c r="E3624" s="1">
        <f>IFERROR(__xludf.DUMMYFUNCTION("""COMPUTED_VALUE"""),80.1)</f>
        <v>80.1</v>
      </c>
      <c r="F3624" s="1">
        <f>IFERROR(__xludf.DUMMYFUNCTION("""COMPUTED_VALUE"""),4201377.0)</f>
        <v>4201377</v>
      </c>
    </row>
    <row r="3625">
      <c r="A3625" s="2">
        <f>IFERROR(__xludf.DUMMYFUNCTION("""COMPUTED_VALUE"""),41788.666666666664)</f>
        <v>41788.66667</v>
      </c>
      <c r="B3625" s="1">
        <f>IFERROR(__xludf.DUMMYFUNCTION("""COMPUTED_VALUE"""),80.1)</f>
        <v>80.1</v>
      </c>
      <c r="C3625" s="1">
        <f>IFERROR(__xludf.DUMMYFUNCTION("""COMPUTED_VALUE"""),80.4)</f>
        <v>80.4</v>
      </c>
      <c r="D3625" s="1">
        <f>IFERROR(__xludf.DUMMYFUNCTION("""COMPUTED_VALUE"""),80.08)</f>
        <v>80.08</v>
      </c>
      <c r="E3625" s="1">
        <f>IFERROR(__xludf.DUMMYFUNCTION("""COMPUTED_VALUE"""),80.4)</f>
        <v>80.4</v>
      </c>
      <c r="F3625" s="1">
        <f>IFERROR(__xludf.DUMMYFUNCTION("""COMPUTED_VALUE"""),3886779.0)</f>
        <v>3886779</v>
      </c>
    </row>
    <row r="3626">
      <c r="A3626" s="2">
        <f>IFERROR(__xludf.DUMMYFUNCTION("""COMPUTED_VALUE"""),41789.666666666664)</f>
        <v>41789.66667</v>
      </c>
      <c r="B3626" s="1">
        <f>IFERROR(__xludf.DUMMYFUNCTION("""COMPUTED_VALUE"""),80.25)</f>
        <v>80.25</v>
      </c>
      <c r="C3626" s="1">
        <f>IFERROR(__xludf.DUMMYFUNCTION("""COMPUTED_VALUE"""),80.85)</f>
        <v>80.85</v>
      </c>
      <c r="D3626" s="1">
        <f>IFERROR(__xludf.DUMMYFUNCTION("""COMPUTED_VALUE"""),80.17)</f>
        <v>80.17</v>
      </c>
      <c r="E3626" s="1">
        <f>IFERROR(__xludf.DUMMYFUNCTION("""COMPUTED_VALUE"""),80.79)</f>
        <v>80.79</v>
      </c>
      <c r="F3626" s="1">
        <f>IFERROR(__xludf.DUMMYFUNCTION("""COMPUTED_VALUE"""),7432199.0)</f>
        <v>7432199</v>
      </c>
    </row>
    <row r="3627">
      <c r="A3627" s="2">
        <f>IFERROR(__xludf.DUMMYFUNCTION("""COMPUTED_VALUE"""),41792.666666666664)</f>
        <v>41792.66667</v>
      </c>
      <c r="B3627" s="1">
        <f>IFERROR(__xludf.DUMMYFUNCTION("""COMPUTED_VALUE"""),80.66)</f>
        <v>80.66</v>
      </c>
      <c r="C3627" s="1">
        <f>IFERROR(__xludf.DUMMYFUNCTION("""COMPUTED_VALUE"""),80.67)</f>
        <v>80.67</v>
      </c>
      <c r="D3627" s="1">
        <f>IFERROR(__xludf.DUMMYFUNCTION("""COMPUTED_VALUE"""),80.29)</f>
        <v>80.29</v>
      </c>
      <c r="E3627" s="1">
        <f>IFERROR(__xludf.DUMMYFUNCTION("""COMPUTED_VALUE"""),80.36)</f>
        <v>80.36</v>
      </c>
      <c r="F3627" s="1">
        <f>IFERROR(__xludf.DUMMYFUNCTION("""COMPUTED_VALUE"""),4331701.0)</f>
        <v>4331701</v>
      </c>
    </row>
    <row r="3628">
      <c r="A3628" s="2">
        <f>IFERROR(__xludf.DUMMYFUNCTION("""COMPUTED_VALUE"""),41793.666666666664)</f>
        <v>41793.66667</v>
      </c>
      <c r="B3628" s="1">
        <f>IFERROR(__xludf.DUMMYFUNCTION("""COMPUTED_VALUE"""),80.04)</f>
        <v>80.04</v>
      </c>
      <c r="C3628" s="1">
        <f>IFERROR(__xludf.DUMMYFUNCTION("""COMPUTED_VALUE"""),80.3)</f>
        <v>80.3</v>
      </c>
      <c r="D3628" s="1">
        <f>IFERROR(__xludf.DUMMYFUNCTION("""COMPUTED_VALUE"""),79.6)</f>
        <v>79.6</v>
      </c>
      <c r="E3628" s="1">
        <f>IFERROR(__xludf.DUMMYFUNCTION("""COMPUTED_VALUE"""),79.93)</f>
        <v>79.93</v>
      </c>
      <c r="F3628" s="1">
        <f>IFERROR(__xludf.DUMMYFUNCTION("""COMPUTED_VALUE"""),6970914.0)</f>
        <v>6970914</v>
      </c>
    </row>
    <row r="3629">
      <c r="A3629" s="2">
        <f>IFERROR(__xludf.DUMMYFUNCTION("""COMPUTED_VALUE"""),41794.666666666664)</f>
        <v>41794.66667</v>
      </c>
      <c r="B3629" s="1">
        <f>IFERROR(__xludf.DUMMYFUNCTION("""COMPUTED_VALUE"""),80.0)</f>
        <v>80</v>
      </c>
      <c r="C3629" s="1">
        <f>IFERROR(__xludf.DUMMYFUNCTION("""COMPUTED_VALUE"""),80.22)</f>
        <v>80.22</v>
      </c>
      <c r="D3629" s="1">
        <f>IFERROR(__xludf.DUMMYFUNCTION("""COMPUTED_VALUE"""),79.64)</f>
        <v>79.64</v>
      </c>
      <c r="E3629" s="1">
        <f>IFERROR(__xludf.DUMMYFUNCTION("""COMPUTED_VALUE"""),79.86)</f>
        <v>79.86</v>
      </c>
      <c r="F3629" s="1">
        <f>IFERROR(__xludf.DUMMYFUNCTION("""COMPUTED_VALUE"""),5427687.0)</f>
        <v>5427687</v>
      </c>
    </row>
    <row r="3630">
      <c r="A3630" s="2">
        <f>IFERROR(__xludf.DUMMYFUNCTION("""COMPUTED_VALUE"""),41795.666666666664)</f>
        <v>41795.66667</v>
      </c>
      <c r="B3630" s="1">
        <f>IFERROR(__xludf.DUMMYFUNCTION("""COMPUTED_VALUE"""),80.11)</f>
        <v>80.11</v>
      </c>
      <c r="C3630" s="1">
        <f>IFERROR(__xludf.DUMMYFUNCTION("""COMPUTED_VALUE"""),80.31)</f>
        <v>80.31</v>
      </c>
      <c r="D3630" s="1">
        <f>IFERROR(__xludf.DUMMYFUNCTION("""COMPUTED_VALUE"""),79.97)</f>
        <v>79.97</v>
      </c>
      <c r="E3630" s="1">
        <f>IFERROR(__xludf.DUMMYFUNCTION("""COMPUTED_VALUE"""),80.11)</f>
        <v>80.11</v>
      </c>
      <c r="F3630" s="1">
        <f>IFERROR(__xludf.DUMMYFUNCTION("""COMPUTED_VALUE"""),5788203.0)</f>
        <v>5788203</v>
      </c>
    </row>
    <row r="3631">
      <c r="A3631" s="2">
        <f>IFERROR(__xludf.DUMMYFUNCTION("""COMPUTED_VALUE"""),41796.666666666664)</f>
        <v>41796.66667</v>
      </c>
      <c r="B3631" s="1">
        <f>IFERROR(__xludf.DUMMYFUNCTION("""COMPUTED_VALUE"""),80.09)</f>
        <v>80.09</v>
      </c>
      <c r="C3631" s="1">
        <f>IFERROR(__xludf.DUMMYFUNCTION("""COMPUTED_VALUE"""),80.24)</f>
        <v>80.24</v>
      </c>
      <c r="D3631" s="1">
        <f>IFERROR(__xludf.DUMMYFUNCTION("""COMPUTED_VALUE"""),79.82)</f>
        <v>79.82</v>
      </c>
      <c r="E3631" s="1">
        <f>IFERROR(__xludf.DUMMYFUNCTION("""COMPUTED_VALUE"""),80.03)</f>
        <v>80.03</v>
      </c>
      <c r="F3631" s="1">
        <f>IFERROR(__xludf.DUMMYFUNCTION("""COMPUTED_VALUE"""),5521710.0)</f>
        <v>5521710</v>
      </c>
    </row>
    <row r="3632">
      <c r="A3632" s="2">
        <f>IFERROR(__xludf.DUMMYFUNCTION("""COMPUTED_VALUE"""),41799.666666666664)</f>
        <v>41799.66667</v>
      </c>
      <c r="B3632" s="1">
        <f>IFERROR(__xludf.DUMMYFUNCTION("""COMPUTED_VALUE"""),79.91)</f>
        <v>79.91</v>
      </c>
      <c r="C3632" s="1">
        <f>IFERROR(__xludf.DUMMYFUNCTION("""COMPUTED_VALUE"""),80.24)</f>
        <v>80.24</v>
      </c>
      <c r="D3632" s="1">
        <f>IFERROR(__xludf.DUMMYFUNCTION("""COMPUTED_VALUE"""),79.85)</f>
        <v>79.85</v>
      </c>
      <c r="E3632" s="1">
        <f>IFERROR(__xludf.DUMMYFUNCTION("""COMPUTED_VALUE"""),80.09)</f>
        <v>80.09</v>
      </c>
      <c r="F3632" s="1">
        <f>IFERROR(__xludf.DUMMYFUNCTION("""COMPUTED_VALUE"""),6352506.0)</f>
        <v>6352506</v>
      </c>
    </row>
    <row r="3633">
      <c r="A3633" s="2">
        <f>IFERROR(__xludf.DUMMYFUNCTION("""COMPUTED_VALUE"""),41800.666666666664)</f>
        <v>41800.66667</v>
      </c>
      <c r="B3633" s="1">
        <f>IFERROR(__xludf.DUMMYFUNCTION("""COMPUTED_VALUE"""),80.03)</f>
        <v>80.03</v>
      </c>
      <c r="C3633" s="1">
        <f>IFERROR(__xludf.DUMMYFUNCTION("""COMPUTED_VALUE"""),80.3)</f>
        <v>80.3</v>
      </c>
      <c r="D3633" s="1">
        <f>IFERROR(__xludf.DUMMYFUNCTION("""COMPUTED_VALUE"""),80.0)</f>
        <v>80</v>
      </c>
      <c r="E3633" s="1">
        <f>IFERROR(__xludf.DUMMYFUNCTION("""COMPUTED_VALUE"""),80.15)</f>
        <v>80.15</v>
      </c>
      <c r="F3633" s="1">
        <f>IFERROR(__xludf.DUMMYFUNCTION("""COMPUTED_VALUE"""),5658366.0)</f>
        <v>5658366</v>
      </c>
    </row>
    <row r="3634">
      <c r="A3634" s="2">
        <f>IFERROR(__xludf.DUMMYFUNCTION("""COMPUTED_VALUE"""),41801.666666666664)</f>
        <v>41801.66667</v>
      </c>
      <c r="B3634" s="1">
        <f>IFERROR(__xludf.DUMMYFUNCTION("""COMPUTED_VALUE"""),80.05)</f>
        <v>80.05</v>
      </c>
      <c r="C3634" s="1">
        <f>IFERROR(__xludf.DUMMYFUNCTION("""COMPUTED_VALUE"""),80.3)</f>
        <v>80.3</v>
      </c>
      <c r="D3634" s="1">
        <f>IFERROR(__xludf.DUMMYFUNCTION("""COMPUTED_VALUE"""),79.88)</f>
        <v>79.88</v>
      </c>
      <c r="E3634" s="1">
        <f>IFERROR(__xludf.DUMMYFUNCTION("""COMPUTED_VALUE"""),80.06)</f>
        <v>80.06</v>
      </c>
      <c r="F3634" s="1">
        <f>IFERROR(__xludf.DUMMYFUNCTION("""COMPUTED_VALUE"""),7453733.0)</f>
        <v>7453733</v>
      </c>
    </row>
    <row r="3635">
      <c r="A3635" s="2">
        <f>IFERROR(__xludf.DUMMYFUNCTION("""COMPUTED_VALUE"""),41802.666666666664)</f>
        <v>41802.66667</v>
      </c>
      <c r="B3635" s="1">
        <f>IFERROR(__xludf.DUMMYFUNCTION("""COMPUTED_VALUE"""),79.82)</f>
        <v>79.82</v>
      </c>
      <c r="C3635" s="1">
        <f>IFERROR(__xludf.DUMMYFUNCTION("""COMPUTED_VALUE"""),80.03)</f>
        <v>80.03</v>
      </c>
      <c r="D3635" s="1">
        <f>IFERROR(__xludf.DUMMYFUNCTION("""COMPUTED_VALUE"""),79.69)</f>
        <v>79.69</v>
      </c>
      <c r="E3635" s="1">
        <f>IFERROR(__xludf.DUMMYFUNCTION("""COMPUTED_VALUE"""),79.76)</f>
        <v>79.76</v>
      </c>
      <c r="F3635" s="1">
        <f>IFERROR(__xludf.DUMMYFUNCTION("""COMPUTED_VALUE"""),6526949.0)</f>
        <v>6526949</v>
      </c>
    </row>
    <row r="3636">
      <c r="A3636" s="2">
        <f>IFERROR(__xludf.DUMMYFUNCTION("""COMPUTED_VALUE"""),41803.666666666664)</f>
        <v>41803.66667</v>
      </c>
      <c r="B3636" s="1">
        <f>IFERROR(__xludf.DUMMYFUNCTION("""COMPUTED_VALUE"""),79.73)</f>
        <v>79.73</v>
      </c>
      <c r="C3636" s="1">
        <f>IFERROR(__xludf.DUMMYFUNCTION("""COMPUTED_VALUE"""),79.94)</f>
        <v>79.94</v>
      </c>
      <c r="D3636" s="1">
        <f>IFERROR(__xludf.DUMMYFUNCTION("""COMPUTED_VALUE"""),79.5)</f>
        <v>79.5</v>
      </c>
      <c r="E3636" s="1">
        <f>IFERROR(__xludf.DUMMYFUNCTION("""COMPUTED_VALUE"""),79.64)</f>
        <v>79.64</v>
      </c>
      <c r="F3636" s="1">
        <f>IFERROR(__xludf.DUMMYFUNCTION("""COMPUTED_VALUE"""),5214278.0)</f>
        <v>5214278</v>
      </c>
    </row>
    <row r="3637">
      <c r="A3637" s="2">
        <f>IFERROR(__xludf.DUMMYFUNCTION("""COMPUTED_VALUE"""),41806.666666666664)</f>
        <v>41806.66667</v>
      </c>
      <c r="B3637" s="1">
        <f>IFERROR(__xludf.DUMMYFUNCTION("""COMPUTED_VALUE"""),79.52)</f>
        <v>79.52</v>
      </c>
      <c r="C3637" s="1">
        <f>IFERROR(__xludf.DUMMYFUNCTION("""COMPUTED_VALUE"""),79.94)</f>
        <v>79.94</v>
      </c>
      <c r="D3637" s="1">
        <f>IFERROR(__xludf.DUMMYFUNCTION("""COMPUTED_VALUE"""),79.11)</f>
        <v>79.11</v>
      </c>
      <c r="E3637" s="1">
        <f>IFERROR(__xludf.DUMMYFUNCTION("""COMPUTED_VALUE"""),79.69)</f>
        <v>79.69</v>
      </c>
      <c r="F3637" s="1">
        <f>IFERROR(__xludf.DUMMYFUNCTION("""COMPUTED_VALUE"""),5334617.0)</f>
        <v>5334617</v>
      </c>
    </row>
    <row r="3638">
      <c r="A3638" s="2">
        <f>IFERROR(__xludf.DUMMYFUNCTION("""COMPUTED_VALUE"""),41807.666666666664)</f>
        <v>41807.66667</v>
      </c>
      <c r="B3638" s="1">
        <f>IFERROR(__xludf.DUMMYFUNCTION("""COMPUTED_VALUE"""),79.61)</f>
        <v>79.61</v>
      </c>
      <c r="C3638" s="1">
        <f>IFERROR(__xludf.DUMMYFUNCTION("""COMPUTED_VALUE"""),79.79)</f>
        <v>79.79</v>
      </c>
      <c r="D3638" s="1">
        <f>IFERROR(__xludf.DUMMYFUNCTION("""COMPUTED_VALUE"""),79.35)</f>
        <v>79.35</v>
      </c>
      <c r="E3638" s="1">
        <f>IFERROR(__xludf.DUMMYFUNCTION("""COMPUTED_VALUE"""),79.58)</f>
        <v>79.58</v>
      </c>
      <c r="F3638" s="1">
        <f>IFERROR(__xludf.DUMMYFUNCTION("""COMPUTED_VALUE"""),5337668.0)</f>
        <v>5337668</v>
      </c>
    </row>
    <row r="3639">
      <c r="A3639" s="2">
        <f>IFERROR(__xludf.DUMMYFUNCTION("""COMPUTED_VALUE"""),41808.666666666664)</f>
        <v>41808.66667</v>
      </c>
      <c r="B3639" s="1">
        <f>IFERROR(__xludf.DUMMYFUNCTION("""COMPUTED_VALUE"""),79.44)</f>
        <v>79.44</v>
      </c>
      <c r="C3639" s="1">
        <f>IFERROR(__xludf.DUMMYFUNCTION("""COMPUTED_VALUE"""),79.94)</f>
        <v>79.94</v>
      </c>
      <c r="D3639" s="1">
        <f>IFERROR(__xludf.DUMMYFUNCTION("""COMPUTED_VALUE"""),79.13)</f>
        <v>79.13</v>
      </c>
      <c r="E3639" s="1">
        <f>IFERROR(__xludf.DUMMYFUNCTION("""COMPUTED_VALUE"""),79.79)</f>
        <v>79.79</v>
      </c>
      <c r="F3639" s="1">
        <f>IFERROR(__xludf.DUMMYFUNCTION("""COMPUTED_VALUE"""),9618007.0)</f>
        <v>9618007</v>
      </c>
    </row>
    <row r="3640">
      <c r="A3640" s="2">
        <f>IFERROR(__xludf.DUMMYFUNCTION("""COMPUTED_VALUE"""),41809.666666666664)</f>
        <v>41809.66667</v>
      </c>
      <c r="B3640" s="1">
        <f>IFERROR(__xludf.DUMMYFUNCTION("""COMPUTED_VALUE"""),79.85)</f>
        <v>79.85</v>
      </c>
      <c r="C3640" s="1">
        <f>IFERROR(__xludf.DUMMYFUNCTION("""COMPUTED_VALUE"""),80.57)</f>
        <v>80.57</v>
      </c>
      <c r="D3640" s="1">
        <f>IFERROR(__xludf.DUMMYFUNCTION("""COMPUTED_VALUE"""),79.8)</f>
        <v>79.8</v>
      </c>
      <c r="E3640" s="1">
        <f>IFERROR(__xludf.DUMMYFUNCTION("""COMPUTED_VALUE"""),80.24)</f>
        <v>80.24</v>
      </c>
      <c r="F3640" s="1">
        <f>IFERROR(__xludf.DUMMYFUNCTION("""COMPUTED_VALUE"""),1.2493024E7)</f>
        <v>12493024</v>
      </c>
    </row>
    <row r="3641">
      <c r="A3641" s="2">
        <f>IFERROR(__xludf.DUMMYFUNCTION("""COMPUTED_VALUE"""),41810.666666666664)</f>
        <v>41810.66667</v>
      </c>
      <c r="B3641" s="1">
        <f>IFERROR(__xludf.DUMMYFUNCTION("""COMPUTED_VALUE"""),80.44)</f>
        <v>80.44</v>
      </c>
      <c r="C3641" s="1">
        <f>IFERROR(__xludf.DUMMYFUNCTION("""COMPUTED_VALUE"""),80.5)</f>
        <v>80.5</v>
      </c>
      <c r="D3641" s="1">
        <f>IFERROR(__xludf.DUMMYFUNCTION("""COMPUTED_VALUE"""),79.83)</f>
        <v>79.83</v>
      </c>
      <c r="E3641" s="1">
        <f>IFERROR(__xludf.DUMMYFUNCTION("""COMPUTED_VALUE"""),79.93)</f>
        <v>79.93</v>
      </c>
      <c r="F3641" s="1">
        <f>IFERROR(__xludf.DUMMYFUNCTION("""COMPUTED_VALUE"""),1.1664486E7)</f>
        <v>11664486</v>
      </c>
    </row>
    <row r="3642">
      <c r="A3642" s="2">
        <f>IFERROR(__xludf.DUMMYFUNCTION("""COMPUTED_VALUE"""),41813.666666666664)</f>
        <v>41813.66667</v>
      </c>
      <c r="B3642" s="1">
        <f>IFERROR(__xludf.DUMMYFUNCTION("""COMPUTED_VALUE"""),80.06)</f>
        <v>80.06</v>
      </c>
      <c r="C3642" s="1">
        <f>IFERROR(__xludf.DUMMYFUNCTION("""COMPUTED_VALUE"""),80.06)</f>
        <v>80.06</v>
      </c>
      <c r="D3642" s="1">
        <f>IFERROR(__xludf.DUMMYFUNCTION("""COMPUTED_VALUE"""),79.36)</f>
        <v>79.36</v>
      </c>
      <c r="E3642" s="1">
        <f>IFERROR(__xludf.DUMMYFUNCTION("""COMPUTED_VALUE"""),79.52)</f>
        <v>79.52</v>
      </c>
      <c r="F3642" s="1">
        <f>IFERROR(__xludf.DUMMYFUNCTION("""COMPUTED_VALUE"""),6947701.0)</f>
        <v>6947701</v>
      </c>
    </row>
    <row r="3643">
      <c r="A3643" s="2">
        <f>IFERROR(__xludf.DUMMYFUNCTION("""COMPUTED_VALUE"""),41814.666666666664)</f>
        <v>41814.66667</v>
      </c>
      <c r="B3643" s="1">
        <f>IFERROR(__xludf.DUMMYFUNCTION("""COMPUTED_VALUE"""),79.42)</f>
        <v>79.42</v>
      </c>
      <c r="C3643" s="1">
        <f>IFERROR(__xludf.DUMMYFUNCTION("""COMPUTED_VALUE"""),79.44)</f>
        <v>79.44</v>
      </c>
      <c r="D3643" s="1">
        <f>IFERROR(__xludf.DUMMYFUNCTION("""COMPUTED_VALUE"""),78.92)</f>
        <v>78.92</v>
      </c>
      <c r="E3643" s="1">
        <f>IFERROR(__xludf.DUMMYFUNCTION("""COMPUTED_VALUE"""),79.01)</f>
        <v>79.01</v>
      </c>
      <c r="F3643" s="1">
        <f>IFERROR(__xludf.DUMMYFUNCTION("""COMPUTED_VALUE"""),8157305.0)</f>
        <v>8157305</v>
      </c>
    </row>
    <row r="3644">
      <c r="A3644" s="2">
        <f>IFERROR(__xludf.DUMMYFUNCTION("""COMPUTED_VALUE"""),41815.666666666664)</f>
        <v>41815.66667</v>
      </c>
      <c r="B3644" s="1">
        <f>IFERROR(__xludf.DUMMYFUNCTION("""COMPUTED_VALUE"""),79.04)</f>
        <v>79.04</v>
      </c>
      <c r="C3644" s="1">
        <f>IFERROR(__xludf.DUMMYFUNCTION("""COMPUTED_VALUE"""),79.36)</f>
        <v>79.36</v>
      </c>
      <c r="D3644" s="1">
        <f>IFERROR(__xludf.DUMMYFUNCTION("""COMPUTED_VALUE"""),78.65)</f>
        <v>78.65</v>
      </c>
      <c r="E3644" s="1">
        <f>IFERROR(__xludf.DUMMYFUNCTION("""COMPUTED_VALUE"""),79.32)</f>
        <v>79.32</v>
      </c>
      <c r="F3644" s="1">
        <f>IFERROR(__xludf.DUMMYFUNCTION("""COMPUTED_VALUE"""),1.2569262E7)</f>
        <v>12569262</v>
      </c>
    </row>
    <row r="3645">
      <c r="A3645" s="2">
        <f>IFERROR(__xludf.DUMMYFUNCTION("""COMPUTED_VALUE"""),41816.666666666664)</f>
        <v>41816.66667</v>
      </c>
      <c r="B3645" s="1">
        <f>IFERROR(__xludf.DUMMYFUNCTION("""COMPUTED_VALUE"""),79.24)</f>
        <v>79.24</v>
      </c>
      <c r="C3645" s="1">
        <f>IFERROR(__xludf.DUMMYFUNCTION("""COMPUTED_VALUE"""),79.29)</f>
        <v>79.29</v>
      </c>
      <c r="D3645" s="1">
        <f>IFERROR(__xludf.DUMMYFUNCTION("""COMPUTED_VALUE"""),78.59)</f>
        <v>78.59</v>
      </c>
      <c r="E3645" s="1">
        <f>IFERROR(__xludf.DUMMYFUNCTION("""COMPUTED_VALUE"""),78.62)</f>
        <v>78.62</v>
      </c>
      <c r="F3645" s="1">
        <f>IFERROR(__xludf.DUMMYFUNCTION("""COMPUTED_VALUE"""),7262067.0)</f>
        <v>7262067</v>
      </c>
    </row>
    <row r="3646">
      <c r="A3646" s="2">
        <f>IFERROR(__xludf.DUMMYFUNCTION("""COMPUTED_VALUE"""),41817.666666666664)</f>
        <v>41817.66667</v>
      </c>
      <c r="B3646" s="1">
        <f>IFERROR(__xludf.DUMMYFUNCTION("""COMPUTED_VALUE"""),78.6)</f>
        <v>78.6</v>
      </c>
      <c r="C3646" s="1">
        <f>IFERROR(__xludf.DUMMYFUNCTION("""COMPUTED_VALUE"""),79.19)</f>
        <v>79.19</v>
      </c>
      <c r="D3646" s="1">
        <f>IFERROR(__xludf.DUMMYFUNCTION("""COMPUTED_VALUE"""),78.52)</f>
        <v>78.52</v>
      </c>
      <c r="E3646" s="1">
        <f>IFERROR(__xludf.DUMMYFUNCTION("""COMPUTED_VALUE"""),79.02)</f>
        <v>79.02</v>
      </c>
      <c r="F3646" s="1">
        <f>IFERROR(__xludf.DUMMYFUNCTION("""COMPUTED_VALUE"""),8975304.0)</f>
        <v>8975304</v>
      </c>
    </row>
    <row r="3647">
      <c r="A3647" s="2">
        <f>IFERROR(__xludf.DUMMYFUNCTION("""COMPUTED_VALUE"""),41820.666666666664)</f>
        <v>41820.66667</v>
      </c>
      <c r="B3647" s="1">
        <f>IFERROR(__xludf.DUMMYFUNCTION("""COMPUTED_VALUE"""),79.01)</f>
        <v>79.01</v>
      </c>
      <c r="C3647" s="1">
        <f>IFERROR(__xludf.DUMMYFUNCTION("""COMPUTED_VALUE"""),79.46)</f>
        <v>79.46</v>
      </c>
      <c r="D3647" s="1">
        <f>IFERROR(__xludf.DUMMYFUNCTION("""COMPUTED_VALUE"""),78.43)</f>
        <v>78.43</v>
      </c>
      <c r="E3647" s="1">
        <f>IFERROR(__xludf.DUMMYFUNCTION("""COMPUTED_VALUE"""),78.59)</f>
        <v>78.59</v>
      </c>
      <c r="F3647" s="1">
        <f>IFERROR(__xludf.DUMMYFUNCTION("""COMPUTED_VALUE"""),1.030323E7)</f>
        <v>10303230</v>
      </c>
    </row>
    <row r="3648">
      <c r="A3648" s="2">
        <f>IFERROR(__xludf.DUMMYFUNCTION("""COMPUTED_VALUE"""),41821.666666666664)</f>
        <v>41821.66667</v>
      </c>
      <c r="B3648" s="1">
        <f>IFERROR(__xludf.DUMMYFUNCTION("""COMPUTED_VALUE"""),78.87)</f>
        <v>78.87</v>
      </c>
      <c r="C3648" s="1">
        <f>IFERROR(__xludf.DUMMYFUNCTION("""COMPUTED_VALUE"""),79.41)</f>
        <v>79.41</v>
      </c>
      <c r="D3648" s="1">
        <f>IFERROR(__xludf.DUMMYFUNCTION("""COMPUTED_VALUE"""),78.51)</f>
        <v>78.51</v>
      </c>
      <c r="E3648" s="1">
        <f>IFERROR(__xludf.DUMMYFUNCTION("""COMPUTED_VALUE"""),79.28)</f>
        <v>79.28</v>
      </c>
      <c r="F3648" s="1">
        <f>IFERROR(__xludf.DUMMYFUNCTION("""COMPUTED_VALUE"""),8426276.0)</f>
        <v>8426276</v>
      </c>
    </row>
    <row r="3649">
      <c r="A3649" s="2">
        <f>IFERROR(__xludf.DUMMYFUNCTION("""COMPUTED_VALUE"""),41822.666666666664)</f>
        <v>41822.66667</v>
      </c>
      <c r="B3649" s="1">
        <f>IFERROR(__xludf.DUMMYFUNCTION("""COMPUTED_VALUE"""),79.56)</f>
        <v>79.56</v>
      </c>
      <c r="C3649" s="1">
        <f>IFERROR(__xludf.DUMMYFUNCTION("""COMPUTED_VALUE"""),79.86)</f>
        <v>79.86</v>
      </c>
      <c r="D3649" s="1">
        <f>IFERROR(__xludf.DUMMYFUNCTION("""COMPUTED_VALUE"""),79.44)</f>
        <v>79.44</v>
      </c>
      <c r="E3649" s="1">
        <f>IFERROR(__xludf.DUMMYFUNCTION("""COMPUTED_VALUE"""),79.56)</f>
        <v>79.56</v>
      </c>
      <c r="F3649" s="1">
        <f>IFERROR(__xludf.DUMMYFUNCTION("""COMPUTED_VALUE"""),6282586.0)</f>
        <v>6282586</v>
      </c>
    </row>
    <row r="3650">
      <c r="A3650" s="2">
        <f>IFERROR(__xludf.DUMMYFUNCTION("""COMPUTED_VALUE"""),41823.666666666664)</f>
        <v>41823.66667</v>
      </c>
      <c r="B3650" s="1">
        <f>IFERROR(__xludf.DUMMYFUNCTION("""COMPUTED_VALUE"""),79.93)</f>
        <v>79.93</v>
      </c>
      <c r="C3650" s="1">
        <f>IFERROR(__xludf.DUMMYFUNCTION("""COMPUTED_VALUE"""),80.14)</f>
        <v>80.14</v>
      </c>
      <c r="D3650" s="1">
        <f>IFERROR(__xludf.DUMMYFUNCTION("""COMPUTED_VALUE"""),79.64)</f>
        <v>79.64</v>
      </c>
      <c r="E3650" s="1">
        <f>IFERROR(__xludf.DUMMYFUNCTION("""COMPUTED_VALUE"""),79.98)</f>
        <v>79.98</v>
      </c>
      <c r="F3650" s="1">
        <f>IFERROR(__xludf.DUMMYFUNCTION("""COMPUTED_VALUE"""),5501056.0)</f>
        <v>5501056</v>
      </c>
    </row>
    <row r="3651">
      <c r="A3651" s="2">
        <f>IFERROR(__xludf.DUMMYFUNCTION("""COMPUTED_VALUE"""),41827.666666666664)</f>
        <v>41827.66667</v>
      </c>
      <c r="B3651" s="1">
        <f>IFERROR(__xludf.DUMMYFUNCTION("""COMPUTED_VALUE"""),79.75)</f>
        <v>79.75</v>
      </c>
      <c r="C3651" s="1">
        <f>IFERROR(__xludf.DUMMYFUNCTION("""COMPUTED_VALUE"""),80.2)</f>
        <v>80.2</v>
      </c>
      <c r="D3651" s="1">
        <f>IFERROR(__xludf.DUMMYFUNCTION("""COMPUTED_VALUE"""),79.66)</f>
        <v>79.66</v>
      </c>
      <c r="E3651" s="1">
        <f>IFERROR(__xludf.DUMMYFUNCTION("""COMPUTED_VALUE"""),80.19)</f>
        <v>80.19</v>
      </c>
      <c r="F3651" s="1">
        <f>IFERROR(__xludf.DUMMYFUNCTION("""COMPUTED_VALUE"""),6674885.0)</f>
        <v>6674885</v>
      </c>
    </row>
    <row r="3652">
      <c r="A3652" s="2">
        <f>IFERROR(__xludf.DUMMYFUNCTION("""COMPUTED_VALUE"""),41828.666666666664)</f>
        <v>41828.66667</v>
      </c>
      <c r="B3652" s="1">
        <f>IFERROR(__xludf.DUMMYFUNCTION("""COMPUTED_VALUE"""),80.03)</f>
        <v>80.03</v>
      </c>
      <c r="C3652" s="1">
        <f>IFERROR(__xludf.DUMMYFUNCTION("""COMPUTED_VALUE"""),80.85)</f>
        <v>80.85</v>
      </c>
      <c r="D3652" s="1">
        <f>IFERROR(__xludf.DUMMYFUNCTION("""COMPUTED_VALUE"""),79.91)</f>
        <v>79.91</v>
      </c>
      <c r="E3652" s="1">
        <f>IFERROR(__xludf.DUMMYFUNCTION("""COMPUTED_VALUE"""),80.56)</f>
        <v>80.56</v>
      </c>
      <c r="F3652" s="1">
        <f>IFERROR(__xludf.DUMMYFUNCTION("""COMPUTED_VALUE"""),9150185.0)</f>
        <v>9150185</v>
      </c>
    </row>
    <row r="3653">
      <c r="A3653" s="2">
        <f>IFERROR(__xludf.DUMMYFUNCTION("""COMPUTED_VALUE"""),41829.666666666664)</f>
        <v>41829.66667</v>
      </c>
      <c r="B3653" s="1">
        <f>IFERROR(__xludf.DUMMYFUNCTION("""COMPUTED_VALUE"""),80.66)</f>
        <v>80.66</v>
      </c>
      <c r="C3653" s="1">
        <f>IFERROR(__xludf.DUMMYFUNCTION("""COMPUTED_VALUE"""),81.8)</f>
        <v>81.8</v>
      </c>
      <c r="D3653" s="1">
        <f>IFERROR(__xludf.DUMMYFUNCTION("""COMPUTED_VALUE"""),80.5)</f>
        <v>80.5</v>
      </c>
      <c r="E3653" s="1">
        <f>IFERROR(__xludf.DUMMYFUNCTION("""COMPUTED_VALUE"""),81.67)</f>
        <v>81.67</v>
      </c>
      <c r="F3653" s="1">
        <f>IFERROR(__xludf.DUMMYFUNCTION("""COMPUTED_VALUE"""),1.2120399E7)</f>
        <v>12120399</v>
      </c>
    </row>
    <row r="3654">
      <c r="A3654" s="2">
        <f>IFERROR(__xludf.DUMMYFUNCTION("""COMPUTED_VALUE"""),41830.666666666664)</f>
        <v>41830.66667</v>
      </c>
      <c r="B3654" s="1">
        <f>IFERROR(__xludf.DUMMYFUNCTION("""COMPUTED_VALUE"""),81.27)</f>
        <v>81.27</v>
      </c>
      <c r="C3654" s="1">
        <f>IFERROR(__xludf.DUMMYFUNCTION("""COMPUTED_VALUE"""),81.91)</f>
        <v>81.91</v>
      </c>
      <c r="D3654" s="1">
        <f>IFERROR(__xludf.DUMMYFUNCTION("""COMPUTED_VALUE"""),81.19)</f>
        <v>81.19</v>
      </c>
      <c r="E3654" s="1">
        <f>IFERROR(__xludf.DUMMYFUNCTION("""COMPUTED_VALUE"""),81.61)</f>
        <v>81.61</v>
      </c>
      <c r="F3654" s="1">
        <f>IFERROR(__xludf.DUMMYFUNCTION("""COMPUTED_VALUE"""),8786489.0)</f>
        <v>8786489</v>
      </c>
    </row>
    <row r="3655">
      <c r="A3655" s="2">
        <f>IFERROR(__xludf.DUMMYFUNCTION("""COMPUTED_VALUE"""),41831.666666666664)</f>
        <v>41831.66667</v>
      </c>
      <c r="B3655" s="1">
        <f>IFERROR(__xludf.DUMMYFUNCTION("""COMPUTED_VALUE"""),81.06)</f>
        <v>81.06</v>
      </c>
      <c r="C3655" s="1">
        <f>IFERROR(__xludf.DUMMYFUNCTION("""COMPUTED_VALUE"""),81.57)</f>
        <v>81.57</v>
      </c>
      <c r="D3655" s="1">
        <f>IFERROR(__xludf.DUMMYFUNCTION("""COMPUTED_VALUE"""),81.0)</f>
        <v>81</v>
      </c>
      <c r="E3655" s="1">
        <f>IFERROR(__xludf.DUMMYFUNCTION("""COMPUTED_VALUE"""),81.16)</f>
        <v>81.16</v>
      </c>
      <c r="F3655" s="1">
        <f>IFERROR(__xludf.DUMMYFUNCTION("""COMPUTED_VALUE"""),7519293.0)</f>
        <v>7519293</v>
      </c>
    </row>
    <row r="3656">
      <c r="A3656" s="2">
        <f>IFERROR(__xludf.DUMMYFUNCTION("""COMPUTED_VALUE"""),41834.666666666664)</f>
        <v>41834.66667</v>
      </c>
      <c r="B3656" s="1">
        <f>IFERROR(__xludf.DUMMYFUNCTION("""COMPUTED_VALUE"""),81.36)</f>
        <v>81.36</v>
      </c>
      <c r="C3656" s="1">
        <f>IFERROR(__xludf.DUMMYFUNCTION("""COMPUTED_VALUE"""),81.74)</f>
        <v>81.74</v>
      </c>
      <c r="D3656" s="1">
        <f>IFERROR(__xludf.DUMMYFUNCTION("""COMPUTED_VALUE"""),81.3)</f>
        <v>81.3</v>
      </c>
      <c r="E3656" s="1">
        <f>IFERROR(__xludf.DUMMYFUNCTION("""COMPUTED_VALUE"""),81.32)</f>
        <v>81.32</v>
      </c>
      <c r="F3656" s="1">
        <f>IFERROR(__xludf.DUMMYFUNCTION("""COMPUTED_VALUE"""),6806097.0)</f>
        <v>6806097</v>
      </c>
    </row>
    <row r="3657">
      <c r="A3657" s="2">
        <f>IFERROR(__xludf.DUMMYFUNCTION("""COMPUTED_VALUE"""),41835.666666666664)</f>
        <v>41835.66667</v>
      </c>
      <c r="B3657" s="1">
        <f>IFERROR(__xludf.DUMMYFUNCTION("""COMPUTED_VALUE"""),81.51)</f>
        <v>81.51</v>
      </c>
      <c r="C3657" s="1">
        <f>IFERROR(__xludf.DUMMYFUNCTION("""COMPUTED_VALUE"""),81.52)</f>
        <v>81.52</v>
      </c>
      <c r="D3657" s="1">
        <f>IFERROR(__xludf.DUMMYFUNCTION("""COMPUTED_VALUE"""),81.09)</f>
        <v>81.09</v>
      </c>
      <c r="E3657" s="1">
        <f>IFERROR(__xludf.DUMMYFUNCTION("""COMPUTED_VALUE"""),81.26)</f>
        <v>81.26</v>
      </c>
      <c r="F3657" s="1">
        <f>IFERROR(__xludf.DUMMYFUNCTION("""COMPUTED_VALUE"""),9638650.0)</f>
        <v>9638650</v>
      </c>
    </row>
    <row r="3658">
      <c r="A3658" s="2">
        <f>IFERROR(__xludf.DUMMYFUNCTION("""COMPUTED_VALUE"""),41836.666666666664)</f>
        <v>41836.66667</v>
      </c>
      <c r="B3658" s="1">
        <f>IFERROR(__xludf.DUMMYFUNCTION("""COMPUTED_VALUE"""),80.9)</f>
        <v>80.9</v>
      </c>
      <c r="C3658" s="1">
        <f>IFERROR(__xludf.DUMMYFUNCTION("""COMPUTED_VALUE"""),81.2)</f>
        <v>81.2</v>
      </c>
      <c r="D3658" s="1">
        <f>IFERROR(__xludf.DUMMYFUNCTION("""COMPUTED_VALUE"""),80.75)</f>
        <v>80.75</v>
      </c>
      <c r="E3658" s="1">
        <f>IFERROR(__xludf.DUMMYFUNCTION("""COMPUTED_VALUE"""),80.94)</f>
        <v>80.94</v>
      </c>
      <c r="F3658" s="1">
        <f>IFERROR(__xludf.DUMMYFUNCTION("""COMPUTED_VALUE"""),8946279.0)</f>
        <v>8946279</v>
      </c>
    </row>
    <row r="3659">
      <c r="A3659" s="2">
        <f>IFERROR(__xludf.DUMMYFUNCTION("""COMPUTED_VALUE"""),41837.666666666664)</f>
        <v>41837.66667</v>
      </c>
      <c r="B3659" s="1">
        <f>IFERROR(__xludf.DUMMYFUNCTION("""COMPUTED_VALUE"""),80.99)</f>
        <v>80.99</v>
      </c>
      <c r="C3659" s="1">
        <f>IFERROR(__xludf.DUMMYFUNCTION("""COMPUTED_VALUE"""),81.22)</f>
        <v>81.22</v>
      </c>
      <c r="D3659" s="1">
        <f>IFERROR(__xludf.DUMMYFUNCTION("""COMPUTED_VALUE"""),80.39)</f>
        <v>80.39</v>
      </c>
      <c r="E3659" s="1">
        <f>IFERROR(__xludf.DUMMYFUNCTION("""COMPUTED_VALUE"""),80.4)</f>
        <v>80.4</v>
      </c>
      <c r="F3659" s="1">
        <f>IFERROR(__xludf.DUMMYFUNCTION("""COMPUTED_VALUE"""),5853408.0)</f>
        <v>5853408</v>
      </c>
    </row>
    <row r="3660">
      <c r="A3660" s="2">
        <f>IFERROR(__xludf.DUMMYFUNCTION("""COMPUTED_VALUE"""),41838.666666666664)</f>
        <v>41838.66667</v>
      </c>
      <c r="B3660" s="1">
        <f>IFERROR(__xludf.DUMMYFUNCTION("""COMPUTED_VALUE"""),80.55)</f>
        <v>80.55</v>
      </c>
      <c r="C3660" s="1">
        <f>IFERROR(__xludf.DUMMYFUNCTION("""COMPUTED_VALUE"""),80.75)</f>
        <v>80.75</v>
      </c>
      <c r="D3660" s="1">
        <f>IFERROR(__xludf.DUMMYFUNCTION("""COMPUTED_VALUE"""),80.16)</f>
        <v>80.16</v>
      </c>
      <c r="E3660" s="1">
        <f>IFERROR(__xludf.DUMMYFUNCTION("""COMPUTED_VALUE"""),80.55)</f>
        <v>80.55</v>
      </c>
      <c r="F3660" s="1">
        <f>IFERROR(__xludf.DUMMYFUNCTION("""COMPUTED_VALUE"""),6507017.0)</f>
        <v>6507017</v>
      </c>
    </row>
    <row r="3661">
      <c r="A3661" s="2">
        <f>IFERROR(__xludf.DUMMYFUNCTION("""COMPUTED_VALUE"""),41841.666666666664)</f>
        <v>41841.66667</v>
      </c>
      <c r="B3661" s="1">
        <f>IFERROR(__xludf.DUMMYFUNCTION("""COMPUTED_VALUE"""),80.33)</f>
        <v>80.33</v>
      </c>
      <c r="C3661" s="1">
        <f>IFERROR(__xludf.DUMMYFUNCTION("""COMPUTED_VALUE"""),80.4)</f>
        <v>80.4</v>
      </c>
      <c r="D3661" s="1">
        <f>IFERROR(__xludf.DUMMYFUNCTION("""COMPUTED_VALUE"""),79.95)</f>
        <v>79.95</v>
      </c>
      <c r="E3661" s="1">
        <f>IFERROR(__xludf.DUMMYFUNCTION("""COMPUTED_VALUE"""),80.28)</f>
        <v>80.28</v>
      </c>
      <c r="F3661" s="1">
        <f>IFERROR(__xludf.DUMMYFUNCTION("""COMPUTED_VALUE"""),4439218.0)</f>
        <v>4439218</v>
      </c>
    </row>
    <row r="3662">
      <c r="A3662" s="2">
        <f>IFERROR(__xludf.DUMMYFUNCTION("""COMPUTED_VALUE"""),41842.666666666664)</f>
        <v>41842.66667</v>
      </c>
      <c r="B3662" s="1">
        <f>IFERROR(__xludf.DUMMYFUNCTION("""COMPUTED_VALUE"""),80.29)</f>
        <v>80.29</v>
      </c>
      <c r="C3662" s="1">
        <f>IFERROR(__xludf.DUMMYFUNCTION("""COMPUTED_VALUE"""),80.58)</f>
        <v>80.58</v>
      </c>
      <c r="D3662" s="1">
        <f>IFERROR(__xludf.DUMMYFUNCTION("""COMPUTED_VALUE"""),79.77)</f>
        <v>79.77</v>
      </c>
      <c r="E3662" s="1">
        <f>IFERROR(__xludf.DUMMYFUNCTION("""COMPUTED_VALUE"""),80.1)</f>
        <v>80.1</v>
      </c>
      <c r="F3662" s="1">
        <f>IFERROR(__xludf.DUMMYFUNCTION("""COMPUTED_VALUE"""),6073192.0)</f>
        <v>6073192</v>
      </c>
    </row>
    <row r="3663">
      <c r="A3663" s="2">
        <f>IFERROR(__xludf.DUMMYFUNCTION("""COMPUTED_VALUE"""),41843.666666666664)</f>
        <v>41843.66667</v>
      </c>
      <c r="B3663" s="1">
        <f>IFERROR(__xludf.DUMMYFUNCTION("""COMPUTED_VALUE"""),80.33)</f>
        <v>80.33</v>
      </c>
      <c r="C3663" s="1">
        <f>IFERROR(__xludf.DUMMYFUNCTION("""COMPUTED_VALUE"""),80.5)</f>
        <v>80.5</v>
      </c>
      <c r="D3663" s="1">
        <f>IFERROR(__xludf.DUMMYFUNCTION("""COMPUTED_VALUE"""),79.82)</f>
        <v>79.82</v>
      </c>
      <c r="E3663" s="1">
        <f>IFERROR(__xludf.DUMMYFUNCTION("""COMPUTED_VALUE"""),79.99)</f>
        <v>79.99</v>
      </c>
      <c r="F3663" s="1">
        <f>IFERROR(__xludf.DUMMYFUNCTION("""COMPUTED_VALUE"""),5891317.0)</f>
        <v>5891317</v>
      </c>
    </row>
    <row r="3664">
      <c r="A3664" s="2">
        <f>IFERROR(__xludf.DUMMYFUNCTION("""COMPUTED_VALUE"""),41844.666666666664)</f>
        <v>41844.66667</v>
      </c>
      <c r="B3664" s="1">
        <f>IFERROR(__xludf.DUMMYFUNCTION("""COMPUTED_VALUE"""),80.12)</f>
        <v>80.12</v>
      </c>
      <c r="C3664" s="1">
        <f>IFERROR(__xludf.DUMMYFUNCTION("""COMPUTED_VALUE"""),80.32)</f>
        <v>80.32</v>
      </c>
      <c r="D3664" s="1">
        <f>IFERROR(__xludf.DUMMYFUNCTION("""COMPUTED_VALUE"""),79.85)</f>
        <v>79.85</v>
      </c>
      <c r="E3664" s="1">
        <f>IFERROR(__xludf.DUMMYFUNCTION("""COMPUTED_VALUE"""),80.26)</f>
        <v>80.26</v>
      </c>
      <c r="F3664" s="1">
        <f>IFERROR(__xludf.DUMMYFUNCTION("""COMPUTED_VALUE"""),6273126.0)</f>
        <v>6273126</v>
      </c>
    </row>
    <row r="3665">
      <c r="A3665" s="2">
        <f>IFERROR(__xludf.DUMMYFUNCTION("""COMPUTED_VALUE"""),41845.666666666664)</f>
        <v>41845.66667</v>
      </c>
      <c r="B3665" s="1">
        <f>IFERROR(__xludf.DUMMYFUNCTION("""COMPUTED_VALUE"""),80.02)</f>
        <v>80.02</v>
      </c>
      <c r="C3665" s="1">
        <f>IFERROR(__xludf.DUMMYFUNCTION("""COMPUTED_VALUE"""),80.16)</f>
        <v>80.16</v>
      </c>
      <c r="D3665" s="1">
        <f>IFERROR(__xludf.DUMMYFUNCTION("""COMPUTED_VALUE"""),79.37)</f>
        <v>79.37</v>
      </c>
      <c r="E3665" s="1">
        <f>IFERROR(__xludf.DUMMYFUNCTION("""COMPUTED_VALUE"""),79.56)</f>
        <v>79.56</v>
      </c>
      <c r="F3665" s="1">
        <f>IFERROR(__xludf.DUMMYFUNCTION("""COMPUTED_VALUE"""),6293364.0)</f>
        <v>6293364</v>
      </c>
    </row>
    <row r="3666">
      <c r="A3666" s="2">
        <f>IFERROR(__xludf.DUMMYFUNCTION("""COMPUTED_VALUE"""),41848.666666666664)</f>
        <v>41848.66667</v>
      </c>
      <c r="B3666" s="1">
        <f>IFERROR(__xludf.DUMMYFUNCTION("""COMPUTED_VALUE"""),79.41)</f>
        <v>79.41</v>
      </c>
      <c r="C3666" s="1">
        <f>IFERROR(__xludf.DUMMYFUNCTION("""COMPUTED_VALUE"""),79.62)</f>
        <v>79.62</v>
      </c>
      <c r="D3666" s="1">
        <f>IFERROR(__xludf.DUMMYFUNCTION("""COMPUTED_VALUE"""),78.85)</f>
        <v>78.85</v>
      </c>
      <c r="E3666" s="1">
        <f>IFERROR(__xludf.DUMMYFUNCTION("""COMPUTED_VALUE"""),79.26)</f>
        <v>79.26</v>
      </c>
      <c r="F3666" s="1">
        <f>IFERROR(__xludf.DUMMYFUNCTION("""COMPUTED_VALUE"""),6757259.0)</f>
        <v>6757259</v>
      </c>
    </row>
    <row r="3667">
      <c r="A3667" s="2">
        <f>IFERROR(__xludf.DUMMYFUNCTION("""COMPUTED_VALUE"""),41849.666666666664)</f>
        <v>41849.66667</v>
      </c>
      <c r="B3667" s="1">
        <f>IFERROR(__xludf.DUMMYFUNCTION("""COMPUTED_VALUE"""),79.09)</f>
        <v>79.09</v>
      </c>
      <c r="C3667" s="1">
        <f>IFERROR(__xludf.DUMMYFUNCTION("""COMPUTED_VALUE"""),79.5)</f>
        <v>79.5</v>
      </c>
      <c r="D3667" s="1">
        <f>IFERROR(__xludf.DUMMYFUNCTION("""COMPUTED_VALUE"""),78.65)</f>
        <v>78.65</v>
      </c>
      <c r="E3667" s="1">
        <f>IFERROR(__xludf.DUMMYFUNCTION("""COMPUTED_VALUE"""),78.65)</f>
        <v>78.65</v>
      </c>
      <c r="F3667" s="1">
        <f>IFERROR(__xludf.DUMMYFUNCTION("""COMPUTED_VALUE"""),6425591.0)</f>
        <v>6425591</v>
      </c>
    </row>
    <row r="3668">
      <c r="A3668" s="2">
        <f>IFERROR(__xludf.DUMMYFUNCTION("""COMPUTED_VALUE"""),41850.666666666664)</f>
        <v>41850.66667</v>
      </c>
      <c r="B3668" s="1">
        <f>IFERROR(__xludf.DUMMYFUNCTION("""COMPUTED_VALUE"""),78.7)</f>
        <v>78.7</v>
      </c>
      <c r="C3668" s="1">
        <f>IFERROR(__xludf.DUMMYFUNCTION("""COMPUTED_VALUE"""),79.01)</f>
        <v>79.01</v>
      </c>
      <c r="D3668" s="1">
        <f>IFERROR(__xludf.DUMMYFUNCTION("""COMPUTED_VALUE"""),78.14)</f>
        <v>78.14</v>
      </c>
      <c r="E3668" s="1">
        <f>IFERROR(__xludf.DUMMYFUNCTION("""COMPUTED_VALUE"""),78.16)</f>
        <v>78.16</v>
      </c>
      <c r="F3668" s="1">
        <f>IFERROR(__xludf.DUMMYFUNCTION("""COMPUTED_VALUE"""),8296537.0)</f>
        <v>8296537</v>
      </c>
    </row>
    <row r="3669">
      <c r="A3669" s="2">
        <f>IFERROR(__xludf.DUMMYFUNCTION("""COMPUTED_VALUE"""),41851.666666666664)</f>
        <v>41851.66667</v>
      </c>
      <c r="B3669" s="1">
        <f>IFERROR(__xludf.DUMMYFUNCTION("""COMPUTED_VALUE"""),77.76)</f>
        <v>77.76</v>
      </c>
      <c r="C3669" s="1">
        <f>IFERROR(__xludf.DUMMYFUNCTION("""COMPUTED_VALUE"""),78.01)</f>
        <v>78.01</v>
      </c>
      <c r="D3669" s="1">
        <f>IFERROR(__xludf.DUMMYFUNCTION("""COMPUTED_VALUE"""),77.29)</f>
        <v>77.29</v>
      </c>
      <c r="E3669" s="1">
        <f>IFERROR(__xludf.DUMMYFUNCTION("""COMPUTED_VALUE"""),77.32)</f>
        <v>77.32</v>
      </c>
      <c r="F3669" s="1">
        <f>IFERROR(__xludf.DUMMYFUNCTION("""COMPUTED_VALUE"""),1.1239379E7)</f>
        <v>11239379</v>
      </c>
    </row>
    <row r="3670">
      <c r="A3670" s="2">
        <f>IFERROR(__xludf.DUMMYFUNCTION("""COMPUTED_VALUE"""),41852.666666666664)</f>
        <v>41852.66667</v>
      </c>
      <c r="B3670" s="1">
        <f>IFERROR(__xludf.DUMMYFUNCTION("""COMPUTED_VALUE"""),79.25)</f>
        <v>79.25</v>
      </c>
      <c r="C3670" s="1">
        <f>IFERROR(__xludf.DUMMYFUNCTION("""COMPUTED_VALUE"""),80.67)</f>
        <v>80.67</v>
      </c>
      <c r="D3670" s="1">
        <f>IFERROR(__xludf.DUMMYFUNCTION("""COMPUTED_VALUE"""),78.83)</f>
        <v>78.83</v>
      </c>
      <c r="E3670" s="1">
        <f>IFERROR(__xludf.DUMMYFUNCTION("""COMPUTED_VALUE"""),79.65)</f>
        <v>79.65</v>
      </c>
      <c r="F3670" s="1">
        <f>IFERROR(__xludf.DUMMYFUNCTION("""COMPUTED_VALUE"""),1.8110864E7)</f>
        <v>18110864</v>
      </c>
    </row>
    <row r="3671">
      <c r="A3671" s="2">
        <f>IFERROR(__xludf.DUMMYFUNCTION("""COMPUTED_VALUE"""),41855.666666666664)</f>
        <v>41855.66667</v>
      </c>
      <c r="B3671" s="1">
        <f>IFERROR(__xludf.DUMMYFUNCTION("""COMPUTED_VALUE"""),79.46)</f>
        <v>79.46</v>
      </c>
      <c r="C3671" s="1">
        <f>IFERROR(__xludf.DUMMYFUNCTION("""COMPUTED_VALUE"""),79.46)</f>
        <v>79.46</v>
      </c>
      <c r="D3671" s="1">
        <f>IFERROR(__xludf.DUMMYFUNCTION("""COMPUTED_VALUE"""),78.66)</f>
        <v>78.66</v>
      </c>
      <c r="E3671" s="1">
        <f>IFERROR(__xludf.DUMMYFUNCTION("""COMPUTED_VALUE"""),79.22)</f>
        <v>79.22</v>
      </c>
      <c r="F3671" s="1">
        <f>IFERROR(__xludf.DUMMYFUNCTION("""COMPUTED_VALUE"""),1.2075293E7)</f>
        <v>12075293</v>
      </c>
    </row>
    <row r="3672">
      <c r="A3672" s="2">
        <f>IFERROR(__xludf.DUMMYFUNCTION("""COMPUTED_VALUE"""),41856.666666666664)</f>
        <v>41856.66667</v>
      </c>
      <c r="B3672" s="1">
        <f>IFERROR(__xludf.DUMMYFUNCTION("""COMPUTED_VALUE"""),78.99)</f>
        <v>78.99</v>
      </c>
      <c r="C3672" s="1">
        <f>IFERROR(__xludf.DUMMYFUNCTION("""COMPUTED_VALUE"""),79.74)</f>
        <v>79.74</v>
      </c>
      <c r="D3672" s="1">
        <f>IFERROR(__xludf.DUMMYFUNCTION("""COMPUTED_VALUE"""),78.98)</f>
        <v>78.98</v>
      </c>
      <c r="E3672" s="1">
        <f>IFERROR(__xludf.DUMMYFUNCTION("""COMPUTED_VALUE"""),79.41)</f>
        <v>79.41</v>
      </c>
      <c r="F3672" s="1">
        <f>IFERROR(__xludf.DUMMYFUNCTION("""COMPUTED_VALUE"""),7995884.0)</f>
        <v>7995884</v>
      </c>
    </row>
    <row r="3673">
      <c r="A3673" s="2">
        <f>IFERROR(__xludf.DUMMYFUNCTION("""COMPUTED_VALUE"""),41857.666666666664)</f>
        <v>41857.66667</v>
      </c>
      <c r="B3673" s="1">
        <f>IFERROR(__xludf.DUMMYFUNCTION("""COMPUTED_VALUE"""),79.4)</f>
        <v>79.4</v>
      </c>
      <c r="C3673" s="1">
        <f>IFERROR(__xludf.DUMMYFUNCTION("""COMPUTED_VALUE"""),81.3)</f>
        <v>81.3</v>
      </c>
      <c r="D3673" s="1">
        <f>IFERROR(__xludf.DUMMYFUNCTION("""COMPUTED_VALUE"""),79.27)</f>
        <v>79.27</v>
      </c>
      <c r="E3673" s="1">
        <f>IFERROR(__xludf.DUMMYFUNCTION("""COMPUTED_VALUE"""),81.09)</f>
        <v>81.09</v>
      </c>
      <c r="F3673" s="1">
        <f>IFERROR(__xludf.DUMMYFUNCTION("""COMPUTED_VALUE"""),1.2839049E7)</f>
        <v>12839049</v>
      </c>
    </row>
    <row r="3674">
      <c r="A3674" s="2">
        <f>IFERROR(__xludf.DUMMYFUNCTION("""COMPUTED_VALUE"""),41858.666666666664)</f>
        <v>41858.66667</v>
      </c>
      <c r="B3674" s="1">
        <f>IFERROR(__xludf.DUMMYFUNCTION("""COMPUTED_VALUE"""),81.02)</f>
        <v>81.02</v>
      </c>
      <c r="C3674" s="1">
        <f>IFERROR(__xludf.DUMMYFUNCTION("""COMPUTED_VALUE"""),81.18)</f>
        <v>81.18</v>
      </c>
      <c r="D3674" s="1">
        <f>IFERROR(__xludf.DUMMYFUNCTION("""COMPUTED_VALUE"""),80.01)</f>
        <v>80.01</v>
      </c>
      <c r="E3674" s="1">
        <f>IFERROR(__xludf.DUMMYFUNCTION("""COMPUTED_VALUE"""),80.14)</f>
        <v>80.14</v>
      </c>
      <c r="F3674" s="1">
        <f>IFERROR(__xludf.DUMMYFUNCTION("""COMPUTED_VALUE"""),7912807.0)</f>
        <v>7912807</v>
      </c>
    </row>
    <row r="3675">
      <c r="A3675" s="2">
        <f>IFERROR(__xludf.DUMMYFUNCTION("""COMPUTED_VALUE"""),41859.666666666664)</f>
        <v>41859.66667</v>
      </c>
      <c r="B3675" s="1">
        <f>IFERROR(__xludf.DUMMYFUNCTION("""COMPUTED_VALUE"""),80.05)</f>
        <v>80.05</v>
      </c>
      <c r="C3675" s="1">
        <f>IFERROR(__xludf.DUMMYFUNCTION("""COMPUTED_VALUE"""),81.03)</f>
        <v>81.03</v>
      </c>
      <c r="D3675" s="1">
        <f>IFERROR(__xludf.DUMMYFUNCTION("""COMPUTED_VALUE"""),80.04)</f>
        <v>80.04</v>
      </c>
      <c r="E3675" s="1">
        <f>IFERROR(__xludf.DUMMYFUNCTION("""COMPUTED_VALUE"""),80.95)</f>
        <v>80.95</v>
      </c>
      <c r="F3675" s="1">
        <f>IFERROR(__xludf.DUMMYFUNCTION("""COMPUTED_VALUE"""),6215609.0)</f>
        <v>6215609</v>
      </c>
    </row>
    <row r="3676">
      <c r="A3676" s="2">
        <f>IFERROR(__xludf.DUMMYFUNCTION("""COMPUTED_VALUE"""),41862.666666666664)</f>
        <v>41862.66667</v>
      </c>
      <c r="B3676" s="1">
        <f>IFERROR(__xludf.DUMMYFUNCTION("""COMPUTED_VALUE"""),81.23)</f>
        <v>81.23</v>
      </c>
      <c r="C3676" s="1">
        <f>IFERROR(__xludf.DUMMYFUNCTION("""COMPUTED_VALUE"""),81.87)</f>
        <v>81.87</v>
      </c>
      <c r="D3676" s="1">
        <f>IFERROR(__xludf.DUMMYFUNCTION("""COMPUTED_VALUE"""),81.03)</f>
        <v>81.03</v>
      </c>
      <c r="E3676" s="1">
        <f>IFERROR(__xludf.DUMMYFUNCTION("""COMPUTED_VALUE"""),81.48)</f>
        <v>81.48</v>
      </c>
      <c r="F3676" s="1">
        <f>IFERROR(__xludf.DUMMYFUNCTION("""COMPUTED_VALUE"""),8188008.0)</f>
        <v>8188008</v>
      </c>
    </row>
    <row r="3677">
      <c r="A3677" s="2">
        <f>IFERROR(__xludf.DUMMYFUNCTION("""COMPUTED_VALUE"""),41863.666666666664)</f>
        <v>41863.66667</v>
      </c>
      <c r="B3677" s="1">
        <f>IFERROR(__xludf.DUMMYFUNCTION("""COMPUTED_VALUE"""),81.5)</f>
        <v>81.5</v>
      </c>
      <c r="C3677" s="1">
        <f>IFERROR(__xludf.DUMMYFUNCTION("""COMPUTED_VALUE"""),81.86)</f>
        <v>81.86</v>
      </c>
      <c r="D3677" s="1">
        <f>IFERROR(__xludf.DUMMYFUNCTION("""COMPUTED_VALUE"""),81.21)</f>
        <v>81.21</v>
      </c>
      <c r="E3677" s="1">
        <f>IFERROR(__xludf.DUMMYFUNCTION("""COMPUTED_VALUE"""),81.42)</f>
        <v>81.42</v>
      </c>
      <c r="F3677" s="1">
        <f>IFERROR(__xludf.DUMMYFUNCTION("""COMPUTED_VALUE"""),6591201.0)</f>
        <v>6591201</v>
      </c>
    </row>
    <row r="3678">
      <c r="A3678" s="2">
        <f>IFERROR(__xludf.DUMMYFUNCTION("""COMPUTED_VALUE"""),41864.666666666664)</f>
        <v>41864.66667</v>
      </c>
      <c r="B3678" s="1">
        <f>IFERROR(__xludf.DUMMYFUNCTION("""COMPUTED_VALUE"""),81.64)</f>
        <v>81.64</v>
      </c>
      <c r="C3678" s="1">
        <f>IFERROR(__xludf.DUMMYFUNCTION("""COMPUTED_VALUE"""),81.8)</f>
        <v>81.8</v>
      </c>
      <c r="D3678" s="1">
        <f>IFERROR(__xludf.DUMMYFUNCTION("""COMPUTED_VALUE"""),81.11)</f>
        <v>81.11</v>
      </c>
      <c r="E3678" s="1">
        <f>IFERROR(__xludf.DUMMYFUNCTION("""COMPUTED_VALUE"""),81.48)</f>
        <v>81.48</v>
      </c>
      <c r="F3678" s="1">
        <f>IFERROR(__xludf.DUMMYFUNCTION("""COMPUTED_VALUE"""),5472198.0)</f>
        <v>5472198</v>
      </c>
    </row>
    <row r="3679">
      <c r="A3679" s="2">
        <f>IFERROR(__xludf.DUMMYFUNCTION("""COMPUTED_VALUE"""),41865.666666666664)</f>
        <v>41865.66667</v>
      </c>
      <c r="B3679" s="1">
        <f>IFERROR(__xludf.DUMMYFUNCTION("""COMPUTED_VALUE"""),81.59)</f>
        <v>81.59</v>
      </c>
      <c r="C3679" s="1">
        <f>IFERROR(__xludf.DUMMYFUNCTION("""COMPUTED_VALUE"""),82.04)</f>
        <v>82.04</v>
      </c>
      <c r="D3679" s="1">
        <f>IFERROR(__xludf.DUMMYFUNCTION("""COMPUTED_VALUE"""),81.44)</f>
        <v>81.44</v>
      </c>
      <c r="E3679" s="1">
        <f>IFERROR(__xludf.DUMMYFUNCTION("""COMPUTED_VALUE"""),81.95)</f>
        <v>81.95</v>
      </c>
      <c r="F3679" s="1">
        <f>IFERROR(__xludf.DUMMYFUNCTION("""COMPUTED_VALUE"""),5930709.0)</f>
        <v>5930709</v>
      </c>
    </row>
    <row r="3680">
      <c r="A3680" s="2">
        <f>IFERROR(__xludf.DUMMYFUNCTION("""COMPUTED_VALUE"""),41866.666666666664)</f>
        <v>41866.66667</v>
      </c>
      <c r="B3680" s="1">
        <f>IFERROR(__xludf.DUMMYFUNCTION("""COMPUTED_VALUE"""),82.23)</f>
        <v>82.23</v>
      </c>
      <c r="C3680" s="1">
        <f>IFERROR(__xludf.DUMMYFUNCTION("""COMPUTED_VALUE"""),82.23)</f>
        <v>82.23</v>
      </c>
      <c r="D3680" s="1">
        <f>IFERROR(__xludf.DUMMYFUNCTION("""COMPUTED_VALUE"""),81.18)</f>
        <v>81.18</v>
      </c>
      <c r="E3680" s="1">
        <f>IFERROR(__xludf.DUMMYFUNCTION("""COMPUTED_VALUE"""),81.78)</f>
        <v>81.78</v>
      </c>
      <c r="F3680" s="1">
        <f>IFERROR(__xludf.DUMMYFUNCTION("""COMPUTED_VALUE"""),7422986.0)</f>
        <v>7422986</v>
      </c>
    </row>
    <row r="3681">
      <c r="A3681" s="2">
        <f>IFERROR(__xludf.DUMMYFUNCTION("""COMPUTED_VALUE"""),41869.666666666664)</f>
        <v>41869.66667</v>
      </c>
      <c r="B3681" s="1">
        <f>IFERROR(__xludf.DUMMYFUNCTION("""COMPUTED_VALUE"""),81.99)</f>
        <v>81.99</v>
      </c>
      <c r="C3681" s="1">
        <f>IFERROR(__xludf.DUMMYFUNCTION("""COMPUTED_VALUE"""),82.85)</f>
        <v>82.85</v>
      </c>
      <c r="D3681" s="1">
        <f>IFERROR(__xludf.DUMMYFUNCTION("""COMPUTED_VALUE"""),81.81)</f>
        <v>81.81</v>
      </c>
      <c r="E3681" s="1">
        <f>IFERROR(__xludf.DUMMYFUNCTION("""COMPUTED_VALUE"""),82.44)</f>
        <v>82.44</v>
      </c>
      <c r="F3681" s="1">
        <f>IFERROR(__xludf.DUMMYFUNCTION("""COMPUTED_VALUE"""),8450531.0)</f>
        <v>8450531</v>
      </c>
    </row>
    <row r="3682">
      <c r="A3682" s="2">
        <f>IFERROR(__xludf.DUMMYFUNCTION("""COMPUTED_VALUE"""),41870.666666666664)</f>
        <v>41870.66667</v>
      </c>
      <c r="B3682" s="1">
        <f>IFERROR(__xludf.DUMMYFUNCTION("""COMPUTED_VALUE"""),82.35)</f>
        <v>82.35</v>
      </c>
      <c r="C3682" s="1">
        <f>IFERROR(__xludf.DUMMYFUNCTION("""COMPUTED_VALUE"""),82.87)</f>
        <v>82.87</v>
      </c>
      <c r="D3682" s="1">
        <f>IFERROR(__xludf.DUMMYFUNCTION("""COMPUTED_VALUE"""),82.12)</f>
        <v>82.12</v>
      </c>
      <c r="E3682" s="1">
        <f>IFERROR(__xludf.DUMMYFUNCTION("""COMPUTED_VALUE"""),82.69)</f>
        <v>82.69</v>
      </c>
      <c r="F3682" s="1">
        <f>IFERROR(__xludf.DUMMYFUNCTION("""COMPUTED_VALUE"""),6873612.0)</f>
        <v>6873612</v>
      </c>
    </row>
    <row r="3683">
      <c r="A3683" s="2">
        <f>IFERROR(__xludf.DUMMYFUNCTION("""COMPUTED_VALUE"""),41871.666666666664)</f>
        <v>41871.66667</v>
      </c>
      <c r="B3683" s="1">
        <f>IFERROR(__xludf.DUMMYFUNCTION("""COMPUTED_VALUE"""),82.46)</f>
        <v>82.46</v>
      </c>
      <c r="C3683" s="1">
        <f>IFERROR(__xludf.DUMMYFUNCTION("""COMPUTED_VALUE"""),82.94)</f>
        <v>82.94</v>
      </c>
      <c r="D3683" s="1">
        <f>IFERROR(__xludf.DUMMYFUNCTION("""COMPUTED_VALUE"""),82.46)</f>
        <v>82.46</v>
      </c>
      <c r="E3683" s="1">
        <f>IFERROR(__xludf.DUMMYFUNCTION("""COMPUTED_VALUE"""),82.81)</f>
        <v>82.81</v>
      </c>
      <c r="F3683" s="1">
        <f>IFERROR(__xludf.DUMMYFUNCTION("""COMPUTED_VALUE"""),4581835.0)</f>
        <v>4581835</v>
      </c>
    </row>
    <row r="3684">
      <c r="A3684" s="2">
        <f>IFERROR(__xludf.DUMMYFUNCTION("""COMPUTED_VALUE"""),41872.666666666664)</f>
        <v>41872.66667</v>
      </c>
      <c r="B3684" s="1">
        <f>IFERROR(__xludf.DUMMYFUNCTION("""COMPUTED_VALUE"""),82.8)</f>
        <v>82.8</v>
      </c>
      <c r="C3684" s="1">
        <f>IFERROR(__xludf.DUMMYFUNCTION("""COMPUTED_VALUE"""),83.47)</f>
        <v>83.47</v>
      </c>
      <c r="D3684" s="1">
        <f>IFERROR(__xludf.DUMMYFUNCTION("""COMPUTED_VALUE"""),82.69)</f>
        <v>82.69</v>
      </c>
      <c r="E3684" s="1">
        <f>IFERROR(__xludf.DUMMYFUNCTION("""COMPUTED_VALUE"""),83.28)</f>
        <v>83.28</v>
      </c>
      <c r="F3684" s="1">
        <f>IFERROR(__xludf.DUMMYFUNCTION("""COMPUTED_VALUE"""),7106490.0)</f>
        <v>7106490</v>
      </c>
    </row>
    <row r="3685">
      <c r="A3685" s="2">
        <f>IFERROR(__xludf.DUMMYFUNCTION("""COMPUTED_VALUE"""),41873.666666666664)</f>
        <v>41873.66667</v>
      </c>
      <c r="B3685" s="1">
        <f>IFERROR(__xludf.DUMMYFUNCTION("""COMPUTED_VALUE"""),83.16)</f>
        <v>83.16</v>
      </c>
      <c r="C3685" s="1">
        <f>IFERROR(__xludf.DUMMYFUNCTION("""COMPUTED_VALUE"""),83.66)</f>
        <v>83.66</v>
      </c>
      <c r="D3685" s="1">
        <f>IFERROR(__xludf.DUMMYFUNCTION("""COMPUTED_VALUE"""),83.14)</f>
        <v>83.14</v>
      </c>
      <c r="E3685" s="1">
        <f>IFERROR(__xludf.DUMMYFUNCTION("""COMPUTED_VALUE"""),83.39)</f>
        <v>83.39</v>
      </c>
      <c r="F3685" s="1">
        <f>IFERROR(__xludf.DUMMYFUNCTION("""COMPUTED_VALUE"""),6978890.0)</f>
        <v>6978890</v>
      </c>
    </row>
    <row r="3686">
      <c r="A3686" s="2">
        <f>IFERROR(__xludf.DUMMYFUNCTION("""COMPUTED_VALUE"""),41876.666666666664)</f>
        <v>41876.66667</v>
      </c>
      <c r="B3686" s="1">
        <f>IFERROR(__xludf.DUMMYFUNCTION("""COMPUTED_VALUE"""),83.75)</f>
        <v>83.75</v>
      </c>
      <c r="C3686" s="1">
        <f>IFERROR(__xludf.DUMMYFUNCTION("""COMPUTED_VALUE"""),83.82)</f>
        <v>83.82</v>
      </c>
      <c r="D3686" s="1">
        <f>IFERROR(__xludf.DUMMYFUNCTION("""COMPUTED_VALUE"""),83.31)</f>
        <v>83.31</v>
      </c>
      <c r="E3686" s="1">
        <f>IFERROR(__xludf.DUMMYFUNCTION("""COMPUTED_VALUE"""),83.54)</f>
        <v>83.54</v>
      </c>
      <c r="F3686" s="1">
        <f>IFERROR(__xludf.DUMMYFUNCTION("""COMPUTED_VALUE"""),5586758.0)</f>
        <v>5586758</v>
      </c>
    </row>
    <row r="3687">
      <c r="A3687" s="2">
        <f>IFERROR(__xludf.DUMMYFUNCTION("""COMPUTED_VALUE"""),41877.666666666664)</f>
        <v>41877.66667</v>
      </c>
      <c r="B3687" s="1">
        <f>IFERROR(__xludf.DUMMYFUNCTION("""COMPUTED_VALUE"""),83.61)</f>
        <v>83.61</v>
      </c>
      <c r="C3687" s="1">
        <f>IFERROR(__xludf.DUMMYFUNCTION("""COMPUTED_VALUE"""),83.83)</f>
        <v>83.83</v>
      </c>
      <c r="D3687" s="1">
        <f>IFERROR(__xludf.DUMMYFUNCTION("""COMPUTED_VALUE"""),83.33)</f>
        <v>83.33</v>
      </c>
      <c r="E3687" s="1">
        <f>IFERROR(__xludf.DUMMYFUNCTION("""COMPUTED_VALUE"""),83.38)</f>
        <v>83.38</v>
      </c>
      <c r="F3687" s="1">
        <f>IFERROR(__xludf.DUMMYFUNCTION("""COMPUTED_VALUE"""),5188357.0)</f>
        <v>5188357</v>
      </c>
    </row>
    <row r="3688">
      <c r="A3688" s="2">
        <f>IFERROR(__xludf.DUMMYFUNCTION("""COMPUTED_VALUE"""),41878.666666666664)</f>
        <v>41878.66667</v>
      </c>
      <c r="B3688" s="1">
        <f>IFERROR(__xludf.DUMMYFUNCTION("""COMPUTED_VALUE"""),83.43)</f>
        <v>83.43</v>
      </c>
      <c r="C3688" s="1">
        <f>IFERROR(__xludf.DUMMYFUNCTION("""COMPUTED_VALUE"""),83.6)</f>
        <v>83.6</v>
      </c>
      <c r="D3688" s="1">
        <f>IFERROR(__xludf.DUMMYFUNCTION("""COMPUTED_VALUE"""),83.16)</f>
        <v>83.16</v>
      </c>
      <c r="E3688" s="1">
        <f>IFERROR(__xludf.DUMMYFUNCTION("""COMPUTED_VALUE"""),83.31)</f>
        <v>83.31</v>
      </c>
      <c r="F3688" s="1">
        <f>IFERROR(__xludf.DUMMYFUNCTION("""COMPUTED_VALUE"""),4248518.0)</f>
        <v>4248518</v>
      </c>
    </row>
    <row r="3689">
      <c r="A3689" s="2">
        <f>IFERROR(__xludf.DUMMYFUNCTION("""COMPUTED_VALUE"""),41879.666666666664)</f>
        <v>41879.66667</v>
      </c>
      <c r="B3689" s="1">
        <f>IFERROR(__xludf.DUMMYFUNCTION("""COMPUTED_VALUE"""),83.02)</f>
        <v>83.02</v>
      </c>
      <c r="C3689" s="1">
        <f>IFERROR(__xludf.DUMMYFUNCTION("""COMPUTED_VALUE"""),83.22)</f>
        <v>83.22</v>
      </c>
      <c r="D3689" s="1">
        <f>IFERROR(__xludf.DUMMYFUNCTION("""COMPUTED_VALUE"""),82.76)</f>
        <v>82.76</v>
      </c>
      <c r="E3689" s="1">
        <f>IFERROR(__xludf.DUMMYFUNCTION("""COMPUTED_VALUE"""),83.03)</f>
        <v>83.03</v>
      </c>
      <c r="F3689" s="1">
        <f>IFERROR(__xludf.DUMMYFUNCTION("""COMPUTED_VALUE"""),4283148.0)</f>
        <v>4283148</v>
      </c>
    </row>
    <row r="3690">
      <c r="A3690" s="2">
        <f>IFERROR(__xludf.DUMMYFUNCTION("""COMPUTED_VALUE"""),41880.666666666664)</f>
        <v>41880.66667</v>
      </c>
      <c r="B3690" s="1">
        <f>IFERROR(__xludf.DUMMYFUNCTION("""COMPUTED_VALUE"""),83.09)</f>
        <v>83.09</v>
      </c>
      <c r="C3690" s="1">
        <f>IFERROR(__xludf.DUMMYFUNCTION("""COMPUTED_VALUE"""),83.13)</f>
        <v>83.13</v>
      </c>
      <c r="D3690" s="1">
        <f>IFERROR(__xludf.DUMMYFUNCTION("""COMPUTED_VALUE"""),82.6)</f>
        <v>82.6</v>
      </c>
      <c r="E3690" s="1">
        <f>IFERROR(__xludf.DUMMYFUNCTION("""COMPUTED_VALUE"""),83.11)</f>
        <v>83.11</v>
      </c>
      <c r="F3690" s="1">
        <f>IFERROR(__xludf.DUMMYFUNCTION("""COMPUTED_VALUE"""),4901408.0)</f>
        <v>4901408</v>
      </c>
    </row>
    <row r="3691">
      <c r="A3691" s="2">
        <f>IFERROR(__xludf.DUMMYFUNCTION("""COMPUTED_VALUE"""),41884.666666666664)</f>
        <v>41884.66667</v>
      </c>
      <c r="B3691" s="1">
        <f>IFERROR(__xludf.DUMMYFUNCTION("""COMPUTED_VALUE"""),83.21)</f>
        <v>83.21</v>
      </c>
      <c r="C3691" s="1">
        <f>IFERROR(__xludf.DUMMYFUNCTION("""COMPUTED_VALUE"""),83.49)</f>
        <v>83.49</v>
      </c>
      <c r="D3691" s="1">
        <f>IFERROR(__xludf.DUMMYFUNCTION("""COMPUTED_VALUE"""),82.71)</f>
        <v>82.71</v>
      </c>
      <c r="E3691" s="1">
        <f>IFERROR(__xludf.DUMMYFUNCTION("""COMPUTED_VALUE"""),82.98)</f>
        <v>82.98</v>
      </c>
      <c r="F3691" s="1">
        <f>IFERROR(__xludf.DUMMYFUNCTION("""COMPUTED_VALUE"""),5528875.0)</f>
        <v>5528875</v>
      </c>
    </row>
    <row r="3692">
      <c r="A3692" s="2">
        <f>IFERROR(__xludf.DUMMYFUNCTION("""COMPUTED_VALUE"""),41885.666666666664)</f>
        <v>41885.66667</v>
      </c>
      <c r="B3692" s="1">
        <f>IFERROR(__xludf.DUMMYFUNCTION("""COMPUTED_VALUE"""),83.26)</f>
        <v>83.26</v>
      </c>
      <c r="C3692" s="1">
        <f>IFERROR(__xludf.DUMMYFUNCTION("""COMPUTED_VALUE"""),83.48)</f>
        <v>83.48</v>
      </c>
      <c r="D3692" s="1">
        <f>IFERROR(__xludf.DUMMYFUNCTION("""COMPUTED_VALUE"""),82.77)</f>
        <v>82.77</v>
      </c>
      <c r="E3692" s="1">
        <f>IFERROR(__xludf.DUMMYFUNCTION("""COMPUTED_VALUE"""),82.9)</f>
        <v>82.9</v>
      </c>
      <c r="F3692" s="1">
        <f>IFERROR(__xludf.DUMMYFUNCTION("""COMPUTED_VALUE"""),5851788.0)</f>
        <v>5851788</v>
      </c>
    </row>
    <row r="3693">
      <c r="A3693" s="2">
        <f>IFERROR(__xludf.DUMMYFUNCTION("""COMPUTED_VALUE"""),41886.666666666664)</f>
        <v>41886.66667</v>
      </c>
      <c r="B3693" s="1">
        <f>IFERROR(__xludf.DUMMYFUNCTION("""COMPUTED_VALUE"""),82.92)</f>
        <v>82.92</v>
      </c>
      <c r="C3693" s="1">
        <f>IFERROR(__xludf.DUMMYFUNCTION("""COMPUTED_VALUE"""),83.75)</f>
        <v>83.75</v>
      </c>
      <c r="D3693" s="1">
        <f>IFERROR(__xludf.DUMMYFUNCTION("""COMPUTED_VALUE"""),82.78)</f>
        <v>82.78</v>
      </c>
      <c r="E3693" s="1">
        <f>IFERROR(__xludf.DUMMYFUNCTION("""COMPUTED_VALUE"""),83.7)</f>
        <v>83.7</v>
      </c>
      <c r="F3693" s="1">
        <f>IFERROR(__xludf.DUMMYFUNCTION("""COMPUTED_VALUE"""),7444413.0)</f>
        <v>7444413</v>
      </c>
    </row>
    <row r="3694">
      <c r="A3694" s="2">
        <f>IFERROR(__xludf.DUMMYFUNCTION("""COMPUTED_VALUE"""),41887.666666666664)</f>
        <v>41887.66667</v>
      </c>
      <c r="B3694" s="1">
        <f>IFERROR(__xludf.DUMMYFUNCTION("""COMPUTED_VALUE"""),83.44)</f>
        <v>83.44</v>
      </c>
      <c r="C3694" s="1">
        <f>IFERROR(__xludf.DUMMYFUNCTION("""COMPUTED_VALUE"""),83.8)</f>
        <v>83.8</v>
      </c>
      <c r="D3694" s="1">
        <f>IFERROR(__xludf.DUMMYFUNCTION("""COMPUTED_VALUE"""),83.07)</f>
        <v>83.07</v>
      </c>
      <c r="E3694" s="1">
        <f>IFERROR(__xludf.DUMMYFUNCTION("""COMPUTED_VALUE"""),83.77)</f>
        <v>83.77</v>
      </c>
      <c r="F3694" s="1">
        <f>IFERROR(__xludf.DUMMYFUNCTION("""COMPUTED_VALUE"""),5889038.0)</f>
        <v>5889038</v>
      </c>
    </row>
    <row r="3695">
      <c r="A3695" s="2">
        <f>IFERROR(__xludf.DUMMYFUNCTION("""COMPUTED_VALUE"""),41890.666666666664)</f>
        <v>41890.66667</v>
      </c>
      <c r="B3695" s="1">
        <f>IFERROR(__xludf.DUMMYFUNCTION("""COMPUTED_VALUE"""),83.57)</f>
        <v>83.57</v>
      </c>
      <c r="C3695" s="1">
        <f>IFERROR(__xludf.DUMMYFUNCTION("""COMPUTED_VALUE"""),83.6)</f>
        <v>83.6</v>
      </c>
      <c r="D3695" s="1">
        <f>IFERROR(__xludf.DUMMYFUNCTION("""COMPUTED_VALUE"""),83.13)</f>
        <v>83.13</v>
      </c>
      <c r="E3695" s="1">
        <f>IFERROR(__xludf.DUMMYFUNCTION("""COMPUTED_VALUE"""),83.32)</f>
        <v>83.32</v>
      </c>
      <c r="F3695" s="1">
        <f>IFERROR(__xludf.DUMMYFUNCTION("""COMPUTED_VALUE"""),4899613.0)</f>
        <v>4899613</v>
      </c>
    </row>
    <row r="3696">
      <c r="A3696" s="2">
        <f>IFERROR(__xludf.DUMMYFUNCTION("""COMPUTED_VALUE"""),41891.666666666664)</f>
        <v>41891.66667</v>
      </c>
      <c r="B3696" s="1">
        <f>IFERROR(__xludf.DUMMYFUNCTION("""COMPUTED_VALUE"""),83.05)</f>
        <v>83.05</v>
      </c>
      <c r="C3696" s="1">
        <f>IFERROR(__xludf.DUMMYFUNCTION("""COMPUTED_VALUE"""),83.29)</f>
        <v>83.29</v>
      </c>
      <c r="D3696" s="1">
        <f>IFERROR(__xludf.DUMMYFUNCTION("""COMPUTED_VALUE"""),82.83)</f>
        <v>82.83</v>
      </c>
      <c r="E3696" s="1">
        <f>IFERROR(__xludf.DUMMYFUNCTION("""COMPUTED_VALUE"""),82.99)</f>
        <v>82.99</v>
      </c>
      <c r="F3696" s="1">
        <f>IFERROR(__xludf.DUMMYFUNCTION("""COMPUTED_VALUE"""),5206752.0)</f>
        <v>5206752</v>
      </c>
    </row>
    <row r="3697">
      <c r="A3697" s="2">
        <f>IFERROR(__xludf.DUMMYFUNCTION("""COMPUTED_VALUE"""),41892.666666666664)</f>
        <v>41892.66667</v>
      </c>
      <c r="B3697" s="1">
        <f>IFERROR(__xludf.DUMMYFUNCTION("""COMPUTED_VALUE"""),83.2)</f>
        <v>83.2</v>
      </c>
      <c r="C3697" s="1">
        <f>IFERROR(__xludf.DUMMYFUNCTION("""COMPUTED_VALUE"""),83.96)</f>
        <v>83.96</v>
      </c>
      <c r="D3697" s="1">
        <f>IFERROR(__xludf.DUMMYFUNCTION("""COMPUTED_VALUE"""),83.15)</f>
        <v>83.15</v>
      </c>
      <c r="E3697" s="1">
        <f>IFERROR(__xludf.DUMMYFUNCTION("""COMPUTED_VALUE"""),83.64)</f>
        <v>83.64</v>
      </c>
      <c r="F3697" s="1">
        <f>IFERROR(__xludf.DUMMYFUNCTION("""COMPUTED_VALUE"""),6722192.0)</f>
        <v>6722192</v>
      </c>
    </row>
    <row r="3698">
      <c r="A3698" s="2">
        <f>IFERROR(__xludf.DUMMYFUNCTION("""COMPUTED_VALUE"""),41893.666666666664)</f>
        <v>41893.66667</v>
      </c>
      <c r="B3698" s="1">
        <f>IFERROR(__xludf.DUMMYFUNCTION("""COMPUTED_VALUE"""),83.61)</f>
        <v>83.61</v>
      </c>
      <c r="C3698" s="1">
        <f>IFERROR(__xludf.DUMMYFUNCTION("""COMPUTED_VALUE"""),83.75)</f>
        <v>83.75</v>
      </c>
      <c r="D3698" s="1">
        <f>IFERROR(__xludf.DUMMYFUNCTION("""COMPUTED_VALUE"""),83.37)</f>
        <v>83.37</v>
      </c>
      <c r="E3698" s="1">
        <f>IFERROR(__xludf.DUMMYFUNCTION("""COMPUTED_VALUE"""),83.49)</f>
        <v>83.49</v>
      </c>
      <c r="F3698" s="1">
        <f>IFERROR(__xludf.DUMMYFUNCTION("""COMPUTED_VALUE"""),6345118.0)</f>
        <v>6345118</v>
      </c>
    </row>
    <row r="3699">
      <c r="A3699" s="2">
        <f>IFERROR(__xludf.DUMMYFUNCTION("""COMPUTED_VALUE"""),41894.666666666664)</f>
        <v>41894.66667</v>
      </c>
      <c r="B3699" s="1">
        <f>IFERROR(__xludf.DUMMYFUNCTION("""COMPUTED_VALUE"""),83.21)</f>
        <v>83.21</v>
      </c>
      <c r="C3699" s="1">
        <f>IFERROR(__xludf.DUMMYFUNCTION("""COMPUTED_VALUE"""),83.38)</f>
        <v>83.38</v>
      </c>
      <c r="D3699" s="1">
        <f>IFERROR(__xludf.DUMMYFUNCTION("""COMPUTED_VALUE"""),82.86)</f>
        <v>82.86</v>
      </c>
      <c r="E3699" s="1">
        <f>IFERROR(__xludf.DUMMYFUNCTION("""COMPUTED_VALUE"""),83.26)</f>
        <v>83.26</v>
      </c>
      <c r="F3699" s="1">
        <f>IFERROR(__xludf.DUMMYFUNCTION("""COMPUTED_VALUE"""),6367223.0)</f>
        <v>6367223</v>
      </c>
    </row>
    <row r="3700">
      <c r="A3700" s="2">
        <f>IFERROR(__xludf.DUMMYFUNCTION("""COMPUTED_VALUE"""),41897.666666666664)</f>
        <v>41897.66667</v>
      </c>
      <c r="B3700" s="1">
        <f>IFERROR(__xludf.DUMMYFUNCTION("""COMPUTED_VALUE"""),83.18)</f>
        <v>83.18</v>
      </c>
      <c r="C3700" s="1">
        <f>IFERROR(__xludf.DUMMYFUNCTION("""COMPUTED_VALUE"""),84.25)</f>
        <v>84.25</v>
      </c>
      <c r="D3700" s="1">
        <f>IFERROR(__xludf.DUMMYFUNCTION("""COMPUTED_VALUE"""),83.14)</f>
        <v>83.14</v>
      </c>
      <c r="E3700" s="1">
        <f>IFERROR(__xludf.DUMMYFUNCTION("""COMPUTED_VALUE"""),83.87)</f>
        <v>83.87</v>
      </c>
      <c r="F3700" s="1">
        <f>IFERROR(__xludf.DUMMYFUNCTION("""COMPUTED_VALUE"""),7008544.0)</f>
        <v>7008544</v>
      </c>
    </row>
    <row r="3701">
      <c r="A3701" s="2">
        <f>IFERROR(__xludf.DUMMYFUNCTION("""COMPUTED_VALUE"""),41898.666666666664)</f>
        <v>41898.66667</v>
      </c>
      <c r="B3701" s="1">
        <f>IFERROR(__xludf.DUMMYFUNCTION("""COMPUTED_VALUE"""),83.58)</f>
        <v>83.58</v>
      </c>
      <c r="C3701" s="1">
        <f>IFERROR(__xludf.DUMMYFUNCTION("""COMPUTED_VALUE"""),84.45)</f>
        <v>84.45</v>
      </c>
      <c r="D3701" s="1">
        <f>IFERROR(__xludf.DUMMYFUNCTION("""COMPUTED_VALUE"""),83.56)</f>
        <v>83.56</v>
      </c>
      <c r="E3701" s="1">
        <f>IFERROR(__xludf.DUMMYFUNCTION("""COMPUTED_VALUE"""),84.08)</f>
        <v>84.08</v>
      </c>
      <c r="F3701" s="1">
        <f>IFERROR(__xludf.DUMMYFUNCTION("""COMPUTED_VALUE"""),7146245.0)</f>
        <v>7146245</v>
      </c>
    </row>
    <row r="3702">
      <c r="A3702" s="2">
        <f>IFERROR(__xludf.DUMMYFUNCTION("""COMPUTED_VALUE"""),41899.666666666664)</f>
        <v>41899.66667</v>
      </c>
      <c r="B3702" s="1">
        <f>IFERROR(__xludf.DUMMYFUNCTION("""COMPUTED_VALUE"""),84.02)</f>
        <v>84.02</v>
      </c>
      <c r="C3702" s="1">
        <f>IFERROR(__xludf.DUMMYFUNCTION("""COMPUTED_VALUE"""),84.5)</f>
        <v>84.5</v>
      </c>
      <c r="D3702" s="1">
        <f>IFERROR(__xludf.DUMMYFUNCTION("""COMPUTED_VALUE"""),83.93)</f>
        <v>83.93</v>
      </c>
      <c r="E3702" s="1">
        <f>IFERROR(__xludf.DUMMYFUNCTION("""COMPUTED_VALUE"""),84.16)</f>
        <v>84.16</v>
      </c>
      <c r="F3702" s="1">
        <f>IFERROR(__xludf.DUMMYFUNCTION("""COMPUTED_VALUE"""),8277298.0)</f>
        <v>8277298</v>
      </c>
    </row>
    <row r="3703">
      <c r="A3703" s="2">
        <f>IFERROR(__xludf.DUMMYFUNCTION("""COMPUTED_VALUE"""),41900.666666666664)</f>
        <v>41900.66667</v>
      </c>
      <c r="B3703" s="1">
        <f>IFERROR(__xludf.DUMMYFUNCTION("""COMPUTED_VALUE"""),84.18)</f>
        <v>84.18</v>
      </c>
      <c r="C3703" s="1">
        <f>IFERROR(__xludf.DUMMYFUNCTION("""COMPUTED_VALUE"""),84.44)</f>
        <v>84.44</v>
      </c>
      <c r="D3703" s="1">
        <f>IFERROR(__xludf.DUMMYFUNCTION("""COMPUTED_VALUE"""),84.07)</f>
        <v>84.07</v>
      </c>
      <c r="E3703" s="1">
        <f>IFERROR(__xludf.DUMMYFUNCTION("""COMPUTED_VALUE"""),84.19)</f>
        <v>84.19</v>
      </c>
      <c r="F3703" s="1">
        <f>IFERROR(__xludf.DUMMYFUNCTION("""COMPUTED_VALUE"""),5309232.0)</f>
        <v>5309232</v>
      </c>
    </row>
    <row r="3704">
      <c r="A3704" s="2">
        <f>IFERROR(__xludf.DUMMYFUNCTION("""COMPUTED_VALUE"""),41901.666666666664)</f>
        <v>41901.66667</v>
      </c>
      <c r="B3704" s="1">
        <f>IFERROR(__xludf.DUMMYFUNCTION("""COMPUTED_VALUE"""),84.52)</f>
        <v>84.52</v>
      </c>
      <c r="C3704" s="1">
        <f>IFERROR(__xludf.DUMMYFUNCTION("""COMPUTED_VALUE"""),84.77)</f>
        <v>84.77</v>
      </c>
      <c r="D3704" s="1">
        <f>IFERROR(__xludf.DUMMYFUNCTION("""COMPUTED_VALUE"""),84.18)</f>
        <v>84.18</v>
      </c>
      <c r="E3704" s="1">
        <f>IFERROR(__xludf.DUMMYFUNCTION("""COMPUTED_VALUE"""),84.47)</f>
        <v>84.47</v>
      </c>
      <c r="F3704" s="1">
        <f>IFERROR(__xludf.DUMMYFUNCTION("""COMPUTED_VALUE"""),1.1380809E7)</f>
        <v>11380809</v>
      </c>
    </row>
    <row r="3705">
      <c r="A3705" s="2">
        <f>IFERROR(__xludf.DUMMYFUNCTION("""COMPUTED_VALUE"""),41904.666666666664)</f>
        <v>41904.66667</v>
      </c>
      <c r="B3705" s="1">
        <f>IFERROR(__xludf.DUMMYFUNCTION("""COMPUTED_VALUE"""),84.64)</f>
        <v>84.64</v>
      </c>
      <c r="C3705" s="1">
        <f>IFERROR(__xludf.DUMMYFUNCTION("""COMPUTED_VALUE"""),84.95)</f>
        <v>84.95</v>
      </c>
      <c r="D3705" s="1">
        <f>IFERROR(__xludf.DUMMYFUNCTION("""COMPUTED_VALUE"""),84.49)</f>
        <v>84.49</v>
      </c>
      <c r="E3705" s="1">
        <f>IFERROR(__xludf.DUMMYFUNCTION("""COMPUTED_VALUE"""),84.81)</f>
        <v>84.81</v>
      </c>
      <c r="F3705" s="1">
        <f>IFERROR(__xludf.DUMMYFUNCTION("""COMPUTED_VALUE"""),8397142.0)</f>
        <v>8397142</v>
      </c>
    </row>
    <row r="3706">
      <c r="A3706" s="2">
        <f>IFERROR(__xludf.DUMMYFUNCTION("""COMPUTED_VALUE"""),41905.666666666664)</f>
        <v>41905.66667</v>
      </c>
      <c r="B3706" s="1">
        <f>IFERROR(__xludf.DUMMYFUNCTION("""COMPUTED_VALUE"""),84.65)</f>
        <v>84.65</v>
      </c>
      <c r="C3706" s="1">
        <f>IFERROR(__xludf.DUMMYFUNCTION("""COMPUTED_VALUE"""),84.92)</f>
        <v>84.92</v>
      </c>
      <c r="D3706" s="1">
        <f>IFERROR(__xludf.DUMMYFUNCTION("""COMPUTED_VALUE"""),84.44)</f>
        <v>84.44</v>
      </c>
      <c r="E3706" s="1">
        <f>IFERROR(__xludf.DUMMYFUNCTION("""COMPUTED_VALUE"""),84.44)</f>
        <v>84.44</v>
      </c>
      <c r="F3706" s="1">
        <f>IFERROR(__xludf.DUMMYFUNCTION("""COMPUTED_VALUE"""),7723459.0)</f>
        <v>7723459</v>
      </c>
    </row>
    <row r="3707">
      <c r="A3707" s="2">
        <f>IFERROR(__xludf.DUMMYFUNCTION("""COMPUTED_VALUE"""),41906.666666666664)</f>
        <v>41906.66667</v>
      </c>
      <c r="B3707" s="1">
        <f>IFERROR(__xludf.DUMMYFUNCTION("""COMPUTED_VALUE"""),84.33)</f>
        <v>84.33</v>
      </c>
      <c r="C3707" s="1">
        <f>IFERROR(__xludf.DUMMYFUNCTION("""COMPUTED_VALUE"""),85.4)</f>
        <v>85.4</v>
      </c>
      <c r="D3707" s="1">
        <f>IFERROR(__xludf.DUMMYFUNCTION("""COMPUTED_VALUE"""),84.33)</f>
        <v>84.33</v>
      </c>
      <c r="E3707" s="1">
        <f>IFERROR(__xludf.DUMMYFUNCTION("""COMPUTED_VALUE"""),85.24)</f>
        <v>85.24</v>
      </c>
      <c r="F3707" s="1">
        <f>IFERROR(__xludf.DUMMYFUNCTION("""COMPUTED_VALUE"""),1.1694662E7)</f>
        <v>11694662</v>
      </c>
    </row>
    <row r="3708">
      <c r="A3708" s="2">
        <f>IFERROR(__xludf.DUMMYFUNCTION("""COMPUTED_VALUE"""),41907.666666666664)</f>
        <v>41907.66667</v>
      </c>
      <c r="B3708" s="1">
        <f>IFERROR(__xludf.DUMMYFUNCTION("""COMPUTED_VALUE"""),85.02)</f>
        <v>85.02</v>
      </c>
      <c r="C3708" s="1">
        <f>IFERROR(__xludf.DUMMYFUNCTION("""COMPUTED_VALUE"""),85.13)</f>
        <v>85.13</v>
      </c>
      <c r="D3708" s="1">
        <f>IFERROR(__xludf.DUMMYFUNCTION("""COMPUTED_VALUE"""),84.33)</f>
        <v>84.33</v>
      </c>
      <c r="E3708" s="1">
        <f>IFERROR(__xludf.DUMMYFUNCTION("""COMPUTED_VALUE"""),84.33)</f>
        <v>84.33</v>
      </c>
      <c r="F3708" s="1">
        <f>IFERROR(__xludf.DUMMYFUNCTION("""COMPUTED_VALUE"""),8212325.0)</f>
        <v>8212325</v>
      </c>
    </row>
    <row r="3709">
      <c r="A3709" s="2">
        <f>IFERROR(__xludf.DUMMYFUNCTION("""COMPUTED_VALUE"""),41908.666666666664)</f>
        <v>41908.66667</v>
      </c>
      <c r="B3709" s="1">
        <f>IFERROR(__xludf.DUMMYFUNCTION("""COMPUTED_VALUE"""),84.54)</f>
        <v>84.54</v>
      </c>
      <c r="C3709" s="1">
        <f>IFERROR(__xludf.DUMMYFUNCTION("""COMPUTED_VALUE"""),84.74)</f>
        <v>84.74</v>
      </c>
      <c r="D3709" s="1">
        <f>IFERROR(__xludf.DUMMYFUNCTION("""COMPUTED_VALUE"""),83.86)</f>
        <v>83.86</v>
      </c>
      <c r="E3709" s="1">
        <f>IFERROR(__xludf.DUMMYFUNCTION("""COMPUTED_VALUE"""),84.58)</f>
        <v>84.58</v>
      </c>
      <c r="F3709" s="1">
        <f>IFERROR(__xludf.DUMMYFUNCTION("""COMPUTED_VALUE"""),5482722.0)</f>
        <v>5482722</v>
      </c>
    </row>
    <row r="3710">
      <c r="A3710" s="2">
        <f>IFERROR(__xludf.DUMMYFUNCTION("""COMPUTED_VALUE"""),41911.666666666664)</f>
        <v>41911.66667</v>
      </c>
      <c r="B3710" s="1">
        <f>IFERROR(__xludf.DUMMYFUNCTION("""COMPUTED_VALUE"""),84.11)</f>
        <v>84.11</v>
      </c>
      <c r="C3710" s="1">
        <f>IFERROR(__xludf.DUMMYFUNCTION("""COMPUTED_VALUE"""),84.47)</f>
        <v>84.47</v>
      </c>
      <c r="D3710" s="1">
        <f>IFERROR(__xludf.DUMMYFUNCTION("""COMPUTED_VALUE"""),83.66)</f>
        <v>83.66</v>
      </c>
      <c r="E3710" s="1">
        <f>IFERROR(__xludf.DUMMYFUNCTION("""COMPUTED_VALUE"""),84.44)</f>
        <v>84.44</v>
      </c>
      <c r="F3710" s="1">
        <f>IFERROR(__xludf.DUMMYFUNCTION("""COMPUTED_VALUE"""),6362241.0)</f>
        <v>6362241</v>
      </c>
    </row>
    <row r="3711">
      <c r="A3711" s="2">
        <f>IFERROR(__xludf.DUMMYFUNCTION("""COMPUTED_VALUE"""),41912.666666666664)</f>
        <v>41912.66667</v>
      </c>
      <c r="B3711" s="1">
        <f>IFERROR(__xludf.DUMMYFUNCTION("""COMPUTED_VALUE"""),84.34)</f>
        <v>84.34</v>
      </c>
      <c r="C3711" s="1">
        <f>IFERROR(__xludf.DUMMYFUNCTION("""COMPUTED_VALUE"""),84.36)</f>
        <v>84.36</v>
      </c>
      <c r="D3711" s="1">
        <f>IFERROR(__xludf.DUMMYFUNCTION("""COMPUTED_VALUE"""),83.68)</f>
        <v>83.68</v>
      </c>
      <c r="E3711" s="1">
        <f>IFERROR(__xludf.DUMMYFUNCTION("""COMPUTED_VALUE"""),83.74)</f>
        <v>83.74</v>
      </c>
      <c r="F3711" s="1">
        <f>IFERROR(__xludf.DUMMYFUNCTION("""COMPUTED_VALUE"""),8080639.0)</f>
        <v>8080639</v>
      </c>
    </row>
    <row r="3712">
      <c r="A3712" s="2">
        <f>IFERROR(__xludf.DUMMYFUNCTION("""COMPUTED_VALUE"""),41913.666666666664)</f>
        <v>41913.66667</v>
      </c>
      <c r="B3712" s="1">
        <f>IFERROR(__xludf.DUMMYFUNCTION("""COMPUTED_VALUE"""),84.02)</f>
        <v>84.02</v>
      </c>
      <c r="C3712" s="1">
        <f>IFERROR(__xludf.DUMMYFUNCTION("""COMPUTED_VALUE"""),84.04)</f>
        <v>84.04</v>
      </c>
      <c r="D3712" s="1">
        <f>IFERROR(__xludf.DUMMYFUNCTION("""COMPUTED_VALUE"""),83.03)</f>
        <v>83.03</v>
      </c>
      <c r="E3712" s="1">
        <f>IFERROR(__xludf.DUMMYFUNCTION("""COMPUTED_VALUE"""),83.14)</f>
        <v>83.14</v>
      </c>
      <c r="F3712" s="1">
        <f>IFERROR(__xludf.DUMMYFUNCTION("""COMPUTED_VALUE"""),9029128.0)</f>
        <v>9029128</v>
      </c>
    </row>
    <row r="3713">
      <c r="A3713" s="2">
        <f>IFERROR(__xludf.DUMMYFUNCTION("""COMPUTED_VALUE"""),41914.666666666664)</f>
        <v>41914.66667</v>
      </c>
      <c r="B3713" s="1">
        <f>IFERROR(__xludf.DUMMYFUNCTION("""COMPUTED_VALUE"""),83.1)</f>
        <v>83.1</v>
      </c>
      <c r="C3713" s="1">
        <f>IFERROR(__xludf.DUMMYFUNCTION("""COMPUTED_VALUE"""),83.97)</f>
        <v>83.97</v>
      </c>
      <c r="D3713" s="1">
        <f>IFERROR(__xludf.DUMMYFUNCTION("""COMPUTED_VALUE"""),82.95)</f>
        <v>82.95</v>
      </c>
      <c r="E3713" s="1">
        <f>IFERROR(__xludf.DUMMYFUNCTION("""COMPUTED_VALUE"""),83.05)</f>
        <v>83.05</v>
      </c>
      <c r="F3713" s="1">
        <f>IFERROR(__xludf.DUMMYFUNCTION("""COMPUTED_VALUE"""),8858502.0)</f>
        <v>8858502</v>
      </c>
    </row>
    <row r="3714">
      <c r="A3714" s="2">
        <f>IFERROR(__xludf.DUMMYFUNCTION("""COMPUTED_VALUE"""),41915.666666666664)</f>
        <v>41915.66667</v>
      </c>
      <c r="B3714" s="1">
        <f>IFERROR(__xludf.DUMMYFUNCTION("""COMPUTED_VALUE"""),83.44)</f>
        <v>83.44</v>
      </c>
      <c r="C3714" s="1">
        <f>IFERROR(__xludf.DUMMYFUNCTION("""COMPUTED_VALUE"""),83.95)</f>
        <v>83.95</v>
      </c>
      <c r="D3714" s="1">
        <f>IFERROR(__xludf.DUMMYFUNCTION("""COMPUTED_VALUE"""),82.88)</f>
        <v>82.88</v>
      </c>
      <c r="E3714" s="1">
        <f>IFERROR(__xludf.DUMMYFUNCTION("""COMPUTED_VALUE"""),83.79)</f>
        <v>83.79</v>
      </c>
      <c r="F3714" s="1">
        <f>IFERROR(__xludf.DUMMYFUNCTION("""COMPUTED_VALUE"""),6702043.0)</f>
        <v>6702043</v>
      </c>
    </row>
    <row r="3715">
      <c r="A3715" s="2">
        <f>IFERROR(__xludf.DUMMYFUNCTION("""COMPUTED_VALUE"""),41918.666666666664)</f>
        <v>41918.66667</v>
      </c>
      <c r="B3715" s="1">
        <f>IFERROR(__xludf.DUMMYFUNCTION("""COMPUTED_VALUE"""),83.57)</f>
        <v>83.57</v>
      </c>
      <c r="C3715" s="1">
        <f>IFERROR(__xludf.DUMMYFUNCTION("""COMPUTED_VALUE"""),83.94)</f>
        <v>83.94</v>
      </c>
      <c r="D3715" s="1">
        <f>IFERROR(__xludf.DUMMYFUNCTION("""COMPUTED_VALUE"""),83.19)</f>
        <v>83.19</v>
      </c>
      <c r="E3715" s="1">
        <f>IFERROR(__xludf.DUMMYFUNCTION("""COMPUTED_VALUE"""),83.57)</f>
        <v>83.57</v>
      </c>
      <c r="F3715" s="1">
        <f>IFERROR(__xludf.DUMMYFUNCTION("""COMPUTED_VALUE"""),5656495.0)</f>
        <v>5656495</v>
      </c>
    </row>
    <row r="3716">
      <c r="A3716" s="2">
        <f>IFERROR(__xludf.DUMMYFUNCTION("""COMPUTED_VALUE"""),41919.666666666664)</f>
        <v>41919.66667</v>
      </c>
      <c r="B3716" s="1">
        <f>IFERROR(__xludf.DUMMYFUNCTION("""COMPUTED_VALUE"""),83.38)</f>
        <v>83.38</v>
      </c>
      <c r="C3716" s="1">
        <f>IFERROR(__xludf.DUMMYFUNCTION("""COMPUTED_VALUE"""),83.92)</f>
        <v>83.92</v>
      </c>
      <c r="D3716" s="1">
        <f>IFERROR(__xludf.DUMMYFUNCTION("""COMPUTED_VALUE"""),83.12)</f>
        <v>83.12</v>
      </c>
      <c r="E3716" s="1">
        <f>IFERROR(__xludf.DUMMYFUNCTION("""COMPUTED_VALUE"""),83.16)</f>
        <v>83.16</v>
      </c>
      <c r="F3716" s="1">
        <f>IFERROR(__xludf.DUMMYFUNCTION("""COMPUTED_VALUE"""),7386318.0)</f>
        <v>7386318</v>
      </c>
    </row>
    <row r="3717">
      <c r="A3717" s="2">
        <f>IFERROR(__xludf.DUMMYFUNCTION("""COMPUTED_VALUE"""),41920.666666666664)</f>
        <v>41920.66667</v>
      </c>
      <c r="B3717" s="1">
        <f>IFERROR(__xludf.DUMMYFUNCTION("""COMPUTED_VALUE"""),83.34)</f>
        <v>83.34</v>
      </c>
      <c r="C3717" s="1">
        <f>IFERROR(__xludf.DUMMYFUNCTION("""COMPUTED_VALUE"""),84.28)</f>
        <v>84.28</v>
      </c>
      <c r="D3717" s="1">
        <f>IFERROR(__xludf.DUMMYFUNCTION("""COMPUTED_VALUE"""),83.21)</f>
        <v>83.21</v>
      </c>
      <c r="E3717" s="1">
        <f>IFERROR(__xludf.DUMMYFUNCTION("""COMPUTED_VALUE"""),84.18)</f>
        <v>84.18</v>
      </c>
      <c r="F3717" s="1">
        <f>IFERROR(__xludf.DUMMYFUNCTION("""COMPUTED_VALUE"""),8110994.0)</f>
        <v>8110994</v>
      </c>
    </row>
    <row r="3718">
      <c r="A3718" s="2">
        <f>IFERROR(__xludf.DUMMYFUNCTION("""COMPUTED_VALUE"""),41921.666666666664)</f>
        <v>41921.66667</v>
      </c>
      <c r="B3718" s="1">
        <f>IFERROR(__xludf.DUMMYFUNCTION("""COMPUTED_VALUE"""),84.21)</f>
        <v>84.21</v>
      </c>
      <c r="C3718" s="1">
        <f>IFERROR(__xludf.DUMMYFUNCTION("""COMPUTED_VALUE"""),84.88)</f>
        <v>84.88</v>
      </c>
      <c r="D3718" s="1">
        <f>IFERROR(__xludf.DUMMYFUNCTION("""COMPUTED_VALUE"""),83.53)</f>
        <v>83.53</v>
      </c>
      <c r="E3718" s="1">
        <f>IFERROR(__xludf.DUMMYFUNCTION("""COMPUTED_VALUE"""),83.66)</f>
        <v>83.66</v>
      </c>
      <c r="F3718" s="1">
        <f>IFERROR(__xludf.DUMMYFUNCTION("""COMPUTED_VALUE"""),7765706.0)</f>
        <v>7765706</v>
      </c>
    </row>
    <row r="3719">
      <c r="A3719" s="2">
        <f>IFERROR(__xludf.DUMMYFUNCTION("""COMPUTED_VALUE"""),41922.666666666664)</f>
        <v>41922.66667</v>
      </c>
      <c r="B3719" s="1">
        <f>IFERROR(__xludf.DUMMYFUNCTION("""COMPUTED_VALUE"""),83.95)</f>
        <v>83.95</v>
      </c>
      <c r="C3719" s="1">
        <f>IFERROR(__xludf.DUMMYFUNCTION("""COMPUTED_VALUE"""),85.28)</f>
        <v>85.28</v>
      </c>
      <c r="D3719" s="1">
        <f>IFERROR(__xludf.DUMMYFUNCTION("""COMPUTED_VALUE"""),83.91)</f>
        <v>83.91</v>
      </c>
      <c r="E3719" s="1">
        <f>IFERROR(__xludf.DUMMYFUNCTION("""COMPUTED_VALUE"""),84.69)</f>
        <v>84.69</v>
      </c>
      <c r="F3719" s="1">
        <f>IFERROR(__xludf.DUMMYFUNCTION("""COMPUTED_VALUE"""),1.3733453E7)</f>
        <v>13733453</v>
      </c>
    </row>
    <row r="3720">
      <c r="A3720" s="2">
        <f>IFERROR(__xludf.DUMMYFUNCTION("""COMPUTED_VALUE"""),41925.666666666664)</f>
        <v>41925.66667</v>
      </c>
      <c r="B3720" s="1">
        <f>IFERROR(__xludf.DUMMYFUNCTION("""COMPUTED_VALUE"""),84.31)</f>
        <v>84.31</v>
      </c>
      <c r="C3720" s="1">
        <f>IFERROR(__xludf.DUMMYFUNCTION("""COMPUTED_VALUE"""),84.47)</f>
        <v>84.47</v>
      </c>
      <c r="D3720" s="1">
        <f>IFERROR(__xludf.DUMMYFUNCTION("""COMPUTED_VALUE"""),83.31)</f>
        <v>83.31</v>
      </c>
      <c r="E3720" s="1">
        <f>IFERROR(__xludf.DUMMYFUNCTION("""COMPUTED_VALUE"""),83.37)</f>
        <v>83.37</v>
      </c>
      <c r="F3720" s="1">
        <f>IFERROR(__xludf.DUMMYFUNCTION("""COMPUTED_VALUE"""),1.007358E7)</f>
        <v>10073580</v>
      </c>
    </row>
    <row r="3721">
      <c r="A3721" s="2">
        <f>IFERROR(__xludf.DUMMYFUNCTION("""COMPUTED_VALUE"""),41926.666666666664)</f>
        <v>41926.66667</v>
      </c>
      <c r="B3721" s="1">
        <f>IFERROR(__xludf.DUMMYFUNCTION("""COMPUTED_VALUE"""),83.91)</f>
        <v>83.91</v>
      </c>
      <c r="C3721" s="1">
        <f>IFERROR(__xludf.DUMMYFUNCTION("""COMPUTED_VALUE"""),83.91)</f>
        <v>83.91</v>
      </c>
      <c r="D3721" s="1">
        <f>IFERROR(__xludf.DUMMYFUNCTION("""COMPUTED_VALUE"""),83.03)</f>
        <v>83.03</v>
      </c>
      <c r="E3721" s="1">
        <f>IFERROR(__xludf.DUMMYFUNCTION("""COMPUTED_VALUE"""),83.55)</f>
        <v>83.55</v>
      </c>
      <c r="F3721" s="1">
        <f>IFERROR(__xludf.DUMMYFUNCTION("""COMPUTED_VALUE"""),8210923.0)</f>
        <v>8210923</v>
      </c>
    </row>
    <row r="3722">
      <c r="A3722" s="2">
        <f>IFERROR(__xludf.DUMMYFUNCTION("""COMPUTED_VALUE"""),41927.666666666664)</f>
        <v>41927.66667</v>
      </c>
      <c r="B3722" s="1">
        <f>IFERROR(__xludf.DUMMYFUNCTION("""COMPUTED_VALUE"""),82.59)</f>
        <v>82.59</v>
      </c>
      <c r="C3722" s="1">
        <f>IFERROR(__xludf.DUMMYFUNCTION("""COMPUTED_VALUE"""),83.58)</f>
        <v>83.58</v>
      </c>
      <c r="D3722" s="1">
        <f>IFERROR(__xludf.DUMMYFUNCTION("""COMPUTED_VALUE"""),81.76)</f>
        <v>81.76</v>
      </c>
      <c r="E3722" s="1">
        <f>IFERROR(__xludf.DUMMYFUNCTION("""COMPUTED_VALUE"""),82.95)</f>
        <v>82.95</v>
      </c>
      <c r="F3722" s="1">
        <f>IFERROR(__xludf.DUMMYFUNCTION("""COMPUTED_VALUE"""),1.3288831E7)</f>
        <v>13288831</v>
      </c>
    </row>
    <row r="3723">
      <c r="A3723" s="2">
        <f>IFERROR(__xludf.DUMMYFUNCTION("""COMPUTED_VALUE"""),41928.666666666664)</f>
        <v>41928.66667</v>
      </c>
      <c r="B3723" s="1">
        <f>IFERROR(__xludf.DUMMYFUNCTION("""COMPUTED_VALUE"""),81.65)</f>
        <v>81.65</v>
      </c>
      <c r="C3723" s="1">
        <f>IFERROR(__xludf.DUMMYFUNCTION("""COMPUTED_VALUE"""),82.8)</f>
        <v>82.8</v>
      </c>
      <c r="D3723" s="1">
        <f>IFERROR(__xludf.DUMMYFUNCTION("""COMPUTED_VALUE"""),81.57)</f>
        <v>81.57</v>
      </c>
      <c r="E3723" s="1">
        <f>IFERROR(__xludf.DUMMYFUNCTION("""COMPUTED_VALUE"""),82.24)</f>
        <v>82.24</v>
      </c>
      <c r="F3723" s="1">
        <f>IFERROR(__xludf.DUMMYFUNCTION("""COMPUTED_VALUE"""),1.1310285E7)</f>
        <v>11310285</v>
      </c>
    </row>
    <row r="3724">
      <c r="A3724" s="2">
        <f>IFERROR(__xludf.DUMMYFUNCTION("""COMPUTED_VALUE"""),41929.666666666664)</f>
        <v>41929.66667</v>
      </c>
      <c r="B3724" s="1">
        <f>IFERROR(__xludf.DUMMYFUNCTION("""COMPUTED_VALUE"""),82.95)</f>
        <v>82.95</v>
      </c>
      <c r="C3724" s="1">
        <f>IFERROR(__xludf.DUMMYFUNCTION("""COMPUTED_VALUE"""),83.48)</f>
        <v>83.48</v>
      </c>
      <c r="D3724" s="1">
        <f>IFERROR(__xludf.DUMMYFUNCTION("""COMPUTED_VALUE"""),82.03)</f>
        <v>82.03</v>
      </c>
      <c r="E3724" s="1">
        <f>IFERROR(__xludf.DUMMYFUNCTION("""COMPUTED_VALUE"""),83.27)</f>
        <v>83.27</v>
      </c>
      <c r="F3724" s="1">
        <f>IFERROR(__xludf.DUMMYFUNCTION("""COMPUTED_VALUE"""),1.1786627E7)</f>
        <v>11786627</v>
      </c>
    </row>
    <row r="3725">
      <c r="A3725" s="2">
        <f>IFERROR(__xludf.DUMMYFUNCTION("""COMPUTED_VALUE"""),41932.666666666664)</f>
        <v>41932.66667</v>
      </c>
      <c r="B3725" s="1">
        <f>IFERROR(__xludf.DUMMYFUNCTION("""COMPUTED_VALUE"""),83.25)</f>
        <v>83.25</v>
      </c>
      <c r="C3725" s="1">
        <f>IFERROR(__xludf.DUMMYFUNCTION("""COMPUTED_VALUE"""),84.33)</f>
        <v>84.33</v>
      </c>
      <c r="D3725" s="1">
        <f>IFERROR(__xludf.DUMMYFUNCTION("""COMPUTED_VALUE"""),82.83)</f>
        <v>82.83</v>
      </c>
      <c r="E3725" s="1">
        <f>IFERROR(__xludf.DUMMYFUNCTION("""COMPUTED_VALUE"""),84.18)</f>
        <v>84.18</v>
      </c>
      <c r="F3725" s="1">
        <f>IFERROR(__xludf.DUMMYFUNCTION("""COMPUTED_VALUE"""),8558072.0)</f>
        <v>8558072</v>
      </c>
    </row>
    <row r="3726">
      <c r="A3726" s="2">
        <f>IFERROR(__xludf.DUMMYFUNCTION("""COMPUTED_VALUE"""),41933.666666666664)</f>
        <v>41933.66667</v>
      </c>
      <c r="B3726" s="1">
        <f>IFERROR(__xludf.DUMMYFUNCTION("""COMPUTED_VALUE"""),84.47)</f>
        <v>84.47</v>
      </c>
      <c r="C3726" s="1">
        <f>IFERROR(__xludf.DUMMYFUNCTION("""COMPUTED_VALUE"""),84.64)</f>
        <v>84.64</v>
      </c>
      <c r="D3726" s="1">
        <f>IFERROR(__xludf.DUMMYFUNCTION("""COMPUTED_VALUE"""),83.66)</f>
        <v>83.66</v>
      </c>
      <c r="E3726" s="1">
        <f>IFERROR(__xludf.DUMMYFUNCTION("""COMPUTED_VALUE"""),84.61)</f>
        <v>84.61</v>
      </c>
      <c r="F3726" s="1">
        <f>IFERROR(__xludf.DUMMYFUNCTION("""COMPUTED_VALUE"""),1.238959E7)</f>
        <v>12389590</v>
      </c>
    </row>
    <row r="3727">
      <c r="A3727" s="2">
        <f>IFERROR(__xludf.DUMMYFUNCTION("""COMPUTED_VALUE"""),41934.666666666664)</f>
        <v>41934.66667</v>
      </c>
      <c r="B3727" s="1">
        <f>IFERROR(__xludf.DUMMYFUNCTION("""COMPUTED_VALUE"""),84.06)</f>
        <v>84.06</v>
      </c>
      <c r="C3727" s="1">
        <f>IFERROR(__xludf.DUMMYFUNCTION("""COMPUTED_VALUE"""),84.59)</f>
        <v>84.59</v>
      </c>
      <c r="D3727" s="1">
        <f>IFERROR(__xludf.DUMMYFUNCTION("""COMPUTED_VALUE"""),83.92)</f>
        <v>83.92</v>
      </c>
      <c r="E3727" s="1">
        <f>IFERROR(__xludf.DUMMYFUNCTION("""COMPUTED_VALUE"""),84.23)</f>
        <v>84.23</v>
      </c>
      <c r="F3727" s="1">
        <f>IFERROR(__xludf.DUMMYFUNCTION("""COMPUTED_VALUE"""),9755005.0)</f>
        <v>9755005</v>
      </c>
    </row>
    <row r="3728">
      <c r="A3728" s="2">
        <f>IFERROR(__xludf.DUMMYFUNCTION("""COMPUTED_VALUE"""),41935.666666666664)</f>
        <v>41935.66667</v>
      </c>
      <c r="B3728" s="1">
        <f>IFERROR(__xludf.DUMMYFUNCTION("""COMPUTED_VALUE"""),84.26)</f>
        <v>84.26</v>
      </c>
      <c r="C3728" s="1">
        <f>IFERROR(__xludf.DUMMYFUNCTION("""COMPUTED_VALUE"""),84.33)</f>
        <v>84.33</v>
      </c>
      <c r="D3728" s="1">
        <f>IFERROR(__xludf.DUMMYFUNCTION("""COMPUTED_VALUE"""),82.3)</f>
        <v>82.3</v>
      </c>
      <c r="E3728" s="1">
        <f>IFERROR(__xludf.DUMMYFUNCTION("""COMPUTED_VALUE"""),83.23)</f>
        <v>83.23</v>
      </c>
      <c r="F3728" s="1">
        <f>IFERROR(__xludf.DUMMYFUNCTION("""COMPUTED_VALUE"""),1.4292357E7)</f>
        <v>14292357</v>
      </c>
    </row>
    <row r="3729">
      <c r="A3729" s="2">
        <f>IFERROR(__xludf.DUMMYFUNCTION("""COMPUTED_VALUE"""),41936.666666666664)</f>
        <v>41936.66667</v>
      </c>
      <c r="B3729" s="1">
        <f>IFERROR(__xludf.DUMMYFUNCTION("""COMPUTED_VALUE"""),85.1)</f>
        <v>85.1</v>
      </c>
      <c r="C3729" s="1">
        <f>IFERROR(__xludf.DUMMYFUNCTION("""COMPUTED_VALUE"""),85.97)</f>
        <v>85.97</v>
      </c>
      <c r="D3729" s="1">
        <f>IFERROR(__xludf.DUMMYFUNCTION("""COMPUTED_VALUE"""),84.91)</f>
        <v>84.91</v>
      </c>
      <c r="E3729" s="1">
        <f>IFERROR(__xludf.DUMMYFUNCTION("""COMPUTED_VALUE"""),85.16)</f>
        <v>85.16</v>
      </c>
      <c r="F3729" s="1">
        <f>IFERROR(__xludf.DUMMYFUNCTION("""COMPUTED_VALUE"""),1.346559E7)</f>
        <v>13465590</v>
      </c>
    </row>
    <row r="3730">
      <c r="A3730" s="2">
        <f>IFERROR(__xludf.DUMMYFUNCTION("""COMPUTED_VALUE"""),41939.666666666664)</f>
        <v>41939.66667</v>
      </c>
      <c r="B3730" s="1">
        <f>IFERROR(__xludf.DUMMYFUNCTION("""COMPUTED_VALUE"""),84.96)</f>
        <v>84.96</v>
      </c>
      <c r="C3730" s="1">
        <f>IFERROR(__xludf.DUMMYFUNCTION("""COMPUTED_VALUE"""),86.48)</f>
        <v>86.48</v>
      </c>
      <c r="D3730" s="1">
        <f>IFERROR(__xludf.DUMMYFUNCTION("""COMPUTED_VALUE"""),84.83)</f>
        <v>84.83</v>
      </c>
      <c r="E3730" s="1">
        <f>IFERROR(__xludf.DUMMYFUNCTION("""COMPUTED_VALUE"""),85.95)</f>
        <v>85.95</v>
      </c>
      <c r="F3730" s="1">
        <f>IFERROR(__xludf.DUMMYFUNCTION("""COMPUTED_VALUE"""),1.0316563E7)</f>
        <v>10316563</v>
      </c>
    </row>
    <row r="3731">
      <c r="A3731" s="2">
        <f>IFERROR(__xludf.DUMMYFUNCTION("""COMPUTED_VALUE"""),41940.666666666664)</f>
        <v>41940.66667</v>
      </c>
      <c r="B3731" s="1">
        <f>IFERROR(__xludf.DUMMYFUNCTION("""COMPUTED_VALUE"""),86.2)</f>
        <v>86.2</v>
      </c>
      <c r="C3731" s="1">
        <f>IFERROR(__xludf.DUMMYFUNCTION("""COMPUTED_VALUE"""),86.65)</f>
        <v>86.65</v>
      </c>
      <c r="D3731" s="1">
        <f>IFERROR(__xludf.DUMMYFUNCTION("""COMPUTED_VALUE"""),86.17)</f>
        <v>86.17</v>
      </c>
      <c r="E3731" s="1">
        <f>IFERROR(__xludf.DUMMYFUNCTION("""COMPUTED_VALUE"""),86.47)</f>
        <v>86.47</v>
      </c>
      <c r="F3731" s="1">
        <f>IFERROR(__xludf.DUMMYFUNCTION("""COMPUTED_VALUE"""),9444204.0)</f>
        <v>9444204</v>
      </c>
    </row>
    <row r="3732">
      <c r="A3732" s="2">
        <f>IFERROR(__xludf.DUMMYFUNCTION("""COMPUTED_VALUE"""),41941.666666666664)</f>
        <v>41941.66667</v>
      </c>
      <c r="B3732" s="1">
        <f>IFERROR(__xludf.DUMMYFUNCTION("""COMPUTED_VALUE"""),86.67)</f>
        <v>86.67</v>
      </c>
      <c r="C3732" s="1">
        <f>IFERROR(__xludf.DUMMYFUNCTION("""COMPUTED_VALUE"""),86.67)</f>
        <v>86.67</v>
      </c>
      <c r="D3732" s="1">
        <f>IFERROR(__xludf.DUMMYFUNCTION("""COMPUTED_VALUE"""),85.91)</f>
        <v>85.91</v>
      </c>
      <c r="E3732" s="1">
        <f>IFERROR(__xludf.DUMMYFUNCTION("""COMPUTED_VALUE"""),86.54)</f>
        <v>86.54</v>
      </c>
      <c r="F3732" s="1">
        <f>IFERROR(__xludf.DUMMYFUNCTION("""COMPUTED_VALUE"""),6881448.0)</f>
        <v>6881448</v>
      </c>
    </row>
    <row r="3733">
      <c r="A3733" s="2">
        <f>IFERROR(__xludf.DUMMYFUNCTION("""COMPUTED_VALUE"""),41942.666666666664)</f>
        <v>41942.66667</v>
      </c>
      <c r="B3733" s="1">
        <f>IFERROR(__xludf.DUMMYFUNCTION("""COMPUTED_VALUE"""),86.16)</f>
        <v>86.16</v>
      </c>
      <c r="C3733" s="1">
        <f>IFERROR(__xludf.DUMMYFUNCTION("""COMPUTED_VALUE"""),87.0)</f>
        <v>87</v>
      </c>
      <c r="D3733" s="1">
        <f>IFERROR(__xludf.DUMMYFUNCTION("""COMPUTED_VALUE"""),85.67)</f>
        <v>85.67</v>
      </c>
      <c r="E3733" s="1">
        <f>IFERROR(__xludf.DUMMYFUNCTION("""COMPUTED_VALUE"""),86.94)</f>
        <v>86.94</v>
      </c>
      <c r="F3733" s="1">
        <f>IFERROR(__xludf.DUMMYFUNCTION("""COMPUTED_VALUE"""),5560308.0)</f>
        <v>5560308</v>
      </c>
    </row>
    <row r="3734">
      <c r="A3734" s="2">
        <f>IFERROR(__xludf.DUMMYFUNCTION("""COMPUTED_VALUE"""),41943.666666666664)</f>
        <v>41943.66667</v>
      </c>
      <c r="B3734" s="1">
        <f>IFERROR(__xludf.DUMMYFUNCTION("""COMPUTED_VALUE"""),87.08)</f>
        <v>87.08</v>
      </c>
      <c r="C3734" s="1">
        <f>IFERROR(__xludf.DUMMYFUNCTION("""COMPUTED_VALUE"""),87.36)</f>
        <v>87.36</v>
      </c>
      <c r="D3734" s="1">
        <f>IFERROR(__xludf.DUMMYFUNCTION("""COMPUTED_VALUE"""),86.71)</f>
        <v>86.71</v>
      </c>
      <c r="E3734" s="1">
        <f>IFERROR(__xludf.DUMMYFUNCTION("""COMPUTED_VALUE"""),87.27)</f>
        <v>87.27</v>
      </c>
      <c r="F3734" s="1">
        <f>IFERROR(__xludf.DUMMYFUNCTION("""COMPUTED_VALUE"""),9359840.0)</f>
        <v>9359840</v>
      </c>
    </row>
    <row r="3735">
      <c r="A3735" s="2">
        <f>IFERROR(__xludf.DUMMYFUNCTION("""COMPUTED_VALUE"""),41946.666666666664)</f>
        <v>41946.66667</v>
      </c>
      <c r="B3735" s="1">
        <f>IFERROR(__xludf.DUMMYFUNCTION("""COMPUTED_VALUE"""),86.66)</f>
        <v>86.66</v>
      </c>
      <c r="C3735" s="1">
        <f>IFERROR(__xludf.DUMMYFUNCTION("""COMPUTED_VALUE"""),87.39)</f>
        <v>87.39</v>
      </c>
      <c r="D3735" s="1">
        <f>IFERROR(__xludf.DUMMYFUNCTION("""COMPUTED_VALUE"""),86.2)</f>
        <v>86.2</v>
      </c>
      <c r="E3735" s="1">
        <f>IFERROR(__xludf.DUMMYFUNCTION("""COMPUTED_VALUE"""),87.38)</f>
        <v>87.38</v>
      </c>
      <c r="F3735" s="1">
        <f>IFERROR(__xludf.DUMMYFUNCTION("""COMPUTED_VALUE"""),7797149.0)</f>
        <v>7797149</v>
      </c>
    </row>
    <row r="3736">
      <c r="A3736" s="2">
        <f>IFERROR(__xludf.DUMMYFUNCTION("""COMPUTED_VALUE"""),41947.666666666664)</f>
        <v>41947.66667</v>
      </c>
      <c r="B3736" s="1">
        <f>IFERROR(__xludf.DUMMYFUNCTION("""COMPUTED_VALUE"""),87.49)</f>
        <v>87.49</v>
      </c>
      <c r="C3736" s="1">
        <f>IFERROR(__xludf.DUMMYFUNCTION("""COMPUTED_VALUE"""),88.87)</f>
        <v>88.87</v>
      </c>
      <c r="D3736" s="1">
        <f>IFERROR(__xludf.DUMMYFUNCTION("""COMPUTED_VALUE"""),87.44)</f>
        <v>87.44</v>
      </c>
      <c r="E3736" s="1">
        <f>IFERROR(__xludf.DUMMYFUNCTION("""COMPUTED_VALUE"""),88.64)</f>
        <v>88.64</v>
      </c>
      <c r="F3736" s="1">
        <f>IFERROR(__xludf.DUMMYFUNCTION("""COMPUTED_VALUE"""),1.059479E7)</f>
        <v>10594790</v>
      </c>
    </row>
    <row r="3737">
      <c r="A3737" s="2">
        <f>IFERROR(__xludf.DUMMYFUNCTION("""COMPUTED_VALUE"""),41948.666666666664)</f>
        <v>41948.66667</v>
      </c>
      <c r="B3737" s="1">
        <f>IFERROR(__xludf.DUMMYFUNCTION("""COMPUTED_VALUE"""),88.74)</f>
        <v>88.74</v>
      </c>
      <c r="C3737" s="1">
        <f>IFERROR(__xludf.DUMMYFUNCTION("""COMPUTED_VALUE"""),89.49)</f>
        <v>89.49</v>
      </c>
      <c r="D3737" s="1">
        <f>IFERROR(__xludf.DUMMYFUNCTION("""COMPUTED_VALUE"""),88.36)</f>
        <v>88.36</v>
      </c>
      <c r="E3737" s="1">
        <f>IFERROR(__xludf.DUMMYFUNCTION("""COMPUTED_VALUE"""),89.0)</f>
        <v>89</v>
      </c>
      <c r="F3737" s="1">
        <f>IFERROR(__xludf.DUMMYFUNCTION("""COMPUTED_VALUE"""),8462015.0)</f>
        <v>8462015</v>
      </c>
    </row>
    <row r="3738">
      <c r="A3738" s="2">
        <f>IFERROR(__xludf.DUMMYFUNCTION("""COMPUTED_VALUE"""),41949.666666666664)</f>
        <v>41949.66667</v>
      </c>
      <c r="B3738" s="1">
        <f>IFERROR(__xludf.DUMMYFUNCTION("""COMPUTED_VALUE"""),89.08)</f>
        <v>89.08</v>
      </c>
      <c r="C3738" s="1">
        <f>IFERROR(__xludf.DUMMYFUNCTION("""COMPUTED_VALUE"""),89.2)</f>
        <v>89.2</v>
      </c>
      <c r="D3738" s="1">
        <f>IFERROR(__xludf.DUMMYFUNCTION("""COMPUTED_VALUE"""),88.57)</f>
        <v>88.57</v>
      </c>
      <c r="E3738" s="1">
        <f>IFERROR(__xludf.DUMMYFUNCTION("""COMPUTED_VALUE"""),88.9)</f>
        <v>88.9</v>
      </c>
      <c r="F3738" s="1">
        <f>IFERROR(__xludf.DUMMYFUNCTION("""COMPUTED_VALUE"""),6628881.0)</f>
        <v>6628881</v>
      </c>
    </row>
    <row r="3739">
      <c r="A3739" s="2">
        <f>IFERROR(__xludf.DUMMYFUNCTION("""COMPUTED_VALUE"""),41950.666666666664)</f>
        <v>41950.66667</v>
      </c>
      <c r="B3739" s="1">
        <f>IFERROR(__xludf.DUMMYFUNCTION("""COMPUTED_VALUE"""),88.74)</f>
        <v>88.74</v>
      </c>
      <c r="C3739" s="1">
        <f>IFERROR(__xludf.DUMMYFUNCTION("""COMPUTED_VALUE"""),89.2)</f>
        <v>89.2</v>
      </c>
      <c r="D3739" s="1">
        <f>IFERROR(__xludf.DUMMYFUNCTION("""COMPUTED_VALUE"""),88.25)</f>
        <v>88.25</v>
      </c>
      <c r="E3739" s="1">
        <f>IFERROR(__xludf.DUMMYFUNCTION("""COMPUTED_VALUE"""),89.13)</f>
        <v>89.13</v>
      </c>
      <c r="F3739" s="1">
        <f>IFERROR(__xludf.DUMMYFUNCTION("""COMPUTED_VALUE"""),5975737.0)</f>
        <v>5975737</v>
      </c>
    </row>
    <row r="3740">
      <c r="A3740" s="2">
        <f>IFERROR(__xludf.DUMMYFUNCTION("""COMPUTED_VALUE"""),41953.66666666667)</f>
        <v>41953.66667</v>
      </c>
      <c r="B3740" s="1">
        <f>IFERROR(__xludf.DUMMYFUNCTION("""COMPUTED_VALUE"""),88.92)</f>
        <v>88.92</v>
      </c>
      <c r="C3740" s="1">
        <f>IFERROR(__xludf.DUMMYFUNCTION("""COMPUTED_VALUE"""),89.5)</f>
        <v>89.5</v>
      </c>
      <c r="D3740" s="1">
        <f>IFERROR(__xludf.DUMMYFUNCTION("""COMPUTED_VALUE"""),88.26)</f>
        <v>88.26</v>
      </c>
      <c r="E3740" s="1">
        <f>IFERROR(__xludf.DUMMYFUNCTION("""COMPUTED_VALUE"""),89.45)</f>
        <v>89.45</v>
      </c>
      <c r="F3740" s="1">
        <f>IFERROR(__xludf.DUMMYFUNCTION("""COMPUTED_VALUE"""),5927052.0)</f>
        <v>5927052</v>
      </c>
    </row>
    <row r="3741">
      <c r="A3741" s="2">
        <f>IFERROR(__xludf.DUMMYFUNCTION("""COMPUTED_VALUE"""),41954.66666666667)</f>
        <v>41954.66667</v>
      </c>
      <c r="B3741" s="1">
        <f>IFERROR(__xludf.DUMMYFUNCTION("""COMPUTED_VALUE"""),89.38)</f>
        <v>89.38</v>
      </c>
      <c r="C3741" s="1">
        <f>IFERROR(__xludf.DUMMYFUNCTION("""COMPUTED_VALUE"""),89.79)</f>
        <v>89.79</v>
      </c>
      <c r="D3741" s="1">
        <f>IFERROR(__xludf.DUMMYFUNCTION("""COMPUTED_VALUE"""),89.17)</f>
        <v>89.17</v>
      </c>
      <c r="E3741" s="1">
        <f>IFERROR(__xludf.DUMMYFUNCTION("""COMPUTED_VALUE"""),89.67)</f>
        <v>89.67</v>
      </c>
      <c r="F3741" s="1">
        <f>IFERROR(__xludf.DUMMYFUNCTION("""COMPUTED_VALUE"""),6346785.0)</f>
        <v>6346785</v>
      </c>
    </row>
    <row r="3742">
      <c r="A3742" s="2">
        <f>IFERROR(__xludf.DUMMYFUNCTION("""COMPUTED_VALUE"""),41955.66666666667)</f>
        <v>41955.66667</v>
      </c>
      <c r="B3742" s="1">
        <f>IFERROR(__xludf.DUMMYFUNCTION("""COMPUTED_VALUE"""),89.6)</f>
        <v>89.6</v>
      </c>
      <c r="C3742" s="1">
        <f>IFERROR(__xludf.DUMMYFUNCTION("""COMPUTED_VALUE"""),89.88)</f>
        <v>89.88</v>
      </c>
      <c r="D3742" s="1">
        <f>IFERROR(__xludf.DUMMYFUNCTION("""COMPUTED_VALUE"""),89.42)</f>
        <v>89.42</v>
      </c>
      <c r="E3742" s="1">
        <f>IFERROR(__xludf.DUMMYFUNCTION("""COMPUTED_VALUE"""),89.48)</f>
        <v>89.48</v>
      </c>
      <c r="F3742" s="1">
        <f>IFERROR(__xludf.DUMMYFUNCTION("""COMPUTED_VALUE"""),6298672.0)</f>
        <v>6298672</v>
      </c>
    </row>
    <row r="3743">
      <c r="A3743" s="2">
        <f>IFERROR(__xludf.DUMMYFUNCTION("""COMPUTED_VALUE"""),41956.66666666667)</f>
        <v>41956.66667</v>
      </c>
      <c r="B3743" s="1">
        <f>IFERROR(__xludf.DUMMYFUNCTION("""COMPUTED_VALUE"""),88.94)</f>
        <v>88.94</v>
      </c>
      <c r="C3743" s="1">
        <f>IFERROR(__xludf.DUMMYFUNCTION("""COMPUTED_VALUE"""),89.84)</f>
        <v>89.84</v>
      </c>
      <c r="D3743" s="1">
        <f>IFERROR(__xludf.DUMMYFUNCTION("""COMPUTED_VALUE"""),88.46)</f>
        <v>88.46</v>
      </c>
      <c r="E3743" s="1">
        <f>IFERROR(__xludf.DUMMYFUNCTION("""COMPUTED_VALUE"""),88.6)</f>
        <v>88.6</v>
      </c>
      <c r="F3743" s="1">
        <f>IFERROR(__xludf.DUMMYFUNCTION("""COMPUTED_VALUE"""),1.0191559E7)</f>
        <v>10191559</v>
      </c>
    </row>
    <row r="3744">
      <c r="A3744" s="2">
        <f>IFERROR(__xludf.DUMMYFUNCTION("""COMPUTED_VALUE"""),41957.66666666667)</f>
        <v>41957.66667</v>
      </c>
      <c r="B3744" s="1">
        <f>IFERROR(__xludf.DUMMYFUNCTION("""COMPUTED_VALUE"""),88.7)</f>
        <v>88.7</v>
      </c>
      <c r="C3744" s="1">
        <f>IFERROR(__xludf.DUMMYFUNCTION("""COMPUTED_VALUE"""),88.89)</f>
        <v>88.89</v>
      </c>
      <c r="D3744" s="1">
        <f>IFERROR(__xludf.DUMMYFUNCTION("""COMPUTED_VALUE"""),87.93)</f>
        <v>87.93</v>
      </c>
      <c r="E3744" s="1">
        <f>IFERROR(__xludf.DUMMYFUNCTION("""COMPUTED_VALUE"""),88.11)</f>
        <v>88.11</v>
      </c>
      <c r="F3744" s="1">
        <f>IFERROR(__xludf.DUMMYFUNCTION("""COMPUTED_VALUE"""),7559371.0)</f>
        <v>7559371</v>
      </c>
    </row>
    <row r="3745">
      <c r="A3745" s="2">
        <f>IFERROR(__xludf.DUMMYFUNCTION("""COMPUTED_VALUE"""),41960.66666666667)</f>
        <v>41960.66667</v>
      </c>
      <c r="B3745" s="1">
        <f>IFERROR(__xludf.DUMMYFUNCTION("""COMPUTED_VALUE"""),88.0)</f>
        <v>88</v>
      </c>
      <c r="C3745" s="1">
        <f>IFERROR(__xludf.DUMMYFUNCTION("""COMPUTED_VALUE"""),88.18)</f>
        <v>88.18</v>
      </c>
      <c r="D3745" s="1">
        <f>IFERROR(__xludf.DUMMYFUNCTION("""COMPUTED_VALUE"""),87.37)</f>
        <v>87.37</v>
      </c>
      <c r="E3745" s="1">
        <f>IFERROR(__xludf.DUMMYFUNCTION("""COMPUTED_VALUE"""),87.84)</f>
        <v>87.84</v>
      </c>
      <c r="F3745" s="1">
        <f>IFERROR(__xludf.DUMMYFUNCTION("""COMPUTED_VALUE"""),9475799.0)</f>
        <v>9475799</v>
      </c>
    </row>
    <row r="3746">
      <c r="A3746" s="2">
        <f>IFERROR(__xludf.DUMMYFUNCTION("""COMPUTED_VALUE"""),41961.66666666667)</f>
        <v>41961.66667</v>
      </c>
      <c r="B3746" s="1">
        <f>IFERROR(__xludf.DUMMYFUNCTION("""COMPUTED_VALUE"""),88.02)</f>
        <v>88.02</v>
      </c>
      <c r="C3746" s="1">
        <f>IFERROR(__xludf.DUMMYFUNCTION("""COMPUTED_VALUE"""),88.18)</f>
        <v>88.18</v>
      </c>
      <c r="D3746" s="1">
        <f>IFERROR(__xludf.DUMMYFUNCTION("""COMPUTED_VALUE"""),87.49)</f>
        <v>87.49</v>
      </c>
      <c r="E3746" s="1">
        <f>IFERROR(__xludf.DUMMYFUNCTION("""COMPUTED_VALUE"""),87.95)</f>
        <v>87.95</v>
      </c>
      <c r="F3746" s="1">
        <f>IFERROR(__xludf.DUMMYFUNCTION("""COMPUTED_VALUE"""),6419641.0)</f>
        <v>6419641</v>
      </c>
    </row>
    <row r="3747">
      <c r="A3747" s="2">
        <f>IFERROR(__xludf.DUMMYFUNCTION("""COMPUTED_VALUE"""),41962.66666666667)</f>
        <v>41962.66667</v>
      </c>
      <c r="B3747" s="1">
        <f>IFERROR(__xludf.DUMMYFUNCTION("""COMPUTED_VALUE"""),88.24)</f>
        <v>88.24</v>
      </c>
      <c r="C3747" s="1">
        <f>IFERROR(__xludf.DUMMYFUNCTION("""COMPUTED_VALUE"""),88.87)</f>
        <v>88.87</v>
      </c>
      <c r="D3747" s="1">
        <f>IFERROR(__xludf.DUMMYFUNCTION("""COMPUTED_VALUE"""),87.93)</f>
        <v>87.93</v>
      </c>
      <c r="E3747" s="1">
        <f>IFERROR(__xludf.DUMMYFUNCTION("""COMPUTED_VALUE"""),88.73)</f>
        <v>88.73</v>
      </c>
      <c r="F3747" s="1">
        <f>IFERROR(__xludf.DUMMYFUNCTION("""COMPUTED_VALUE"""),6570396.0)</f>
        <v>6570396</v>
      </c>
    </row>
    <row r="3748">
      <c r="A3748" s="2">
        <f>IFERROR(__xludf.DUMMYFUNCTION("""COMPUTED_VALUE"""),41963.66666666667)</f>
        <v>41963.66667</v>
      </c>
      <c r="B3748" s="1">
        <f>IFERROR(__xludf.DUMMYFUNCTION("""COMPUTED_VALUE"""),88.33)</f>
        <v>88.33</v>
      </c>
      <c r="C3748" s="1">
        <f>IFERROR(__xludf.DUMMYFUNCTION("""COMPUTED_VALUE"""),88.8)</f>
        <v>88.8</v>
      </c>
      <c r="D3748" s="1">
        <f>IFERROR(__xludf.DUMMYFUNCTION("""COMPUTED_VALUE"""),88.33)</f>
        <v>88.33</v>
      </c>
      <c r="E3748" s="1">
        <f>IFERROR(__xludf.DUMMYFUNCTION("""COMPUTED_VALUE"""),88.47)</f>
        <v>88.47</v>
      </c>
      <c r="F3748" s="1">
        <f>IFERROR(__xludf.DUMMYFUNCTION("""COMPUTED_VALUE"""),5527565.0)</f>
        <v>5527565</v>
      </c>
    </row>
    <row r="3749">
      <c r="A3749" s="2">
        <f>IFERROR(__xludf.DUMMYFUNCTION("""COMPUTED_VALUE"""),41964.66666666667)</f>
        <v>41964.66667</v>
      </c>
      <c r="B3749" s="1">
        <f>IFERROR(__xludf.DUMMYFUNCTION("""COMPUTED_VALUE"""),89.26)</f>
        <v>89.26</v>
      </c>
      <c r="C3749" s="1">
        <f>IFERROR(__xludf.DUMMYFUNCTION("""COMPUTED_VALUE"""),89.43)</f>
        <v>89.43</v>
      </c>
      <c r="D3749" s="1">
        <f>IFERROR(__xludf.DUMMYFUNCTION("""COMPUTED_VALUE"""),88.46)</f>
        <v>88.46</v>
      </c>
      <c r="E3749" s="1">
        <f>IFERROR(__xludf.DUMMYFUNCTION("""COMPUTED_VALUE"""),88.6)</f>
        <v>88.6</v>
      </c>
      <c r="F3749" s="1">
        <f>IFERROR(__xludf.DUMMYFUNCTION("""COMPUTED_VALUE"""),8984113.0)</f>
        <v>8984113</v>
      </c>
    </row>
    <row r="3750">
      <c r="A3750" s="2">
        <f>IFERROR(__xludf.DUMMYFUNCTION("""COMPUTED_VALUE"""),41967.66666666667)</f>
        <v>41967.66667</v>
      </c>
      <c r="B3750" s="1">
        <f>IFERROR(__xludf.DUMMYFUNCTION("""COMPUTED_VALUE"""),88.88)</f>
        <v>88.88</v>
      </c>
      <c r="C3750" s="1">
        <f>IFERROR(__xludf.DUMMYFUNCTION("""COMPUTED_VALUE"""),88.89)</f>
        <v>88.89</v>
      </c>
      <c r="D3750" s="1">
        <f>IFERROR(__xludf.DUMMYFUNCTION("""COMPUTED_VALUE"""),87.86)</f>
        <v>87.86</v>
      </c>
      <c r="E3750" s="1">
        <f>IFERROR(__xludf.DUMMYFUNCTION("""COMPUTED_VALUE"""),88.11)</f>
        <v>88.11</v>
      </c>
      <c r="F3750" s="1">
        <f>IFERROR(__xludf.DUMMYFUNCTION("""COMPUTED_VALUE"""),5569245.0)</f>
        <v>5569245</v>
      </c>
    </row>
    <row r="3751">
      <c r="A3751" s="2">
        <f>IFERROR(__xludf.DUMMYFUNCTION("""COMPUTED_VALUE"""),41968.66666666667)</f>
        <v>41968.66667</v>
      </c>
      <c r="B3751" s="1">
        <f>IFERROR(__xludf.DUMMYFUNCTION("""COMPUTED_VALUE"""),88.36)</f>
        <v>88.36</v>
      </c>
      <c r="C3751" s="1">
        <f>IFERROR(__xludf.DUMMYFUNCTION("""COMPUTED_VALUE"""),88.82)</f>
        <v>88.82</v>
      </c>
      <c r="D3751" s="1">
        <f>IFERROR(__xludf.DUMMYFUNCTION("""COMPUTED_VALUE"""),88.08)</f>
        <v>88.08</v>
      </c>
      <c r="E3751" s="1">
        <f>IFERROR(__xludf.DUMMYFUNCTION("""COMPUTED_VALUE"""),88.8)</f>
        <v>88.8</v>
      </c>
      <c r="F3751" s="1">
        <f>IFERROR(__xludf.DUMMYFUNCTION("""COMPUTED_VALUE"""),6439699.0)</f>
        <v>6439699</v>
      </c>
    </row>
    <row r="3752">
      <c r="A3752" s="2">
        <f>IFERROR(__xludf.DUMMYFUNCTION("""COMPUTED_VALUE"""),41969.66666666667)</f>
        <v>41969.66667</v>
      </c>
      <c r="B3752" s="1">
        <f>IFERROR(__xludf.DUMMYFUNCTION("""COMPUTED_VALUE"""),88.83)</f>
        <v>88.83</v>
      </c>
      <c r="C3752" s="1">
        <f>IFERROR(__xludf.DUMMYFUNCTION("""COMPUTED_VALUE"""),88.88)</f>
        <v>88.88</v>
      </c>
      <c r="D3752" s="1">
        <f>IFERROR(__xludf.DUMMYFUNCTION("""COMPUTED_VALUE"""),88.45)</f>
        <v>88.45</v>
      </c>
      <c r="E3752" s="1">
        <f>IFERROR(__xludf.DUMMYFUNCTION("""COMPUTED_VALUE"""),88.88)</f>
        <v>88.88</v>
      </c>
      <c r="F3752" s="1">
        <f>IFERROR(__xludf.DUMMYFUNCTION("""COMPUTED_VALUE"""),4419983.0)</f>
        <v>4419983</v>
      </c>
    </row>
    <row r="3753">
      <c r="A3753" s="2">
        <f>IFERROR(__xludf.DUMMYFUNCTION("""COMPUTED_VALUE"""),41971.66666666667)</f>
        <v>41971.66667</v>
      </c>
      <c r="B3753" s="1">
        <f>IFERROR(__xludf.DUMMYFUNCTION("""COMPUTED_VALUE"""),89.09)</f>
        <v>89.09</v>
      </c>
      <c r="C3753" s="1">
        <f>IFERROR(__xludf.DUMMYFUNCTION("""COMPUTED_VALUE"""),90.56)</f>
        <v>90.56</v>
      </c>
      <c r="D3753" s="1">
        <f>IFERROR(__xludf.DUMMYFUNCTION("""COMPUTED_VALUE"""),88.97)</f>
        <v>88.97</v>
      </c>
      <c r="E3753" s="1">
        <f>IFERROR(__xludf.DUMMYFUNCTION("""COMPUTED_VALUE"""),90.43)</f>
        <v>90.43</v>
      </c>
      <c r="F3753" s="1">
        <f>IFERROR(__xludf.DUMMYFUNCTION("""COMPUTED_VALUE"""),7661778.0)</f>
        <v>7661778</v>
      </c>
    </row>
    <row r="3754">
      <c r="A3754" s="2">
        <f>IFERROR(__xludf.DUMMYFUNCTION("""COMPUTED_VALUE"""),41974.66666666667)</f>
        <v>41974.66667</v>
      </c>
      <c r="B3754" s="1">
        <f>IFERROR(__xludf.DUMMYFUNCTION("""COMPUTED_VALUE"""),90.17)</f>
        <v>90.17</v>
      </c>
      <c r="C3754" s="1">
        <f>IFERROR(__xludf.DUMMYFUNCTION("""COMPUTED_VALUE"""),90.67)</f>
        <v>90.67</v>
      </c>
      <c r="D3754" s="1">
        <f>IFERROR(__xludf.DUMMYFUNCTION("""COMPUTED_VALUE"""),89.52)</f>
        <v>89.52</v>
      </c>
      <c r="E3754" s="1">
        <f>IFERROR(__xludf.DUMMYFUNCTION("""COMPUTED_VALUE"""),90.08)</f>
        <v>90.08</v>
      </c>
      <c r="F3754" s="1">
        <f>IFERROR(__xludf.DUMMYFUNCTION("""COMPUTED_VALUE"""),6745137.0)</f>
        <v>6745137</v>
      </c>
    </row>
    <row r="3755">
      <c r="A3755" s="2">
        <f>IFERROR(__xludf.DUMMYFUNCTION("""COMPUTED_VALUE"""),41975.66666666667)</f>
        <v>41975.66667</v>
      </c>
      <c r="B3755" s="1">
        <f>IFERROR(__xludf.DUMMYFUNCTION("""COMPUTED_VALUE"""),90.44)</f>
        <v>90.44</v>
      </c>
      <c r="C3755" s="1">
        <f>IFERROR(__xludf.DUMMYFUNCTION("""COMPUTED_VALUE"""),91.17)</f>
        <v>91.17</v>
      </c>
      <c r="D3755" s="1">
        <f>IFERROR(__xludf.DUMMYFUNCTION("""COMPUTED_VALUE"""),90.12)</f>
        <v>90.12</v>
      </c>
      <c r="E3755" s="1">
        <f>IFERROR(__xludf.DUMMYFUNCTION("""COMPUTED_VALUE"""),91.07)</f>
        <v>91.07</v>
      </c>
      <c r="F3755" s="1">
        <f>IFERROR(__xludf.DUMMYFUNCTION("""COMPUTED_VALUE"""),7432863.0)</f>
        <v>7432863</v>
      </c>
    </row>
    <row r="3756">
      <c r="A3756" s="2">
        <f>IFERROR(__xludf.DUMMYFUNCTION("""COMPUTED_VALUE"""),41976.66666666667)</f>
        <v>41976.66667</v>
      </c>
      <c r="B3756" s="1">
        <f>IFERROR(__xludf.DUMMYFUNCTION("""COMPUTED_VALUE"""),90.84)</f>
        <v>90.84</v>
      </c>
      <c r="C3756" s="1">
        <f>IFERROR(__xludf.DUMMYFUNCTION("""COMPUTED_VALUE"""),90.97)</f>
        <v>90.97</v>
      </c>
      <c r="D3756" s="1">
        <f>IFERROR(__xludf.DUMMYFUNCTION("""COMPUTED_VALUE"""),89.64)</f>
        <v>89.64</v>
      </c>
      <c r="E3756" s="1">
        <f>IFERROR(__xludf.DUMMYFUNCTION("""COMPUTED_VALUE"""),90.0)</f>
        <v>90</v>
      </c>
      <c r="F3756" s="1">
        <f>IFERROR(__xludf.DUMMYFUNCTION("""COMPUTED_VALUE"""),6465627.0)</f>
        <v>6465627</v>
      </c>
    </row>
    <row r="3757">
      <c r="A3757" s="2">
        <f>IFERROR(__xludf.DUMMYFUNCTION("""COMPUTED_VALUE"""),41977.66666666667)</f>
        <v>41977.66667</v>
      </c>
      <c r="B3757" s="1">
        <f>IFERROR(__xludf.DUMMYFUNCTION("""COMPUTED_VALUE"""),90.5)</f>
        <v>90.5</v>
      </c>
      <c r="C3757" s="1">
        <f>IFERROR(__xludf.DUMMYFUNCTION("""COMPUTED_VALUE"""),90.94)</f>
        <v>90.94</v>
      </c>
      <c r="D3757" s="1">
        <f>IFERROR(__xludf.DUMMYFUNCTION("""COMPUTED_VALUE"""),90.1)</f>
        <v>90.1</v>
      </c>
      <c r="E3757" s="1">
        <f>IFERROR(__xludf.DUMMYFUNCTION("""COMPUTED_VALUE"""),90.58)</f>
        <v>90.58</v>
      </c>
      <c r="F3757" s="1">
        <f>IFERROR(__xludf.DUMMYFUNCTION("""COMPUTED_VALUE"""),6410706.0)</f>
        <v>6410706</v>
      </c>
    </row>
    <row r="3758">
      <c r="A3758" s="2">
        <f>IFERROR(__xludf.DUMMYFUNCTION("""COMPUTED_VALUE"""),41978.66666666667)</f>
        <v>41978.66667</v>
      </c>
      <c r="B3758" s="1">
        <f>IFERROR(__xludf.DUMMYFUNCTION("""COMPUTED_VALUE"""),90.32)</f>
        <v>90.32</v>
      </c>
      <c r="C3758" s="1">
        <f>IFERROR(__xludf.DUMMYFUNCTION("""COMPUTED_VALUE"""),90.42)</f>
        <v>90.42</v>
      </c>
      <c r="D3758" s="1">
        <f>IFERROR(__xludf.DUMMYFUNCTION("""COMPUTED_VALUE"""),89.21)</f>
        <v>89.21</v>
      </c>
      <c r="E3758" s="1">
        <f>IFERROR(__xludf.DUMMYFUNCTION("""COMPUTED_VALUE"""),90.38)</f>
        <v>90.38</v>
      </c>
      <c r="F3758" s="1">
        <f>IFERROR(__xludf.DUMMYFUNCTION("""COMPUTED_VALUE"""),6383401.0)</f>
        <v>6383401</v>
      </c>
    </row>
    <row r="3759">
      <c r="A3759" s="2">
        <f>IFERROR(__xludf.DUMMYFUNCTION("""COMPUTED_VALUE"""),41981.66666666667)</f>
        <v>41981.66667</v>
      </c>
      <c r="B3759" s="1">
        <f>IFERROR(__xludf.DUMMYFUNCTION("""COMPUTED_VALUE"""),90.34)</f>
        <v>90.34</v>
      </c>
      <c r="C3759" s="1">
        <f>IFERROR(__xludf.DUMMYFUNCTION("""COMPUTED_VALUE"""),91.0)</f>
        <v>91</v>
      </c>
      <c r="D3759" s="1">
        <f>IFERROR(__xludf.DUMMYFUNCTION("""COMPUTED_VALUE"""),90.32)</f>
        <v>90.32</v>
      </c>
      <c r="E3759" s="1">
        <f>IFERROR(__xludf.DUMMYFUNCTION("""COMPUTED_VALUE"""),90.76)</f>
        <v>90.76</v>
      </c>
      <c r="F3759" s="1">
        <f>IFERROR(__xludf.DUMMYFUNCTION("""COMPUTED_VALUE"""),4723879.0)</f>
        <v>4723879</v>
      </c>
    </row>
    <row r="3760">
      <c r="A3760" s="2">
        <f>IFERROR(__xludf.DUMMYFUNCTION("""COMPUTED_VALUE"""),41982.66666666667)</f>
        <v>41982.66667</v>
      </c>
      <c r="B3760" s="1">
        <f>IFERROR(__xludf.DUMMYFUNCTION("""COMPUTED_VALUE"""),90.47)</f>
        <v>90.47</v>
      </c>
      <c r="C3760" s="1">
        <f>IFERROR(__xludf.DUMMYFUNCTION("""COMPUTED_VALUE"""),90.78)</f>
        <v>90.78</v>
      </c>
      <c r="D3760" s="1">
        <f>IFERROR(__xludf.DUMMYFUNCTION("""COMPUTED_VALUE"""),89.87)</f>
        <v>89.87</v>
      </c>
      <c r="E3760" s="1">
        <f>IFERROR(__xludf.DUMMYFUNCTION("""COMPUTED_VALUE"""),90.71)</f>
        <v>90.71</v>
      </c>
      <c r="F3760" s="1">
        <f>IFERROR(__xludf.DUMMYFUNCTION("""COMPUTED_VALUE"""),5703953.0)</f>
        <v>5703953</v>
      </c>
    </row>
    <row r="3761">
      <c r="A3761" s="2">
        <f>IFERROR(__xludf.DUMMYFUNCTION("""COMPUTED_VALUE"""),41983.66666666667)</f>
        <v>41983.66667</v>
      </c>
      <c r="B3761" s="1">
        <f>IFERROR(__xludf.DUMMYFUNCTION("""COMPUTED_VALUE"""),90.95)</f>
        <v>90.95</v>
      </c>
      <c r="C3761" s="1">
        <f>IFERROR(__xludf.DUMMYFUNCTION("""COMPUTED_VALUE"""),91.1)</f>
        <v>91.1</v>
      </c>
      <c r="D3761" s="1">
        <f>IFERROR(__xludf.DUMMYFUNCTION("""COMPUTED_VALUE"""),89.96)</f>
        <v>89.96</v>
      </c>
      <c r="E3761" s="1">
        <f>IFERROR(__xludf.DUMMYFUNCTION("""COMPUTED_VALUE"""),90.0)</f>
        <v>90</v>
      </c>
      <c r="F3761" s="1">
        <f>IFERROR(__xludf.DUMMYFUNCTION("""COMPUTED_VALUE"""),6293332.0)</f>
        <v>6293332</v>
      </c>
    </row>
    <row r="3762">
      <c r="A3762" s="2">
        <f>IFERROR(__xludf.DUMMYFUNCTION("""COMPUTED_VALUE"""),41984.66666666667)</f>
        <v>41984.66667</v>
      </c>
      <c r="B3762" s="1">
        <f>IFERROR(__xludf.DUMMYFUNCTION("""COMPUTED_VALUE"""),90.0)</f>
        <v>90</v>
      </c>
      <c r="C3762" s="1">
        <f>IFERROR(__xludf.DUMMYFUNCTION("""COMPUTED_VALUE"""),91.28)</f>
        <v>91.28</v>
      </c>
      <c r="D3762" s="1">
        <f>IFERROR(__xludf.DUMMYFUNCTION("""COMPUTED_VALUE"""),89.98)</f>
        <v>89.98</v>
      </c>
      <c r="E3762" s="1">
        <f>IFERROR(__xludf.DUMMYFUNCTION("""COMPUTED_VALUE"""),90.41)</f>
        <v>90.41</v>
      </c>
      <c r="F3762" s="1">
        <f>IFERROR(__xludf.DUMMYFUNCTION("""COMPUTED_VALUE"""),6468676.0)</f>
        <v>6468676</v>
      </c>
    </row>
    <row r="3763">
      <c r="A3763" s="2">
        <f>IFERROR(__xludf.DUMMYFUNCTION("""COMPUTED_VALUE"""),41985.66666666667)</f>
        <v>41985.66667</v>
      </c>
      <c r="B3763" s="1">
        <f>IFERROR(__xludf.DUMMYFUNCTION("""COMPUTED_VALUE"""),90.01)</f>
        <v>90.01</v>
      </c>
      <c r="C3763" s="1">
        <f>IFERROR(__xludf.DUMMYFUNCTION("""COMPUTED_VALUE"""),90.97)</f>
        <v>90.97</v>
      </c>
      <c r="D3763" s="1">
        <f>IFERROR(__xludf.DUMMYFUNCTION("""COMPUTED_VALUE"""),89.53)</f>
        <v>89.53</v>
      </c>
      <c r="E3763" s="1">
        <f>IFERROR(__xludf.DUMMYFUNCTION("""COMPUTED_VALUE"""),89.55)</f>
        <v>89.55</v>
      </c>
      <c r="F3763" s="1">
        <f>IFERROR(__xludf.DUMMYFUNCTION("""COMPUTED_VALUE"""),6574629.0)</f>
        <v>6574629</v>
      </c>
    </row>
    <row r="3764">
      <c r="A3764" s="2">
        <f>IFERROR(__xludf.DUMMYFUNCTION("""COMPUTED_VALUE"""),41988.66666666667)</f>
        <v>41988.66667</v>
      </c>
      <c r="B3764" s="1">
        <f>IFERROR(__xludf.DUMMYFUNCTION("""COMPUTED_VALUE"""),89.7)</f>
        <v>89.7</v>
      </c>
      <c r="C3764" s="1">
        <f>IFERROR(__xludf.DUMMYFUNCTION("""COMPUTED_VALUE"""),90.6)</f>
        <v>90.6</v>
      </c>
      <c r="D3764" s="1">
        <f>IFERROR(__xludf.DUMMYFUNCTION("""COMPUTED_VALUE"""),89.03)</f>
        <v>89.03</v>
      </c>
      <c r="E3764" s="1">
        <f>IFERROR(__xludf.DUMMYFUNCTION("""COMPUTED_VALUE"""),89.2)</f>
        <v>89.2</v>
      </c>
      <c r="F3764" s="1">
        <f>IFERROR(__xludf.DUMMYFUNCTION("""COMPUTED_VALUE"""),6511895.0)</f>
        <v>6511895</v>
      </c>
    </row>
    <row r="3765">
      <c r="A3765" s="2">
        <f>IFERROR(__xludf.DUMMYFUNCTION("""COMPUTED_VALUE"""),41989.66666666667)</f>
        <v>41989.66667</v>
      </c>
      <c r="B3765" s="1">
        <f>IFERROR(__xludf.DUMMYFUNCTION("""COMPUTED_VALUE"""),89.14)</f>
        <v>89.14</v>
      </c>
      <c r="C3765" s="1">
        <f>IFERROR(__xludf.DUMMYFUNCTION("""COMPUTED_VALUE"""),90.96)</f>
        <v>90.96</v>
      </c>
      <c r="D3765" s="1">
        <f>IFERROR(__xludf.DUMMYFUNCTION("""COMPUTED_VALUE"""),88.38)</f>
        <v>88.38</v>
      </c>
      <c r="E3765" s="1">
        <f>IFERROR(__xludf.DUMMYFUNCTION("""COMPUTED_VALUE"""),89.36)</f>
        <v>89.36</v>
      </c>
      <c r="F3765" s="1">
        <f>IFERROR(__xludf.DUMMYFUNCTION("""COMPUTED_VALUE"""),8776495.0)</f>
        <v>8776495</v>
      </c>
    </row>
    <row r="3766">
      <c r="A3766" s="2">
        <f>IFERROR(__xludf.DUMMYFUNCTION("""COMPUTED_VALUE"""),41990.66666666667)</f>
        <v>41990.66667</v>
      </c>
      <c r="B3766" s="1">
        <f>IFERROR(__xludf.DUMMYFUNCTION("""COMPUTED_VALUE"""),89.56)</f>
        <v>89.56</v>
      </c>
      <c r="C3766" s="1">
        <f>IFERROR(__xludf.DUMMYFUNCTION("""COMPUTED_VALUE"""),91.16)</f>
        <v>91.16</v>
      </c>
      <c r="D3766" s="1">
        <f>IFERROR(__xludf.DUMMYFUNCTION("""COMPUTED_VALUE"""),89.4)</f>
        <v>89.4</v>
      </c>
      <c r="E3766" s="1">
        <f>IFERROR(__xludf.DUMMYFUNCTION("""COMPUTED_VALUE"""),90.7)</f>
        <v>90.7</v>
      </c>
      <c r="F3766" s="1">
        <f>IFERROR(__xludf.DUMMYFUNCTION("""COMPUTED_VALUE"""),7415365.0)</f>
        <v>7415365</v>
      </c>
    </row>
    <row r="3767">
      <c r="A3767" s="2">
        <f>IFERROR(__xludf.DUMMYFUNCTION("""COMPUTED_VALUE"""),41991.66666666667)</f>
        <v>41991.66667</v>
      </c>
      <c r="B3767" s="1">
        <f>IFERROR(__xludf.DUMMYFUNCTION("""COMPUTED_VALUE"""),91.01)</f>
        <v>91.01</v>
      </c>
      <c r="C3767" s="1">
        <f>IFERROR(__xludf.DUMMYFUNCTION("""COMPUTED_VALUE"""),92.0)</f>
        <v>92</v>
      </c>
      <c r="D3767" s="1">
        <f>IFERROR(__xludf.DUMMYFUNCTION("""COMPUTED_VALUE"""),90.55)</f>
        <v>90.55</v>
      </c>
      <c r="E3767" s="1">
        <f>IFERROR(__xludf.DUMMYFUNCTION("""COMPUTED_VALUE"""),92.0)</f>
        <v>92</v>
      </c>
      <c r="F3767" s="1">
        <f>IFERROR(__xludf.DUMMYFUNCTION("""COMPUTED_VALUE"""),8724454.0)</f>
        <v>8724454</v>
      </c>
    </row>
    <row r="3768">
      <c r="A3768" s="2">
        <f>IFERROR(__xludf.DUMMYFUNCTION("""COMPUTED_VALUE"""),41992.66666666667)</f>
        <v>41992.66667</v>
      </c>
      <c r="B3768" s="1">
        <f>IFERROR(__xludf.DUMMYFUNCTION("""COMPUTED_VALUE"""),92.15)</f>
        <v>92.15</v>
      </c>
      <c r="C3768" s="1">
        <f>IFERROR(__xludf.DUMMYFUNCTION("""COMPUTED_VALUE"""),92.73)</f>
        <v>92.73</v>
      </c>
      <c r="D3768" s="1">
        <f>IFERROR(__xludf.DUMMYFUNCTION("""COMPUTED_VALUE"""),91.76)</f>
        <v>91.76</v>
      </c>
      <c r="E3768" s="1">
        <f>IFERROR(__xludf.DUMMYFUNCTION("""COMPUTED_VALUE"""),92.05)</f>
        <v>92.05</v>
      </c>
      <c r="F3768" s="1">
        <f>IFERROR(__xludf.DUMMYFUNCTION("""COMPUTED_VALUE"""),1.4037813E7)</f>
        <v>14037813</v>
      </c>
    </row>
    <row r="3769">
      <c r="A3769" s="2">
        <f>IFERROR(__xludf.DUMMYFUNCTION("""COMPUTED_VALUE"""),41995.66666666667)</f>
        <v>41995.66667</v>
      </c>
      <c r="B3769" s="1">
        <f>IFERROR(__xludf.DUMMYFUNCTION("""COMPUTED_VALUE"""),92.1)</f>
        <v>92.1</v>
      </c>
      <c r="C3769" s="1">
        <f>IFERROR(__xludf.DUMMYFUNCTION("""COMPUTED_VALUE"""),92.73)</f>
        <v>92.73</v>
      </c>
      <c r="D3769" s="1">
        <f>IFERROR(__xludf.DUMMYFUNCTION("""COMPUTED_VALUE"""),92.0)</f>
        <v>92</v>
      </c>
      <c r="E3769" s="1">
        <f>IFERROR(__xludf.DUMMYFUNCTION("""COMPUTED_VALUE"""),92.6)</f>
        <v>92.6</v>
      </c>
      <c r="F3769" s="1">
        <f>IFERROR(__xludf.DUMMYFUNCTION("""COMPUTED_VALUE"""),7157130.0)</f>
        <v>7157130</v>
      </c>
    </row>
    <row r="3770">
      <c r="A3770" s="2">
        <f>IFERROR(__xludf.DUMMYFUNCTION("""COMPUTED_VALUE"""),41996.66666666667)</f>
        <v>41996.66667</v>
      </c>
      <c r="B3770" s="1">
        <f>IFERROR(__xludf.DUMMYFUNCTION("""COMPUTED_VALUE"""),92.74)</f>
        <v>92.74</v>
      </c>
      <c r="C3770" s="1">
        <f>IFERROR(__xludf.DUMMYFUNCTION("""COMPUTED_VALUE"""),93.48)</f>
        <v>93.48</v>
      </c>
      <c r="D3770" s="1">
        <f>IFERROR(__xludf.DUMMYFUNCTION("""COMPUTED_VALUE"""),92.7)</f>
        <v>92.7</v>
      </c>
      <c r="E3770" s="1">
        <f>IFERROR(__xludf.DUMMYFUNCTION("""COMPUTED_VALUE"""),93.29)</f>
        <v>93.29</v>
      </c>
      <c r="F3770" s="1">
        <f>IFERROR(__xludf.DUMMYFUNCTION("""COMPUTED_VALUE"""),5610590.0)</f>
        <v>5610590</v>
      </c>
    </row>
    <row r="3771">
      <c r="A3771" s="2">
        <f>IFERROR(__xludf.DUMMYFUNCTION("""COMPUTED_VALUE"""),41997.66666666667)</f>
        <v>41997.66667</v>
      </c>
      <c r="B3771" s="1">
        <f>IFERROR(__xludf.DUMMYFUNCTION("""COMPUTED_VALUE"""),93.5)</f>
        <v>93.5</v>
      </c>
      <c r="C3771" s="1">
        <f>IFERROR(__xludf.DUMMYFUNCTION("""COMPUTED_VALUE"""),93.89)</f>
        <v>93.89</v>
      </c>
      <c r="D3771" s="1">
        <f>IFERROR(__xludf.DUMMYFUNCTION("""COMPUTED_VALUE"""),93.14)</f>
        <v>93.14</v>
      </c>
      <c r="E3771" s="1">
        <f>IFERROR(__xludf.DUMMYFUNCTION("""COMPUTED_VALUE"""),93.14)</f>
        <v>93.14</v>
      </c>
      <c r="F3771" s="1">
        <f>IFERROR(__xludf.DUMMYFUNCTION("""COMPUTED_VALUE"""),2408140.0)</f>
        <v>2408140</v>
      </c>
    </row>
    <row r="3772">
      <c r="A3772" s="2">
        <f>IFERROR(__xludf.DUMMYFUNCTION("""COMPUTED_VALUE"""),41999.66666666667)</f>
        <v>41999.66667</v>
      </c>
      <c r="B3772" s="1">
        <f>IFERROR(__xludf.DUMMYFUNCTION("""COMPUTED_VALUE"""),93.15)</f>
        <v>93.15</v>
      </c>
      <c r="C3772" s="1">
        <f>IFERROR(__xludf.DUMMYFUNCTION("""COMPUTED_VALUE"""),93.81)</f>
        <v>93.81</v>
      </c>
      <c r="D3772" s="1">
        <f>IFERROR(__xludf.DUMMYFUNCTION("""COMPUTED_VALUE"""),93.06)</f>
        <v>93.06</v>
      </c>
      <c r="E3772" s="1">
        <f>IFERROR(__xludf.DUMMYFUNCTION("""COMPUTED_VALUE"""),93.46)</f>
        <v>93.46</v>
      </c>
      <c r="F3772" s="1">
        <f>IFERROR(__xludf.DUMMYFUNCTION("""COMPUTED_VALUE"""),3148746.0)</f>
        <v>3148746</v>
      </c>
    </row>
    <row r="3773">
      <c r="A3773" s="2">
        <f>IFERROR(__xludf.DUMMYFUNCTION("""COMPUTED_VALUE"""),42002.66666666667)</f>
        <v>42002.66667</v>
      </c>
      <c r="B3773" s="1">
        <f>IFERROR(__xludf.DUMMYFUNCTION("""COMPUTED_VALUE"""),93.12)</f>
        <v>93.12</v>
      </c>
      <c r="C3773" s="1">
        <f>IFERROR(__xludf.DUMMYFUNCTION("""COMPUTED_VALUE"""),93.43)</f>
        <v>93.43</v>
      </c>
      <c r="D3773" s="1">
        <f>IFERROR(__xludf.DUMMYFUNCTION("""COMPUTED_VALUE"""),92.5)</f>
        <v>92.5</v>
      </c>
      <c r="E3773" s="1">
        <f>IFERROR(__xludf.DUMMYFUNCTION("""COMPUTED_VALUE"""),92.64)</f>
        <v>92.64</v>
      </c>
      <c r="F3773" s="1">
        <f>IFERROR(__xludf.DUMMYFUNCTION("""COMPUTED_VALUE"""),4657706.0)</f>
        <v>4657706</v>
      </c>
    </row>
    <row r="3774">
      <c r="A3774" s="2">
        <f>IFERROR(__xludf.DUMMYFUNCTION("""COMPUTED_VALUE"""),42003.66666666667)</f>
        <v>42003.66667</v>
      </c>
      <c r="B3774" s="1">
        <f>IFERROR(__xludf.DUMMYFUNCTION("""COMPUTED_VALUE"""),92.25)</f>
        <v>92.25</v>
      </c>
      <c r="C3774" s="1">
        <f>IFERROR(__xludf.DUMMYFUNCTION("""COMPUTED_VALUE"""),92.82)</f>
        <v>92.82</v>
      </c>
      <c r="D3774" s="1">
        <f>IFERROR(__xludf.DUMMYFUNCTION("""COMPUTED_VALUE"""),92.1)</f>
        <v>92.1</v>
      </c>
      <c r="E3774" s="1">
        <f>IFERROR(__xludf.DUMMYFUNCTION("""COMPUTED_VALUE"""),92.4)</f>
        <v>92.4</v>
      </c>
      <c r="F3774" s="1">
        <f>IFERROR(__xludf.DUMMYFUNCTION("""COMPUTED_VALUE"""),4730012.0)</f>
        <v>4730012</v>
      </c>
    </row>
    <row r="3775">
      <c r="A3775" s="2">
        <f>IFERROR(__xludf.DUMMYFUNCTION("""COMPUTED_VALUE"""),42004.66666666667)</f>
        <v>42004.66667</v>
      </c>
      <c r="B3775" s="1">
        <f>IFERROR(__xludf.DUMMYFUNCTION("""COMPUTED_VALUE"""),92.04)</f>
        <v>92.04</v>
      </c>
      <c r="C3775" s="1">
        <f>IFERROR(__xludf.DUMMYFUNCTION("""COMPUTED_VALUE"""),92.55)</f>
        <v>92.55</v>
      </c>
      <c r="D3775" s="1">
        <f>IFERROR(__xludf.DUMMYFUNCTION("""COMPUTED_VALUE"""),91.03)</f>
        <v>91.03</v>
      </c>
      <c r="E3775" s="1">
        <f>IFERROR(__xludf.DUMMYFUNCTION("""COMPUTED_VALUE"""),91.09)</f>
        <v>91.09</v>
      </c>
      <c r="F3775" s="1">
        <f>IFERROR(__xludf.DUMMYFUNCTION("""COMPUTED_VALUE"""),5712139.0)</f>
        <v>5712139</v>
      </c>
    </row>
    <row r="3776">
      <c r="A3776" s="2">
        <f>IFERROR(__xludf.DUMMYFUNCTION("""COMPUTED_VALUE"""),42006.66666666667)</f>
        <v>42006.66667</v>
      </c>
      <c r="B3776" s="1">
        <f>IFERROR(__xludf.DUMMYFUNCTION("""COMPUTED_VALUE"""),90.84)</f>
        <v>90.84</v>
      </c>
      <c r="C3776" s="1">
        <f>IFERROR(__xludf.DUMMYFUNCTION("""COMPUTED_VALUE"""),91.0)</f>
        <v>91</v>
      </c>
      <c r="D3776" s="1">
        <f>IFERROR(__xludf.DUMMYFUNCTION("""COMPUTED_VALUE"""),89.92)</f>
        <v>89.92</v>
      </c>
      <c r="E3776" s="1">
        <f>IFERROR(__xludf.DUMMYFUNCTION("""COMPUTED_VALUE"""),90.44)</f>
        <v>90.44</v>
      </c>
      <c r="F3776" s="1">
        <f>IFERROR(__xludf.DUMMYFUNCTION("""COMPUTED_VALUE"""),7255494.0)</f>
        <v>7255494</v>
      </c>
    </row>
    <row r="3777">
      <c r="A3777" s="2">
        <f>IFERROR(__xludf.DUMMYFUNCTION("""COMPUTED_VALUE"""),42009.66666666667)</f>
        <v>42009.66667</v>
      </c>
      <c r="B3777" s="1">
        <f>IFERROR(__xludf.DUMMYFUNCTION("""COMPUTED_VALUE"""),90.23)</f>
        <v>90.23</v>
      </c>
      <c r="C3777" s="1">
        <f>IFERROR(__xludf.DUMMYFUNCTION("""COMPUTED_VALUE"""),91.0)</f>
        <v>91</v>
      </c>
      <c r="D3777" s="1">
        <f>IFERROR(__xludf.DUMMYFUNCTION("""COMPUTED_VALUE"""),89.85)</f>
        <v>89.85</v>
      </c>
      <c r="E3777" s="1">
        <f>IFERROR(__xludf.DUMMYFUNCTION("""COMPUTED_VALUE"""),90.01)</f>
        <v>90.01</v>
      </c>
      <c r="F3777" s="1">
        <f>IFERROR(__xludf.DUMMYFUNCTION("""COMPUTED_VALUE"""),8626143.0)</f>
        <v>8626143</v>
      </c>
    </row>
    <row r="3778">
      <c r="A3778" s="2">
        <f>IFERROR(__xludf.DUMMYFUNCTION("""COMPUTED_VALUE"""),42010.66666666667)</f>
        <v>42010.66667</v>
      </c>
      <c r="B3778" s="1">
        <f>IFERROR(__xludf.DUMMYFUNCTION("""COMPUTED_VALUE"""),90.31)</f>
        <v>90.31</v>
      </c>
      <c r="C3778" s="1">
        <f>IFERROR(__xludf.DUMMYFUNCTION("""COMPUTED_VALUE"""),90.56)</f>
        <v>90.56</v>
      </c>
      <c r="D3778" s="1">
        <f>IFERROR(__xludf.DUMMYFUNCTION("""COMPUTED_VALUE"""),89.26)</f>
        <v>89.26</v>
      </c>
      <c r="E3778" s="1">
        <f>IFERROR(__xludf.DUMMYFUNCTION("""COMPUTED_VALUE"""),89.6)</f>
        <v>89.6</v>
      </c>
      <c r="F3778" s="1">
        <f>IFERROR(__xludf.DUMMYFUNCTION("""COMPUTED_VALUE"""),7791195.0)</f>
        <v>7791195</v>
      </c>
    </row>
    <row r="3779">
      <c r="A3779" s="2">
        <f>IFERROR(__xludf.DUMMYFUNCTION("""COMPUTED_VALUE"""),42011.66666666667)</f>
        <v>42011.66667</v>
      </c>
      <c r="B3779" s="1">
        <f>IFERROR(__xludf.DUMMYFUNCTION("""COMPUTED_VALUE"""),89.94)</f>
        <v>89.94</v>
      </c>
      <c r="C3779" s="1">
        <f>IFERROR(__xludf.DUMMYFUNCTION("""COMPUTED_VALUE"""),90.37)</f>
        <v>90.37</v>
      </c>
      <c r="D3779" s="1">
        <f>IFERROR(__xludf.DUMMYFUNCTION("""COMPUTED_VALUE"""),89.56)</f>
        <v>89.56</v>
      </c>
      <c r="E3779" s="1">
        <f>IFERROR(__xludf.DUMMYFUNCTION("""COMPUTED_VALUE"""),90.07)</f>
        <v>90.07</v>
      </c>
      <c r="F3779" s="1">
        <f>IFERROR(__xludf.DUMMYFUNCTION("""COMPUTED_VALUE"""),5986899.0)</f>
        <v>5986899</v>
      </c>
    </row>
    <row r="3780">
      <c r="A3780" s="2">
        <f>IFERROR(__xludf.DUMMYFUNCTION("""COMPUTED_VALUE"""),42012.66666666667)</f>
        <v>42012.66667</v>
      </c>
      <c r="B3780" s="1">
        <f>IFERROR(__xludf.DUMMYFUNCTION("""COMPUTED_VALUE"""),90.48)</f>
        <v>90.48</v>
      </c>
      <c r="C3780" s="1">
        <f>IFERROR(__xludf.DUMMYFUNCTION("""COMPUTED_VALUE"""),91.23)</f>
        <v>91.23</v>
      </c>
      <c r="D3780" s="1">
        <f>IFERROR(__xludf.DUMMYFUNCTION("""COMPUTED_VALUE"""),90.13)</f>
        <v>90.13</v>
      </c>
      <c r="E3780" s="1">
        <f>IFERROR(__xludf.DUMMYFUNCTION("""COMPUTED_VALUE"""),91.1)</f>
        <v>91.1</v>
      </c>
      <c r="F3780" s="1">
        <f>IFERROR(__xludf.DUMMYFUNCTION("""COMPUTED_VALUE"""),6831617.0)</f>
        <v>6831617</v>
      </c>
    </row>
    <row r="3781">
      <c r="A3781" s="2">
        <f>IFERROR(__xludf.DUMMYFUNCTION("""COMPUTED_VALUE"""),42013.66666666667)</f>
        <v>42013.66667</v>
      </c>
      <c r="B3781" s="1">
        <f>IFERROR(__xludf.DUMMYFUNCTION("""COMPUTED_VALUE"""),91.18)</f>
        <v>91.18</v>
      </c>
      <c r="C3781" s="1">
        <f>IFERROR(__xludf.DUMMYFUNCTION("""COMPUTED_VALUE"""),91.18)</f>
        <v>91.18</v>
      </c>
      <c r="D3781" s="1">
        <f>IFERROR(__xludf.DUMMYFUNCTION("""COMPUTED_VALUE"""),90.12)</f>
        <v>90.12</v>
      </c>
      <c r="E3781" s="1">
        <f>IFERROR(__xludf.DUMMYFUNCTION("""COMPUTED_VALUE"""),90.25)</f>
        <v>90.25</v>
      </c>
      <c r="F3781" s="1">
        <f>IFERROR(__xludf.DUMMYFUNCTION("""COMPUTED_VALUE"""),4873097.0)</f>
        <v>4873097</v>
      </c>
    </row>
    <row r="3782">
      <c r="A3782" s="2">
        <f>IFERROR(__xludf.DUMMYFUNCTION("""COMPUTED_VALUE"""),42016.66666666667)</f>
        <v>42016.66667</v>
      </c>
      <c r="B3782" s="1">
        <f>IFERROR(__xludf.DUMMYFUNCTION("""COMPUTED_VALUE"""),90.48)</f>
        <v>90.48</v>
      </c>
      <c r="C3782" s="1">
        <f>IFERROR(__xludf.DUMMYFUNCTION("""COMPUTED_VALUE"""),90.62)</f>
        <v>90.62</v>
      </c>
      <c r="D3782" s="1">
        <f>IFERROR(__xludf.DUMMYFUNCTION("""COMPUTED_VALUE"""),89.51)</f>
        <v>89.51</v>
      </c>
      <c r="E3782" s="1">
        <f>IFERROR(__xludf.DUMMYFUNCTION("""COMPUTED_VALUE"""),89.92)</f>
        <v>89.92</v>
      </c>
      <c r="F3782" s="1">
        <f>IFERROR(__xludf.DUMMYFUNCTION("""COMPUTED_VALUE"""),5250893.0)</f>
        <v>5250893</v>
      </c>
    </row>
    <row r="3783">
      <c r="A3783" s="2">
        <f>IFERROR(__xludf.DUMMYFUNCTION("""COMPUTED_VALUE"""),42017.66666666667)</f>
        <v>42017.66667</v>
      </c>
      <c r="B3783" s="1">
        <f>IFERROR(__xludf.DUMMYFUNCTION("""COMPUTED_VALUE"""),90.78)</f>
        <v>90.78</v>
      </c>
      <c r="C3783" s="1">
        <f>IFERROR(__xludf.DUMMYFUNCTION("""COMPUTED_VALUE"""),91.5)</f>
        <v>91.5</v>
      </c>
      <c r="D3783" s="1">
        <f>IFERROR(__xludf.DUMMYFUNCTION("""COMPUTED_VALUE"""),89.77)</f>
        <v>89.77</v>
      </c>
      <c r="E3783" s="1">
        <f>IFERROR(__xludf.DUMMYFUNCTION("""COMPUTED_VALUE"""),90.3)</f>
        <v>90.3</v>
      </c>
      <c r="F3783" s="1">
        <f>IFERROR(__xludf.DUMMYFUNCTION("""COMPUTED_VALUE"""),6730752.0)</f>
        <v>6730752</v>
      </c>
    </row>
    <row r="3784">
      <c r="A3784" s="2">
        <f>IFERROR(__xludf.DUMMYFUNCTION("""COMPUTED_VALUE"""),42018.66666666667)</f>
        <v>42018.66667</v>
      </c>
      <c r="B3784" s="1">
        <f>IFERROR(__xludf.DUMMYFUNCTION("""COMPUTED_VALUE"""),89.73)</f>
        <v>89.73</v>
      </c>
      <c r="C3784" s="1">
        <f>IFERROR(__xludf.DUMMYFUNCTION("""COMPUTED_VALUE"""),90.16)</f>
        <v>90.16</v>
      </c>
      <c r="D3784" s="1">
        <f>IFERROR(__xludf.DUMMYFUNCTION("""COMPUTED_VALUE"""),89.43)</f>
        <v>89.43</v>
      </c>
      <c r="E3784" s="1">
        <f>IFERROR(__xludf.DUMMYFUNCTION("""COMPUTED_VALUE"""),89.99)</f>
        <v>89.99</v>
      </c>
      <c r="F3784" s="1">
        <f>IFERROR(__xludf.DUMMYFUNCTION("""COMPUTED_VALUE"""),6418158.0)</f>
        <v>6418158</v>
      </c>
    </row>
    <row r="3785">
      <c r="A3785" s="2">
        <f>IFERROR(__xludf.DUMMYFUNCTION("""COMPUTED_VALUE"""),42019.66666666667)</f>
        <v>42019.66667</v>
      </c>
      <c r="B3785" s="1">
        <f>IFERROR(__xludf.DUMMYFUNCTION("""COMPUTED_VALUE"""),90.49)</f>
        <v>90.49</v>
      </c>
      <c r="C3785" s="1">
        <f>IFERROR(__xludf.DUMMYFUNCTION("""COMPUTED_VALUE"""),90.5)</f>
        <v>90.5</v>
      </c>
      <c r="D3785" s="1">
        <f>IFERROR(__xludf.DUMMYFUNCTION("""COMPUTED_VALUE"""),89.34)</f>
        <v>89.34</v>
      </c>
      <c r="E3785" s="1">
        <f>IFERROR(__xludf.DUMMYFUNCTION("""COMPUTED_VALUE"""),89.86)</f>
        <v>89.86</v>
      </c>
      <c r="F3785" s="1">
        <f>IFERROR(__xludf.DUMMYFUNCTION("""COMPUTED_VALUE"""),6768180.0)</f>
        <v>6768180</v>
      </c>
    </row>
    <row r="3786">
      <c r="A3786" s="2">
        <f>IFERROR(__xludf.DUMMYFUNCTION("""COMPUTED_VALUE"""),42020.66666666667)</f>
        <v>42020.66667</v>
      </c>
      <c r="B3786" s="1">
        <f>IFERROR(__xludf.DUMMYFUNCTION("""COMPUTED_VALUE"""),89.95)</f>
        <v>89.95</v>
      </c>
      <c r="C3786" s="1">
        <f>IFERROR(__xludf.DUMMYFUNCTION("""COMPUTED_VALUE"""),91.34)</f>
        <v>91.34</v>
      </c>
      <c r="D3786" s="1">
        <f>IFERROR(__xludf.DUMMYFUNCTION("""COMPUTED_VALUE"""),89.87)</f>
        <v>89.87</v>
      </c>
      <c r="E3786" s="1">
        <f>IFERROR(__xludf.DUMMYFUNCTION("""COMPUTED_VALUE"""),91.25)</f>
        <v>91.25</v>
      </c>
      <c r="F3786" s="1">
        <f>IFERROR(__xludf.DUMMYFUNCTION("""COMPUTED_VALUE"""),8815713.0)</f>
        <v>8815713</v>
      </c>
    </row>
    <row r="3787">
      <c r="A3787" s="2">
        <f>IFERROR(__xludf.DUMMYFUNCTION("""COMPUTED_VALUE"""),42024.66666666667)</f>
        <v>42024.66667</v>
      </c>
      <c r="B3787" s="1">
        <f>IFERROR(__xludf.DUMMYFUNCTION("""COMPUTED_VALUE"""),91.25)</f>
        <v>91.25</v>
      </c>
      <c r="C3787" s="1">
        <f>IFERROR(__xludf.DUMMYFUNCTION("""COMPUTED_VALUE"""),91.79)</f>
        <v>91.79</v>
      </c>
      <c r="D3787" s="1">
        <f>IFERROR(__xludf.DUMMYFUNCTION("""COMPUTED_VALUE"""),90.5)</f>
        <v>90.5</v>
      </c>
      <c r="E3787" s="1">
        <f>IFERROR(__xludf.DUMMYFUNCTION("""COMPUTED_VALUE"""),91.19)</f>
        <v>91.19</v>
      </c>
      <c r="F3787" s="1">
        <f>IFERROR(__xludf.DUMMYFUNCTION("""COMPUTED_VALUE"""),9874638.0)</f>
        <v>9874638</v>
      </c>
    </row>
    <row r="3788">
      <c r="A3788" s="2">
        <f>IFERROR(__xludf.DUMMYFUNCTION("""COMPUTED_VALUE"""),42025.66666666667)</f>
        <v>42025.66667</v>
      </c>
      <c r="B3788" s="1">
        <f>IFERROR(__xludf.DUMMYFUNCTION("""COMPUTED_VALUE"""),90.4)</f>
        <v>90.4</v>
      </c>
      <c r="C3788" s="1">
        <f>IFERROR(__xludf.DUMMYFUNCTION("""COMPUTED_VALUE"""),91.19)</f>
        <v>91.19</v>
      </c>
      <c r="D3788" s="1">
        <f>IFERROR(__xludf.DUMMYFUNCTION("""COMPUTED_VALUE"""),89.63)</f>
        <v>89.63</v>
      </c>
      <c r="E3788" s="1">
        <f>IFERROR(__xludf.DUMMYFUNCTION("""COMPUTED_VALUE"""),90.73)</f>
        <v>90.73</v>
      </c>
      <c r="F3788" s="1">
        <f>IFERROR(__xludf.DUMMYFUNCTION("""COMPUTED_VALUE"""),6974533.0)</f>
        <v>6974533</v>
      </c>
    </row>
    <row r="3789">
      <c r="A3789" s="2">
        <f>IFERROR(__xludf.DUMMYFUNCTION("""COMPUTED_VALUE"""),42026.66666666667)</f>
        <v>42026.66667</v>
      </c>
      <c r="B3789" s="1">
        <f>IFERROR(__xludf.DUMMYFUNCTION("""COMPUTED_VALUE"""),91.04)</f>
        <v>91.04</v>
      </c>
      <c r="C3789" s="1">
        <f>IFERROR(__xludf.DUMMYFUNCTION("""COMPUTED_VALUE"""),91.69)</f>
        <v>91.69</v>
      </c>
      <c r="D3789" s="1">
        <f>IFERROR(__xludf.DUMMYFUNCTION("""COMPUTED_VALUE"""),89.87)</f>
        <v>89.87</v>
      </c>
      <c r="E3789" s="1">
        <f>IFERROR(__xludf.DUMMYFUNCTION("""COMPUTED_VALUE"""),91.62)</f>
        <v>91.62</v>
      </c>
      <c r="F3789" s="1">
        <f>IFERROR(__xludf.DUMMYFUNCTION("""COMPUTED_VALUE"""),7211231.0)</f>
        <v>7211231</v>
      </c>
    </row>
    <row r="3790">
      <c r="A3790" s="2">
        <f>IFERROR(__xludf.DUMMYFUNCTION("""COMPUTED_VALUE"""),42027.66666666667)</f>
        <v>42027.66667</v>
      </c>
      <c r="B3790" s="1">
        <f>IFERROR(__xludf.DUMMYFUNCTION("""COMPUTED_VALUE"""),91.17)</f>
        <v>91.17</v>
      </c>
      <c r="C3790" s="1">
        <f>IFERROR(__xludf.DUMMYFUNCTION("""COMPUTED_VALUE"""),91.19)</f>
        <v>91.19</v>
      </c>
      <c r="D3790" s="1">
        <f>IFERROR(__xludf.DUMMYFUNCTION("""COMPUTED_VALUE"""),89.95)</f>
        <v>89.95</v>
      </c>
      <c r="E3790" s="1">
        <f>IFERROR(__xludf.DUMMYFUNCTION("""COMPUTED_VALUE"""),90.08)</f>
        <v>90.08</v>
      </c>
      <c r="F3790" s="1">
        <f>IFERROR(__xludf.DUMMYFUNCTION("""COMPUTED_VALUE"""),6745741.0)</f>
        <v>6745741</v>
      </c>
    </row>
    <row r="3791">
      <c r="A3791" s="2">
        <f>IFERROR(__xludf.DUMMYFUNCTION("""COMPUTED_VALUE"""),42030.66666666667)</f>
        <v>42030.66667</v>
      </c>
      <c r="B3791" s="1">
        <f>IFERROR(__xludf.DUMMYFUNCTION("""COMPUTED_VALUE"""),89.95)</f>
        <v>89.95</v>
      </c>
      <c r="C3791" s="1">
        <f>IFERROR(__xludf.DUMMYFUNCTION("""COMPUTED_VALUE"""),89.95)</f>
        <v>89.95</v>
      </c>
      <c r="D3791" s="1">
        <f>IFERROR(__xludf.DUMMYFUNCTION("""COMPUTED_VALUE"""),88.74)</f>
        <v>88.74</v>
      </c>
      <c r="E3791" s="1">
        <f>IFERROR(__xludf.DUMMYFUNCTION("""COMPUTED_VALUE"""),89.58)</f>
        <v>89.58</v>
      </c>
      <c r="F3791" s="1">
        <f>IFERROR(__xludf.DUMMYFUNCTION("""COMPUTED_VALUE"""),9371693.0)</f>
        <v>9371693</v>
      </c>
    </row>
    <row r="3792">
      <c r="A3792" s="2">
        <f>IFERROR(__xludf.DUMMYFUNCTION("""COMPUTED_VALUE"""),42031.66666666667)</f>
        <v>42031.66667</v>
      </c>
      <c r="B3792" s="1">
        <f>IFERROR(__xludf.DUMMYFUNCTION("""COMPUTED_VALUE"""),87.1)</f>
        <v>87.1</v>
      </c>
      <c r="C3792" s="1">
        <f>IFERROR(__xludf.DUMMYFUNCTION("""COMPUTED_VALUE"""),87.21)</f>
        <v>87.21</v>
      </c>
      <c r="D3792" s="1">
        <f>IFERROR(__xludf.DUMMYFUNCTION("""COMPUTED_VALUE"""),86.02)</f>
        <v>86.02</v>
      </c>
      <c r="E3792" s="1">
        <f>IFERROR(__xludf.DUMMYFUNCTION("""COMPUTED_VALUE"""),86.49)</f>
        <v>86.49</v>
      </c>
      <c r="F3792" s="1">
        <f>IFERROR(__xludf.DUMMYFUNCTION("""COMPUTED_VALUE"""),1.4417363E7)</f>
        <v>14417363</v>
      </c>
    </row>
    <row r="3793">
      <c r="A3793" s="2">
        <f>IFERROR(__xludf.DUMMYFUNCTION("""COMPUTED_VALUE"""),42032.66666666667)</f>
        <v>42032.66667</v>
      </c>
      <c r="B3793" s="1">
        <f>IFERROR(__xludf.DUMMYFUNCTION("""COMPUTED_VALUE"""),86.63)</f>
        <v>86.63</v>
      </c>
      <c r="C3793" s="1">
        <f>IFERROR(__xludf.DUMMYFUNCTION("""COMPUTED_VALUE"""),86.91)</f>
        <v>86.91</v>
      </c>
      <c r="D3793" s="1">
        <f>IFERROR(__xludf.DUMMYFUNCTION("""COMPUTED_VALUE"""),85.01)</f>
        <v>85.01</v>
      </c>
      <c r="E3793" s="1">
        <f>IFERROR(__xludf.DUMMYFUNCTION("""COMPUTED_VALUE"""),85.15)</f>
        <v>85.15</v>
      </c>
      <c r="F3793" s="1">
        <f>IFERROR(__xludf.DUMMYFUNCTION("""COMPUTED_VALUE"""),1.403342E7)</f>
        <v>14033420</v>
      </c>
    </row>
    <row r="3794">
      <c r="A3794" s="2">
        <f>IFERROR(__xludf.DUMMYFUNCTION("""COMPUTED_VALUE"""),42033.66666666667)</f>
        <v>42033.66667</v>
      </c>
      <c r="B3794" s="1">
        <f>IFERROR(__xludf.DUMMYFUNCTION("""COMPUTED_VALUE"""),85.78)</f>
        <v>85.78</v>
      </c>
      <c r="C3794" s="1">
        <f>IFERROR(__xludf.DUMMYFUNCTION("""COMPUTED_VALUE"""),86.11)</f>
        <v>86.11</v>
      </c>
      <c r="D3794" s="1">
        <f>IFERROR(__xludf.DUMMYFUNCTION("""COMPUTED_VALUE"""),85.15)</f>
        <v>85.15</v>
      </c>
      <c r="E3794" s="1">
        <f>IFERROR(__xludf.DUMMYFUNCTION("""COMPUTED_VALUE"""),85.67)</f>
        <v>85.67</v>
      </c>
      <c r="F3794" s="1">
        <f>IFERROR(__xludf.DUMMYFUNCTION("""COMPUTED_VALUE"""),1.2054601E7)</f>
        <v>12054601</v>
      </c>
    </row>
    <row r="3795">
      <c r="A3795" s="2">
        <f>IFERROR(__xludf.DUMMYFUNCTION("""COMPUTED_VALUE"""),42034.66666666667)</f>
        <v>42034.66667</v>
      </c>
      <c r="B3795" s="1">
        <f>IFERROR(__xludf.DUMMYFUNCTION("""COMPUTED_VALUE"""),85.09)</f>
        <v>85.09</v>
      </c>
      <c r="C3795" s="1">
        <f>IFERROR(__xludf.DUMMYFUNCTION("""COMPUTED_VALUE"""),85.22)</f>
        <v>85.22</v>
      </c>
      <c r="D3795" s="1">
        <f>IFERROR(__xludf.DUMMYFUNCTION("""COMPUTED_VALUE"""),84.25)</f>
        <v>84.25</v>
      </c>
      <c r="E3795" s="1">
        <f>IFERROR(__xludf.DUMMYFUNCTION("""COMPUTED_VALUE"""),84.29)</f>
        <v>84.29</v>
      </c>
      <c r="F3795" s="1">
        <f>IFERROR(__xludf.DUMMYFUNCTION("""COMPUTED_VALUE"""),1.468525E7)</f>
        <v>14685250</v>
      </c>
    </row>
    <row r="3796">
      <c r="A3796" s="2">
        <f>IFERROR(__xludf.DUMMYFUNCTION("""COMPUTED_VALUE"""),42037.66666666667)</f>
        <v>42037.66667</v>
      </c>
      <c r="B3796" s="1">
        <f>IFERROR(__xludf.DUMMYFUNCTION("""COMPUTED_VALUE"""),84.58)</f>
        <v>84.58</v>
      </c>
      <c r="C3796" s="1">
        <f>IFERROR(__xludf.DUMMYFUNCTION("""COMPUTED_VALUE"""),85.14)</f>
        <v>85.14</v>
      </c>
      <c r="D3796" s="1">
        <f>IFERROR(__xludf.DUMMYFUNCTION("""COMPUTED_VALUE"""),83.68)</f>
        <v>83.68</v>
      </c>
      <c r="E3796" s="1">
        <f>IFERROR(__xludf.DUMMYFUNCTION("""COMPUTED_VALUE"""),85.12)</f>
        <v>85.12</v>
      </c>
      <c r="F3796" s="1">
        <f>IFERROR(__xludf.DUMMYFUNCTION("""COMPUTED_VALUE"""),1.0278739E7)</f>
        <v>10278739</v>
      </c>
    </row>
    <row r="3797">
      <c r="A3797" s="2">
        <f>IFERROR(__xludf.DUMMYFUNCTION("""COMPUTED_VALUE"""),42038.66666666667)</f>
        <v>42038.66667</v>
      </c>
      <c r="B3797" s="1">
        <f>IFERROR(__xludf.DUMMYFUNCTION("""COMPUTED_VALUE"""),85.95)</f>
        <v>85.95</v>
      </c>
      <c r="C3797" s="1">
        <f>IFERROR(__xludf.DUMMYFUNCTION("""COMPUTED_VALUE"""),86.0)</f>
        <v>86</v>
      </c>
      <c r="D3797" s="1">
        <f>IFERROR(__xludf.DUMMYFUNCTION("""COMPUTED_VALUE"""),85.12)</f>
        <v>85.12</v>
      </c>
      <c r="E3797" s="1">
        <f>IFERROR(__xludf.DUMMYFUNCTION("""COMPUTED_VALUE"""),85.95)</f>
        <v>85.95</v>
      </c>
      <c r="F3797" s="1">
        <f>IFERROR(__xludf.DUMMYFUNCTION("""COMPUTED_VALUE"""),1.0747897E7)</f>
        <v>10747897</v>
      </c>
    </row>
    <row r="3798">
      <c r="A3798" s="2">
        <f>IFERROR(__xludf.DUMMYFUNCTION("""COMPUTED_VALUE"""),42039.66666666667)</f>
        <v>42039.66667</v>
      </c>
      <c r="B3798" s="1">
        <f>IFERROR(__xludf.DUMMYFUNCTION("""COMPUTED_VALUE"""),85.89)</f>
        <v>85.89</v>
      </c>
      <c r="C3798" s="1">
        <f>IFERROR(__xludf.DUMMYFUNCTION("""COMPUTED_VALUE"""),86.48)</f>
        <v>86.48</v>
      </c>
      <c r="D3798" s="1">
        <f>IFERROR(__xludf.DUMMYFUNCTION("""COMPUTED_VALUE"""),85.55)</f>
        <v>85.55</v>
      </c>
      <c r="E3798" s="1">
        <f>IFERROR(__xludf.DUMMYFUNCTION("""COMPUTED_VALUE"""),85.79)</f>
        <v>85.79</v>
      </c>
      <c r="F3798" s="1">
        <f>IFERROR(__xludf.DUMMYFUNCTION("""COMPUTED_VALUE"""),9212785.0)</f>
        <v>9212785</v>
      </c>
    </row>
    <row r="3799">
      <c r="A3799" s="2">
        <f>IFERROR(__xludf.DUMMYFUNCTION("""COMPUTED_VALUE"""),42040.66666666667)</f>
        <v>42040.66667</v>
      </c>
      <c r="B3799" s="1">
        <f>IFERROR(__xludf.DUMMYFUNCTION("""COMPUTED_VALUE"""),86.24)</f>
        <v>86.24</v>
      </c>
      <c r="C3799" s="1">
        <f>IFERROR(__xludf.DUMMYFUNCTION("""COMPUTED_VALUE"""),86.78)</f>
        <v>86.78</v>
      </c>
      <c r="D3799" s="1">
        <f>IFERROR(__xludf.DUMMYFUNCTION("""COMPUTED_VALUE"""),86.1)</f>
        <v>86.1</v>
      </c>
      <c r="E3799" s="1">
        <f>IFERROR(__xludf.DUMMYFUNCTION("""COMPUTED_VALUE"""),86.7)</f>
        <v>86.7</v>
      </c>
      <c r="F3799" s="1">
        <f>IFERROR(__xludf.DUMMYFUNCTION("""COMPUTED_VALUE"""),6531298.0)</f>
        <v>6531298</v>
      </c>
    </row>
    <row r="3800">
      <c r="A3800" s="2">
        <f>IFERROR(__xludf.DUMMYFUNCTION("""COMPUTED_VALUE"""),42041.66666666667)</f>
        <v>42041.66667</v>
      </c>
      <c r="B3800" s="1">
        <f>IFERROR(__xludf.DUMMYFUNCTION("""COMPUTED_VALUE"""),86.56)</f>
        <v>86.56</v>
      </c>
      <c r="C3800" s="1">
        <f>IFERROR(__xludf.DUMMYFUNCTION("""COMPUTED_VALUE"""),86.61)</f>
        <v>86.61</v>
      </c>
      <c r="D3800" s="1">
        <f>IFERROR(__xludf.DUMMYFUNCTION("""COMPUTED_VALUE"""),85.15)</f>
        <v>85.15</v>
      </c>
      <c r="E3800" s="1">
        <f>IFERROR(__xludf.DUMMYFUNCTION("""COMPUTED_VALUE"""),85.61)</f>
        <v>85.61</v>
      </c>
      <c r="F3800" s="1">
        <f>IFERROR(__xludf.DUMMYFUNCTION("""COMPUTED_VALUE"""),8429773.0)</f>
        <v>8429773</v>
      </c>
    </row>
    <row r="3801">
      <c r="A3801" s="2">
        <f>IFERROR(__xludf.DUMMYFUNCTION("""COMPUTED_VALUE"""),42044.66666666667)</f>
        <v>42044.66667</v>
      </c>
      <c r="B3801" s="1">
        <f>IFERROR(__xludf.DUMMYFUNCTION("""COMPUTED_VALUE"""),85.31)</f>
        <v>85.31</v>
      </c>
      <c r="C3801" s="1">
        <f>IFERROR(__xludf.DUMMYFUNCTION("""COMPUTED_VALUE"""),85.43)</f>
        <v>85.43</v>
      </c>
      <c r="D3801" s="1">
        <f>IFERROR(__xludf.DUMMYFUNCTION("""COMPUTED_VALUE"""),84.59)</f>
        <v>84.59</v>
      </c>
      <c r="E3801" s="1">
        <f>IFERROR(__xludf.DUMMYFUNCTION("""COMPUTED_VALUE"""),85.05)</f>
        <v>85.05</v>
      </c>
      <c r="F3801" s="1">
        <f>IFERROR(__xludf.DUMMYFUNCTION("""COMPUTED_VALUE"""),8811512.0)</f>
        <v>8811512</v>
      </c>
    </row>
    <row r="3802">
      <c r="A3802" s="2">
        <f>IFERROR(__xludf.DUMMYFUNCTION("""COMPUTED_VALUE"""),42045.66666666667)</f>
        <v>42045.66667</v>
      </c>
      <c r="B3802" s="1">
        <f>IFERROR(__xludf.DUMMYFUNCTION("""COMPUTED_VALUE"""),85.33)</f>
        <v>85.33</v>
      </c>
      <c r="C3802" s="1">
        <f>IFERROR(__xludf.DUMMYFUNCTION("""COMPUTED_VALUE"""),85.57)</f>
        <v>85.57</v>
      </c>
      <c r="D3802" s="1">
        <f>IFERROR(__xludf.DUMMYFUNCTION("""COMPUTED_VALUE"""),84.82)</f>
        <v>84.82</v>
      </c>
      <c r="E3802" s="1">
        <f>IFERROR(__xludf.DUMMYFUNCTION("""COMPUTED_VALUE"""),85.39)</f>
        <v>85.39</v>
      </c>
      <c r="F3802" s="1">
        <f>IFERROR(__xludf.DUMMYFUNCTION("""COMPUTED_VALUE"""),7059632.0)</f>
        <v>7059632</v>
      </c>
    </row>
    <row r="3803">
      <c r="A3803" s="2">
        <f>IFERROR(__xludf.DUMMYFUNCTION("""COMPUTED_VALUE"""),42046.66666666667)</f>
        <v>42046.66667</v>
      </c>
      <c r="B3803" s="1">
        <f>IFERROR(__xludf.DUMMYFUNCTION("""COMPUTED_VALUE"""),85.95)</f>
        <v>85.95</v>
      </c>
      <c r="C3803" s="1">
        <f>IFERROR(__xludf.DUMMYFUNCTION("""COMPUTED_VALUE"""),86.2)</f>
        <v>86.2</v>
      </c>
      <c r="D3803" s="1">
        <f>IFERROR(__xludf.DUMMYFUNCTION("""COMPUTED_VALUE"""),85.14)</f>
        <v>85.14</v>
      </c>
      <c r="E3803" s="1">
        <f>IFERROR(__xludf.DUMMYFUNCTION("""COMPUTED_VALUE"""),85.64)</f>
        <v>85.64</v>
      </c>
      <c r="F3803" s="1">
        <f>IFERROR(__xludf.DUMMYFUNCTION("""COMPUTED_VALUE"""),7184577.0)</f>
        <v>7184577</v>
      </c>
    </row>
    <row r="3804">
      <c r="A3804" s="2">
        <f>IFERROR(__xludf.DUMMYFUNCTION("""COMPUTED_VALUE"""),42047.66666666667)</f>
        <v>42047.66667</v>
      </c>
      <c r="B3804" s="1">
        <f>IFERROR(__xludf.DUMMYFUNCTION("""COMPUTED_VALUE"""),86.06)</f>
        <v>86.06</v>
      </c>
      <c r="C3804" s="1">
        <f>IFERROR(__xludf.DUMMYFUNCTION("""COMPUTED_VALUE"""),86.15)</f>
        <v>86.15</v>
      </c>
      <c r="D3804" s="1">
        <f>IFERROR(__xludf.DUMMYFUNCTION("""COMPUTED_VALUE"""),85.41)</f>
        <v>85.41</v>
      </c>
      <c r="E3804" s="1">
        <f>IFERROR(__xludf.DUMMYFUNCTION("""COMPUTED_VALUE"""),86.03)</f>
        <v>86.03</v>
      </c>
      <c r="F3804" s="1">
        <f>IFERROR(__xludf.DUMMYFUNCTION("""COMPUTED_VALUE"""),6074566.0)</f>
        <v>6074566</v>
      </c>
    </row>
    <row r="3805">
      <c r="A3805" s="2">
        <f>IFERROR(__xludf.DUMMYFUNCTION("""COMPUTED_VALUE"""),42048.66666666667)</f>
        <v>42048.66667</v>
      </c>
      <c r="B3805" s="1">
        <f>IFERROR(__xludf.DUMMYFUNCTION("""COMPUTED_VALUE"""),86.03)</f>
        <v>86.03</v>
      </c>
      <c r="C3805" s="1">
        <f>IFERROR(__xludf.DUMMYFUNCTION("""COMPUTED_VALUE"""),86.15)</f>
        <v>86.15</v>
      </c>
      <c r="D3805" s="1">
        <f>IFERROR(__xludf.DUMMYFUNCTION("""COMPUTED_VALUE"""),85.5)</f>
        <v>85.5</v>
      </c>
      <c r="E3805" s="1">
        <f>IFERROR(__xludf.DUMMYFUNCTION("""COMPUTED_VALUE"""),85.9)</f>
        <v>85.9</v>
      </c>
      <c r="F3805" s="1">
        <f>IFERROR(__xludf.DUMMYFUNCTION("""COMPUTED_VALUE"""),6272049.0)</f>
        <v>6272049</v>
      </c>
    </row>
    <row r="3806">
      <c r="A3806" s="2">
        <f>IFERROR(__xludf.DUMMYFUNCTION("""COMPUTED_VALUE"""),42052.66666666667)</f>
        <v>42052.66667</v>
      </c>
      <c r="B3806" s="1">
        <f>IFERROR(__xludf.DUMMYFUNCTION("""COMPUTED_VALUE"""),86.06)</f>
        <v>86.06</v>
      </c>
      <c r="C3806" s="1">
        <f>IFERROR(__xludf.DUMMYFUNCTION("""COMPUTED_VALUE"""),86.06)</f>
        <v>86.06</v>
      </c>
      <c r="D3806" s="1">
        <f>IFERROR(__xludf.DUMMYFUNCTION("""COMPUTED_VALUE"""),85.0)</f>
        <v>85</v>
      </c>
      <c r="E3806" s="1">
        <f>IFERROR(__xludf.DUMMYFUNCTION("""COMPUTED_VALUE"""),85.49)</f>
        <v>85.49</v>
      </c>
      <c r="F3806" s="1">
        <f>IFERROR(__xludf.DUMMYFUNCTION("""COMPUTED_VALUE"""),1.0310422E7)</f>
        <v>10310422</v>
      </c>
    </row>
    <row r="3807">
      <c r="A3807" s="2">
        <f>IFERROR(__xludf.DUMMYFUNCTION("""COMPUTED_VALUE"""),42053.66666666667)</f>
        <v>42053.66667</v>
      </c>
      <c r="B3807" s="1">
        <f>IFERROR(__xludf.DUMMYFUNCTION("""COMPUTED_VALUE"""),85.76)</f>
        <v>85.76</v>
      </c>
      <c r="C3807" s="1">
        <f>IFERROR(__xludf.DUMMYFUNCTION("""COMPUTED_VALUE"""),86.39)</f>
        <v>86.39</v>
      </c>
      <c r="D3807" s="1">
        <f>IFERROR(__xludf.DUMMYFUNCTION("""COMPUTED_VALUE"""),85.52)</f>
        <v>85.52</v>
      </c>
      <c r="E3807" s="1">
        <f>IFERROR(__xludf.DUMMYFUNCTION("""COMPUTED_VALUE"""),86.26)</f>
        <v>86.26</v>
      </c>
      <c r="F3807" s="1">
        <f>IFERROR(__xludf.DUMMYFUNCTION("""COMPUTED_VALUE"""),8132286.0)</f>
        <v>8132286</v>
      </c>
    </row>
    <row r="3808">
      <c r="A3808" s="2">
        <f>IFERROR(__xludf.DUMMYFUNCTION("""COMPUTED_VALUE"""),42054.66666666667)</f>
        <v>42054.66667</v>
      </c>
      <c r="B3808" s="1">
        <f>IFERROR(__xludf.DUMMYFUNCTION("""COMPUTED_VALUE"""),86.11)</f>
        <v>86.11</v>
      </c>
      <c r="C3808" s="1">
        <f>IFERROR(__xludf.DUMMYFUNCTION("""COMPUTED_VALUE"""),86.3)</f>
        <v>86.3</v>
      </c>
      <c r="D3808" s="1">
        <f>IFERROR(__xludf.DUMMYFUNCTION("""COMPUTED_VALUE"""),85.05)</f>
        <v>85.05</v>
      </c>
      <c r="E3808" s="1">
        <f>IFERROR(__xludf.DUMMYFUNCTION("""COMPUTED_VALUE"""),85.21)</f>
        <v>85.21</v>
      </c>
      <c r="F3808" s="1">
        <f>IFERROR(__xludf.DUMMYFUNCTION("""COMPUTED_VALUE"""),7271618.0)</f>
        <v>7271618</v>
      </c>
    </row>
    <row r="3809">
      <c r="A3809" s="2">
        <f>IFERROR(__xludf.DUMMYFUNCTION("""COMPUTED_VALUE"""),42055.66666666667)</f>
        <v>42055.66667</v>
      </c>
      <c r="B3809" s="1">
        <f>IFERROR(__xludf.DUMMYFUNCTION("""COMPUTED_VALUE"""),84.95)</f>
        <v>84.95</v>
      </c>
      <c r="C3809" s="1">
        <f>IFERROR(__xludf.DUMMYFUNCTION("""COMPUTED_VALUE"""),85.05)</f>
        <v>85.05</v>
      </c>
      <c r="D3809" s="1">
        <f>IFERROR(__xludf.DUMMYFUNCTION("""COMPUTED_VALUE"""),84.19)</f>
        <v>84.19</v>
      </c>
      <c r="E3809" s="1">
        <f>IFERROR(__xludf.DUMMYFUNCTION("""COMPUTED_VALUE"""),84.87)</f>
        <v>84.87</v>
      </c>
      <c r="F3809" s="1">
        <f>IFERROR(__xludf.DUMMYFUNCTION("""COMPUTED_VALUE"""),9581338.0)</f>
        <v>9581338</v>
      </c>
    </row>
    <row r="3810">
      <c r="A3810" s="2">
        <f>IFERROR(__xludf.DUMMYFUNCTION("""COMPUTED_VALUE"""),42058.66666666667)</f>
        <v>42058.66667</v>
      </c>
      <c r="B3810" s="1">
        <f>IFERROR(__xludf.DUMMYFUNCTION("""COMPUTED_VALUE"""),84.96)</f>
        <v>84.96</v>
      </c>
      <c r="C3810" s="1">
        <f>IFERROR(__xludf.DUMMYFUNCTION("""COMPUTED_VALUE"""),85.5)</f>
        <v>85.5</v>
      </c>
      <c r="D3810" s="1">
        <f>IFERROR(__xludf.DUMMYFUNCTION("""COMPUTED_VALUE"""),84.65)</f>
        <v>84.65</v>
      </c>
      <c r="E3810" s="1">
        <f>IFERROR(__xludf.DUMMYFUNCTION("""COMPUTED_VALUE"""),85.39)</f>
        <v>85.39</v>
      </c>
      <c r="F3810" s="1">
        <f>IFERROR(__xludf.DUMMYFUNCTION("""COMPUTED_VALUE"""),7919155.0)</f>
        <v>7919155</v>
      </c>
    </row>
    <row r="3811">
      <c r="A3811" s="2">
        <f>IFERROR(__xludf.DUMMYFUNCTION("""COMPUTED_VALUE"""),42059.66666666667)</f>
        <v>42059.66667</v>
      </c>
      <c r="B3811" s="1">
        <f>IFERROR(__xludf.DUMMYFUNCTION("""COMPUTED_VALUE"""),85.51)</f>
        <v>85.51</v>
      </c>
      <c r="C3811" s="1">
        <f>IFERROR(__xludf.DUMMYFUNCTION("""COMPUTED_VALUE"""),85.74)</f>
        <v>85.74</v>
      </c>
      <c r="D3811" s="1">
        <f>IFERROR(__xludf.DUMMYFUNCTION("""COMPUTED_VALUE"""),85.01)</f>
        <v>85.01</v>
      </c>
      <c r="E3811" s="1">
        <f>IFERROR(__xludf.DUMMYFUNCTION("""COMPUTED_VALUE"""),85.5)</f>
        <v>85.5</v>
      </c>
      <c r="F3811" s="1">
        <f>IFERROR(__xludf.DUMMYFUNCTION("""COMPUTED_VALUE"""),6502170.0)</f>
        <v>6502170</v>
      </c>
    </row>
    <row r="3812">
      <c r="A3812" s="2">
        <f>IFERROR(__xludf.DUMMYFUNCTION("""COMPUTED_VALUE"""),42060.66666666667)</f>
        <v>42060.66667</v>
      </c>
      <c r="B3812" s="1">
        <f>IFERROR(__xludf.DUMMYFUNCTION("""COMPUTED_VALUE"""),85.7)</f>
        <v>85.7</v>
      </c>
      <c r="C3812" s="1">
        <f>IFERROR(__xludf.DUMMYFUNCTION("""COMPUTED_VALUE"""),85.8)</f>
        <v>85.8</v>
      </c>
      <c r="D3812" s="1">
        <f>IFERROR(__xludf.DUMMYFUNCTION("""COMPUTED_VALUE"""),85.24)</f>
        <v>85.24</v>
      </c>
      <c r="E3812" s="1">
        <f>IFERROR(__xludf.DUMMYFUNCTION("""COMPUTED_VALUE"""),85.46)</f>
        <v>85.46</v>
      </c>
      <c r="F3812" s="1">
        <f>IFERROR(__xludf.DUMMYFUNCTION("""COMPUTED_VALUE"""),5975834.0)</f>
        <v>5975834</v>
      </c>
    </row>
    <row r="3813">
      <c r="A3813" s="2">
        <f>IFERROR(__xludf.DUMMYFUNCTION("""COMPUTED_VALUE"""),42061.66666666667)</f>
        <v>42061.66667</v>
      </c>
      <c r="B3813" s="1">
        <f>IFERROR(__xludf.DUMMYFUNCTION("""COMPUTED_VALUE"""),85.42)</f>
        <v>85.42</v>
      </c>
      <c r="C3813" s="1">
        <f>IFERROR(__xludf.DUMMYFUNCTION("""COMPUTED_VALUE"""),85.76)</f>
        <v>85.76</v>
      </c>
      <c r="D3813" s="1">
        <f>IFERROR(__xludf.DUMMYFUNCTION("""COMPUTED_VALUE"""),84.89)</f>
        <v>84.89</v>
      </c>
      <c r="E3813" s="1">
        <f>IFERROR(__xludf.DUMMYFUNCTION("""COMPUTED_VALUE"""),85.17)</f>
        <v>85.17</v>
      </c>
      <c r="F3813" s="1">
        <f>IFERROR(__xludf.DUMMYFUNCTION("""COMPUTED_VALUE"""),7964477.0)</f>
        <v>7964477</v>
      </c>
    </row>
    <row r="3814">
      <c r="A3814" s="2">
        <f>IFERROR(__xludf.DUMMYFUNCTION("""COMPUTED_VALUE"""),42062.66666666667)</f>
        <v>42062.66667</v>
      </c>
      <c r="B3814" s="1">
        <f>IFERROR(__xludf.DUMMYFUNCTION("""COMPUTED_VALUE"""),85.02)</f>
        <v>85.02</v>
      </c>
      <c r="C3814" s="1">
        <f>IFERROR(__xludf.DUMMYFUNCTION("""COMPUTED_VALUE"""),85.38)</f>
        <v>85.38</v>
      </c>
      <c r="D3814" s="1">
        <f>IFERROR(__xludf.DUMMYFUNCTION("""COMPUTED_VALUE"""),84.57)</f>
        <v>84.57</v>
      </c>
      <c r="E3814" s="1">
        <f>IFERROR(__xludf.DUMMYFUNCTION("""COMPUTED_VALUE"""),85.13)</f>
        <v>85.13</v>
      </c>
      <c r="F3814" s="1">
        <f>IFERROR(__xludf.DUMMYFUNCTION("""COMPUTED_VALUE"""),7685024.0)</f>
        <v>7685024</v>
      </c>
    </row>
    <row r="3815">
      <c r="A3815" s="2">
        <f>IFERROR(__xludf.DUMMYFUNCTION("""COMPUTED_VALUE"""),42065.66666666667)</f>
        <v>42065.66667</v>
      </c>
      <c r="B3815" s="1">
        <f>IFERROR(__xludf.DUMMYFUNCTION("""COMPUTED_VALUE"""),85.02)</f>
        <v>85.02</v>
      </c>
      <c r="C3815" s="1">
        <f>IFERROR(__xludf.DUMMYFUNCTION("""COMPUTED_VALUE"""),85.41)</f>
        <v>85.41</v>
      </c>
      <c r="D3815" s="1">
        <f>IFERROR(__xludf.DUMMYFUNCTION("""COMPUTED_VALUE"""),84.84)</f>
        <v>84.84</v>
      </c>
      <c r="E3815" s="1">
        <f>IFERROR(__xludf.DUMMYFUNCTION("""COMPUTED_VALUE"""),85.41)</f>
        <v>85.41</v>
      </c>
      <c r="F3815" s="1">
        <f>IFERROR(__xludf.DUMMYFUNCTION("""COMPUTED_VALUE"""),7235172.0)</f>
        <v>7235172</v>
      </c>
    </row>
    <row r="3816">
      <c r="A3816" s="2">
        <f>IFERROR(__xludf.DUMMYFUNCTION("""COMPUTED_VALUE"""),42066.66666666667)</f>
        <v>42066.66667</v>
      </c>
      <c r="B3816" s="1">
        <f>IFERROR(__xludf.DUMMYFUNCTION("""COMPUTED_VALUE"""),85.35)</f>
        <v>85.35</v>
      </c>
      <c r="C3816" s="1">
        <f>IFERROR(__xludf.DUMMYFUNCTION("""COMPUTED_VALUE"""),85.44)</f>
        <v>85.44</v>
      </c>
      <c r="D3816" s="1">
        <f>IFERROR(__xludf.DUMMYFUNCTION("""COMPUTED_VALUE"""),84.54)</f>
        <v>84.54</v>
      </c>
      <c r="E3816" s="1">
        <f>IFERROR(__xludf.DUMMYFUNCTION("""COMPUTED_VALUE"""),85.16)</f>
        <v>85.16</v>
      </c>
      <c r="F3816" s="1">
        <f>IFERROR(__xludf.DUMMYFUNCTION("""COMPUTED_VALUE"""),6095591.0)</f>
        <v>6095591</v>
      </c>
    </row>
    <row r="3817">
      <c r="A3817" s="2">
        <f>IFERROR(__xludf.DUMMYFUNCTION("""COMPUTED_VALUE"""),42067.66666666667)</f>
        <v>42067.66667</v>
      </c>
      <c r="B3817" s="1">
        <f>IFERROR(__xludf.DUMMYFUNCTION("""COMPUTED_VALUE"""),85.04)</f>
        <v>85.04</v>
      </c>
      <c r="C3817" s="1">
        <f>IFERROR(__xludf.DUMMYFUNCTION("""COMPUTED_VALUE"""),85.24)</f>
        <v>85.24</v>
      </c>
      <c r="D3817" s="1">
        <f>IFERROR(__xludf.DUMMYFUNCTION("""COMPUTED_VALUE"""),84.21)</f>
        <v>84.21</v>
      </c>
      <c r="E3817" s="1">
        <f>IFERROR(__xludf.DUMMYFUNCTION("""COMPUTED_VALUE"""),84.35)</f>
        <v>84.35</v>
      </c>
      <c r="F3817" s="1">
        <f>IFERROR(__xludf.DUMMYFUNCTION("""COMPUTED_VALUE"""),7369986.0)</f>
        <v>7369986</v>
      </c>
    </row>
    <row r="3818">
      <c r="A3818" s="2">
        <f>IFERROR(__xludf.DUMMYFUNCTION("""COMPUTED_VALUE"""),42068.66666666667)</f>
        <v>42068.66667</v>
      </c>
      <c r="B3818" s="1">
        <f>IFERROR(__xludf.DUMMYFUNCTION("""COMPUTED_VALUE"""),84.62)</f>
        <v>84.62</v>
      </c>
      <c r="C3818" s="1">
        <f>IFERROR(__xludf.DUMMYFUNCTION("""COMPUTED_VALUE"""),84.76)</f>
        <v>84.76</v>
      </c>
      <c r="D3818" s="1">
        <f>IFERROR(__xludf.DUMMYFUNCTION("""COMPUTED_VALUE"""),84.09)</f>
        <v>84.09</v>
      </c>
      <c r="E3818" s="1">
        <f>IFERROR(__xludf.DUMMYFUNCTION("""COMPUTED_VALUE"""),84.63)</f>
        <v>84.63</v>
      </c>
      <c r="F3818" s="1">
        <f>IFERROR(__xludf.DUMMYFUNCTION("""COMPUTED_VALUE"""),5914196.0)</f>
        <v>5914196</v>
      </c>
    </row>
    <row r="3819">
      <c r="A3819" s="2">
        <f>IFERROR(__xludf.DUMMYFUNCTION("""COMPUTED_VALUE"""),42069.66666666667)</f>
        <v>42069.66667</v>
      </c>
      <c r="B3819" s="1">
        <f>IFERROR(__xludf.DUMMYFUNCTION("""COMPUTED_VALUE"""),84.34)</f>
        <v>84.34</v>
      </c>
      <c r="C3819" s="1">
        <f>IFERROR(__xludf.DUMMYFUNCTION("""COMPUTED_VALUE"""),84.37)</f>
        <v>84.37</v>
      </c>
      <c r="D3819" s="1">
        <f>IFERROR(__xludf.DUMMYFUNCTION("""COMPUTED_VALUE"""),82.37)</f>
        <v>82.37</v>
      </c>
      <c r="E3819" s="1">
        <f>IFERROR(__xludf.DUMMYFUNCTION("""COMPUTED_VALUE"""),82.66)</f>
        <v>82.66</v>
      </c>
      <c r="F3819" s="1">
        <f>IFERROR(__xludf.DUMMYFUNCTION("""COMPUTED_VALUE"""),1.1338662E7)</f>
        <v>11338662</v>
      </c>
    </row>
    <row r="3820">
      <c r="A3820" s="2">
        <f>IFERROR(__xludf.DUMMYFUNCTION("""COMPUTED_VALUE"""),42072.66666666667)</f>
        <v>42072.66667</v>
      </c>
      <c r="B3820" s="1">
        <f>IFERROR(__xludf.DUMMYFUNCTION("""COMPUTED_VALUE"""),82.79)</f>
        <v>82.79</v>
      </c>
      <c r="C3820" s="1">
        <f>IFERROR(__xludf.DUMMYFUNCTION("""COMPUTED_VALUE"""),83.21)</f>
        <v>83.21</v>
      </c>
      <c r="D3820" s="1">
        <f>IFERROR(__xludf.DUMMYFUNCTION("""COMPUTED_VALUE"""),82.68)</f>
        <v>82.68</v>
      </c>
      <c r="E3820" s="1">
        <f>IFERROR(__xludf.DUMMYFUNCTION("""COMPUTED_VALUE"""),83.09)</f>
        <v>83.09</v>
      </c>
      <c r="F3820" s="1">
        <f>IFERROR(__xludf.DUMMYFUNCTION("""COMPUTED_VALUE"""),7326705.0)</f>
        <v>7326705</v>
      </c>
    </row>
    <row r="3821">
      <c r="A3821" s="2">
        <f>IFERROR(__xludf.DUMMYFUNCTION("""COMPUTED_VALUE"""),42073.66666666667)</f>
        <v>42073.66667</v>
      </c>
      <c r="B3821" s="1">
        <f>IFERROR(__xludf.DUMMYFUNCTION("""COMPUTED_VALUE"""),82.47)</f>
        <v>82.47</v>
      </c>
      <c r="C3821" s="1">
        <f>IFERROR(__xludf.DUMMYFUNCTION("""COMPUTED_VALUE"""),82.88)</f>
        <v>82.88</v>
      </c>
      <c r="D3821" s="1">
        <f>IFERROR(__xludf.DUMMYFUNCTION("""COMPUTED_VALUE"""),81.54)</f>
        <v>81.54</v>
      </c>
      <c r="E3821" s="1">
        <f>IFERROR(__xludf.DUMMYFUNCTION("""COMPUTED_VALUE"""),81.54)</f>
        <v>81.54</v>
      </c>
      <c r="F3821" s="1">
        <f>IFERROR(__xludf.DUMMYFUNCTION("""COMPUTED_VALUE"""),9681031.0)</f>
        <v>9681031</v>
      </c>
    </row>
    <row r="3822">
      <c r="A3822" s="2">
        <f>IFERROR(__xludf.DUMMYFUNCTION("""COMPUTED_VALUE"""),42074.66666666667)</f>
        <v>42074.66667</v>
      </c>
      <c r="B3822" s="1">
        <f>IFERROR(__xludf.DUMMYFUNCTION("""COMPUTED_VALUE"""),81.53)</f>
        <v>81.53</v>
      </c>
      <c r="C3822" s="1">
        <f>IFERROR(__xludf.DUMMYFUNCTION("""COMPUTED_VALUE"""),81.78)</f>
        <v>81.78</v>
      </c>
      <c r="D3822" s="1">
        <f>IFERROR(__xludf.DUMMYFUNCTION("""COMPUTED_VALUE"""),80.81)</f>
        <v>80.81</v>
      </c>
      <c r="E3822" s="1">
        <f>IFERROR(__xludf.DUMMYFUNCTION("""COMPUTED_VALUE"""),81.39)</f>
        <v>81.39</v>
      </c>
      <c r="F3822" s="1">
        <f>IFERROR(__xludf.DUMMYFUNCTION("""COMPUTED_VALUE"""),1.0066594E7)</f>
        <v>10066594</v>
      </c>
    </row>
    <row r="3823">
      <c r="A3823" s="2">
        <f>IFERROR(__xludf.DUMMYFUNCTION("""COMPUTED_VALUE"""),42075.66666666667)</f>
        <v>42075.66667</v>
      </c>
      <c r="B3823" s="1">
        <f>IFERROR(__xludf.DUMMYFUNCTION("""COMPUTED_VALUE"""),81.59)</f>
        <v>81.59</v>
      </c>
      <c r="C3823" s="1">
        <f>IFERROR(__xludf.DUMMYFUNCTION("""COMPUTED_VALUE"""),82.12)</f>
        <v>82.12</v>
      </c>
      <c r="D3823" s="1">
        <f>IFERROR(__xludf.DUMMYFUNCTION("""COMPUTED_VALUE"""),81.51)</f>
        <v>81.51</v>
      </c>
      <c r="E3823" s="1">
        <f>IFERROR(__xludf.DUMMYFUNCTION("""COMPUTED_VALUE"""),82.09)</f>
        <v>82.09</v>
      </c>
      <c r="F3823" s="1">
        <f>IFERROR(__xludf.DUMMYFUNCTION("""COMPUTED_VALUE"""),6951122.0)</f>
        <v>6951122</v>
      </c>
    </row>
    <row r="3824">
      <c r="A3824" s="2">
        <f>IFERROR(__xludf.DUMMYFUNCTION("""COMPUTED_VALUE"""),42076.66666666667)</f>
        <v>42076.66667</v>
      </c>
      <c r="B3824" s="1">
        <f>IFERROR(__xludf.DUMMYFUNCTION("""COMPUTED_VALUE"""),81.98)</f>
        <v>81.98</v>
      </c>
      <c r="C3824" s="1">
        <f>IFERROR(__xludf.DUMMYFUNCTION("""COMPUTED_VALUE"""),82.28)</f>
        <v>82.28</v>
      </c>
      <c r="D3824" s="1">
        <f>IFERROR(__xludf.DUMMYFUNCTION("""COMPUTED_VALUE"""),81.15)</f>
        <v>81.15</v>
      </c>
      <c r="E3824" s="1">
        <f>IFERROR(__xludf.DUMMYFUNCTION("""COMPUTED_VALUE"""),81.83)</f>
        <v>81.83</v>
      </c>
      <c r="F3824" s="1">
        <f>IFERROR(__xludf.DUMMYFUNCTION("""COMPUTED_VALUE"""),7492548.0)</f>
        <v>7492548</v>
      </c>
    </row>
    <row r="3825">
      <c r="A3825" s="2">
        <f>IFERROR(__xludf.DUMMYFUNCTION("""COMPUTED_VALUE"""),42079.66666666667)</f>
        <v>42079.66667</v>
      </c>
      <c r="B3825" s="1">
        <f>IFERROR(__xludf.DUMMYFUNCTION("""COMPUTED_VALUE"""),82.08)</f>
        <v>82.08</v>
      </c>
      <c r="C3825" s="1">
        <f>IFERROR(__xludf.DUMMYFUNCTION("""COMPUTED_VALUE"""),83.95)</f>
        <v>83.95</v>
      </c>
      <c r="D3825" s="1">
        <f>IFERROR(__xludf.DUMMYFUNCTION("""COMPUTED_VALUE"""),81.99)</f>
        <v>81.99</v>
      </c>
      <c r="E3825" s="1">
        <f>IFERROR(__xludf.DUMMYFUNCTION("""COMPUTED_VALUE"""),83.56)</f>
        <v>83.56</v>
      </c>
      <c r="F3825" s="1">
        <f>IFERROR(__xludf.DUMMYFUNCTION("""COMPUTED_VALUE"""),1.5618241E7)</f>
        <v>15618241</v>
      </c>
    </row>
    <row r="3826">
      <c r="A3826" s="2">
        <f>IFERROR(__xludf.DUMMYFUNCTION("""COMPUTED_VALUE"""),42080.66666666667)</f>
        <v>42080.66667</v>
      </c>
      <c r="B3826" s="1">
        <f>IFERROR(__xludf.DUMMYFUNCTION("""COMPUTED_VALUE"""),83.36)</f>
        <v>83.36</v>
      </c>
      <c r="C3826" s="1">
        <f>IFERROR(__xludf.DUMMYFUNCTION("""COMPUTED_VALUE"""),83.37)</f>
        <v>83.37</v>
      </c>
      <c r="D3826" s="1">
        <f>IFERROR(__xludf.DUMMYFUNCTION("""COMPUTED_VALUE"""),82.43)</f>
        <v>82.43</v>
      </c>
      <c r="E3826" s="1">
        <f>IFERROR(__xludf.DUMMYFUNCTION("""COMPUTED_VALUE"""),82.85)</f>
        <v>82.85</v>
      </c>
      <c r="F3826" s="1">
        <f>IFERROR(__xludf.DUMMYFUNCTION("""COMPUTED_VALUE"""),7509238.0)</f>
        <v>7509238</v>
      </c>
    </row>
    <row r="3827">
      <c r="A3827" s="2">
        <f>IFERROR(__xludf.DUMMYFUNCTION("""COMPUTED_VALUE"""),42081.66666666667)</f>
        <v>42081.66667</v>
      </c>
      <c r="B3827" s="1">
        <f>IFERROR(__xludf.DUMMYFUNCTION("""COMPUTED_VALUE"""),82.86)</f>
        <v>82.86</v>
      </c>
      <c r="C3827" s="1">
        <f>IFERROR(__xludf.DUMMYFUNCTION("""COMPUTED_VALUE"""),84.05)</f>
        <v>84.05</v>
      </c>
      <c r="D3827" s="1">
        <f>IFERROR(__xludf.DUMMYFUNCTION("""COMPUTED_VALUE"""),82.02)</f>
        <v>82.02</v>
      </c>
      <c r="E3827" s="1">
        <f>IFERROR(__xludf.DUMMYFUNCTION("""COMPUTED_VALUE"""),83.75)</f>
        <v>83.75</v>
      </c>
      <c r="F3827" s="1">
        <f>IFERROR(__xludf.DUMMYFUNCTION("""COMPUTED_VALUE"""),1.2607899E7)</f>
        <v>12607899</v>
      </c>
    </row>
    <row r="3828">
      <c r="A3828" s="2">
        <f>IFERROR(__xludf.DUMMYFUNCTION("""COMPUTED_VALUE"""),42082.66666666667)</f>
        <v>42082.66667</v>
      </c>
      <c r="B3828" s="1">
        <f>IFERROR(__xludf.DUMMYFUNCTION("""COMPUTED_VALUE"""),83.46)</f>
        <v>83.46</v>
      </c>
      <c r="C3828" s="1">
        <f>IFERROR(__xludf.DUMMYFUNCTION("""COMPUTED_VALUE"""),83.75)</f>
        <v>83.75</v>
      </c>
      <c r="D3828" s="1">
        <f>IFERROR(__xludf.DUMMYFUNCTION("""COMPUTED_VALUE"""),83.12)</f>
        <v>83.12</v>
      </c>
      <c r="E3828" s="1">
        <f>IFERROR(__xludf.DUMMYFUNCTION("""COMPUTED_VALUE"""),83.38)</f>
        <v>83.38</v>
      </c>
      <c r="F3828" s="1">
        <f>IFERROR(__xludf.DUMMYFUNCTION("""COMPUTED_VALUE"""),9257503.0)</f>
        <v>9257503</v>
      </c>
    </row>
    <row r="3829">
      <c r="A3829" s="2">
        <f>IFERROR(__xludf.DUMMYFUNCTION("""COMPUTED_VALUE"""),42083.66666666667)</f>
        <v>42083.66667</v>
      </c>
      <c r="B3829" s="1">
        <f>IFERROR(__xludf.DUMMYFUNCTION("""COMPUTED_VALUE"""),83.99)</f>
        <v>83.99</v>
      </c>
      <c r="C3829" s="1">
        <f>IFERROR(__xludf.DUMMYFUNCTION("""COMPUTED_VALUE"""),84.79)</f>
        <v>84.79</v>
      </c>
      <c r="D3829" s="1">
        <f>IFERROR(__xludf.DUMMYFUNCTION("""COMPUTED_VALUE"""),83.77)</f>
        <v>83.77</v>
      </c>
      <c r="E3829" s="1">
        <f>IFERROR(__xludf.DUMMYFUNCTION("""COMPUTED_VALUE"""),84.74)</f>
        <v>84.74</v>
      </c>
      <c r="F3829" s="1">
        <f>IFERROR(__xludf.DUMMYFUNCTION("""COMPUTED_VALUE"""),2.2578912E7)</f>
        <v>22578912</v>
      </c>
    </row>
    <row r="3830">
      <c r="A3830" s="2">
        <f>IFERROR(__xludf.DUMMYFUNCTION("""COMPUTED_VALUE"""),42086.66666666667)</f>
        <v>42086.66667</v>
      </c>
      <c r="B3830" s="1">
        <f>IFERROR(__xludf.DUMMYFUNCTION("""COMPUTED_VALUE"""),84.37)</f>
        <v>84.37</v>
      </c>
      <c r="C3830" s="1">
        <f>IFERROR(__xludf.DUMMYFUNCTION("""COMPUTED_VALUE"""),85.05)</f>
        <v>85.05</v>
      </c>
      <c r="D3830" s="1">
        <f>IFERROR(__xludf.DUMMYFUNCTION("""COMPUTED_VALUE"""),84.36)</f>
        <v>84.36</v>
      </c>
      <c r="E3830" s="1">
        <f>IFERROR(__xludf.DUMMYFUNCTION("""COMPUTED_VALUE"""),84.86)</f>
        <v>84.86</v>
      </c>
      <c r="F3830" s="1">
        <f>IFERROR(__xludf.DUMMYFUNCTION("""COMPUTED_VALUE"""),9891106.0)</f>
        <v>9891106</v>
      </c>
    </row>
    <row r="3831">
      <c r="A3831" s="2">
        <f>IFERROR(__xludf.DUMMYFUNCTION("""COMPUTED_VALUE"""),42087.66666666667)</f>
        <v>42087.66667</v>
      </c>
      <c r="B3831" s="1">
        <f>IFERROR(__xludf.DUMMYFUNCTION("""COMPUTED_VALUE"""),84.89)</f>
        <v>84.89</v>
      </c>
      <c r="C3831" s="1">
        <f>IFERROR(__xludf.DUMMYFUNCTION("""COMPUTED_VALUE"""),85.11)</f>
        <v>85.11</v>
      </c>
      <c r="D3831" s="1">
        <f>IFERROR(__xludf.DUMMYFUNCTION("""COMPUTED_VALUE"""),83.87)</f>
        <v>83.87</v>
      </c>
      <c r="E3831" s="1">
        <f>IFERROR(__xludf.DUMMYFUNCTION("""COMPUTED_VALUE"""),83.92)</f>
        <v>83.92</v>
      </c>
      <c r="F3831" s="1">
        <f>IFERROR(__xludf.DUMMYFUNCTION("""COMPUTED_VALUE"""),7478791.0)</f>
        <v>7478791</v>
      </c>
    </row>
    <row r="3832">
      <c r="A3832" s="2">
        <f>IFERROR(__xludf.DUMMYFUNCTION("""COMPUTED_VALUE"""),42088.66666666667)</f>
        <v>42088.66667</v>
      </c>
      <c r="B3832" s="1">
        <f>IFERROR(__xludf.DUMMYFUNCTION("""COMPUTED_VALUE"""),84.37)</f>
        <v>84.37</v>
      </c>
      <c r="C3832" s="1">
        <f>IFERROR(__xludf.DUMMYFUNCTION("""COMPUTED_VALUE"""),84.37)</f>
        <v>84.37</v>
      </c>
      <c r="D3832" s="1">
        <f>IFERROR(__xludf.DUMMYFUNCTION("""COMPUTED_VALUE"""),82.86)</f>
        <v>82.86</v>
      </c>
      <c r="E3832" s="1">
        <f>IFERROR(__xludf.DUMMYFUNCTION("""COMPUTED_VALUE"""),83.01)</f>
        <v>83.01</v>
      </c>
      <c r="F3832" s="1">
        <f>IFERROR(__xludf.DUMMYFUNCTION("""COMPUTED_VALUE"""),8482156.0)</f>
        <v>8482156</v>
      </c>
    </row>
    <row r="3833">
      <c r="A3833" s="2">
        <f>IFERROR(__xludf.DUMMYFUNCTION("""COMPUTED_VALUE"""),42089.66666666667)</f>
        <v>42089.66667</v>
      </c>
      <c r="B3833" s="1">
        <f>IFERROR(__xludf.DUMMYFUNCTION("""COMPUTED_VALUE"""),82.58)</f>
        <v>82.58</v>
      </c>
      <c r="C3833" s="1">
        <f>IFERROR(__xludf.DUMMYFUNCTION("""COMPUTED_VALUE"""),82.61)</f>
        <v>82.61</v>
      </c>
      <c r="D3833" s="1">
        <f>IFERROR(__xludf.DUMMYFUNCTION("""COMPUTED_VALUE"""),81.95)</f>
        <v>81.95</v>
      </c>
      <c r="E3833" s="1">
        <f>IFERROR(__xludf.DUMMYFUNCTION("""COMPUTED_VALUE"""),82.15)</f>
        <v>82.15</v>
      </c>
      <c r="F3833" s="1">
        <f>IFERROR(__xludf.DUMMYFUNCTION("""COMPUTED_VALUE"""),7311649.0)</f>
        <v>7311649</v>
      </c>
    </row>
    <row r="3834">
      <c r="A3834" s="2">
        <f>IFERROR(__xludf.DUMMYFUNCTION("""COMPUTED_VALUE"""),42090.66666666667)</f>
        <v>42090.66667</v>
      </c>
      <c r="B3834" s="1">
        <f>IFERROR(__xludf.DUMMYFUNCTION("""COMPUTED_VALUE"""),82.08)</f>
        <v>82.08</v>
      </c>
      <c r="C3834" s="1">
        <f>IFERROR(__xludf.DUMMYFUNCTION("""COMPUTED_VALUE"""),82.54)</f>
        <v>82.54</v>
      </c>
      <c r="D3834" s="1">
        <f>IFERROR(__xludf.DUMMYFUNCTION("""COMPUTED_VALUE"""),81.99)</f>
        <v>81.99</v>
      </c>
      <c r="E3834" s="1">
        <f>IFERROR(__xludf.DUMMYFUNCTION("""COMPUTED_VALUE"""),82.31)</f>
        <v>82.31</v>
      </c>
      <c r="F3834" s="1">
        <f>IFERROR(__xludf.DUMMYFUNCTION("""COMPUTED_VALUE"""),6441373.0)</f>
        <v>6441373</v>
      </c>
    </row>
    <row r="3835">
      <c r="A3835" s="2">
        <f>IFERROR(__xludf.DUMMYFUNCTION("""COMPUTED_VALUE"""),42093.66666666667)</f>
        <v>42093.66667</v>
      </c>
      <c r="B3835" s="1">
        <f>IFERROR(__xludf.DUMMYFUNCTION("""COMPUTED_VALUE"""),82.26)</f>
        <v>82.26</v>
      </c>
      <c r="C3835" s="1">
        <f>IFERROR(__xludf.DUMMYFUNCTION("""COMPUTED_VALUE"""),82.95)</f>
        <v>82.95</v>
      </c>
      <c r="D3835" s="1">
        <f>IFERROR(__xludf.DUMMYFUNCTION("""COMPUTED_VALUE"""),82.15)</f>
        <v>82.15</v>
      </c>
      <c r="E3835" s="1">
        <f>IFERROR(__xludf.DUMMYFUNCTION("""COMPUTED_VALUE"""),82.72)</f>
        <v>82.72</v>
      </c>
      <c r="F3835" s="1">
        <f>IFERROR(__xludf.DUMMYFUNCTION("""COMPUTED_VALUE"""),6416848.0)</f>
        <v>6416848</v>
      </c>
    </row>
    <row r="3836">
      <c r="A3836" s="2">
        <f>IFERROR(__xludf.DUMMYFUNCTION("""COMPUTED_VALUE"""),42094.66666666667)</f>
        <v>42094.66667</v>
      </c>
      <c r="B3836" s="1">
        <f>IFERROR(__xludf.DUMMYFUNCTION("""COMPUTED_VALUE"""),82.76)</f>
        <v>82.76</v>
      </c>
      <c r="C3836" s="1">
        <f>IFERROR(__xludf.DUMMYFUNCTION("""COMPUTED_VALUE"""),82.93)</f>
        <v>82.93</v>
      </c>
      <c r="D3836" s="1">
        <f>IFERROR(__xludf.DUMMYFUNCTION("""COMPUTED_VALUE"""),81.94)</f>
        <v>81.94</v>
      </c>
      <c r="E3836" s="1">
        <f>IFERROR(__xludf.DUMMYFUNCTION("""COMPUTED_VALUE"""),81.94)</f>
        <v>81.94</v>
      </c>
      <c r="F3836" s="1">
        <f>IFERROR(__xludf.DUMMYFUNCTION("""COMPUTED_VALUE"""),8649407.0)</f>
        <v>8649407</v>
      </c>
    </row>
    <row r="3837">
      <c r="A3837" s="2">
        <f>IFERROR(__xludf.DUMMYFUNCTION("""COMPUTED_VALUE"""),42095.66666666667)</f>
        <v>42095.66667</v>
      </c>
      <c r="B3837" s="1">
        <f>IFERROR(__xludf.DUMMYFUNCTION("""COMPUTED_VALUE"""),82.44)</f>
        <v>82.44</v>
      </c>
      <c r="C3837" s="1">
        <f>IFERROR(__xludf.DUMMYFUNCTION("""COMPUTED_VALUE"""),82.45)</f>
        <v>82.45</v>
      </c>
      <c r="D3837" s="1">
        <f>IFERROR(__xludf.DUMMYFUNCTION("""COMPUTED_VALUE"""),81.45)</f>
        <v>81.45</v>
      </c>
      <c r="E3837" s="1">
        <f>IFERROR(__xludf.DUMMYFUNCTION("""COMPUTED_VALUE"""),82.32)</f>
        <v>82.32</v>
      </c>
      <c r="F3837" s="1">
        <f>IFERROR(__xludf.DUMMYFUNCTION("""COMPUTED_VALUE"""),7395287.0)</f>
        <v>7395287</v>
      </c>
    </row>
    <row r="3838">
      <c r="A3838" s="2">
        <f>IFERROR(__xludf.DUMMYFUNCTION("""COMPUTED_VALUE"""),42096.66666666667)</f>
        <v>42096.66667</v>
      </c>
      <c r="B3838" s="1">
        <f>IFERROR(__xludf.DUMMYFUNCTION("""COMPUTED_VALUE"""),82.17)</f>
        <v>82.17</v>
      </c>
      <c r="C3838" s="1">
        <f>IFERROR(__xludf.DUMMYFUNCTION("""COMPUTED_VALUE"""),82.59)</f>
        <v>82.59</v>
      </c>
      <c r="D3838" s="1">
        <f>IFERROR(__xludf.DUMMYFUNCTION("""COMPUTED_VALUE"""),81.92)</f>
        <v>81.92</v>
      </c>
      <c r="E3838" s="1">
        <f>IFERROR(__xludf.DUMMYFUNCTION("""COMPUTED_VALUE"""),82.43)</f>
        <v>82.43</v>
      </c>
      <c r="F3838" s="1">
        <f>IFERROR(__xludf.DUMMYFUNCTION("""COMPUTED_VALUE"""),6169838.0)</f>
        <v>6169838</v>
      </c>
    </row>
    <row r="3839">
      <c r="A3839" s="2">
        <f>IFERROR(__xludf.DUMMYFUNCTION("""COMPUTED_VALUE"""),42100.66666666667)</f>
        <v>42100.66667</v>
      </c>
      <c r="B3839" s="1">
        <f>IFERROR(__xludf.DUMMYFUNCTION("""COMPUTED_VALUE"""),81.92)</f>
        <v>81.92</v>
      </c>
      <c r="C3839" s="1">
        <f>IFERROR(__xludf.DUMMYFUNCTION("""COMPUTED_VALUE"""),83.23)</f>
        <v>83.23</v>
      </c>
      <c r="D3839" s="1">
        <f>IFERROR(__xludf.DUMMYFUNCTION("""COMPUTED_VALUE"""),81.51)</f>
        <v>81.51</v>
      </c>
      <c r="E3839" s="1">
        <f>IFERROR(__xludf.DUMMYFUNCTION("""COMPUTED_VALUE"""),83.04)</f>
        <v>83.04</v>
      </c>
      <c r="F3839" s="1">
        <f>IFERROR(__xludf.DUMMYFUNCTION("""COMPUTED_VALUE"""),6856344.0)</f>
        <v>6856344</v>
      </c>
    </row>
    <row r="3840">
      <c r="A3840" s="2">
        <f>IFERROR(__xludf.DUMMYFUNCTION("""COMPUTED_VALUE"""),42101.66666666667)</f>
        <v>42101.66667</v>
      </c>
      <c r="B3840" s="1">
        <f>IFERROR(__xludf.DUMMYFUNCTION("""COMPUTED_VALUE"""),82.93)</f>
        <v>82.93</v>
      </c>
      <c r="C3840" s="1">
        <f>IFERROR(__xludf.DUMMYFUNCTION("""COMPUTED_VALUE"""),83.29)</f>
        <v>83.29</v>
      </c>
      <c r="D3840" s="1">
        <f>IFERROR(__xludf.DUMMYFUNCTION("""COMPUTED_VALUE"""),82.33)</f>
        <v>82.33</v>
      </c>
      <c r="E3840" s="1">
        <f>IFERROR(__xludf.DUMMYFUNCTION("""COMPUTED_VALUE"""),82.39)</f>
        <v>82.39</v>
      </c>
      <c r="F3840" s="1">
        <f>IFERROR(__xludf.DUMMYFUNCTION("""COMPUTED_VALUE"""),6330163.0)</f>
        <v>6330163</v>
      </c>
    </row>
    <row r="3841">
      <c r="A3841" s="2">
        <f>IFERROR(__xludf.DUMMYFUNCTION("""COMPUTED_VALUE"""),42102.66666666667)</f>
        <v>42102.66667</v>
      </c>
      <c r="B3841" s="1">
        <f>IFERROR(__xludf.DUMMYFUNCTION("""COMPUTED_VALUE"""),82.3)</f>
        <v>82.3</v>
      </c>
      <c r="C3841" s="1">
        <f>IFERROR(__xludf.DUMMYFUNCTION("""COMPUTED_VALUE"""),83.18)</f>
        <v>83.18</v>
      </c>
      <c r="D3841" s="1">
        <f>IFERROR(__xludf.DUMMYFUNCTION("""COMPUTED_VALUE"""),82.27)</f>
        <v>82.27</v>
      </c>
      <c r="E3841" s="1">
        <f>IFERROR(__xludf.DUMMYFUNCTION("""COMPUTED_VALUE"""),82.77)</f>
        <v>82.77</v>
      </c>
      <c r="F3841" s="1">
        <f>IFERROR(__xludf.DUMMYFUNCTION("""COMPUTED_VALUE"""),6523204.0)</f>
        <v>6523204</v>
      </c>
    </row>
    <row r="3842">
      <c r="A3842" s="2">
        <f>IFERROR(__xludf.DUMMYFUNCTION("""COMPUTED_VALUE"""),42103.66666666667)</f>
        <v>42103.66667</v>
      </c>
      <c r="B3842" s="1">
        <f>IFERROR(__xludf.DUMMYFUNCTION("""COMPUTED_VALUE"""),82.63)</f>
        <v>82.63</v>
      </c>
      <c r="C3842" s="1">
        <f>IFERROR(__xludf.DUMMYFUNCTION("""COMPUTED_VALUE"""),82.95)</f>
        <v>82.95</v>
      </c>
      <c r="D3842" s="1">
        <f>IFERROR(__xludf.DUMMYFUNCTION("""COMPUTED_VALUE"""),82.01)</f>
        <v>82.01</v>
      </c>
      <c r="E3842" s="1">
        <f>IFERROR(__xludf.DUMMYFUNCTION("""COMPUTED_VALUE"""),82.89)</f>
        <v>82.89</v>
      </c>
      <c r="F3842" s="1">
        <f>IFERROR(__xludf.DUMMYFUNCTION("""COMPUTED_VALUE"""),6184986.0)</f>
        <v>6184986</v>
      </c>
    </row>
    <row r="3843">
      <c r="A3843" s="2">
        <f>IFERROR(__xludf.DUMMYFUNCTION("""COMPUTED_VALUE"""),42104.66666666667)</f>
        <v>42104.66667</v>
      </c>
      <c r="B3843" s="1">
        <f>IFERROR(__xludf.DUMMYFUNCTION("""COMPUTED_VALUE"""),82.8)</f>
        <v>82.8</v>
      </c>
      <c r="C3843" s="1">
        <f>IFERROR(__xludf.DUMMYFUNCTION("""COMPUTED_VALUE"""),83.63)</f>
        <v>83.63</v>
      </c>
      <c r="D3843" s="1">
        <f>IFERROR(__xludf.DUMMYFUNCTION("""COMPUTED_VALUE"""),82.72)</f>
        <v>82.72</v>
      </c>
      <c r="E3843" s="1">
        <f>IFERROR(__xludf.DUMMYFUNCTION("""COMPUTED_VALUE"""),83.35)</f>
        <v>83.35</v>
      </c>
      <c r="F3843" s="1">
        <f>IFERROR(__xludf.DUMMYFUNCTION("""COMPUTED_VALUE"""),7001572.0)</f>
        <v>7001572</v>
      </c>
    </row>
    <row r="3844">
      <c r="A3844" s="2">
        <f>IFERROR(__xludf.DUMMYFUNCTION("""COMPUTED_VALUE"""),42107.66666666667)</f>
        <v>42107.66667</v>
      </c>
      <c r="B3844" s="1">
        <f>IFERROR(__xludf.DUMMYFUNCTION("""COMPUTED_VALUE"""),83.0)</f>
        <v>83</v>
      </c>
      <c r="C3844" s="1">
        <f>IFERROR(__xludf.DUMMYFUNCTION("""COMPUTED_VALUE"""),83.95)</f>
        <v>83.95</v>
      </c>
      <c r="D3844" s="1">
        <f>IFERROR(__xludf.DUMMYFUNCTION("""COMPUTED_VALUE"""),82.94)</f>
        <v>82.94</v>
      </c>
      <c r="E3844" s="1">
        <f>IFERROR(__xludf.DUMMYFUNCTION("""COMPUTED_VALUE"""),83.43)</f>
        <v>83.43</v>
      </c>
      <c r="F3844" s="1">
        <f>IFERROR(__xludf.DUMMYFUNCTION("""COMPUTED_VALUE"""),8290458.0)</f>
        <v>8290458</v>
      </c>
    </row>
    <row r="3845">
      <c r="A3845" s="2">
        <f>IFERROR(__xludf.DUMMYFUNCTION("""COMPUTED_VALUE"""),42108.66666666667)</f>
        <v>42108.66667</v>
      </c>
      <c r="B3845" s="1">
        <f>IFERROR(__xludf.DUMMYFUNCTION("""COMPUTED_VALUE"""),83.39)</f>
        <v>83.39</v>
      </c>
      <c r="C3845" s="1">
        <f>IFERROR(__xludf.DUMMYFUNCTION("""COMPUTED_VALUE"""),83.88)</f>
        <v>83.88</v>
      </c>
      <c r="D3845" s="1">
        <f>IFERROR(__xludf.DUMMYFUNCTION("""COMPUTED_VALUE"""),83.05)</f>
        <v>83.05</v>
      </c>
      <c r="E3845" s="1">
        <f>IFERROR(__xludf.DUMMYFUNCTION("""COMPUTED_VALUE"""),83.6)</f>
        <v>83.6</v>
      </c>
      <c r="F3845" s="1">
        <f>IFERROR(__xludf.DUMMYFUNCTION("""COMPUTED_VALUE"""),6791997.0)</f>
        <v>6791997</v>
      </c>
    </row>
    <row r="3846">
      <c r="A3846" s="2">
        <f>IFERROR(__xludf.DUMMYFUNCTION("""COMPUTED_VALUE"""),42109.66666666667)</f>
        <v>42109.66667</v>
      </c>
      <c r="B3846" s="1">
        <f>IFERROR(__xludf.DUMMYFUNCTION("""COMPUTED_VALUE"""),83.85)</f>
        <v>83.85</v>
      </c>
      <c r="C3846" s="1">
        <f>IFERROR(__xludf.DUMMYFUNCTION("""COMPUTED_VALUE"""),84.2)</f>
        <v>84.2</v>
      </c>
      <c r="D3846" s="1">
        <f>IFERROR(__xludf.DUMMYFUNCTION("""COMPUTED_VALUE"""),83.48)</f>
        <v>83.48</v>
      </c>
      <c r="E3846" s="1">
        <f>IFERROR(__xludf.DUMMYFUNCTION("""COMPUTED_VALUE"""),83.51)</f>
        <v>83.51</v>
      </c>
      <c r="F3846" s="1">
        <f>IFERROR(__xludf.DUMMYFUNCTION("""COMPUTED_VALUE"""),7004315.0)</f>
        <v>7004315</v>
      </c>
    </row>
    <row r="3847">
      <c r="A3847" s="2">
        <f>IFERROR(__xludf.DUMMYFUNCTION("""COMPUTED_VALUE"""),42110.66666666667)</f>
        <v>42110.66667</v>
      </c>
      <c r="B3847" s="1">
        <f>IFERROR(__xludf.DUMMYFUNCTION("""COMPUTED_VALUE"""),83.56)</f>
        <v>83.56</v>
      </c>
      <c r="C3847" s="1">
        <f>IFERROR(__xludf.DUMMYFUNCTION("""COMPUTED_VALUE"""),84.07)</f>
        <v>84.07</v>
      </c>
      <c r="D3847" s="1">
        <f>IFERROR(__xludf.DUMMYFUNCTION("""COMPUTED_VALUE"""),83.35)</f>
        <v>83.35</v>
      </c>
      <c r="E3847" s="1">
        <f>IFERROR(__xludf.DUMMYFUNCTION("""COMPUTED_VALUE"""),83.5)</f>
        <v>83.5</v>
      </c>
      <c r="F3847" s="1">
        <f>IFERROR(__xludf.DUMMYFUNCTION("""COMPUTED_VALUE"""),7615906.0)</f>
        <v>7615906</v>
      </c>
    </row>
    <row r="3848">
      <c r="A3848" s="2">
        <f>IFERROR(__xludf.DUMMYFUNCTION("""COMPUTED_VALUE"""),42111.66666666667)</f>
        <v>42111.66667</v>
      </c>
      <c r="B3848" s="1">
        <f>IFERROR(__xludf.DUMMYFUNCTION("""COMPUTED_VALUE"""),83.0)</f>
        <v>83</v>
      </c>
      <c r="C3848" s="1">
        <f>IFERROR(__xludf.DUMMYFUNCTION("""COMPUTED_VALUE"""),83.22)</f>
        <v>83.22</v>
      </c>
      <c r="D3848" s="1">
        <f>IFERROR(__xludf.DUMMYFUNCTION("""COMPUTED_VALUE"""),82.03)</f>
        <v>82.03</v>
      </c>
      <c r="E3848" s="1">
        <f>IFERROR(__xludf.DUMMYFUNCTION("""COMPUTED_VALUE"""),82.53)</f>
        <v>82.53</v>
      </c>
      <c r="F3848" s="1">
        <f>IFERROR(__xludf.DUMMYFUNCTION("""COMPUTED_VALUE"""),9116383.0)</f>
        <v>9116383</v>
      </c>
    </row>
    <row r="3849">
      <c r="A3849" s="2">
        <f>IFERROR(__xludf.DUMMYFUNCTION("""COMPUTED_VALUE"""),42114.66666666667)</f>
        <v>42114.66667</v>
      </c>
      <c r="B3849" s="1">
        <f>IFERROR(__xludf.DUMMYFUNCTION("""COMPUTED_VALUE"""),83.09)</f>
        <v>83.09</v>
      </c>
      <c r="C3849" s="1">
        <f>IFERROR(__xludf.DUMMYFUNCTION("""COMPUTED_VALUE"""),83.98)</f>
        <v>83.98</v>
      </c>
      <c r="D3849" s="1">
        <f>IFERROR(__xludf.DUMMYFUNCTION("""COMPUTED_VALUE"""),82.8)</f>
        <v>82.8</v>
      </c>
      <c r="E3849" s="1">
        <f>IFERROR(__xludf.DUMMYFUNCTION("""COMPUTED_VALUE"""),82.87)</f>
        <v>82.87</v>
      </c>
      <c r="F3849" s="1">
        <f>IFERROR(__xludf.DUMMYFUNCTION("""COMPUTED_VALUE"""),7415888.0)</f>
        <v>7415888</v>
      </c>
    </row>
    <row r="3850">
      <c r="A3850" s="2">
        <f>IFERROR(__xludf.DUMMYFUNCTION("""COMPUTED_VALUE"""),42115.66666666667)</f>
        <v>42115.66667</v>
      </c>
      <c r="B3850" s="1">
        <f>IFERROR(__xludf.DUMMYFUNCTION("""COMPUTED_VALUE"""),83.39)</f>
        <v>83.39</v>
      </c>
      <c r="C3850" s="1">
        <f>IFERROR(__xludf.DUMMYFUNCTION("""COMPUTED_VALUE"""),83.8)</f>
        <v>83.8</v>
      </c>
      <c r="D3850" s="1">
        <f>IFERROR(__xludf.DUMMYFUNCTION("""COMPUTED_VALUE"""),82.9)</f>
        <v>82.9</v>
      </c>
      <c r="E3850" s="1">
        <f>IFERROR(__xludf.DUMMYFUNCTION("""COMPUTED_VALUE"""),83.08)</f>
        <v>83.08</v>
      </c>
      <c r="F3850" s="1">
        <f>IFERROR(__xludf.DUMMYFUNCTION("""COMPUTED_VALUE"""),7696424.0)</f>
        <v>7696424</v>
      </c>
    </row>
    <row r="3851">
      <c r="A3851" s="2">
        <f>IFERROR(__xludf.DUMMYFUNCTION("""COMPUTED_VALUE"""),42116.66666666667)</f>
        <v>42116.66667</v>
      </c>
      <c r="B3851" s="1">
        <f>IFERROR(__xludf.DUMMYFUNCTION("""COMPUTED_VALUE"""),83.22)</f>
        <v>83.22</v>
      </c>
      <c r="C3851" s="1">
        <f>IFERROR(__xludf.DUMMYFUNCTION("""COMPUTED_VALUE"""),83.34)</f>
        <v>83.34</v>
      </c>
      <c r="D3851" s="1">
        <f>IFERROR(__xludf.DUMMYFUNCTION("""COMPUTED_VALUE"""),82.6)</f>
        <v>82.6</v>
      </c>
      <c r="E3851" s="1">
        <f>IFERROR(__xludf.DUMMYFUNCTION("""COMPUTED_VALUE"""),83.09)</f>
        <v>83.09</v>
      </c>
      <c r="F3851" s="1">
        <f>IFERROR(__xludf.DUMMYFUNCTION("""COMPUTED_VALUE"""),6750966.0)</f>
        <v>6750966</v>
      </c>
    </row>
    <row r="3852">
      <c r="A3852" s="2">
        <f>IFERROR(__xludf.DUMMYFUNCTION("""COMPUTED_VALUE"""),42117.66666666667)</f>
        <v>42117.66667</v>
      </c>
      <c r="B3852" s="1">
        <f>IFERROR(__xludf.DUMMYFUNCTION("""COMPUTED_VALUE"""),81.42)</f>
        <v>81.42</v>
      </c>
      <c r="C3852" s="1">
        <f>IFERROR(__xludf.DUMMYFUNCTION("""COMPUTED_VALUE"""),82.1)</f>
        <v>82.1</v>
      </c>
      <c r="D3852" s="1">
        <f>IFERROR(__xludf.DUMMYFUNCTION("""COMPUTED_VALUE"""),80.9)</f>
        <v>80.9</v>
      </c>
      <c r="E3852" s="1">
        <f>IFERROR(__xludf.DUMMYFUNCTION("""COMPUTED_VALUE"""),80.95)</f>
        <v>80.95</v>
      </c>
      <c r="F3852" s="1">
        <f>IFERROR(__xludf.DUMMYFUNCTION("""COMPUTED_VALUE"""),1.4568546E7)</f>
        <v>14568546</v>
      </c>
    </row>
    <row r="3853">
      <c r="A3853" s="2">
        <f>IFERROR(__xludf.DUMMYFUNCTION("""COMPUTED_VALUE"""),42118.66666666667)</f>
        <v>42118.66667</v>
      </c>
      <c r="B3853" s="1">
        <f>IFERROR(__xludf.DUMMYFUNCTION("""COMPUTED_VALUE"""),81.04)</f>
        <v>81.04</v>
      </c>
      <c r="C3853" s="1">
        <f>IFERROR(__xludf.DUMMYFUNCTION("""COMPUTED_VALUE"""),81.53)</f>
        <v>81.53</v>
      </c>
      <c r="D3853" s="1">
        <f>IFERROR(__xludf.DUMMYFUNCTION("""COMPUTED_VALUE"""),80.9)</f>
        <v>80.9</v>
      </c>
      <c r="E3853" s="1">
        <f>IFERROR(__xludf.DUMMYFUNCTION("""COMPUTED_VALUE"""),81.0)</f>
        <v>81</v>
      </c>
      <c r="F3853" s="1">
        <f>IFERROR(__xludf.DUMMYFUNCTION("""COMPUTED_VALUE"""),8785471.0)</f>
        <v>8785471</v>
      </c>
    </row>
    <row r="3854">
      <c r="A3854" s="2">
        <f>IFERROR(__xludf.DUMMYFUNCTION("""COMPUTED_VALUE"""),42121.66666666667)</f>
        <v>42121.66667</v>
      </c>
      <c r="B3854" s="1">
        <f>IFERROR(__xludf.DUMMYFUNCTION("""COMPUTED_VALUE"""),80.91)</f>
        <v>80.91</v>
      </c>
      <c r="C3854" s="1">
        <f>IFERROR(__xludf.DUMMYFUNCTION("""COMPUTED_VALUE"""),81.2)</f>
        <v>81.2</v>
      </c>
      <c r="D3854" s="1">
        <f>IFERROR(__xludf.DUMMYFUNCTION("""COMPUTED_VALUE"""),80.47)</f>
        <v>80.47</v>
      </c>
      <c r="E3854" s="1">
        <f>IFERROR(__xludf.DUMMYFUNCTION("""COMPUTED_VALUE"""),80.6)</f>
        <v>80.6</v>
      </c>
      <c r="F3854" s="1">
        <f>IFERROR(__xludf.DUMMYFUNCTION("""COMPUTED_VALUE"""),9192219.0)</f>
        <v>9192219</v>
      </c>
    </row>
    <row r="3855">
      <c r="A3855" s="2">
        <f>IFERROR(__xludf.DUMMYFUNCTION("""COMPUTED_VALUE"""),42122.66666666667)</f>
        <v>42122.66667</v>
      </c>
      <c r="B3855" s="1">
        <f>IFERROR(__xludf.DUMMYFUNCTION("""COMPUTED_VALUE"""),80.73)</f>
        <v>80.73</v>
      </c>
      <c r="C3855" s="1">
        <f>IFERROR(__xludf.DUMMYFUNCTION("""COMPUTED_VALUE"""),80.82)</f>
        <v>80.82</v>
      </c>
      <c r="D3855" s="1">
        <f>IFERROR(__xludf.DUMMYFUNCTION("""COMPUTED_VALUE"""),80.19)</f>
        <v>80.19</v>
      </c>
      <c r="E3855" s="1">
        <f>IFERROR(__xludf.DUMMYFUNCTION("""COMPUTED_VALUE"""),80.42)</f>
        <v>80.42</v>
      </c>
      <c r="F3855" s="1">
        <f>IFERROR(__xludf.DUMMYFUNCTION("""COMPUTED_VALUE"""),8395450.0)</f>
        <v>8395450</v>
      </c>
    </row>
    <row r="3856">
      <c r="A3856" s="2">
        <f>IFERROR(__xludf.DUMMYFUNCTION("""COMPUTED_VALUE"""),42123.66666666667)</f>
        <v>42123.66667</v>
      </c>
      <c r="B3856" s="1">
        <f>IFERROR(__xludf.DUMMYFUNCTION("""COMPUTED_VALUE"""),80.0)</f>
        <v>80</v>
      </c>
      <c r="C3856" s="1">
        <f>IFERROR(__xludf.DUMMYFUNCTION("""COMPUTED_VALUE"""),80.31)</f>
        <v>80.31</v>
      </c>
      <c r="D3856" s="1">
        <f>IFERROR(__xludf.DUMMYFUNCTION("""COMPUTED_VALUE"""),79.72)</f>
        <v>79.72</v>
      </c>
      <c r="E3856" s="1">
        <f>IFERROR(__xludf.DUMMYFUNCTION("""COMPUTED_VALUE"""),79.85)</f>
        <v>79.85</v>
      </c>
      <c r="F3856" s="1">
        <f>IFERROR(__xludf.DUMMYFUNCTION("""COMPUTED_VALUE"""),1.1846363E7)</f>
        <v>11846363</v>
      </c>
    </row>
    <row r="3857">
      <c r="A3857" s="2">
        <f>IFERROR(__xludf.DUMMYFUNCTION("""COMPUTED_VALUE"""),42124.66666666667)</f>
        <v>42124.66667</v>
      </c>
      <c r="B3857" s="1">
        <f>IFERROR(__xludf.DUMMYFUNCTION("""COMPUTED_VALUE"""),79.95)</f>
        <v>79.95</v>
      </c>
      <c r="C3857" s="1">
        <f>IFERROR(__xludf.DUMMYFUNCTION("""COMPUTED_VALUE"""),80.15)</f>
        <v>80.15</v>
      </c>
      <c r="D3857" s="1">
        <f>IFERROR(__xludf.DUMMYFUNCTION("""COMPUTED_VALUE"""),79.07)</f>
        <v>79.07</v>
      </c>
      <c r="E3857" s="1">
        <f>IFERROR(__xludf.DUMMYFUNCTION("""COMPUTED_VALUE"""),79.51)</f>
        <v>79.51</v>
      </c>
      <c r="F3857" s="1">
        <f>IFERROR(__xludf.DUMMYFUNCTION("""COMPUTED_VALUE"""),9409334.0)</f>
        <v>9409334</v>
      </c>
    </row>
    <row r="3858">
      <c r="A3858" s="2">
        <f>IFERROR(__xludf.DUMMYFUNCTION("""COMPUTED_VALUE"""),42125.66666666667)</f>
        <v>42125.66667</v>
      </c>
      <c r="B3858" s="1">
        <f>IFERROR(__xludf.DUMMYFUNCTION("""COMPUTED_VALUE"""),79.76)</f>
        <v>79.76</v>
      </c>
      <c r="C3858" s="1">
        <f>IFERROR(__xludf.DUMMYFUNCTION("""COMPUTED_VALUE"""),80.32)</f>
        <v>80.32</v>
      </c>
      <c r="D3858" s="1">
        <f>IFERROR(__xludf.DUMMYFUNCTION("""COMPUTED_VALUE"""),79.63)</f>
        <v>79.63</v>
      </c>
      <c r="E3858" s="1">
        <f>IFERROR(__xludf.DUMMYFUNCTION("""COMPUTED_VALUE"""),80.29)</f>
        <v>80.29</v>
      </c>
      <c r="F3858" s="1">
        <f>IFERROR(__xludf.DUMMYFUNCTION("""COMPUTED_VALUE"""),8192942.0)</f>
        <v>8192942</v>
      </c>
    </row>
    <row r="3859">
      <c r="A3859" s="2">
        <f>IFERROR(__xludf.DUMMYFUNCTION("""COMPUTED_VALUE"""),42128.66666666667)</f>
        <v>42128.66667</v>
      </c>
      <c r="B3859" s="1">
        <f>IFERROR(__xludf.DUMMYFUNCTION("""COMPUTED_VALUE"""),80.48)</f>
        <v>80.48</v>
      </c>
      <c r="C3859" s="1">
        <f>IFERROR(__xludf.DUMMYFUNCTION("""COMPUTED_VALUE"""),80.97)</f>
        <v>80.97</v>
      </c>
      <c r="D3859" s="1">
        <f>IFERROR(__xludf.DUMMYFUNCTION("""COMPUTED_VALUE"""),80.3)</f>
        <v>80.3</v>
      </c>
      <c r="E3859" s="1">
        <f>IFERROR(__xludf.DUMMYFUNCTION("""COMPUTED_VALUE"""),80.35)</f>
        <v>80.35</v>
      </c>
      <c r="F3859" s="1">
        <f>IFERROR(__xludf.DUMMYFUNCTION("""COMPUTED_VALUE"""),7200809.0)</f>
        <v>7200809</v>
      </c>
    </row>
    <row r="3860">
      <c r="A3860" s="2">
        <f>IFERROR(__xludf.DUMMYFUNCTION("""COMPUTED_VALUE"""),42129.66666666667)</f>
        <v>42129.66667</v>
      </c>
      <c r="B3860" s="1">
        <f>IFERROR(__xludf.DUMMYFUNCTION("""COMPUTED_VALUE"""),80.5)</f>
        <v>80.5</v>
      </c>
      <c r="C3860" s="1">
        <f>IFERROR(__xludf.DUMMYFUNCTION("""COMPUTED_VALUE"""),80.65)</f>
        <v>80.65</v>
      </c>
      <c r="D3860" s="1">
        <f>IFERROR(__xludf.DUMMYFUNCTION("""COMPUTED_VALUE"""),79.78)</f>
        <v>79.78</v>
      </c>
      <c r="E3860" s="1">
        <f>IFERROR(__xludf.DUMMYFUNCTION("""COMPUTED_VALUE"""),80.07)</f>
        <v>80.07</v>
      </c>
      <c r="F3860" s="1">
        <f>IFERROR(__xludf.DUMMYFUNCTION("""COMPUTED_VALUE"""),6589434.0)</f>
        <v>6589434</v>
      </c>
    </row>
    <row r="3861">
      <c r="A3861" s="2">
        <f>IFERROR(__xludf.DUMMYFUNCTION("""COMPUTED_VALUE"""),42130.66666666667)</f>
        <v>42130.66667</v>
      </c>
      <c r="B3861" s="1">
        <f>IFERROR(__xludf.DUMMYFUNCTION("""COMPUTED_VALUE"""),80.34)</f>
        <v>80.34</v>
      </c>
      <c r="C3861" s="1">
        <f>IFERROR(__xludf.DUMMYFUNCTION("""COMPUTED_VALUE"""),80.58)</f>
        <v>80.58</v>
      </c>
      <c r="D3861" s="1">
        <f>IFERROR(__xludf.DUMMYFUNCTION("""COMPUTED_VALUE"""),79.52)</f>
        <v>79.52</v>
      </c>
      <c r="E3861" s="1">
        <f>IFERROR(__xludf.DUMMYFUNCTION("""COMPUTED_VALUE"""),80.4)</f>
        <v>80.4</v>
      </c>
      <c r="F3861" s="1">
        <f>IFERROR(__xludf.DUMMYFUNCTION("""COMPUTED_VALUE"""),7335642.0)</f>
        <v>7335642</v>
      </c>
    </row>
    <row r="3862">
      <c r="A3862" s="2">
        <f>IFERROR(__xludf.DUMMYFUNCTION("""COMPUTED_VALUE"""),42131.66666666667)</f>
        <v>42131.66667</v>
      </c>
      <c r="B3862" s="1">
        <f>IFERROR(__xludf.DUMMYFUNCTION("""COMPUTED_VALUE"""),80.37)</f>
        <v>80.37</v>
      </c>
      <c r="C3862" s="1">
        <f>IFERROR(__xludf.DUMMYFUNCTION("""COMPUTED_VALUE"""),80.55)</f>
        <v>80.55</v>
      </c>
      <c r="D3862" s="1">
        <f>IFERROR(__xludf.DUMMYFUNCTION("""COMPUTED_VALUE"""),80.0)</f>
        <v>80</v>
      </c>
      <c r="E3862" s="1">
        <f>IFERROR(__xludf.DUMMYFUNCTION("""COMPUTED_VALUE"""),80.2)</f>
        <v>80.2</v>
      </c>
      <c r="F3862" s="1">
        <f>IFERROR(__xludf.DUMMYFUNCTION("""COMPUTED_VALUE"""),7224338.0)</f>
        <v>7224338</v>
      </c>
    </row>
    <row r="3863">
      <c r="A3863" s="2">
        <f>IFERROR(__xludf.DUMMYFUNCTION("""COMPUTED_VALUE"""),42132.66666666667)</f>
        <v>42132.66667</v>
      </c>
      <c r="B3863" s="1">
        <f>IFERROR(__xludf.DUMMYFUNCTION("""COMPUTED_VALUE"""),80.89)</f>
        <v>80.89</v>
      </c>
      <c r="C3863" s="1">
        <f>IFERROR(__xludf.DUMMYFUNCTION("""COMPUTED_VALUE"""),81.21)</f>
        <v>81.21</v>
      </c>
      <c r="D3863" s="1">
        <f>IFERROR(__xludf.DUMMYFUNCTION("""COMPUTED_VALUE"""),80.82)</f>
        <v>80.82</v>
      </c>
      <c r="E3863" s="1">
        <f>IFERROR(__xludf.DUMMYFUNCTION("""COMPUTED_VALUE"""),80.96)</f>
        <v>80.96</v>
      </c>
      <c r="F3863" s="1">
        <f>IFERROR(__xludf.DUMMYFUNCTION("""COMPUTED_VALUE"""),6929376.0)</f>
        <v>6929376</v>
      </c>
    </row>
    <row r="3864">
      <c r="A3864" s="2">
        <f>IFERROR(__xludf.DUMMYFUNCTION("""COMPUTED_VALUE"""),42135.66666666667)</f>
        <v>42135.66667</v>
      </c>
      <c r="B3864" s="1">
        <f>IFERROR(__xludf.DUMMYFUNCTION("""COMPUTED_VALUE"""),80.95)</f>
        <v>80.95</v>
      </c>
      <c r="C3864" s="1">
        <f>IFERROR(__xludf.DUMMYFUNCTION("""COMPUTED_VALUE"""),80.99)</f>
        <v>80.99</v>
      </c>
      <c r="D3864" s="1">
        <f>IFERROR(__xludf.DUMMYFUNCTION("""COMPUTED_VALUE"""),80.26)</f>
        <v>80.26</v>
      </c>
      <c r="E3864" s="1">
        <f>IFERROR(__xludf.DUMMYFUNCTION("""COMPUTED_VALUE"""),80.27)</f>
        <v>80.27</v>
      </c>
      <c r="F3864" s="1">
        <f>IFERROR(__xludf.DUMMYFUNCTION("""COMPUTED_VALUE"""),5237254.0)</f>
        <v>5237254</v>
      </c>
    </row>
    <row r="3865">
      <c r="A3865" s="2">
        <f>IFERROR(__xludf.DUMMYFUNCTION("""COMPUTED_VALUE"""),42136.66666666667)</f>
        <v>42136.66667</v>
      </c>
      <c r="B3865" s="1">
        <f>IFERROR(__xludf.DUMMYFUNCTION("""COMPUTED_VALUE"""),80.03)</f>
        <v>80.03</v>
      </c>
      <c r="C3865" s="1">
        <f>IFERROR(__xludf.DUMMYFUNCTION("""COMPUTED_VALUE"""),80.29)</f>
        <v>80.29</v>
      </c>
      <c r="D3865" s="1">
        <f>IFERROR(__xludf.DUMMYFUNCTION("""COMPUTED_VALUE"""),79.36)</f>
        <v>79.36</v>
      </c>
      <c r="E3865" s="1">
        <f>IFERROR(__xludf.DUMMYFUNCTION("""COMPUTED_VALUE"""),79.95)</f>
        <v>79.95</v>
      </c>
      <c r="F3865" s="1">
        <f>IFERROR(__xludf.DUMMYFUNCTION("""COMPUTED_VALUE"""),6305337.0)</f>
        <v>6305337</v>
      </c>
    </row>
    <row r="3866">
      <c r="A3866" s="2">
        <f>IFERROR(__xludf.DUMMYFUNCTION("""COMPUTED_VALUE"""),42137.66666666667)</f>
        <v>42137.66667</v>
      </c>
      <c r="B3866" s="1">
        <f>IFERROR(__xludf.DUMMYFUNCTION("""COMPUTED_VALUE"""),80.16)</f>
        <v>80.16</v>
      </c>
      <c r="C3866" s="1">
        <f>IFERROR(__xludf.DUMMYFUNCTION("""COMPUTED_VALUE"""),80.59)</f>
        <v>80.59</v>
      </c>
      <c r="D3866" s="1">
        <f>IFERROR(__xludf.DUMMYFUNCTION("""COMPUTED_VALUE"""),79.55)</f>
        <v>79.55</v>
      </c>
      <c r="E3866" s="1">
        <f>IFERROR(__xludf.DUMMYFUNCTION("""COMPUTED_VALUE"""),79.7)</f>
        <v>79.7</v>
      </c>
      <c r="F3866" s="1">
        <f>IFERROR(__xludf.DUMMYFUNCTION("""COMPUTED_VALUE"""),6459719.0)</f>
        <v>6459719</v>
      </c>
    </row>
    <row r="3867">
      <c r="A3867" s="2">
        <f>IFERROR(__xludf.DUMMYFUNCTION("""COMPUTED_VALUE"""),42138.66666666667)</f>
        <v>42138.66667</v>
      </c>
      <c r="B3867" s="1">
        <f>IFERROR(__xludf.DUMMYFUNCTION("""COMPUTED_VALUE"""),80.11)</f>
        <v>80.11</v>
      </c>
      <c r="C3867" s="1">
        <f>IFERROR(__xludf.DUMMYFUNCTION("""COMPUTED_VALUE"""),80.69)</f>
        <v>80.69</v>
      </c>
      <c r="D3867" s="1">
        <f>IFERROR(__xludf.DUMMYFUNCTION("""COMPUTED_VALUE"""),80.09)</f>
        <v>80.09</v>
      </c>
      <c r="E3867" s="1">
        <f>IFERROR(__xludf.DUMMYFUNCTION("""COMPUTED_VALUE"""),80.57)</f>
        <v>80.57</v>
      </c>
      <c r="F3867" s="1">
        <f>IFERROR(__xludf.DUMMYFUNCTION("""COMPUTED_VALUE"""),5634158.0)</f>
        <v>5634158</v>
      </c>
    </row>
    <row r="3868">
      <c r="A3868" s="2">
        <f>IFERROR(__xludf.DUMMYFUNCTION("""COMPUTED_VALUE"""),42139.66666666667)</f>
        <v>42139.66667</v>
      </c>
      <c r="B3868" s="1">
        <f>IFERROR(__xludf.DUMMYFUNCTION("""COMPUTED_VALUE"""),80.83)</f>
        <v>80.83</v>
      </c>
      <c r="C3868" s="1">
        <f>IFERROR(__xludf.DUMMYFUNCTION("""COMPUTED_VALUE"""),81.12)</f>
        <v>81.12</v>
      </c>
      <c r="D3868" s="1">
        <f>IFERROR(__xludf.DUMMYFUNCTION("""COMPUTED_VALUE"""),80.73)</f>
        <v>80.73</v>
      </c>
      <c r="E3868" s="1">
        <f>IFERROR(__xludf.DUMMYFUNCTION("""COMPUTED_VALUE"""),81.05)</f>
        <v>81.05</v>
      </c>
      <c r="F3868" s="1">
        <f>IFERROR(__xludf.DUMMYFUNCTION("""COMPUTED_VALUE"""),7454748.0)</f>
        <v>7454748</v>
      </c>
    </row>
    <row r="3869">
      <c r="A3869" s="2">
        <f>IFERROR(__xludf.DUMMYFUNCTION("""COMPUTED_VALUE"""),42142.66666666667)</f>
        <v>42142.66667</v>
      </c>
      <c r="B3869" s="1">
        <f>IFERROR(__xludf.DUMMYFUNCTION("""COMPUTED_VALUE"""),80.97)</f>
        <v>80.97</v>
      </c>
      <c r="C3869" s="1">
        <f>IFERROR(__xludf.DUMMYFUNCTION("""COMPUTED_VALUE"""),81.13)</f>
        <v>81.13</v>
      </c>
      <c r="D3869" s="1">
        <f>IFERROR(__xludf.DUMMYFUNCTION("""COMPUTED_VALUE"""),80.5)</f>
        <v>80.5</v>
      </c>
      <c r="E3869" s="1">
        <f>IFERROR(__xludf.DUMMYFUNCTION("""COMPUTED_VALUE"""),80.74)</f>
        <v>80.74</v>
      </c>
      <c r="F3869" s="1">
        <f>IFERROR(__xludf.DUMMYFUNCTION("""COMPUTED_VALUE"""),5590756.0)</f>
        <v>5590756</v>
      </c>
    </row>
    <row r="3870">
      <c r="A3870" s="2">
        <f>IFERROR(__xludf.DUMMYFUNCTION("""COMPUTED_VALUE"""),42143.66666666667)</f>
        <v>42143.66667</v>
      </c>
      <c r="B3870" s="1">
        <f>IFERROR(__xludf.DUMMYFUNCTION("""COMPUTED_VALUE"""),80.75)</f>
        <v>80.75</v>
      </c>
      <c r="C3870" s="1">
        <f>IFERROR(__xludf.DUMMYFUNCTION("""COMPUTED_VALUE"""),80.95)</f>
        <v>80.95</v>
      </c>
      <c r="D3870" s="1">
        <f>IFERROR(__xludf.DUMMYFUNCTION("""COMPUTED_VALUE"""),80.33)</f>
        <v>80.33</v>
      </c>
      <c r="E3870" s="1">
        <f>IFERROR(__xludf.DUMMYFUNCTION("""COMPUTED_VALUE"""),80.83)</f>
        <v>80.83</v>
      </c>
      <c r="F3870" s="1">
        <f>IFERROR(__xludf.DUMMYFUNCTION("""COMPUTED_VALUE"""),5729453.0)</f>
        <v>5729453</v>
      </c>
    </row>
    <row r="3871">
      <c r="A3871" s="2">
        <f>IFERROR(__xludf.DUMMYFUNCTION("""COMPUTED_VALUE"""),42144.66666666667)</f>
        <v>42144.66667</v>
      </c>
      <c r="B3871" s="1">
        <f>IFERROR(__xludf.DUMMYFUNCTION("""COMPUTED_VALUE"""),80.93)</f>
        <v>80.93</v>
      </c>
      <c r="C3871" s="1">
        <f>IFERROR(__xludf.DUMMYFUNCTION("""COMPUTED_VALUE"""),81.0)</f>
        <v>81</v>
      </c>
      <c r="D3871" s="1">
        <f>IFERROR(__xludf.DUMMYFUNCTION("""COMPUTED_VALUE"""),80.45)</f>
        <v>80.45</v>
      </c>
      <c r="E3871" s="1">
        <f>IFERROR(__xludf.DUMMYFUNCTION("""COMPUTED_VALUE"""),80.48)</f>
        <v>80.48</v>
      </c>
      <c r="F3871" s="1">
        <f>IFERROR(__xludf.DUMMYFUNCTION("""COMPUTED_VALUE"""),5486346.0)</f>
        <v>5486346</v>
      </c>
    </row>
    <row r="3872">
      <c r="A3872" s="2">
        <f>IFERROR(__xludf.DUMMYFUNCTION("""COMPUTED_VALUE"""),42145.66666666667)</f>
        <v>42145.66667</v>
      </c>
      <c r="B3872" s="1">
        <f>IFERROR(__xludf.DUMMYFUNCTION("""COMPUTED_VALUE"""),80.17)</f>
        <v>80.17</v>
      </c>
      <c r="C3872" s="1">
        <f>IFERROR(__xludf.DUMMYFUNCTION("""COMPUTED_VALUE"""),80.58)</f>
        <v>80.58</v>
      </c>
      <c r="D3872" s="1">
        <f>IFERROR(__xludf.DUMMYFUNCTION("""COMPUTED_VALUE"""),79.84)</f>
        <v>79.84</v>
      </c>
      <c r="E3872" s="1">
        <f>IFERROR(__xludf.DUMMYFUNCTION("""COMPUTED_VALUE"""),80.41)</f>
        <v>80.41</v>
      </c>
      <c r="F3872" s="1">
        <f>IFERROR(__xludf.DUMMYFUNCTION("""COMPUTED_VALUE"""),6055727.0)</f>
        <v>6055727</v>
      </c>
    </row>
    <row r="3873">
      <c r="A3873" s="2">
        <f>IFERROR(__xludf.DUMMYFUNCTION("""COMPUTED_VALUE"""),42146.66666666667)</f>
        <v>42146.66667</v>
      </c>
      <c r="B3873" s="1">
        <f>IFERROR(__xludf.DUMMYFUNCTION("""COMPUTED_VALUE"""),80.24)</f>
        <v>80.24</v>
      </c>
      <c r="C3873" s="1">
        <f>IFERROR(__xludf.DUMMYFUNCTION("""COMPUTED_VALUE"""),80.4)</f>
        <v>80.4</v>
      </c>
      <c r="D3873" s="1">
        <f>IFERROR(__xludf.DUMMYFUNCTION("""COMPUTED_VALUE"""),79.92)</f>
        <v>79.92</v>
      </c>
      <c r="E3873" s="1">
        <f>IFERROR(__xludf.DUMMYFUNCTION("""COMPUTED_VALUE"""),79.95)</f>
        <v>79.95</v>
      </c>
      <c r="F3873" s="1">
        <f>IFERROR(__xludf.DUMMYFUNCTION("""COMPUTED_VALUE"""),6003623.0)</f>
        <v>6003623</v>
      </c>
    </row>
    <row r="3874">
      <c r="A3874" s="2">
        <f>IFERROR(__xludf.DUMMYFUNCTION("""COMPUTED_VALUE"""),42150.66666666667)</f>
        <v>42150.66667</v>
      </c>
      <c r="B3874" s="1">
        <f>IFERROR(__xludf.DUMMYFUNCTION("""COMPUTED_VALUE"""),79.97)</f>
        <v>79.97</v>
      </c>
      <c r="C3874" s="1">
        <f>IFERROR(__xludf.DUMMYFUNCTION("""COMPUTED_VALUE"""),80.07)</f>
        <v>80.07</v>
      </c>
      <c r="D3874" s="1">
        <f>IFERROR(__xludf.DUMMYFUNCTION("""COMPUTED_VALUE"""),78.94)</f>
        <v>78.94</v>
      </c>
      <c r="E3874" s="1">
        <f>IFERROR(__xludf.DUMMYFUNCTION("""COMPUTED_VALUE"""),79.14)</f>
        <v>79.14</v>
      </c>
      <c r="F3874" s="1">
        <f>IFERROR(__xludf.DUMMYFUNCTION("""COMPUTED_VALUE"""),6698099.0)</f>
        <v>6698099</v>
      </c>
    </row>
    <row r="3875">
      <c r="A3875" s="2">
        <f>IFERROR(__xludf.DUMMYFUNCTION("""COMPUTED_VALUE"""),42151.66666666667)</f>
        <v>42151.66667</v>
      </c>
      <c r="B3875" s="1">
        <f>IFERROR(__xludf.DUMMYFUNCTION("""COMPUTED_VALUE"""),79.22)</f>
        <v>79.22</v>
      </c>
      <c r="C3875" s="1">
        <f>IFERROR(__xludf.DUMMYFUNCTION("""COMPUTED_VALUE"""),79.94)</f>
        <v>79.94</v>
      </c>
      <c r="D3875" s="1">
        <f>IFERROR(__xludf.DUMMYFUNCTION("""COMPUTED_VALUE"""),79.09)</f>
        <v>79.09</v>
      </c>
      <c r="E3875" s="1">
        <f>IFERROR(__xludf.DUMMYFUNCTION("""COMPUTED_VALUE"""),79.39)</f>
        <v>79.39</v>
      </c>
      <c r="F3875" s="1">
        <f>IFERROR(__xludf.DUMMYFUNCTION("""COMPUTED_VALUE"""),8094560.0)</f>
        <v>8094560</v>
      </c>
    </row>
    <row r="3876">
      <c r="A3876" s="2">
        <f>IFERROR(__xludf.DUMMYFUNCTION("""COMPUTED_VALUE"""),42152.66666666667)</f>
        <v>42152.66667</v>
      </c>
      <c r="B3876" s="1">
        <f>IFERROR(__xludf.DUMMYFUNCTION("""COMPUTED_VALUE"""),79.43)</f>
        <v>79.43</v>
      </c>
      <c r="C3876" s="1">
        <f>IFERROR(__xludf.DUMMYFUNCTION("""COMPUTED_VALUE"""),79.45)</f>
        <v>79.45</v>
      </c>
      <c r="D3876" s="1">
        <f>IFERROR(__xludf.DUMMYFUNCTION("""COMPUTED_VALUE"""),79.02)</f>
        <v>79.02</v>
      </c>
      <c r="E3876" s="1">
        <f>IFERROR(__xludf.DUMMYFUNCTION("""COMPUTED_VALUE"""),79.33)</f>
        <v>79.33</v>
      </c>
      <c r="F3876" s="1">
        <f>IFERROR(__xludf.DUMMYFUNCTION("""COMPUTED_VALUE"""),5803445.0)</f>
        <v>5803445</v>
      </c>
    </row>
    <row r="3877">
      <c r="A3877" s="2">
        <f>IFERROR(__xludf.DUMMYFUNCTION("""COMPUTED_VALUE"""),42153.66666666667)</f>
        <v>42153.66667</v>
      </c>
      <c r="B3877" s="1">
        <f>IFERROR(__xludf.DUMMYFUNCTION("""COMPUTED_VALUE"""),79.18)</f>
        <v>79.18</v>
      </c>
      <c r="C3877" s="1">
        <f>IFERROR(__xludf.DUMMYFUNCTION("""COMPUTED_VALUE"""),79.24)</f>
        <v>79.24</v>
      </c>
      <c r="D3877" s="1">
        <f>IFERROR(__xludf.DUMMYFUNCTION("""COMPUTED_VALUE"""),78.19)</f>
        <v>78.19</v>
      </c>
      <c r="E3877" s="1">
        <f>IFERROR(__xludf.DUMMYFUNCTION("""COMPUTED_VALUE"""),78.39)</f>
        <v>78.39</v>
      </c>
      <c r="F3877" s="1">
        <f>IFERROR(__xludf.DUMMYFUNCTION("""COMPUTED_VALUE"""),1.2551703E7)</f>
        <v>12551703</v>
      </c>
    </row>
    <row r="3878">
      <c r="A3878" s="2">
        <f>IFERROR(__xludf.DUMMYFUNCTION("""COMPUTED_VALUE"""),42156.66666666667)</f>
        <v>42156.66667</v>
      </c>
      <c r="B3878" s="1">
        <f>IFERROR(__xludf.DUMMYFUNCTION("""COMPUTED_VALUE"""),78.65)</f>
        <v>78.65</v>
      </c>
      <c r="C3878" s="1">
        <f>IFERROR(__xludf.DUMMYFUNCTION("""COMPUTED_VALUE"""),79.07)</f>
        <v>79.07</v>
      </c>
      <c r="D3878" s="1">
        <f>IFERROR(__xludf.DUMMYFUNCTION("""COMPUTED_VALUE"""),78.27)</f>
        <v>78.27</v>
      </c>
      <c r="E3878" s="1">
        <f>IFERROR(__xludf.DUMMYFUNCTION("""COMPUTED_VALUE"""),78.85)</f>
        <v>78.85</v>
      </c>
      <c r="F3878" s="1">
        <f>IFERROR(__xludf.DUMMYFUNCTION("""COMPUTED_VALUE"""),7588036.0)</f>
        <v>7588036</v>
      </c>
    </row>
    <row r="3879">
      <c r="A3879" s="2">
        <f>IFERROR(__xludf.DUMMYFUNCTION("""COMPUTED_VALUE"""),42157.66666666667)</f>
        <v>42157.66667</v>
      </c>
      <c r="B3879" s="1">
        <f>IFERROR(__xludf.DUMMYFUNCTION("""COMPUTED_VALUE"""),78.46)</f>
        <v>78.46</v>
      </c>
      <c r="C3879" s="1">
        <f>IFERROR(__xludf.DUMMYFUNCTION("""COMPUTED_VALUE"""),78.72)</f>
        <v>78.72</v>
      </c>
      <c r="D3879" s="1">
        <f>IFERROR(__xludf.DUMMYFUNCTION("""COMPUTED_VALUE"""),78.17)</f>
        <v>78.17</v>
      </c>
      <c r="E3879" s="1">
        <f>IFERROR(__xludf.DUMMYFUNCTION("""COMPUTED_VALUE"""),78.54)</f>
        <v>78.54</v>
      </c>
      <c r="F3879" s="1">
        <f>IFERROR(__xludf.DUMMYFUNCTION("""COMPUTED_VALUE"""),7380714.0)</f>
        <v>7380714</v>
      </c>
    </row>
    <row r="3880">
      <c r="A3880" s="2">
        <f>IFERROR(__xludf.DUMMYFUNCTION("""COMPUTED_VALUE"""),42158.66666666667)</f>
        <v>42158.66667</v>
      </c>
      <c r="B3880" s="1">
        <f>IFERROR(__xludf.DUMMYFUNCTION("""COMPUTED_VALUE"""),78.91)</f>
        <v>78.91</v>
      </c>
      <c r="C3880" s="1">
        <f>IFERROR(__xludf.DUMMYFUNCTION("""COMPUTED_VALUE"""),78.93)</f>
        <v>78.93</v>
      </c>
      <c r="D3880" s="1">
        <f>IFERROR(__xludf.DUMMYFUNCTION("""COMPUTED_VALUE"""),78.27)</f>
        <v>78.27</v>
      </c>
      <c r="E3880" s="1">
        <f>IFERROR(__xludf.DUMMYFUNCTION("""COMPUTED_VALUE"""),78.56)</f>
        <v>78.56</v>
      </c>
      <c r="F3880" s="1">
        <f>IFERROR(__xludf.DUMMYFUNCTION("""COMPUTED_VALUE"""),5985813.0)</f>
        <v>5985813</v>
      </c>
    </row>
    <row r="3881">
      <c r="A3881" s="2">
        <f>IFERROR(__xludf.DUMMYFUNCTION("""COMPUTED_VALUE"""),42159.66666666667)</f>
        <v>42159.66667</v>
      </c>
      <c r="B3881" s="1">
        <f>IFERROR(__xludf.DUMMYFUNCTION("""COMPUTED_VALUE"""),78.41)</f>
        <v>78.41</v>
      </c>
      <c r="C3881" s="1">
        <f>IFERROR(__xludf.DUMMYFUNCTION("""COMPUTED_VALUE"""),78.84)</f>
        <v>78.84</v>
      </c>
      <c r="D3881" s="1">
        <f>IFERROR(__xludf.DUMMYFUNCTION("""COMPUTED_VALUE"""),78.06)</f>
        <v>78.06</v>
      </c>
      <c r="E3881" s="1">
        <f>IFERROR(__xludf.DUMMYFUNCTION("""COMPUTED_VALUE"""),78.15)</f>
        <v>78.15</v>
      </c>
      <c r="F3881" s="1">
        <f>IFERROR(__xludf.DUMMYFUNCTION("""COMPUTED_VALUE"""),7714444.0)</f>
        <v>7714444</v>
      </c>
    </row>
    <row r="3882">
      <c r="A3882" s="2">
        <f>IFERROR(__xludf.DUMMYFUNCTION("""COMPUTED_VALUE"""),42160.66666666667)</f>
        <v>42160.66667</v>
      </c>
      <c r="B3882" s="1">
        <f>IFERROR(__xludf.DUMMYFUNCTION("""COMPUTED_VALUE"""),78.04)</f>
        <v>78.04</v>
      </c>
      <c r="C3882" s="1">
        <f>IFERROR(__xludf.DUMMYFUNCTION("""COMPUTED_VALUE"""),78.12)</f>
        <v>78.12</v>
      </c>
      <c r="D3882" s="1">
        <f>IFERROR(__xludf.DUMMYFUNCTION("""COMPUTED_VALUE"""),77.37)</f>
        <v>77.37</v>
      </c>
      <c r="E3882" s="1">
        <f>IFERROR(__xludf.DUMMYFUNCTION("""COMPUTED_VALUE"""),77.43)</f>
        <v>77.43</v>
      </c>
      <c r="F3882" s="1">
        <f>IFERROR(__xludf.DUMMYFUNCTION("""COMPUTED_VALUE"""),9438575.0)</f>
        <v>9438575</v>
      </c>
    </row>
    <row r="3883">
      <c r="A3883" s="2">
        <f>IFERROR(__xludf.DUMMYFUNCTION("""COMPUTED_VALUE"""),42163.66666666667)</f>
        <v>42163.66667</v>
      </c>
      <c r="B3883" s="1">
        <f>IFERROR(__xludf.DUMMYFUNCTION("""COMPUTED_VALUE"""),77.48)</f>
        <v>77.48</v>
      </c>
      <c r="C3883" s="1">
        <f>IFERROR(__xludf.DUMMYFUNCTION("""COMPUTED_VALUE"""),77.98)</f>
        <v>77.98</v>
      </c>
      <c r="D3883" s="1">
        <f>IFERROR(__xludf.DUMMYFUNCTION("""COMPUTED_VALUE"""),77.1)</f>
        <v>77.1</v>
      </c>
      <c r="E3883" s="1">
        <f>IFERROR(__xludf.DUMMYFUNCTION("""COMPUTED_VALUE"""),77.71)</f>
        <v>77.71</v>
      </c>
      <c r="F3883" s="1">
        <f>IFERROR(__xludf.DUMMYFUNCTION("""COMPUTED_VALUE"""),1.0916039E7)</f>
        <v>10916039</v>
      </c>
    </row>
    <row r="3884">
      <c r="A3884" s="2">
        <f>IFERROR(__xludf.DUMMYFUNCTION("""COMPUTED_VALUE"""),42164.66666666667)</f>
        <v>42164.66667</v>
      </c>
      <c r="B3884" s="1">
        <f>IFERROR(__xludf.DUMMYFUNCTION("""COMPUTED_VALUE"""),77.97)</f>
        <v>77.97</v>
      </c>
      <c r="C3884" s="1">
        <f>IFERROR(__xludf.DUMMYFUNCTION("""COMPUTED_VALUE"""),79.33)</f>
        <v>79.33</v>
      </c>
      <c r="D3884" s="1">
        <f>IFERROR(__xludf.DUMMYFUNCTION("""COMPUTED_VALUE"""),77.82)</f>
        <v>77.82</v>
      </c>
      <c r="E3884" s="1">
        <f>IFERROR(__xludf.DUMMYFUNCTION("""COMPUTED_VALUE"""),78.9)</f>
        <v>78.9</v>
      </c>
      <c r="F3884" s="1">
        <f>IFERROR(__xludf.DUMMYFUNCTION("""COMPUTED_VALUE"""),1.1527583E7)</f>
        <v>11527583</v>
      </c>
    </row>
    <row r="3885">
      <c r="A3885" s="2">
        <f>IFERROR(__xludf.DUMMYFUNCTION("""COMPUTED_VALUE"""),42165.66666666667)</f>
        <v>42165.66667</v>
      </c>
      <c r="B3885" s="1">
        <f>IFERROR(__xludf.DUMMYFUNCTION("""COMPUTED_VALUE"""),79.23)</f>
        <v>79.23</v>
      </c>
      <c r="C3885" s="1">
        <f>IFERROR(__xludf.DUMMYFUNCTION("""COMPUTED_VALUE"""),79.79)</f>
        <v>79.79</v>
      </c>
      <c r="D3885" s="1">
        <f>IFERROR(__xludf.DUMMYFUNCTION("""COMPUTED_VALUE"""),79.01)</f>
        <v>79.01</v>
      </c>
      <c r="E3885" s="1">
        <f>IFERROR(__xludf.DUMMYFUNCTION("""COMPUTED_VALUE"""),79.54)</f>
        <v>79.54</v>
      </c>
      <c r="F3885" s="1">
        <f>IFERROR(__xludf.DUMMYFUNCTION("""COMPUTED_VALUE"""),9483434.0)</f>
        <v>9483434</v>
      </c>
    </row>
    <row r="3886">
      <c r="A3886" s="2">
        <f>IFERROR(__xludf.DUMMYFUNCTION("""COMPUTED_VALUE"""),42166.66666666667)</f>
        <v>42166.66667</v>
      </c>
      <c r="B3886" s="1">
        <f>IFERROR(__xludf.DUMMYFUNCTION("""COMPUTED_VALUE"""),79.93)</f>
        <v>79.93</v>
      </c>
      <c r="C3886" s="1">
        <f>IFERROR(__xludf.DUMMYFUNCTION("""COMPUTED_VALUE"""),79.93)</f>
        <v>79.93</v>
      </c>
      <c r="D3886" s="1">
        <f>IFERROR(__xludf.DUMMYFUNCTION("""COMPUTED_VALUE"""),79.24)</f>
        <v>79.24</v>
      </c>
      <c r="E3886" s="1">
        <f>IFERROR(__xludf.DUMMYFUNCTION("""COMPUTED_VALUE"""),79.41)</f>
        <v>79.41</v>
      </c>
      <c r="F3886" s="1">
        <f>IFERROR(__xludf.DUMMYFUNCTION("""COMPUTED_VALUE"""),7633282.0)</f>
        <v>7633282</v>
      </c>
    </row>
    <row r="3887">
      <c r="A3887" s="2">
        <f>IFERROR(__xludf.DUMMYFUNCTION("""COMPUTED_VALUE"""),42167.66666666667)</f>
        <v>42167.66667</v>
      </c>
      <c r="B3887" s="1">
        <f>IFERROR(__xludf.DUMMYFUNCTION("""COMPUTED_VALUE"""),79.17)</f>
        <v>79.17</v>
      </c>
      <c r="C3887" s="1">
        <f>IFERROR(__xludf.DUMMYFUNCTION("""COMPUTED_VALUE"""),79.32)</f>
        <v>79.32</v>
      </c>
      <c r="D3887" s="1">
        <f>IFERROR(__xludf.DUMMYFUNCTION("""COMPUTED_VALUE"""),78.57)</f>
        <v>78.57</v>
      </c>
      <c r="E3887" s="1">
        <f>IFERROR(__xludf.DUMMYFUNCTION("""COMPUTED_VALUE"""),78.87)</f>
        <v>78.87</v>
      </c>
      <c r="F3887" s="1">
        <f>IFERROR(__xludf.DUMMYFUNCTION("""COMPUTED_VALUE"""),6508505.0)</f>
        <v>6508505</v>
      </c>
    </row>
    <row r="3888">
      <c r="A3888" s="2">
        <f>IFERROR(__xludf.DUMMYFUNCTION("""COMPUTED_VALUE"""),42170.66666666667)</f>
        <v>42170.66667</v>
      </c>
      <c r="B3888" s="1">
        <f>IFERROR(__xludf.DUMMYFUNCTION("""COMPUTED_VALUE"""),78.33)</f>
        <v>78.33</v>
      </c>
      <c r="C3888" s="1">
        <f>IFERROR(__xludf.DUMMYFUNCTION("""COMPUTED_VALUE"""),78.46)</f>
        <v>78.46</v>
      </c>
      <c r="D3888" s="1">
        <f>IFERROR(__xludf.DUMMYFUNCTION("""COMPUTED_VALUE"""),77.93)</f>
        <v>77.93</v>
      </c>
      <c r="E3888" s="1">
        <f>IFERROR(__xludf.DUMMYFUNCTION("""COMPUTED_VALUE"""),78.12)</f>
        <v>78.12</v>
      </c>
      <c r="F3888" s="1">
        <f>IFERROR(__xludf.DUMMYFUNCTION("""COMPUTED_VALUE"""),7527797.0)</f>
        <v>7527797</v>
      </c>
    </row>
    <row r="3889">
      <c r="A3889" s="2">
        <f>IFERROR(__xludf.DUMMYFUNCTION("""COMPUTED_VALUE"""),42171.66666666667)</f>
        <v>42171.66667</v>
      </c>
      <c r="B3889" s="1">
        <f>IFERROR(__xludf.DUMMYFUNCTION("""COMPUTED_VALUE"""),79.6)</f>
        <v>79.6</v>
      </c>
      <c r="C3889" s="1">
        <f>IFERROR(__xludf.DUMMYFUNCTION("""COMPUTED_VALUE"""),79.6)</f>
        <v>79.6</v>
      </c>
      <c r="D3889" s="1">
        <f>IFERROR(__xludf.DUMMYFUNCTION("""COMPUTED_VALUE"""),78.54)</f>
        <v>78.54</v>
      </c>
      <c r="E3889" s="1">
        <f>IFERROR(__xludf.DUMMYFUNCTION("""COMPUTED_VALUE"""),79.1)</f>
        <v>79.1</v>
      </c>
      <c r="F3889" s="1">
        <f>IFERROR(__xludf.DUMMYFUNCTION("""COMPUTED_VALUE"""),8285633.0)</f>
        <v>8285633</v>
      </c>
    </row>
    <row r="3890">
      <c r="A3890" s="2">
        <f>IFERROR(__xludf.DUMMYFUNCTION("""COMPUTED_VALUE"""),42172.66666666667)</f>
        <v>42172.66667</v>
      </c>
      <c r="B3890" s="1">
        <f>IFERROR(__xludf.DUMMYFUNCTION("""COMPUTED_VALUE"""),79.2)</f>
        <v>79.2</v>
      </c>
      <c r="C3890" s="1">
        <f>IFERROR(__xludf.DUMMYFUNCTION("""COMPUTED_VALUE"""),80.19)</f>
        <v>80.19</v>
      </c>
      <c r="D3890" s="1">
        <f>IFERROR(__xludf.DUMMYFUNCTION("""COMPUTED_VALUE"""),79.16)</f>
        <v>79.16</v>
      </c>
      <c r="E3890" s="1">
        <f>IFERROR(__xludf.DUMMYFUNCTION("""COMPUTED_VALUE"""),80.08)</f>
        <v>80.08</v>
      </c>
      <c r="F3890" s="1">
        <f>IFERROR(__xludf.DUMMYFUNCTION("""COMPUTED_VALUE"""),9305776.0)</f>
        <v>9305776</v>
      </c>
    </row>
    <row r="3891">
      <c r="A3891" s="2">
        <f>IFERROR(__xludf.DUMMYFUNCTION("""COMPUTED_VALUE"""),42173.66666666667)</f>
        <v>42173.66667</v>
      </c>
      <c r="B3891" s="1">
        <f>IFERROR(__xludf.DUMMYFUNCTION("""COMPUTED_VALUE"""),80.33)</f>
        <v>80.33</v>
      </c>
      <c r="C3891" s="1">
        <f>IFERROR(__xludf.DUMMYFUNCTION("""COMPUTED_VALUE"""),81.22)</f>
        <v>81.22</v>
      </c>
      <c r="D3891" s="1">
        <f>IFERROR(__xludf.DUMMYFUNCTION("""COMPUTED_VALUE"""),80.3)</f>
        <v>80.3</v>
      </c>
      <c r="E3891" s="1">
        <f>IFERROR(__xludf.DUMMYFUNCTION("""COMPUTED_VALUE"""),80.82)</f>
        <v>80.82</v>
      </c>
      <c r="F3891" s="1">
        <f>IFERROR(__xludf.DUMMYFUNCTION("""COMPUTED_VALUE"""),1.0712462E7)</f>
        <v>10712462</v>
      </c>
    </row>
    <row r="3892">
      <c r="A3892" s="2">
        <f>IFERROR(__xludf.DUMMYFUNCTION("""COMPUTED_VALUE"""),42174.66666666667)</f>
        <v>42174.66667</v>
      </c>
      <c r="B3892" s="1">
        <f>IFERROR(__xludf.DUMMYFUNCTION("""COMPUTED_VALUE"""),80.71)</f>
        <v>80.71</v>
      </c>
      <c r="C3892" s="1">
        <f>IFERROR(__xludf.DUMMYFUNCTION("""COMPUTED_VALUE"""),81.2)</f>
        <v>81.2</v>
      </c>
      <c r="D3892" s="1">
        <f>IFERROR(__xludf.DUMMYFUNCTION("""COMPUTED_VALUE"""),80.48)</f>
        <v>80.48</v>
      </c>
      <c r="E3892" s="1">
        <f>IFERROR(__xludf.DUMMYFUNCTION("""COMPUTED_VALUE"""),80.54)</f>
        <v>80.54</v>
      </c>
      <c r="F3892" s="1">
        <f>IFERROR(__xludf.DUMMYFUNCTION("""COMPUTED_VALUE"""),1.5464476E7)</f>
        <v>15464476</v>
      </c>
    </row>
    <row r="3893">
      <c r="A3893" s="2">
        <f>IFERROR(__xludf.DUMMYFUNCTION("""COMPUTED_VALUE"""),42177.66666666667)</f>
        <v>42177.66667</v>
      </c>
      <c r="B3893" s="1">
        <f>IFERROR(__xludf.DUMMYFUNCTION("""COMPUTED_VALUE"""),80.92)</f>
        <v>80.92</v>
      </c>
      <c r="C3893" s="1">
        <f>IFERROR(__xludf.DUMMYFUNCTION("""COMPUTED_VALUE"""),81.18)</f>
        <v>81.18</v>
      </c>
      <c r="D3893" s="1">
        <f>IFERROR(__xludf.DUMMYFUNCTION("""COMPUTED_VALUE"""),80.33)</f>
        <v>80.33</v>
      </c>
      <c r="E3893" s="1">
        <f>IFERROR(__xludf.DUMMYFUNCTION("""COMPUTED_VALUE"""),80.45)</f>
        <v>80.45</v>
      </c>
      <c r="F3893" s="1">
        <f>IFERROR(__xludf.DUMMYFUNCTION("""COMPUTED_VALUE"""),6907440.0)</f>
        <v>6907440</v>
      </c>
    </row>
    <row r="3894">
      <c r="A3894" s="2">
        <f>IFERROR(__xludf.DUMMYFUNCTION("""COMPUTED_VALUE"""),42178.66666666667)</f>
        <v>42178.66667</v>
      </c>
      <c r="B3894" s="1">
        <f>IFERROR(__xludf.DUMMYFUNCTION("""COMPUTED_VALUE"""),80.33)</f>
        <v>80.33</v>
      </c>
      <c r="C3894" s="1">
        <f>IFERROR(__xludf.DUMMYFUNCTION("""COMPUTED_VALUE"""),80.45)</f>
        <v>80.45</v>
      </c>
      <c r="D3894" s="1">
        <f>IFERROR(__xludf.DUMMYFUNCTION("""COMPUTED_VALUE"""),79.62)</f>
        <v>79.62</v>
      </c>
      <c r="E3894" s="1">
        <f>IFERROR(__xludf.DUMMYFUNCTION("""COMPUTED_VALUE"""),79.79)</f>
        <v>79.79</v>
      </c>
      <c r="F3894" s="1">
        <f>IFERROR(__xludf.DUMMYFUNCTION("""COMPUTED_VALUE"""),7182400.0)</f>
        <v>7182400</v>
      </c>
    </row>
    <row r="3895">
      <c r="A3895" s="2">
        <f>IFERROR(__xludf.DUMMYFUNCTION("""COMPUTED_VALUE"""),42179.66666666667)</f>
        <v>42179.66667</v>
      </c>
      <c r="B3895" s="1">
        <f>IFERROR(__xludf.DUMMYFUNCTION("""COMPUTED_VALUE"""),79.8)</f>
        <v>79.8</v>
      </c>
      <c r="C3895" s="1">
        <f>IFERROR(__xludf.DUMMYFUNCTION("""COMPUTED_VALUE"""),79.85)</f>
        <v>79.85</v>
      </c>
      <c r="D3895" s="1">
        <f>IFERROR(__xludf.DUMMYFUNCTION("""COMPUTED_VALUE"""),79.5)</f>
        <v>79.5</v>
      </c>
      <c r="E3895" s="1">
        <f>IFERROR(__xludf.DUMMYFUNCTION("""COMPUTED_VALUE"""),79.51)</f>
        <v>79.51</v>
      </c>
      <c r="F3895" s="1">
        <f>IFERROR(__xludf.DUMMYFUNCTION("""COMPUTED_VALUE"""),8843632.0)</f>
        <v>8843632</v>
      </c>
    </row>
    <row r="3896">
      <c r="A3896" s="2">
        <f>IFERROR(__xludf.DUMMYFUNCTION("""COMPUTED_VALUE"""),42180.66666666667)</f>
        <v>42180.66667</v>
      </c>
      <c r="B3896" s="1">
        <f>IFERROR(__xludf.DUMMYFUNCTION("""COMPUTED_VALUE"""),79.71)</f>
        <v>79.71</v>
      </c>
      <c r="C3896" s="1">
        <f>IFERROR(__xludf.DUMMYFUNCTION("""COMPUTED_VALUE"""),79.9)</f>
        <v>79.9</v>
      </c>
      <c r="D3896" s="1">
        <f>IFERROR(__xludf.DUMMYFUNCTION("""COMPUTED_VALUE"""),79.39)</f>
        <v>79.39</v>
      </c>
      <c r="E3896" s="1">
        <f>IFERROR(__xludf.DUMMYFUNCTION("""COMPUTED_VALUE"""),79.39)</f>
        <v>79.39</v>
      </c>
      <c r="F3896" s="1">
        <f>IFERROR(__xludf.DUMMYFUNCTION("""COMPUTED_VALUE"""),5855728.0)</f>
        <v>5855728</v>
      </c>
    </row>
    <row r="3897">
      <c r="A3897" s="2">
        <f>IFERROR(__xludf.DUMMYFUNCTION("""COMPUTED_VALUE"""),42181.66666666667)</f>
        <v>42181.66667</v>
      </c>
      <c r="B3897" s="1">
        <f>IFERROR(__xludf.DUMMYFUNCTION("""COMPUTED_VALUE"""),79.54)</f>
        <v>79.54</v>
      </c>
      <c r="C3897" s="1">
        <f>IFERROR(__xludf.DUMMYFUNCTION("""COMPUTED_VALUE"""),79.74)</f>
        <v>79.74</v>
      </c>
      <c r="D3897" s="1">
        <f>IFERROR(__xludf.DUMMYFUNCTION("""COMPUTED_VALUE"""),79.28)</f>
        <v>79.28</v>
      </c>
      <c r="E3897" s="1">
        <f>IFERROR(__xludf.DUMMYFUNCTION("""COMPUTED_VALUE"""),79.34)</f>
        <v>79.34</v>
      </c>
      <c r="F3897" s="1">
        <f>IFERROR(__xludf.DUMMYFUNCTION("""COMPUTED_VALUE"""),7702091.0)</f>
        <v>7702091</v>
      </c>
    </row>
    <row r="3898">
      <c r="A3898" s="2">
        <f>IFERROR(__xludf.DUMMYFUNCTION("""COMPUTED_VALUE"""),42184.66666666667)</f>
        <v>42184.66667</v>
      </c>
      <c r="B3898" s="1">
        <f>IFERROR(__xludf.DUMMYFUNCTION("""COMPUTED_VALUE"""),78.95)</f>
        <v>78.95</v>
      </c>
      <c r="C3898" s="1">
        <f>IFERROR(__xludf.DUMMYFUNCTION("""COMPUTED_VALUE"""),79.37)</f>
        <v>79.37</v>
      </c>
      <c r="D3898" s="1">
        <f>IFERROR(__xludf.DUMMYFUNCTION("""COMPUTED_VALUE"""),78.26)</f>
        <v>78.26</v>
      </c>
      <c r="E3898" s="1">
        <f>IFERROR(__xludf.DUMMYFUNCTION("""COMPUTED_VALUE"""),78.32)</f>
        <v>78.32</v>
      </c>
      <c r="F3898" s="1">
        <f>IFERROR(__xludf.DUMMYFUNCTION("""COMPUTED_VALUE"""),7966220.0)</f>
        <v>7966220</v>
      </c>
    </row>
    <row r="3899">
      <c r="A3899" s="2">
        <f>IFERROR(__xludf.DUMMYFUNCTION("""COMPUTED_VALUE"""),42185.66666666667)</f>
        <v>42185.66667</v>
      </c>
      <c r="B3899" s="1">
        <f>IFERROR(__xludf.DUMMYFUNCTION("""COMPUTED_VALUE"""),78.92)</f>
        <v>78.92</v>
      </c>
      <c r="C3899" s="1">
        <f>IFERROR(__xludf.DUMMYFUNCTION("""COMPUTED_VALUE"""),79.01)</f>
        <v>79.01</v>
      </c>
      <c r="D3899" s="1">
        <f>IFERROR(__xludf.DUMMYFUNCTION("""COMPUTED_VALUE"""),78.13)</f>
        <v>78.13</v>
      </c>
      <c r="E3899" s="1">
        <f>IFERROR(__xludf.DUMMYFUNCTION("""COMPUTED_VALUE"""),78.24)</f>
        <v>78.24</v>
      </c>
      <c r="F3899" s="1">
        <f>IFERROR(__xludf.DUMMYFUNCTION("""COMPUTED_VALUE"""),8449927.0)</f>
        <v>8449927</v>
      </c>
    </row>
    <row r="3900">
      <c r="A3900" s="2">
        <f>IFERROR(__xludf.DUMMYFUNCTION("""COMPUTED_VALUE"""),42186.66666666667)</f>
        <v>42186.66667</v>
      </c>
      <c r="B3900" s="1">
        <f>IFERROR(__xludf.DUMMYFUNCTION("""COMPUTED_VALUE"""),78.39)</f>
        <v>78.39</v>
      </c>
      <c r="C3900" s="1">
        <f>IFERROR(__xludf.DUMMYFUNCTION("""COMPUTED_VALUE"""),79.77)</f>
        <v>79.77</v>
      </c>
      <c r="D3900" s="1">
        <f>IFERROR(__xludf.DUMMYFUNCTION("""COMPUTED_VALUE"""),78.12)</f>
        <v>78.12</v>
      </c>
      <c r="E3900" s="1">
        <f>IFERROR(__xludf.DUMMYFUNCTION("""COMPUTED_VALUE"""),79.72)</f>
        <v>79.72</v>
      </c>
      <c r="F3900" s="1">
        <f>IFERROR(__xludf.DUMMYFUNCTION("""COMPUTED_VALUE"""),8867990.0)</f>
        <v>8867990</v>
      </c>
    </row>
    <row r="3901">
      <c r="A3901" s="2">
        <f>IFERROR(__xludf.DUMMYFUNCTION("""COMPUTED_VALUE"""),42187.66666666667)</f>
        <v>42187.66667</v>
      </c>
      <c r="B3901" s="1">
        <f>IFERROR(__xludf.DUMMYFUNCTION("""COMPUTED_VALUE"""),80.01)</f>
        <v>80.01</v>
      </c>
      <c r="C3901" s="1">
        <f>IFERROR(__xludf.DUMMYFUNCTION("""COMPUTED_VALUE"""),80.35)</f>
        <v>80.35</v>
      </c>
      <c r="D3901" s="1">
        <f>IFERROR(__xludf.DUMMYFUNCTION("""COMPUTED_VALUE"""),79.77)</f>
        <v>79.77</v>
      </c>
      <c r="E3901" s="1">
        <f>IFERROR(__xludf.DUMMYFUNCTION("""COMPUTED_VALUE"""),79.93)</f>
        <v>79.93</v>
      </c>
      <c r="F3901" s="1">
        <f>IFERROR(__xludf.DUMMYFUNCTION("""COMPUTED_VALUE"""),6602421.0)</f>
        <v>6602421</v>
      </c>
    </row>
    <row r="3902">
      <c r="A3902" s="2">
        <f>IFERROR(__xludf.DUMMYFUNCTION("""COMPUTED_VALUE"""),42191.66666666667)</f>
        <v>42191.66667</v>
      </c>
      <c r="B3902" s="1">
        <f>IFERROR(__xludf.DUMMYFUNCTION("""COMPUTED_VALUE"""),79.61)</f>
        <v>79.61</v>
      </c>
      <c r="C3902" s="1">
        <f>IFERROR(__xludf.DUMMYFUNCTION("""COMPUTED_VALUE"""),80.22)</f>
        <v>80.22</v>
      </c>
      <c r="D3902" s="1">
        <f>IFERROR(__xludf.DUMMYFUNCTION("""COMPUTED_VALUE"""),79.5)</f>
        <v>79.5</v>
      </c>
      <c r="E3902" s="1">
        <f>IFERROR(__xludf.DUMMYFUNCTION("""COMPUTED_VALUE"""),80.05)</f>
        <v>80.05</v>
      </c>
      <c r="F3902" s="1">
        <f>IFERROR(__xludf.DUMMYFUNCTION("""COMPUTED_VALUE"""),6601218.0)</f>
        <v>6601218</v>
      </c>
    </row>
    <row r="3903">
      <c r="A3903" s="2">
        <f>IFERROR(__xludf.DUMMYFUNCTION("""COMPUTED_VALUE"""),42192.66666666667)</f>
        <v>42192.66667</v>
      </c>
      <c r="B3903" s="1">
        <f>IFERROR(__xludf.DUMMYFUNCTION("""COMPUTED_VALUE"""),80.06)</f>
        <v>80.06</v>
      </c>
      <c r="C3903" s="1">
        <f>IFERROR(__xludf.DUMMYFUNCTION("""COMPUTED_VALUE"""),81.83)</f>
        <v>81.83</v>
      </c>
      <c r="D3903" s="1">
        <f>IFERROR(__xludf.DUMMYFUNCTION("""COMPUTED_VALUE"""),80.06)</f>
        <v>80.06</v>
      </c>
      <c r="E3903" s="1">
        <f>IFERROR(__xludf.DUMMYFUNCTION("""COMPUTED_VALUE"""),81.72)</f>
        <v>81.72</v>
      </c>
      <c r="F3903" s="1">
        <f>IFERROR(__xludf.DUMMYFUNCTION("""COMPUTED_VALUE"""),1.1589399E7)</f>
        <v>11589399</v>
      </c>
    </row>
    <row r="3904">
      <c r="A3904" s="2">
        <f>IFERROR(__xludf.DUMMYFUNCTION("""COMPUTED_VALUE"""),42193.66666666667)</f>
        <v>42193.66667</v>
      </c>
      <c r="B3904" s="1">
        <f>IFERROR(__xludf.DUMMYFUNCTION("""COMPUTED_VALUE"""),81.21)</f>
        <v>81.21</v>
      </c>
      <c r="C3904" s="1">
        <f>IFERROR(__xludf.DUMMYFUNCTION("""COMPUTED_VALUE"""),81.69)</f>
        <v>81.69</v>
      </c>
      <c r="D3904" s="1">
        <f>IFERROR(__xludf.DUMMYFUNCTION("""COMPUTED_VALUE"""),80.89)</f>
        <v>80.89</v>
      </c>
      <c r="E3904" s="1">
        <f>IFERROR(__xludf.DUMMYFUNCTION("""COMPUTED_VALUE"""),80.99)</f>
        <v>80.99</v>
      </c>
      <c r="F3904" s="1">
        <f>IFERROR(__xludf.DUMMYFUNCTION("""COMPUTED_VALUE"""),6724685.0)</f>
        <v>6724685</v>
      </c>
    </row>
    <row r="3905">
      <c r="A3905" s="2">
        <f>IFERROR(__xludf.DUMMYFUNCTION("""COMPUTED_VALUE"""),42194.66666666667)</f>
        <v>42194.66667</v>
      </c>
      <c r="B3905" s="1">
        <f>IFERROR(__xludf.DUMMYFUNCTION("""COMPUTED_VALUE"""),81.75)</f>
        <v>81.75</v>
      </c>
      <c r="C3905" s="1">
        <f>IFERROR(__xludf.DUMMYFUNCTION("""COMPUTED_VALUE"""),82.0)</f>
        <v>82</v>
      </c>
      <c r="D3905" s="1">
        <f>IFERROR(__xludf.DUMMYFUNCTION("""COMPUTED_VALUE"""),80.52)</f>
        <v>80.52</v>
      </c>
      <c r="E3905" s="1">
        <f>IFERROR(__xludf.DUMMYFUNCTION("""COMPUTED_VALUE"""),80.66)</f>
        <v>80.66</v>
      </c>
      <c r="F3905" s="1">
        <f>IFERROR(__xludf.DUMMYFUNCTION("""COMPUTED_VALUE"""),1.0419611E7)</f>
        <v>10419611</v>
      </c>
    </row>
    <row r="3906">
      <c r="A3906" s="2">
        <f>IFERROR(__xludf.DUMMYFUNCTION("""COMPUTED_VALUE"""),42195.66666666667)</f>
        <v>42195.66667</v>
      </c>
      <c r="B3906" s="1">
        <f>IFERROR(__xludf.DUMMYFUNCTION("""COMPUTED_VALUE"""),81.23)</f>
        <v>81.23</v>
      </c>
      <c r="C3906" s="1">
        <f>IFERROR(__xludf.DUMMYFUNCTION("""COMPUTED_VALUE"""),81.36)</f>
        <v>81.36</v>
      </c>
      <c r="D3906" s="1">
        <f>IFERROR(__xludf.DUMMYFUNCTION("""COMPUTED_VALUE"""),80.76)</f>
        <v>80.76</v>
      </c>
      <c r="E3906" s="1">
        <f>IFERROR(__xludf.DUMMYFUNCTION("""COMPUTED_VALUE"""),80.95)</f>
        <v>80.95</v>
      </c>
      <c r="F3906" s="1">
        <f>IFERROR(__xludf.DUMMYFUNCTION("""COMPUTED_VALUE"""),6892413.0)</f>
        <v>6892413</v>
      </c>
    </row>
    <row r="3907">
      <c r="A3907" s="2">
        <f>IFERROR(__xludf.DUMMYFUNCTION("""COMPUTED_VALUE"""),42198.66666666667)</f>
        <v>42198.66667</v>
      </c>
      <c r="B3907" s="1">
        <f>IFERROR(__xludf.DUMMYFUNCTION("""COMPUTED_VALUE"""),81.52)</f>
        <v>81.52</v>
      </c>
      <c r="C3907" s="1">
        <f>IFERROR(__xludf.DUMMYFUNCTION("""COMPUTED_VALUE"""),82.04)</f>
        <v>82.04</v>
      </c>
      <c r="D3907" s="1">
        <f>IFERROR(__xludf.DUMMYFUNCTION("""COMPUTED_VALUE"""),81.34)</f>
        <v>81.34</v>
      </c>
      <c r="E3907" s="1">
        <f>IFERROR(__xludf.DUMMYFUNCTION("""COMPUTED_VALUE"""),81.91)</f>
        <v>81.91</v>
      </c>
      <c r="F3907" s="1">
        <f>IFERROR(__xludf.DUMMYFUNCTION("""COMPUTED_VALUE"""),7332827.0)</f>
        <v>7332827</v>
      </c>
    </row>
    <row r="3908">
      <c r="A3908" s="2">
        <f>IFERROR(__xludf.DUMMYFUNCTION("""COMPUTED_VALUE"""),42199.66666666667)</f>
        <v>42199.66667</v>
      </c>
      <c r="B3908" s="1">
        <f>IFERROR(__xludf.DUMMYFUNCTION("""COMPUTED_VALUE"""),82.04)</f>
        <v>82.04</v>
      </c>
      <c r="C3908" s="1">
        <f>IFERROR(__xludf.DUMMYFUNCTION("""COMPUTED_VALUE"""),82.46)</f>
        <v>82.46</v>
      </c>
      <c r="D3908" s="1">
        <f>IFERROR(__xludf.DUMMYFUNCTION("""COMPUTED_VALUE"""),81.98)</f>
        <v>81.98</v>
      </c>
      <c r="E3908" s="1">
        <f>IFERROR(__xludf.DUMMYFUNCTION("""COMPUTED_VALUE"""),82.04)</f>
        <v>82.04</v>
      </c>
      <c r="F3908" s="1">
        <f>IFERROR(__xludf.DUMMYFUNCTION("""COMPUTED_VALUE"""),6119504.0)</f>
        <v>6119504</v>
      </c>
    </row>
    <row r="3909">
      <c r="A3909" s="2">
        <f>IFERROR(__xludf.DUMMYFUNCTION("""COMPUTED_VALUE"""),42200.66666666667)</f>
        <v>42200.66667</v>
      </c>
      <c r="B3909" s="1">
        <f>IFERROR(__xludf.DUMMYFUNCTION("""COMPUTED_VALUE"""),81.91)</f>
        <v>81.91</v>
      </c>
      <c r="C3909" s="1">
        <f>IFERROR(__xludf.DUMMYFUNCTION("""COMPUTED_VALUE"""),82.32)</f>
        <v>82.32</v>
      </c>
      <c r="D3909" s="1">
        <f>IFERROR(__xludf.DUMMYFUNCTION("""COMPUTED_VALUE"""),81.84)</f>
        <v>81.84</v>
      </c>
      <c r="E3909" s="1">
        <f>IFERROR(__xludf.DUMMYFUNCTION("""COMPUTED_VALUE"""),82.15)</f>
        <v>82.15</v>
      </c>
      <c r="F3909" s="1">
        <f>IFERROR(__xludf.DUMMYFUNCTION("""COMPUTED_VALUE"""),6673662.0)</f>
        <v>6673662</v>
      </c>
    </row>
    <row r="3910">
      <c r="A3910" s="2">
        <f>IFERROR(__xludf.DUMMYFUNCTION("""COMPUTED_VALUE"""),42201.66666666667)</f>
        <v>42201.66667</v>
      </c>
      <c r="B3910" s="1">
        <f>IFERROR(__xludf.DUMMYFUNCTION("""COMPUTED_VALUE"""),82.45)</f>
        <v>82.45</v>
      </c>
      <c r="C3910" s="1">
        <f>IFERROR(__xludf.DUMMYFUNCTION("""COMPUTED_VALUE"""),82.55)</f>
        <v>82.55</v>
      </c>
      <c r="D3910" s="1">
        <f>IFERROR(__xludf.DUMMYFUNCTION("""COMPUTED_VALUE"""),82.1)</f>
        <v>82.1</v>
      </c>
      <c r="E3910" s="1">
        <f>IFERROR(__xludf.DUMMYFUNCTION("""COMPUTED_VALUE"""),82.3)</f>
        <v>82.3</v>
      </c>
      <c r="F3910" s="1">
        <f>IFERROR(__xludf.DUMMYFUNCTION("""COMPUTED_VALUE"""),6623418.0)</f>
        <v>6623418</v>
      </c>
    </row>
    <row r="3911">
      <c r="A3911" s="2">
        <f>IFERROR(__xludf.DUMMYFUNCTION("""COMPUTED_VALUE"""),42202.66666666667)</f>
        <v>42202.66667</v>
      </c>
      <c r="B3911" s="1">
        <f>IFERROR(__xludf.DUMMYFUNCTION("""COMPUTED_VALUE"""),81.89)</f>
        <v>81.89</v>
      </c>
      <c r="C3911" s="1">
        <f>IFERROR(__xludf.DUMMYFUNCTION("""COMPUTED_VALUE"""),82.38)</f>
        <v>82.38</v>
      </c>
      <c r="D3911" s="1">
        <f>IFERROR(__xludf.DUMMYFUNCTION("""COMPUTED_VALUE"""),81.6)</f>
        <v>81.6</v>
      </c>
      <c r="E3911" s="1">
        <f>IFERROR(__xludf.DUMMYFUNCTION("""COMPUTED_VALUE"""),82.24)</f>
        <v>82.24</v>
      </c>
      <c r="F3911" s="1">
        <f>IFERROR(__xludf.DUMMYFUNCTION("""COMPUTED_VALUE"""),5827266.0)</f>
        <v>5827266</v>
      </c>
    </row>
    <row r="3912">
      <c r="A3912" s="2">
        <f>IFERROR(__xludf.DUMMYFUNCTION("""COMPUTED_VALUE"""),42205.66666666667)</f>
        <v>42205.66667</v>
      </c>
      <c r="B3912" s="1">
        <f>IFERROR(__xludf.DUMMYFUNCTION("""COMPUTED_VALUE"""),82.09)</f>
        <v>82.09</v>
      </c>
      <c r="C3912" s="1">
        <f>IFERROR(__xludf.DUMMYFUNCTION("""COMPUTED_VALUE"""),82.35)</f>
        <v>82.35</v>
      </c>
      <c r="D3912" s="1">
        <f>IFERROR(__xludf.DUMMYFUNCTION("""COMPUTED_VALUE"""),82.0)</f>
        <v>82</v>
      </c>
      <c r="E3912" s="1">
        <f>IFERROR(__xludf.DUMMYFUNCTION("""COMPUTED_VALUE"""),82.19)</f>
        <v>82.19</v>
      </c>
      <c r="F3912" s="1">
        <f>IFERROR(__xludf.DUMMYFUNCTION("""COMPUTED_VALUE"""),5012810.0)</f>
        <v>5012810</v>
      </c>
    </row>
    <row r="3913">
      <c r="A3913" s="2">
        <f>IFERROR(__xludf.DUMMYFUNCTION("""COMPUTED_VALUE"""),42206.66666666667)</f>
        <v>42206.66667</v>
      </c>
      <c r="B3913" s="1">
        <f>IFERROR(__xludf.DUMMYFUNCTION("""COMPUTED_VALUE"""),82.01)</f>
        <v>82.01</v>
      </c>
      <c r="C3913" s="1">
        <f>IFERROR(__xludf.DUMMYFUNCTION("""COMPUTED_VALUE"""),82.13)</f>
        <v>82.13</v>
      </c>
      <c r="D3913" s="1">
        <f>IFERROR(__xludf.DUMMYFUNCTION("""COMPUTED_VALUE"""),81.37)</f>
        <v>81.37</v>
      </c>
      <c r="E3913" s="1">
        <f>IFERROR(__xludf.DUMMYFUNCTION("""COMPUTED_VALUE"""),81.63)</f>
        <v>81.63</v>
      </c>
      <c r="F3913" s="1">
        <f>IFERROR(__xludf.DUMMYFUNCTION("""COMPUTED_VALUE"""),7511586.0)</f>
        <v>7511586</v>
      </c>
    </row>
    <row r="3914">
      <c r="A3914" s="2">
        <f>IFERROR(__xludf.DUMMYFUNCTION("""COMPUTED_VALUE"""),42207.66666666667)</f>
        <v>42207.66667</v>
      </c>
      <c r="B3914" s="1">
        <f>IFERROR(__xludf.DUMMYFUNCTION("""COMPUTED_VALUE"""),81.03)</f>
        <v>81.03</v>
      </c>
      <c r="C3914" s="1">
        <f>IFERROR(__xludf.DUMMYFUNCTION("""COMPUTED_VALUE"""),81.3)</f>
        <v>81.3</v>
      </c>
      <c r="D3914" s="1">
        <f>IFERROR(__xludf.DUMMYFUNCTION("""COMPUTED_VALUE"""),80.67)</f>
        <v>80.67</v>
      </c>
      <c r="E3914" s="1">
        <f>IFERROR(__xludf.DUMMYFUNCTION("""COMPUTED_VALUE"""),80.83)</f>
        <v>80.83</v>
      </c>
      <c r="F3914" s="1">
        <f>IFERROR(__xludf.DUMMYFUNCTION("""COMPUTED_VALUE"""),6106378.0)</f>
        <v>6106378</v>
      </c>
    </row>
    <row r="3915">
      <c r="A3915" s="2">
        <f>IFERROR(__xludf.DUMMYFUNCTION("""COMPUTED_VALUE"""),42208.66666666667)</f>
        <v>42208.66667</v>
      </c>
      <c r="B3915" s="1">
        <f>IFERROR(__xludf.DUMMYFUNCTION("""COMPUTED_VALUE"""),80.83)</f>
        <v>80.83</v>
      </c>
      <c r="C3915" s="1">
        <f>IFERROR(__xludf.DUMMYFUNCTION("""COMPUTED_VALUE"""),80.89)</f>
        <v>80.89</v>
      </c>
      <c r="D3915" s="1">
        <f>IFERROR(__xludf.DUMMYFUNCTION("""COMPUTED_VALUE"""),80.14)</f>
        <v>80.14</v>
      </c>
      <c r="E3915" s="1">
        <f>IFERROR(__xludf.DUMMYFUNCTION("""COMPUTED_VALUE"""),80.7)</f>
        <v>80.7</v>
      </c>
      <c r="F3915" s="1">
        <f>IFERROR(__xludf.DUMMYFUNCTION("""COMPUTED_VALUE"""),5380852.0)</f>
        <v>5380852</v>
      </c>
    </row>
    <row r="3916">
      <c r="A3916" s="2">
        <f>IFERROR(__xludf.DUMMYFUNCTION("""COMPUTED_VALUE"""),42209.66666666667)</f>
        <v>42209.66667</v>
      </c>
      <c r="B3916" s="1">
        <f>IFERROR(__xludf.DUMMYFUNCTION("""COMPUTED_VALUE"""),80.51)</f>
        <v>80.51</v>
      </c>
      <c r="C3916" s="1">
        <f>IFERROR(__xludf.DUMMYFUNCTION("""COMPUTED_VALUE"""),80.73)</f>
        <v>80.73</v>
      </c>
      <c r="D3916" s="1">
        <f>IFERROR(__xludf.DUMMYFUNCTION("""COMPUTED_VALUE"""),80.23)</f>
        <v>80.23</v>
      </c>
      <c r="E3916" s="1">
        <f>IFERROR(__xludf.DUMMYFUNCTION("""COMPUTED_VALUE"""),80.29)</f>
        <v>80.29</v>
      </c>
      <c r="F3916" s="1">
        <f>IFERROR(__xludf.DUMMYFUNCTION("""COMPUTED_VALUE"""),5660071.0)</f>
        <v>5660071</v>
      </c>
    </row>
    <row r="3917">
      <c r="A3917" s="2">
        <f>IFERROR(__xludf.DUMMYFUNCTION("""COMPUTED_VALUE"""),42212.66666666667)</f>
        <v>42212.66667</v>
      </c>
      <c r="B3917" s="1">
        <f>IFERROR(__xludf.DUMMYFUNCTION("""COMPUTED_VALUE"""),79.83)</f>
        <v>79.83</v>
      </c>
      <c r="C3917" s="1">
        <f>IFERROR(__xludf.DUMMYFUNCTION("""COMPUTED_VALUE"""),80.07)</f>
        <v>80.07</v>
      </c>
      <c r="D3917" s="1">
        <f>IFERROR(__xludf.DUMMYFUNCTION("""COMPUTED_VALUE"""),79.43)</f>
        <v>79.43</v>
      </c>
      <c r="E3917" s="1">
        <f>IFERROR(__xludf.DUMMYFUNCTION("""COMPUTED_VALUE"""),79.97)</f>
        <v>79.97</v>
      </c>
      <c r="F3917" s="1">
        <f>IFERROR(__xludf.DUMMYFUNCTION("""COMPUTED_VALUE"""),8613298.0)</f>
        <v>8613298</v>
      </c>
    </row>
    <row r="3918">
      <c r="A3918" s="2">
        <f>IFERROR(__xludf.DUMMYFUNCTION("""COMPUTED_VALUE"""),42213.66666666667)</f>
        <v>42213.66667</v>
      </c>
      <c r="B3918" s="1">
        <f>IFERROR(__xludf.DUMMYFUNCTION("""COMPUTED_VALUE"""),80.14)</f>
        <v>80.14</v>
      </c>
      <c r="C3918" s="1">
        <f>IFERROR(__xludf.DUMMYFUNCTION("""COMPUTED_VALUE"""),80.66)</f>
        <v>80.66</v>
      </c>
      <c r="D3918" s="1">
        <f>IFERROR(__xludf.DUMMYFUNCTION("""COMPUTED_VALUE"""),79.91)</f>
        <v>79.91</v>
      </c>
      <c r="E3918" s="1">
        <f>IFERROR(__xludf.DUMMYFUNCTION("""COMPUTED_VALUE"""),80.23)</f>
        <v>80.23</v>
      </c>
      <c r="F3918" s="1">
        <f>IFERROR(__xludf.DUMMYFUNCTION("""COMPUTED_VALUE"""),8649435.0)</f>
        <v>8649435</v>
      </c>
    </row>
    <row r="3919">
      <c r="A3919" s="2">
        <f>IFERROR(__xludf.DUMMYFUNCTION("""COMPUTED_VALUE"""),42214.66666666667)</f>
        <v>42214.66667</v>
      </c>
      <c r="B3919" s="1">
        <f>IFERROR(__xludf.DUMMYFUNCTION("""COMPUTED_VALUE"""),80.26)</f>
        <v>80.26</v>
      </c>
      <c r="C3919" s="1">
        <f>IFERROR(__xludf.DUMMYFUNCTION("""COMPUTED_VALUE"""),80.99)</f>
        <v>80.99</v>
      </c>
      <c r="D3919" s="1">
        <f>IFERROR(__xludf.DUMMYFUNCTION("""COMPUTED_VALUE"""),80.16)</f>
        <v>80.16</v>
      </c>
      <c r="E3919" s="1">
        <f>IFERROR(__xludf.DUMMYFUNCTION("""COMPUTED_VALUE"""),80.62)</f>
        <v>80.62</v>
      </c>
      <c r="F3919" s="1">
        <f>IFERROR(__xludf.DUMMYFUNCTION("""COMPUTED_VALUE"""),8921425.0)</f>
        <v>8921425</v>
      </c>
    </row>
    <row r="3920">
      <c r="A3920" s="2">
        <f>IFERROR(__xludf.DUMMYFUNCTION("""COMPUTED_VALUE"""),42215.66666666667)</f>
        <v>42215.66667</v>
      </c>
      <c r="B3920" s="1">
        <f>IFERROR(__xludf.DUMMYFUNCTION("""COMPUTED_VALUE"""),79.4)</f>
        <v>79.4</v>
      </c>
      <c r="C3920" s="1">
        <f>IFERROR(__xludf.DUMMYFUNCTION("""COMPUTED_VALUE"""),79.48)</f>
        <v>79.48</v>
      </c>
      <c r="D3920" s="1">
        <f>IFERROR(__xludf.DUMMYFUNCTION("""COMPUTED_VALUE"""),77.15)</f>
        <v>77.15</v>
      </c>
      <c r="E3920" s="1">
        <f>IFERROR(__xludf.DUMMYFUNCTION("""COMPUTED_VALUE"""),77.39)</f>
        <v>77.39</v>
      </c>
      <c r="F3920" s="1">
        <f>IFERROR(__xludf.DUMMYFUNCTION("""COMPUTED_VALUE"""),2.2067484E7)</f>
        <v>22067484</v>
      </c>
    </row>
    <row r="3921">
      <c r="A3921" s="2">
        <f>IFERROR(__xludf.DUMMYFUNCTION("""COMPUTED_VALUE"""),42216.66666666667)</f>
        <v>42216.66667</v>
      </c>
      <c r="B3921" s="1">
        <f>IFERROR(__xludf.DUMMYFUNCTION("""COMPUTED_VALUE"""),77.63)</f>
        <v>77.63</v>
      </c>
      <c r="C3921" s="1">
        <f>IFERROR(__xludf.DUMMYFUNCTION("""COMPUTED_VALUE"""),77.74)</f>
        <v>77.74</v>
      </c>
      <c r="D3921" s="1">
        <f>IFERROR(__xludf.DUMMYFUNCTION("""COMPUTED_VALUE"""),76.66)</f>
        <v>76.66</v>
      </c>
      <c r="E3921" s="1">
        <f>IFERROR(__xludf.DUMMYFUNCTION("""COMPUTED_VALUE"""),76.7)</f>
        <v>76.7</v>
      </c>
      <c r="F3921" s="1">
        <f>IFERROR(__xludf.DUMMYFUNCTION("""COMPUTED_VALUE"""),1.1877186E7)</f>
        <v>11877186</v>
      </c>
    </row>
    <row r="3922">
      <c r="A3922" s="2">
        <f>IFERROR(__xludf.DUMMYFUNCTION("""COMPUTED_VALUE"""),42219.66666666667)</f>
        <v>42219.66667</v>
      </c>
      <c r="B3922" s="1">
        <f>IFERROR(__xludf.DUMMYFUNCTION("""COMPUTED_VALUE"""),76.51)</f>
        <v>76.51</v>
      </c>
      <c r="C3922" s="1">
        <f>IFERROR(__xludf.DUMMYFUNCTION("""COMPUTED_VALUE"""),77.09)</f>
        <v>77.09</v>
      </c>
      <c r="D3922" s="1">
        <f>IFERROR(__xludf.DUMMYFUNCTION("""COMPUTED_VALUE"""),76.01)</f>
        <v>76.01</v>
      </c>
      <c r="E3922" s="1">
        <f>IFERROR(__xludf.DUMMYFUNCTION("""COMPUTED_VALUE"""),76.4)</f>
        <v>76.4</v>
      </c>
      <c r="F3922" s="1">
        <f>IFERROR(__xludf.DUMMYFUNCTION("""COMPUTED_VALUE"""),9510774.0)</f>
        <v>9510774</v>
      </c>
    </row>
    <row r="3923">
      <c r="A3923" s="2">
        <f>IFERROR(__xludf.DUMMYFUNCTION("""COMPUTED_VALUE"""),42220.66666666667)</f>
        <v>42220.66667</v>
      </c>
      <c r="B3923" s="1">
        <f>IFERROR(__xludf.DUMMYFUNCTION("""COMPUTED_VALUE"""),76.03)</f>
        <v>76.03</v>
      </c>
      <c r="C3923" s="1">
        <f>IFERROR(__xludf.DUMMYFUNCTION("""COMPUTED_VALUE"""),76.34)</f>
        <v>76.34</v>
      </c>
      <c r="D3923" s="1">
        <f>IFERROR(__xludf.DUMMYFUNCTION("""COMPUTED_VALUE"""),75.75)</f>
        <v>75.75</v>
      </c>
      <c r="E3923" s="1">
        <f>IFERROR(__xludf.DUMMYFUNCTION("""COMPUTED_VALUE"""),75.91)</f>
        <v>75.91</v>
      </c>
      <c r="F3923" s="1">
        <f>IFERROR(__xludf.DUMMYFUNCTION("""COMPUTED_VALUE"""),1.3366301E7)</f>
        <v>13366301</v>
      </c>
    </row>
    <row r="3924">
      <c r="A3924" s="2">
        <f>IFERROR(__xludf.DUMMYFUNCTION("""COMPUTED_VALUE"""),42221.66666666667)</f>
        <v>42221.66667</v>
      </c>
      <c r="B3924" s="1">
        <f>IFERROR(__xludf.DUMMYFUNCTION("""COMPUTED_VALUE"""),76.05)</f>
        <v>76.05</v>
      </c>
      <c r="C3924" s="1">
        <f>IFERROR(__xludf.DUMMYFUNCTION("""COMPUTED_VALUE"""),76.54)</f>
        <v>76.54</v>
      </c>
      <c r="D3924" s="1">
        <f>IFERROR(__xludf.DUMMYFUNCTION("""COMPUTED_VALUE"""),75.75)</f>
        <v>75.75</v>
      </c>
      <c r="E3924" s="1">
        <f>IFERROR(__xludf.DUMMYFUNCTION("""COMPUTED_VALUE"""),75.77)</f>
        <v>75.77</v>
      </c>
      <c r="F3924" s="1">
        <f>IFERROR(__xludf.DUMMYFUNCTION("""COMPUTED_VALUE"""),1.0895154E7)</f>
        <v>10895154</v>
      </c>
    </row>
    <row r="3925">
      <c r="A3925" s="2">
        <f>IFERROR(__xludf.DUMMYFUNCTION("""COMPUTED_VALUE"""),42222.66666666667)</f>
        <v>42222.66667</v>
      </c>
      <c r="B3925" s="1">
        <f>IFERROR(__xludf.DUMMYFUNCTION("""COMPUTED_VALUE"""),76.01)</f>
        <v>76.01</v>
      </c>
      <c r="C3925" s="1">
        <f>IFERROR(__xludf.DUMMYFUNCTION("""COMPUTED_VALUE"""),76.01)</f>
        <v>76.01</v>
      </c>
      <c r="D3925" s="1">
        <f>IFERROR(__xludf.DUMMYFUNCTION("""COMPUTED_VALUE"""),75.25)</f>
        <v>75.25</v>
      </c>
      <c r="E3925" s="1">
        <f>IFERROR(__xludf.DUMMYFUNCTION("""COMPUTED_VALUE"""),75.74)</f>
        <v>75.74</v>
      </c>
      <c r="F3925" s="1">
        <f>IFERROR(__xludf.DUMMYFUNCTION("""COMPUTED_VALUE"""),9353202.0)</f>
        <v>9353202</v>
      </c>
    </row>
    <row r="3926">
      <c r="A3926" s="2">
        <f>IFERROR(__xludf.DUMMYFUNCTION("""COMPUTED_VALUE"""),42223.66666666667)</f>
        <v>42223.66667</v>
      </c>
      <c r="B3926" s="1">
        <f>IFERROR(__xludf.DUMMYFUNCTION("""COMPUTED_VALUE"""),75.59)</f>
        <v>75.59</v>
      </c>
      <c r="C3926" s="1">
        <f>IFERROR(__xludf.DUMMYFUNCTION("""COMPUTED_VALUE"""),75.72)</f>
        <v>75.72</v>
      </c>
      <c r="D3926" s="1">
        <f>IFERROR(__xludf.DUMMYFUNCTION("""COMPUTED_VALUE"""),75.34)</f>
        <v>75.34</v>
      </c>
      <c r="E3926" s="1">
        <f>IFERROR(__xludf.DUMMYFUNCTION("""COMPUTED_VALUE"""),75.48)</f>
        <v>75.48</v>
      </c>
      <c r="F3926" s="1">
        <f>IFERROR(__xludf.DUMMYFUNCTION("""COMPUTED_VALUE"""),1.004533E7)</f>
        <v>10045330</v>
      </c>
    </row>
    <row r="3927">
      <c r="A3927" s="2">
        <f>IFERROR(__xludf.DUMMYFUNCTION("""COMPUTED_VALUE"""),42226.66666666667)</f>
        <v>42226.66667</v>
      </c>
      <c r="B3927" s="1">
        <f>IFERROR(__xludf.DUMMYFUNCTION("""COMPUTED_VALUE"""),75.95)</f>
        <v>75.95</v>
      </c>
      <c r="C3927" s="1">
        <f>IFERROR(__xludf.DUMMYFUNCTION("""COMPUTED_VALUE"""),76.5)</f>
        <v>76.5</v>
      </c>
      <c r="D3927" s="1">
        <f>IFERROR(__xludf.DUMMYFUNCTION("""COMPUTED_VALUE"""),75.8)</f>
        <v>75.8</v>
      </c>
      <c r="E3927" s="1">
        <f>IFERROR(__xludf.DUMMYFUNCTION("""COMPUTED_VALUE"""),76.38)</f>
        <v>76.38</v>
      </c>
      <c r="F3927" s="1">
        <f>IFERROR(__xludf.DUMMYFUNCTION("""COMPUTED_VALUE"""),9165823.0)</f>
        <v>9165823</v>
      </c>
    </row>
    <row r="3928">
      <c r="A3928" s="2">
        <f>IFERROR(__xludf.DUMMYFUNCTION("""COMPUTED_VALUE"""),42227.66666666667)</f>
        <v>42227.66667</v>
      </c>
      <c r="B3928" s="1">
        <f>IFERROR(__xludf.DUMMYFUNCTION("""COMPUTED_VALUE"""),76.04)</f>
        <v>76.04</v>
      </c>
      <c r="C3928" s="1">
        <f>IFERROR(__xludf.DUMMYFUNCTION("""COMPUTED_VALUE"""),76.45)</f>
        <v>76.45</v>
      </c>
      <c r="D3928" s="1">
        <f>IFERROR(__xludf.DUMMYFUNCTION("""COMPUTED_VALUE"""),75.81)</f>
        <v>75.81</v>
      </c>
      <c r="E3928" s="1">
        <f>IFERROR(__xludf.DUMMYFUNCTION("""COMPUTED_VALUE"""),76.22)</f>
        <v>76.22</v>
      </c>
      <c r="F3928" s="1">
        <f>IFERROR(__xludf.DUMMYFUNCTION("""COMPUTED_VALUE"""),7491847.0)</f>
        <v>7491847</v>
      </c>
    </row>
    <row r="3929">
      <c r="A3929" s="2">
        <f>IFERROR(__xludf.DUMMYFUNCTION("""COMPUTED_VALUE"""),42228.66666666667)</f>
        <v>42228.66667</v>
      </c>
      <c r="B3929" s="1">
        <f>IFERROR(__xludf.DUMMYFUNCTION("""COMPUTED_VALUE"""),75.89)</f>
        <v>75.89</v>
      </c>
      <c r="C3929" s="1">
        <f>IFERROR(__xludf.DUMMYFUNCTION("""COMPUTED_VALUE"""),76.43)</f>
        <v>76.43</v>
      </c>
      <c r="D3929" s="1">
        <f>IFERROR(__xludf.DUMMYFUNCTION("""COMPUTED_VALUE"""),75.34)</f>
        <v>75.34</v>
      </c>
      <c r="E3929" s="1">
        <f>IFERROR(__xludf.DUMMYFUNCTION("""COMPUTED_VALUE"""),76.39)</f>
        <v>76.39</v>
      </c>
      <c r="F3929" s="1">
        <f>IFERROR(__xludf.DUMMYFUNCTION("""COMPUTED_VALUE"""),1.0483695E7)</f>
        <v>10483695</v>
      </c>
    </row>
    <row r="3930">
      <c r="A3930" s="2">
        <f>IFERROR(__xludf.DUMMYFUNCTION("""COMPUTED_VALUE"""),42229.66666666667)</f>
        <v>42229.66667</v>
      </c>
      <c r="B3930" s="1">
        <f>IFERROR(__xludf.DUMMYFUNCTION("""COMPUTED_VALUE"""),76.49)</f>
        <v>76.49</v>
      </c>
      <c r="C3930" s="1">
        <f>IFERROR(__xludf.DUMMYFUNCTION("""COMPUTED_VALUE"""),76.51)</f>
        <v>76.51</v>
      </c>
      <c r="D3930" s="1">
        <f>IFERROR(__xludf.DUMMYFUNCTION("""COMPUTED_VALUE"""),75.63)</f>
        <v>75.63</v>
      </c>
      <c r="E3930" s="1">
        <f>IFERROR(__xludf.DUMMYFUNCTION("""COMPUTED_VALUE"""),75.78)</f>
        <v>75.78</v>
      </c>
      <c r="F3930" s="1">
        <f>IFERROR(__xludf.DUMMYFUNCTION("""COMPUTED_VALUE"""),5947947.0)</f>
        <v>5947947</v>
      </c>
    </row>
    <row r="3931">
      <c r="A3931" s="2">
        <f>IFERROR(__xludf.DUMMYFUNCTION("""COMPUTED_VALUE"""),42230.66666666667)</f>
        <v>42230.66667</v>
      </c>
      <c r="B3931" s="1">
        <f>IFERROR(__xludf.DUMMYFUNCTION("""COMPUTED_VALUE"""),75.74)</f>
        <v>75.74</v>
      </c>
      <c r="C3931" s="1">
        <f>IFERROR(__xludf.DUMMYFUNCTION("""COMPUTED_VALUE"""),75.81)</f>
        <v>75.81</v>
      </c>
      <c r="D3931" s="1">
        <f>IFERROR(__xludf.DUMMYFUNCTION("""COMPUTED_VALUE"""),75.38)</f>
        <v>75.38</v>
      </c>
      <c r="E3931" s="1">
        <f>IFERROR(__xludf.DUMMYFUNCTION("""COMPUTED_VALUE"""),75.62)</f>
        <v>75.62</v>
      </c>
      <c r="F3931" s="1">
        <f>IFERROR(__xludf.DUMMYFUNCTION("""COMPUTED_VALUE"""),5586811.0)</f>
        <v>5586811</v>
      </c>
    </row>
    <row r="3932">
      <c r="A3932" s="2">
        <f>IFERROR(__xludf.DUMMYFUNCTION("""COMPUTED_VALUE"""),42233.66666666667)</f>
        <v>42233.66667</v>
      </c>
      <c r="B3932" s="1">
        <f>IFERROR(__xludf.DUMMYFUNCTION("""COMPUTED_VALUE"""),75.81)</f>
        <v>75.81</v>
      </c>
      <c r="C3932" s="1">
        <f>IFERROR(__xludf.DUMMYFUNCTION("""COMPUTED_VALUE"""),75.81)</f>
        <v>75.81</v>
      </c>
      <c r="D3932" s="1">
        <f>IFERROR(__xludf.DUMMYFUNCTION("""COMPUTED_VALUE"""),74.75)</f>
        <v>74.75</v>
      </c>
      <c r="E3932" s="1">
        <f>IFERROR(__xludf.DUMMYFUNCTION("""COMPUTED_VALUE"""),75.53)</f>
        <v>75.53</v>
      </c>
      <c r="F3932" s="1">
        <f>IFERROR(__xludf.DUMMYFUNCTION("""COMPUTED_VALUE"""),8683913.0)</f>
        <v>8683913</v>
      </c>
    </row>
    <row r="3933">
      <c r="A3933" s="2">
        <f>IFERROR(__xludf.DUMMYFUNCTION("""COMPUTED_VALUE"""),42234.66666666667)</f>
        <v>42234.66667</v>
      </c>
      <c r="B3933" s="1">
        <f>IFERROR(__xludf.DUMMYFUNCTION("""COMPUTED_VALUE"""),75.58)</f>
        <v>75.58</v>
      </c>
      <c r="C3933" s="1">
        <f>IFERROR(__xludf.DUMMYFUNCTION("""COMPUTED_VALUE"""),75.8)</f>
        <v>75.8</v>
      </c>
      <c r="D3933" s="1">
        <f>IFERROR(__xludf.DUMMYFUNCTION("""COMPUTED_VALUE"""),75.0)</f>
        <v>75</v>
      </c>
      <c r="E3933" s="1">
        <f>IFERROR(__xludf.DUMMYFUNCTION("""COMPUTED_VALUE"""),75.13)</f>
        <v>75.13</v>
      </c>
      <c r="F3933" s="1">
        <f>IFERROR(__xludf.DUMMYFUNCTION("""COMPUTED_VALUE"""),7445886.0)</f>
        <v>7445886</v>
      </c>
    </row>
    <row r="3934">
      <c r="A3934" s="2">
        <f>IFERROR(__xludf.DUMMYFUNCTION("""COMPUTED_VALUE"""),42235.66666666667)</f>
        <v>42235.66667</v>
      </c>
      <c r="B3934" s="1">
        <f>IFERROR(__xludf.DUMMYFUNCTION("""COMPUTED_VALUE"""),74.93)</f>
        <v>74.93</v>
      </c>
      <c r="C3934" s="1">
        <f>IFERROR(__xludf.DUMMYFUNCTION("""COMPUTED_VALUE"""),74.93)</f>
        <v>74.93</v>
      </c>
      <c r="D3934" s="1">
        <f>IFERROR(__xludf.DUMMYFUNCTION("""COMPUTED_VALUE"""),74.02)</f>
        <v>74.02</v>
      </c>
      <c r="E3934" s="1">
        <f>IFERROR(__xludf.DUMMYFUNCTION("""COMPUTED_VALUE"""),74.12)</f>
        <v>74.12</v>
      </c>
      <c r="F3934" s="1">
        <f>IFERROR(__xludf.DUMMYFUNCTION("""COMPUTED_VALUE"""),9864566.0)</f>
        <v>9864566</v>
      </c>
    </row>
    <row r="3935">
      <c r="A3935" s="2">
        <f>IFERROR(__xludf.DUMMYFUNCTION("""COMPUTED_VALUE"""),42236.66666666667)</f>
        <v>42236.66667</v>
      </c>
      <c r="B3935" s="1">
        <f>IFERROR(__xludf.DUMMYFUNCTION("""COMPUTED_VALUE"""),73.75)</f>
        <v>73.75</v>
      </c>
      <c r="C3935" s="1">
        <f>IFERROR(__xludf.DUMMYFUNCTION("""COMPUTED_VALUE"""),74.72)</f>
        <v>74.72</v>
      </c>
      <c r="D3935" s="1">
        <f>IFERROR(__xludf.DUMMYFUNCTION("""COMPUTED_VALUE"""),73.46)</f>
        <v>73.46</v>
      </c>
      <c r="E3935" s="1">
        <f>IFERROR(__xludf.DUMMYFUNCTION("""COMPUTED_VALUE"""),73.91)</f>
        <v>73.91</v>
      </c>
      <c r="F3935" s="1">
        <f>IFERROR(__xludf.DUMMYFUNCTION("""COMPUTED_VALUE"""),1.0695375E7)</f>
        <v>10695375</v>
      </c>
    </row>
    <row r="3936">
      <c r="A3936" s="2">
        <f>IFERROR(__xludf.DUMMYFUNCTION("""COMPUTED_VALUE"""),42237.66666666667)</f>
        <v>42237.66667</v>
      </c>
      <c r="B3936" s="1">
        <f>IFERROR(__xludf.DUMMYFUNCTION("""COMPUTED_VALUE"""),73.55)</f>
        <v>73.55</v>
      </c>
      <c r="C3936" s="1">
        <f>IFERROR(__xludf.DUMMYFUNCTION("""COMPUTED_VALUE"""),73.9)</f>
        <v>73.9</v>
      </c>
      <c r="D3936" s="1">
        <f>IFERROR(__xludf.DUMMYFUNCTION("""COMPUTED_VALUE"""),71.83)</f>
        <v>71.83</v>
      </c>
      <c r="E3936" s="1">
        <f>IFERROR(__xludf.DUMMYFUNCTION("""COMPUTED_VALUE"""),71.84)</f>
        <v>71.84</v>
      </c>
      <c r="F3936" s="1">
        <f>IFERROR(__xludf.DUMMYFUNCTION("""COMPUTED_VALUE"""),1.5762186E7)</f>
        <v>15762186</v>
      </c>
    </row>
    <row r="3937">
      <c r="A3937" s="2">
        <f>IFERROR(__xludf.DUMMYFUNCTION("""COMPUTED_VALUE"""),42240.66666666667)</f>
        <v>42240.66667</v>
      </c>
      <c r="B3937" s="1">
        <f>IFERROR(__xludf.DUMMYFUNCTION("""COMPUTED_VALUE"""),68.57)</f>
        <v>68.57</v>
      </c>
      <c r="C3937" s="1">
        <f>IFERROR(__xludf.DUMMYFUNCTION("""COMPUTED_VALUE"""),71.07)</f>
        <v>71.07</v>
      </c>
      <c r="D3937" s="1">
        <f>IFERROR(__xludf.DUMMYFUNCTION("""COMPUTED_VALUE"""),65.02)</f>
        <v>65.02</v>
      </c>
      <c r="E3937" s="1">
        <f>IFERROR(__xludf.DUMMYFUNCTION("""COMPUTED_VALUE"""),69.14)</f>
        <v>69.14</v>
      </c>
      <c r="F3937" s="1">
        <f>IFERROR(__xludf.DUMMYFUNCTION("""COMPUTED_VALUE"""),2.3692048E7)</f>
        <v>23692048</v>
      </c>
    </row>
    <row r="3938">
      <c r="A3938" s="2">
        <f>IFERROR(__xludf.DUMMYFUNCTION("""COMPUTED_VALUE"""),42241.66666666667)</f>
        <v>42241.66667</v>
      </c>
      <c r="B3938" s="1">
        <f>IFERROR(__xludf.DUMMYFUNCTION("""COMPUTED_VALUE"""),72.18)</f>
        <v>72.18</v>
      </c>
      <c r="C3938" s="1">
        <f>IFERROR(__xludf.DUMMYFUNCTION("""COMPUTED_VALUE"""),72.23)</f>
        <v>72.23</v>
      </c>
      <c r="D3938" s="1">
        <f>IFERROR(__xludf.DUMMYFUNCTION("""COMPUTED_VALUE"""),68.3)</f>
        <v>68.3</v>
      </c>
      <c r="E3938" s="1">
        <f>IFERROR(__xludf.DUMMYFUNCTION("""COMPUTED_VALUE"""),68.42)</f>
        <v>68.42</v>
      </c>
      <c r="F3938" s="1">
        <f>IFERROR(__xludf.DUMMYFUNCTION("""COMPUTED_VALUE"""),2.1476474E7)</f>
        <v>21476474</v>
      </c>
    </row>
    <row r="3939">
      <c r="A3939" s="2">
        <f>IFERROR(__xludf.DUMMYFUNCTION("""COMPUTED_VALUE"""),42242.66666666667)</f>
        <v>42242.66667</v>
      </c>
      <c r="B3939" s="1">
        <f>IFERROR(__xludf.DUMMYFUNCTION("""COMPUTED_VALUE"""),69.9)</f>
        <v>69.9</v>
      </c>
      <c r="C3939" s="1">
        <f>IFERROR(__xludf.DUMMYFUNCTION("""COMPUTED_VALUE"""),71.0)</f>
        <v>71</v>
      </c>
      <c r="D3939" s="1">
        <f>IFERROR(__xludf.DUMMYFUNCTION("""COMPUTED_VALUE"""),68.95)</f>
        <v>68.95</v>
      </c>
      <c r="E3939" s="1">
        <f>IFERROR(__xludf.DUMMYFUNCTION("""COMPUTED_VALUE"""),70.9)</f>
        <v>70.9</v>
      </c>
      <c r="F3939" s="1">
        <f>IFERROR(__xludf.DUMMYFUNCTION("""COMPUTED_VALUE"""),1.7463836E7)</f>
        <v>17463836</v>
      </c>
    </row>
    <row r="3940">
      <c r="A3940" s="2">
        <f>IFERROR(__xludf.DUMMYFUNCTION("""COMPUTED_VALUE"""),42243.66666666667)</f>
        <v>42243.66667</v>
      </c>
      <c r="B3940" s="1">
        <f>IFERROR(__xludf.DUMMYFUNCTION("""COMPUTED_VALUE"""),71.4)</f>
        <v>71.4</v>
      </c>
      <c r="C3940" s="1">
        <f>IFERROR(__xludf.DUMMYFUNCTION("""COMPUTED_VALUE"""),71.75)</f>
        <v>71.75</v>
      </c>
      <c r="D3940" s="1">
        <f>IFERROR(__xludf.DUMMYFUNCTION("""COMPUTED_VALUE"""),70.02)</f>
        <v>70.02</v>
      </c>
      <c r="E3940" s="1">
        <f>IFERROR(__xludf.DUMMYFUNCTION("""COMPUTED_VALUE"""),71.48)</f>
        <v>71.48</v>
      </c>
      <c r="F3940" s="1">
        <f>IFERROR(__xludf.DUMMYFUNCTION("""COMPUTED_VALUE"""),1.3433588E7)</f>
        <v>13433588</v>
      </c>
    </row>
    <row r="3941">
      <c r="A3941" s="2">
        <f>IFERROR(__xludf.DUMMYFUNCTION("""COMPUTED_VALUE"""),42244.66666666667)</f>
        <v>42244.66667</v>
      </c>
      <c r="B3941" s="1">
        <f>IFERROR(__xludf.DUMMYFUNCTION("""COMPUTED_VALUE"""),71.17)</f>
        <v>71.17</v>
      </c>
      <c r="C3941" s="1">
        <f>IFERROR(__xludf.DUMMYFUNCTION("""COMPUTED_VALUE"""),71.27)</f>
        <v>71.27</v>
      </c>
      <c r="D3941" s="1">
        <f>IFERROR(__xludf.DUMMYFUNCTION("""COMPUTED_VALUE"""),70.59)</f>
        <v>70.59</v>
      </c>
      <c r="E3941" s="1">
        <f>IFERROR(__xludf.DUMMYFUNCTION("""COMPUTED_VALUE"""),71.21)</f>
        <v>71.21</v>
      </c>
      <c r="F3941" s="1">
        <f>IFERROR(__xludf.DUMMYFUNCTION("""COMPUTED_VALUE"""),1.0019499E7)</f>
        <v>10019499</v>
      </c>
    </row>
    <row r="3942">
      <c r="A3942" s="2">
        <f>IFERROR(__xludf.DUMMYFUNCTION("""COMPUTED_VALUE"""),42247.66666666667)</f>
        <v>42247.66667</v>
      </c>
      <c r="B3942" s="1">
        <f>IFERROR(__xludf.DUMMYFUNCTION("""COMPUTED_VALUE"""),71.0)</f>
        <v>71</v>
      </c>
      <c r="C3942" s="1">
        <f>IFERROR(__xludf.DUMMYFUNCTION("""COMPUTED_VALUE"""),71.0)</f>
        <v>71</v>
      </c>
      <c r="D3942" s="1">
        <f>IFERROR(__xludf.DUMMYFUNCTION("""COMPUTED_VALUE"""),70.3)</f>
        <v>70.3</v>
      </c>
      <c r="E3942" s="1">
        <f>IFERROR(__xludf.DUMMYFUNCTION("""COMPUTED_VALUE"""),70.67)</f>
        <v>70.67</v>
      </c>
      <c r="F3942" s="1">
        <f>IFERROR(__xludf.DUMMYFUNCTION("""COMPUTED_VALUE"""),9520712.0)</f>
        <v>9520712</v>
      </c>
    </row>
    <row r="3943">
      <c r="A3943" s="2">
        <f>IFERROR(__xludf.DUMMYFUNCTION("""COMPUTED_VALUE"""),42248.66666666667)</f>
        <v>42248.66667</v>
      </c>
      <c r="B3943" s="1">
        <f>IFERROR(__xludf.DUMMYFUNCTION("""COMPUTED_VALUE"""),69.37)</f>
        <v>69.37</v>
      </c>
      <c r="C3943" s="1">
        <f>IFERROR(__xludf.DUMMYFUNCTION("""COMPUTED_VALUE"""),69.88)</f>
        <v>69.88</v>
      </c>
      <c r="D3943" s="1">
        <f>IFERROR(__xludf.DUMMYFUNCTION("""COMPUTED_VALUE"""),68.52)</f>
        <v>68.52</v>
      </c>
      <c r="E3943" s="1">
        <f>IFERROR(__xludf.DUMMYFUNCTION("""COMPUTED_VALUE"""),68.9)</f>
        <v>68.9</v>
      </c>
      <c r="F3943" s="1">
        <f>IFERROR(__xludf.DUMMYFUNCTION("""COMPUTED_VALUE"""),1.5432018E7)</f>
        <v>15432018</v>
      </c>
    </row>
    <row r="3944">
      <c r="A3944" s="2">
        <f>IFERROR(__xludf.DUMMYFUNCTION("""COMPUTED_VALUE"""),42249.66666666667)</f>
        <v>42249.66667</v>
      </c>
      <c r="B3944" s="1">
        <f>IFERROR(__xludf.DUMMYFUNCTION("""COMPUTED_VALUE"""),69.65)</f>
        <v>69.65</v>
      </c>
      <c r="C3944" s="1">
        <f>IFERROR(__xludf.DUMMYFUNCTION("""COMPUTED_VALUE"""),69.85)</f>
        <v>69.85</v>
      </c>
      <c r="D3944" s="1">
        <f>IFERROR(__xludf.DUMMYFUNCTION("""COMPUTED_VALUE"""),69.22)</f>
        <v>69.22</v>
      </c>
      <c r="E3944" s="1">
        <f>IFERROR(__xludf.DUMMYFUNCTION("""COMPUTED_VALUE"""),69.81)</f>
        <v>69.81</v>
      </c>
      <c r="F3944" s="1">
        <f>IFERROR(__xludf.DUMMYFUNCTION("""COMPUTED_VALUE"""),8901866.0)</f>
        <v>8901866</v>
      </c>
    </row>
    <row r="3945">
      <c r="A3945" s="2">
        <f>IFERROR(__xludf.DUMMYFUNCTION("""COMPUTED_VALUE"""),42250.66666666667)</f>
        <v>42250.66667</v>
      </c>
      <c r="B3945" s="1">
        <f>IFERROR(__xludf.DUMMYFUNCTION("""COMPUTED_VALUE"""),70.18)</f>
        <v>70.18</v>
      </c>
      <c r="C3945" s="1">
        <f>IFERROR(__xludf.DUMMYFUNCTION("""COMPUTED_VALUE"""),70.46)</f>
        <v>70.46</v>
      </c>
      <c r="D3945" s="1">
        <f>IFERROR(__xludf.DUMMYFUNCTION("""COMPUTED_VALUE"""),69.7)</f>
        <v>69.7</v>
      </c>
      <c r="E3945" s="1">
        <f>IFERROR(__xludf.DUMMYFUNCTION("""COMPUTED_VALUE"""),69.93)</f>
        <v>69.93</v>
      </c>
      <c r="F3945" s="1">
        <f>IFERROR(__xludf.DUMMYFUNCTION("""COMPUTED_VALUE"""),8468332.0)</f>
        <v>8468332</v>
      </c>
    </row>
    <row r="3946">
      <c r="A3946" s="2">
        <f>IFERROR(__xludf.DUMMYFUNCTION("""COMPUTED_VALUE"""),42251.66666666667)</f>
        <v>42251.66667</v>
      </c>
      <c r="B3946" s="1">
        <f>IFERROR(__xludf.DUMMYFUNCTION("""COMPUTED_VALUE"""),69.28)</f>
        <v>69.28</v>
      </c>
      <c r="C3946" s="1">
        <f>IFERROR(__xludf.DUMMYFUNCTION("""COMPUTED_VALUE"""),69.28)</f>
        <v>69.28</v>
      </c>
      <c r="D3946" s="1">
        <f>IFERROR(__xludf.DUMMYFUNCTION("""COMPUTED_VALUE"""),68.5)</f>
        <v>68.5</v>
      </c>
      <c r="E3946" s="1">
        <f>IFERROR(__xludf.DUMMYFUNCTION("""COMPUTED_VALUE"""),68.76)</f>
        <v>68.76</v>
      </c>
      <c r="F3946" s="1">
        <f>IFERROR(__xludf.DUMMYFUNCTION("""COMPUTED_VALUE"""),1.1497457E7)</f>
        <v>11497457</v>
      </c>
    </row>
    <row r="3947">
      <c r="A3947" s="2">
        <f>IFERROR(__xludf.DUMMYFUNCTION("""COMPUTED_VALUE"""),42255.66666666667)</f>
        <v>42255.66667</v>
      </c>
      <c r="B3947" s="1">
        <f>IFERROR(__xludf.DUMMYFUNCTION("""COMPUTED_VALUE"""),70.31)</f>
        <v>70.31</v>
      </c>
      <c r="C3947" s="1">
        <f>IFERROR(__xludf.DUMMYFUNCTION("""COMPUTED_VALUE"""),70.44)</f>
        <v>70.44</v>
      </c>
      <c r="D3947" s="1">
        <f>IFERROR(__xludf.DUMMYFUNCTION("""COMPUTED_VALUE"""),69.56)</f>
        <v>69.56</v>
      </c>
      <c r="E3947" s="1">
        <f>IFERROR(__xludf.DUMMYFUNCTION("""COMPUTED_VALUE"""),69.98)</f>
        <v>69.98</v>
      </c>
      <c r="F3947" s="1">
        <f>IFERROR(__xludf.DUMMYFUNCTION("""COMPUTED_VALUE"""),9182253.0)</f>
        <v>9182253</v>
      </c>
    </row>
    <row r="3948">
      <c r="A3948" s="2">
        <f>IFERROR(__xludf.DUMMYFUNCTION("""COMPUTED_VALUE"""),42256.66666666667)</f>
        <v>42256.66667</v>
      </c>
      <c r="B3948" s="1">
        <f>IFERROR(__xludf.DUMMYFUNCTION("""COMPUTED_VALUE"""),70.44)</f>
        <v>70.44</v>
      </c>
      <c r="C3948" s="1">
        <f>IFERROR(__xludf.DUMMYFUNCTION("""COMPUTED_VALUE"""),70.54)</f>
        <v>70.54</v>
      </c>
      <c r="D3948" s="1">
        <f>IFERROR(__xludf.DUMMYFUNCTION("""COMPUTED_VALUE"""),68.37)</f>
        <v>68.37</v>
      </c>
      <c r="E3948" s="1">
        <f>IFERROR(__xludf.DUMMYFUNCTION("""COMPUTED_VALUE"""),68.48)</f>
        <v>68.48</v>
      </c>
      <c r="F3948" s="1">
        <f>IFERROR(__xludf.DUMMYFUNCTION("""COMPUTED_VALUE"""),1.1069722E7)</f>
        <v>11069722</v>
      </c>
    </row>
    <row r="3949">
      <c r="A3949" s="2">
        <f>IFERROR(__xludf.DUMMYFUNCTION("""COMPUTED_VALUE"""),42257.66666666667)</f>
        <v>42257.66667</v>
      </c>
      <c r="B3949" s="1">
        <f>IFERROR(__xludf.DUMMYFUNCTION("""COMPUTED_VALUE"""),68.12)</f>
        <v>68.12</v>
      </c>
      <c r="C3949" s="1">
        <f>IFERROR(__xludf.DUMMYFUNCTION("""COMPUTED_VALUE"""),68.95)</f>
        <v>68.95</v>
      </c>
      <c r="D3949" s="1">
        <f>IFERROR(__xludf.DUMMYFUNCTION("""COMPUTED_VALUE"""),67.75)</f>
        <v>67.75</v>
      </c>
      <c r="E3949" s="1">
        <f>IFERROR(__xludf.DUMMYFUNCTION("""COMPUTED_VALUE"""),68.32)</f>
        <v>68.32</v>
      </c>
      <c r="F3949" s="1">
        <f>IFERROR(__xludf.DUMMYFUNCTION("""COMPUTED_VALUE"""),1.259101E7)</f>
        <v>12591010</v>
      </c>
    </row>
    <row r="3950">
      <c r="A3950" s="2">
        <f>IFERROR(__xludf.DUMMYFUNCTION("""COMPUTED_VALUE"""),42258.66666666667)</f>
        <v>42258.66667</v>
      </c>
      <c r="B3950" s="1">
        <f>IFERROR(__xludf.DUMMYFUNCTION("""COMPUTED_VALUE"""),68.06)</f>
        <v>68.06</v>
      </c>
      <c r="C3950" s="1">
        <f>IFERROR(__xludf.DUMMYFUNCTION("""COMPUTED_VALUE"""),68.51)</f>
        <v>68.51</v>
      </c>
      <c r="D3950" s="1">
        <f>IFERROR(__xludf.DUMMYFUNCTION("""COMPUTED_VALUE"""),67.73)</f>
        <v>67.73</v>
      </c>
      <c r="E3950" s="1">
        <f>IFERROR(__xludf.DUMMYFUNCTION("""COMPUTED_VALUE"""),68.42)</f>
        <v>68.42</v>
      </c>
      <c r="F3950" s="1">
        <f>IFERROR(__xludf.DUMMYFUNCTION("""COMPUTED_VALUE"""),1.1291401E7)</f>
        <v>11291401</v>
      </c>
    </row>
    <row r="3951">
      <c r="A3951" s="2">
        <f>IFERROR(__xludf.DUMMYFUNCTION("""COMPUTED_VALUE"""),42261.66666666667)</f>
        <v>42261.66667</v>
      </c>
      <c r="B3951" s="1">
        <f>IFERROR(__xludf.DUMMYFUNCTION("""COMPUTED_VALUE"""),68.23)</f>
        <v>68.23</v>
      </c>
      <c r="C3951" s="1">
        <f>IFERROR(__xludf.DUMMYFUNCTION("""COMPUTED_VALUE"""),68.3)</f>
        <v>68.3</v>
      </c>
      <c r="D3951" s="1">
        <f>IFERROR(__xludf.DUMMYFUNCTION("""COMPUTED_VALUE"""),67.33)</f>
        <v>67.33</v>
      </c>
      <c r="E3951" s="1">
        <f>IFERROR(__xludf.DUMMYFUNCTION("""COMPUTED_VALUE"""),68.06)</f>
        <v>68.06</v>
      </c>
      <c r="F3951" s="1">
        <f>IFERROR(__xludf.DUMMYFUNCTION("""COMPUTED_VALUE"""),9712784.0)</f>
        <v>9712784</v>
      </c>
    </row>
    <row r="3952">
      <c r="A3952" s="2">
        <f>IFERROR(__xludf.DUMMYFUNCTION("""COMPUTED_VALUE"""),42262.66666666667)</f>
        <v>42262.66667</v>
      </c>
      <c r="B3952" s="1">
        <f>IFERROR(__xludf.DUMMYFUNCTION("""COMPUTED_VALUE"""),68.02)</f>
        <v>68.02</v>
      </c>
      <c r="C3952" s="1">
        <f>IFERROR(__xludf.DUMMYFUNCTION("""COMPUTED_VALUE"""),69.74)</f>
        <v>69.74</v>
      </c>
      <c r="D3952" s="1">
        <f>IFERROR(__xludf.DUMMYFUNCTION("""COMPUTED_VALUE"""),67.9)</f>
        <v>67.9</v>
      </c>
      <c r="E3952" s="1">
        <f>IFERROR(__xludf.DUMMYFUNCTION("""COMPUTED_VALUE"""),69.45)</f>
        <v>69.45</v>
      </c>
      <c r="F3952" s="1">
        <f>IFERROR(__xludf.DUMMYFUNCTION("""COMPUTED_VALUE"""),1.1043055E7)</f>
        <v>11043055</v>
      </c>
    </row>
    <row r="3953">
      <c r="A3953" s="2">
        <f>IFERROR(__xludf.DUMMYFUNCTION("""COMPUTED_VALUE"""),42263.66666666667)</f>
        <v>42263.66667</v>
      </c>
      <c r="B3953" s="1">
        <f>IFERROR(__xludf.DUMMYFUNCTION("""COMPUTED_VALUE"""),70.12)</f>
        <v>70.12</v>
      </c>
      <c r="C3953" s="1">
        <f>IFERROR(__xludf.DUMMYFUNCTION("""COMPUTED_VALUE"""),70.36)</f>
        <v>70.36</v>
      </c>
      <c r="D3953" s="1">
        <f>IFERROR(__xludf.DUMMYFUNCTION("""COMPUTED_VALUE"""),69.7)</f>
        <v>69.7</v>
      </c>
      <c r="E3953" s="1">
        <f>IFERROR(__xludf.DUMMYFUNCTION("""COMPUTED_VALUE"""),70.1)</f>
        <v>70.1</v>
      </c>
      <c r="F3953" s="1">
        <f>IFERROR(__xludf.DUMMYFUNCTION("""COMPUTED_VALUE"""),8703147.0)</f>
        <v>8703147</v>
      </c>
    </row>
    <row r="3954">
      <c r="A3954" s="2">
        <f>IFERROR(__xludf.DUMMYFUNCTION("""COMPUTED_VALUE"""),42264.66666666667)</f>
        <v>42264.66667</v>
      </c>
      <c r="B3954" s="1">
        <f>IFERROR(__xludf.DUMMYFUNCTION("""COMPUTED_VALUE"""),70.0)</f>
        <v>70</v>
      </c>
      <c r="C3954" s="1">
        <f>IFERROR(__xludf.DUMMYFUNCTION("""COMPUTED_VALUE"""),71.27)</f>
        <v>71.27</v>
      </c>
      <c r="D3954" s="1">
        <f>IFERROR(__xludf.DUMMYFUNCTION("""COMPUTED_VALUE"""),69.86)</f>
        <v>69.86</v>
      </c>
      <c r="E3954" s="1">
        <f>IFERROR(__xludf.DUMMYFUNCTION("""COMPUTED_VALUE"""),70.24)</f>
        <v>70.24</v>
      </c>
      <c r="F3954" s="1">
        <f>IFERROR(__xludf.DUMMYFUNCTION("""COMPUTED_VALUE"""),1.1029493E7)</f>
        <v>11029493</v>
      </c>
    </row>
    <row r="3955">
      <c r="A3955" s="2">
        <f>IFERROR(__xludf.DUMMYFUNCTION("""COMPUTED_VALUE"""),42265.66666666667)</f>
        <v>42265.66667</v>
      </c>
      <c r="B3955" s="1">
        <f>IFERROR(__xludf.DUMMYFUNCTION("""COMPUTED_VALUE"""),69.44)</f>
        <v>69.44</v>
      </c>
      <c r="C3955" s="1">
        <f>IFERROR(__xludf.DUMMYFUNCTION("""COMPUTED_VALUE"""),70.78)</f>
        <v>70.78</v>
      </c>
      <c r="D3955" s="1">
        <f>IFERROR(__xludf.DUMMYFUNCTION("""COMPUTED_VALUE"""),69.37)</f>
        <v>69.37</v>
      </c>
      <c r="E3955" s="1">
        <f>IFERROR(__xludf.DUMMYFUNCTION("""COMPUTED_VALUE"""),69.94)</f>
        <v>69.94</v>
      </c>
      <c r="F3955" s="1">
        <f>IFERROR(__xludf.DUMMYFUNCTION("""COMPUTED_VALUE"""),1.8210029E7)</f>
        <v>18210029</v>
      </c>
    </row>
    <row r="3956">
      <c r="A3956" s="2">
        <f>IFERROR(__xludf.DUMMYFUNCTION("""COMPUTED_VALUE"""),42268.66666666667)</f>
        <v>42268.66667</v>
      </c>
      <c r="B3956" s="1">
        <f>IFERROR(__xludf.DUMMYFUNCTION("""COMPUTED_VALUE"""),70.15)</f>
        <v>70.15</v>
      </c>
      <c r="C3956" s="1">
        <f>IFERROR(__xludf.DUMMYFUNCTION("""COMPUTED_VALUE"""),70.88)</f>
        <v>70.88</v>
      </c>
      <c r="D3956" s="1">
        <f>IFERROR(__xludf.DUMMYFUNCTION("""COMPUTED_VALUE"""),70.01)</f>
        <v>70.01</v>
      </c>
      <c r="E3956" s="1">
        <f>IFERROR(__xludf.DUMMYFUNCTION("""COMPUTED_VALUE"""),70.65)</f>
        <v>70.65</v>
      </c>
      <c r="F3956" s="1">
        <f>IFERROR(__xludf.DUMMYFUNCTION("""COMPUTED_VALUE"""),7742506.0)</f>
        <v>7742506</v>
      </c>
    </row>
    <row r="3957">
      <c r="A3957" s="2">
        <f>IFERROR(__xludf.DUMMYFUNCTION("""COMPUTED_VALUE"""),42269.66666666667)</f>
        <v>42269.66667</v>
      </c>
      <c r="B3957" s="1">
        <f>IFERROR(__xludf.DUMMYFUNCTION("""COMPUTED_VALUE"""),70.06)</f>
        <v>70.06</v>
      </c>
      <c r="C3957" s="1">
        <f>IFERROR(__xludf.DUMMYFUNCTION("""COMPUTED_VALUE"""),70.65)</f>
        <v>70.65</v>
      </c>
      <c r="D3957" s="1">
        <f>IFERROR(__xludf.DUMMYFUNCTION("""COMPUTED_VALUE"""),69.98)</f>
        <v>69.98</v>
      </c>
      <c r="E3957" s="1">
        <f>IFERROR(__xludf.DUMMYFUNCTION("""COMPUTED_VALUE"""),70.19)</f>
        <v>70.19</v>
      </c>
      <c r="F3957" s="1">
        <f>IFERROR(__xludf.DUMMYFUNCTION("""COMPUTED_VALUE"""),1.0207585E7)</f>
        <v>10207585</v>
      </c>
    </row>
    <row r="3958">
      <c r="A3958" s="2">
        <f>IFERROR(__xludf.DUMMYFUNCTION("""COMPUTED_VALUE"""),42270.66666666667)</f>
        <v>42270.66667</v>
      </c>
      <c r="B3958" s="1">
        <f>IFERROR(__xludf.DUMMYFUNCTION("""COMPUTED_VALUE"""),70.18)</f>
        <v>70.18</v>
      </c>
      <c r="C3958" s="1">
        <f>IFERROR(__xludf.DUMMYFUNCTION("""COMPUTED_VALUE"""),70.49)</f>
        <v>70.49</v>
      </c>
      <c r="D3958" s="1">
        <f>IFERROR(__xludf.DUMMYFUNCTION("""COMPUTED_VALUE"""),69.96)</f>
        <v>69.96</v>
      </c>
      <c r="E3958" s="1">
        <f>IFERROR(__xludf.DUMMYFUNCTION("""COMPUTED_VALUE"""),70.26)</f>
        <v>70.26</v>
      </c>
      <c r="F3958" s="1">
        <f>IFERROR(__xludf.DUMMYFUNCTION("""COMPUTED_VALUE"""),6292553.0)</f>
        <v>6292553</v>
      </c>
    </row>
    <row r="3959">
      <c r="A3959" s="2">
        <f>IFERROR(__xludf.DUMMYFUNCTION("""COMPUTED_VALUE"""),42271.66666666667)</f>
        <v>42271.66667</v>
      </c>
      <c r="B3959" s="1">
        <f>IFERROR(__xludf.DUMMYFUNCTION("""COMPUTED_VALUE"""),69.82)</f>
        <v>69.82</v>
      </c>
      <c r="C3959" s="1">
        <f>IFERROR(__xludf.DUMMYFUNCTION("""COMPUTED_VALUE"""),71.58)</f>
        <v>71.58</v>
      </c>
      <c r="D3959" s="1">
        <f>IFERROR(__xludf.DUMMYFUNCTION("""COMPUTED_VALUE"""),69.74)</f>
        <v>69.74</v>
      </c>
      <c r="E3959" s="1">
        <f>IFERROR(__xludf.DUMMYFUNCTION("""COMPUTED_VALUE"""),71.36)</f>
        <v>71.36</v>
      </c>
      <c r="F3959" s="1">
        <f>IFERROR(__xludf.DUMMYFUNCTION("""COMPUTED_VALUE"""),1.34235E7)</f>
        <v>13423500</v>
      </c>
    </row>
    <row r="3960">
      <c r="A3960" s="2">
        <f>IFERROR(__xludf.DUMMYFUNCTION("""COMPUTED_VALUE"""),42272.66666666667)</f>
        <v>42272.66667</v>
      </c>
      <c r="B3960" s="1">
        <f>IFERROR(__xludf.DUMMYFUNCTION("""COMPUTED_VALUE"""),72.39)</f>
        <v>72.39</v>
      </c>
      <c r="C3960" s="1">
        <f>IFERROR(__xludf.DUMMYFUNCTION("""COMPUTED_VALUE"""),73.38)</f>
        <v>73.38</v>
      </c>
      <c r="D3960" s="1">
        <f>IFERROR(__xludf.DUMMYFUNCTION("""COMPUTED_VALUE"""),71.95)</f>
        <v>71.95</v>
      </c>
      <c r="E3960" s="1">
        <f>IFERROR(__xludf.DUMMYFUNCTION("""COMPUTED_VALUE"""),72.67)</f>
        <v>72.67</v>
      </c>
      <c r="F3960" s="1">
        <f>IFERROR(__xludf.DUMMYFUNCTION("""COMPUTED_VALUE"""),1.5080707E7)</f>
        <v>15080707</v>
      </c>
    </row>
    <row r="3961">
      <c r="A3961" s="2">
        <f>IFERROR(__xludf.DUMMYFUNCTION("""COMPUTED_VALUE"""),42275.66666666667)</f>
        <v>42275.66667</v>
      </c>
      <c r="B3961" s="1">
        <f>IFERROR(__xludf.DUMMYFUNCTION("""COMPUTED_VALUE"""),72.31)</f>
        <v>72.31</v>
      </c>
      <c r="C3961" s="1">
        <f>IFERROR(__xludf.DUMMYFUNCTION("""COMPUTED_VALUE"""),72.67)</f>
        <v>72.67</v>
      </c>
      <c r="D3961" s="1">
        <f>IFERROR(__xludf.DUMMYFUNCTION("""COMPUTED_VALUE"""),71.75)</f>
        <v>71.75</v>
      </c>
      <c r="E3961" s="1">
        <f>IFERROR(__xludf.DUMMYFUNCTION("""COMPUTED_VALUE"""),71.77)</f>
        <v>71.77</v>
      </c>
      <c r="F3961" s="1">
        <f>IFERROR(__xludf.DUMMYFUNCTION("""COMPUTED_VALUE"""),9206883.0)</f>
        <v>9206883</v>
      </c>
    </row>
    <row r="3962">
      <c r="A3962" s="2">
        <f>IFERROR(__xludf.DUMMYFUNCTION("""COMPUTED_VALUE"""),42276.66666666667)</f>
        <v>42276.66667</v>
      </c>
      <c r="B3962" s="1">
        <f>IFERROR(__xludf.DUMMYFUNCTION("""COMPUTED_VALUE"""),71.77)</f>
        <v>71.77</v>
      </c>
      <c r="C3962" s="1">
        <f>IFERROR(__xludf.DUMMYFUNCTION("""COMPUTED_VALUE"""),72.41)</f>
        <v>72.41</v>
      </c>
      <c r="D3962" s="1">
        <f>IFERROR(__xludf.DUMMYFUNCTION("""COMPUTED_VALUE"""),71.35)</f>
        <v>71.35</v>
      </c>
      <c r="E3962" s="1">
        <f>IFERROR(__xludf.DUMMYFUNCTION("""COMPUTED_VALUE"""),72.28)</f>
        <v>72.28</v>
      </c>
      <c r="F3962" s="1">
        <f>IFERROR(__xludf.DUMMYFUNCTION("""COMPUTED_VALUE"""),9033133.0)</f>
        <v>9033133</v>
      </c>
    </row>
    <row r="3963">
      <c r="A3963" s="2">
        <f>IFERROR(__xludf.DUMMYFUNCTION("""COMPUTED_VALUE"""),42277.66666666667)</f>
        <v>42277.66667</v>
      </c>
      <c r="B3963" s="1">
        <f>IFERROR(__xludf.DUMMYFUNCTION("""COMPUTED_VALUE"""),72.86)</f>
        <v>72.86</v>
      </c>
      <c r="C3963" s="1">
        <f>IFERROR(__xludf.DUMMYFUNCTION("""COMPUTED_VALUE"""),73.06)</f>
        <v>73.06</v>
      </c>
      <c r="D3963" s="1">
        <f>IFERROR(__xludf.DUMMYFUNCTION("""COMPUTED_VALUE"""),71.55)</f>
        <v>71.55</v>
      </c>
      <c r="E3963" s="1">
        <f>IFERROR(__xludf.DUMMYFUNCTION("""COMPUTED_VALUE"""),71.94)</f>
        <v>71.94</v>
      </c>
      <c r="F3963" s="1">
        <f>IFERROR(__xludf.DUMMYFUNCTION("""COMPUTED_VALUE"""),1.1041913E7)</f>
        <v>11041913</v>
      </c>
    </row>
    <row r="3964">
      <c r="A3964" s="2">
        <f>IFERROR(__xludf.DUMMYFUNCTION("""COMPUTED_VALUE"""),42278.66666666667)</f>
        <v>42278.66667</v>
      </c>
      <c r="B3964" s="1">
        <f>IFERROR(__xludf.DUMMYFUNCTION("""COMPUTED_VALUE"""),71.76)</f>
        <v>71.76</v>
      </c>
      <c r="C3964" s="1">
        <f>IFERROR(__xludf.DUMMYFUNCTION("""COMPUTED_VALUE"""),72.18)</f>
        <v>72.18</v>
      </c>
      <c r="D3964" s="1">
        <f>IFERROR(__xludf.DUMMYFUNCTION("""COMPUTED_VALUE"""),71.4)</f>
        <v>71.4</v>
      </c>
      <c r="E3964" s="1">
        <f>IFERROR(__xludf.DUMMYFUNCTION("""COMPUTED_VALUE"""),71.95)</f>
        <v>71.95</v>
      </c>
      <c r="F3964" s="1">
        <f>IFERROR(__xludf.DUMMYFUNCTION("""COMPUTED_VALUE"""),8547591.0)</f>
        <v>8547591</v>
      </c>
    </row>
    <row r="3965">
      <c r="A3965" s="2">
        <f>IFERROR(__xludf.DUMMYFUNCTION("""COMPUTED_VALUE"""),42279.66666666667)</f>
        <v>42279.66667</v>
      </c>
      <c r="B3965" s="1">
        <f>IFERROR(__xludf.DUMMYFUNCTION("""COMPUTED_VALUE"""),71.36)</f>
        <v>71.36</v>
      </c>
      <c r="C3965" s="1">
        <f>IFERROR(__xludf.DUMMYFUNCTION("""COMPUTED_VALUE"""),72.42)</f>
        <v>72.42</v>
      </c>
      <c r="D3965" s="1">
        <f>IFERROR(__xludf.DUMMYFUNCTION("""COMPUTED_VALUE"""),71.29)</f>
        <v>71.29</v>
      </c>
      <c r="E3965" s="1">
        <f>IFERROR(__xludf.DUMMYFUNCTION("""COMPUTED_VALUE"""),72.42)</f>
        <v>72.42</v>
      </c>
      <c r="F3965" s="1">
        <f>IFERROR(__xludf.DUMMYFUNCTION("""COMPUTED_VALUE"""),9085580.0)</f>
        <v>9085580</v>
      </c>
    </row>
    <row r="3966">
      <c r="A3966" s="2">
        <f>IFERROR(__xludf.DUMMYFUNCTION("""COMPUTED_VALUE"""),42282.66666666667)</f>
        <v>42282.66667</v>
      </c>
      <c r="B3966" s="1">
        <f>IFERROR(__xludf.DUMMYFUNCTION("""COMPUTED_VALUE"""),72.97)</f>
        <v>72.97</v>
      </c>
      <c r="C3966" s="1">
        <f>IFERROR(__xludf.DUMMYFUNCTION("""COMPUTED_VALUE"""),73.43)</f>
        <v>73.43</v>
      </c>
      <c r="D3966" s="1">
        <f>IFERROR(__xludf.DUMMYFUNCTION("""COMPUTED_VALUE"""),72.5)</f>
        <v>72.5</v>
      </c>
      <c r="E3966" s="1">
        <f>IFERROR(__xludf.DUMMYFUNCTION("""COMPUTED_VALUE"""),73.22)</f>
        <v>73.22</v>
      </c>
      <c r="F3966" s="1">
        <f>IFERROR(__xludf.DUMMYFUNCTION("""COMPUTED_VALUE"""),9187673.0)</f>
        <v>9187673</v>
      </c>
    </row>
    <row r="3967">
      <c r="A3967" s="2">
        <f>IFERROR(__xludf.DUMMYFUNCTION("""COMPUTED_VALUE"""),42283.66666666667)</f>
        <v>42283.66667</v>
      </c>
      <c r="B3967" s="1">
        <f>IFERROR(__xludf.DUMMYFUNCTION("""COMPUTED_VALUE"""),73.34)</f>
        <v>73.34</v>
      </c>
      <c r="C3967" s="1">
        <f>IFERROR(__xludf.DUMMYFUNCTION("""COMPUTED_VALUE"""),73.78)</f>
        <v>73.78</v>
      </c>
      <c r="D3967" s="1">
        <f>IFERROR(__xludf.DUMMYFUNCTION("""COMPUTED_VALUE"""),72.59)</f>
        <v>72.59</v>
      </c>
      <c r="E3967" s="1">
        <f>IFERROR(__xludf.DUMMYFUNCTION("""COMPUTED_VALUE"""),73.4)</f>
        <v>73.4</v>
      </c>
      <c r="F3967" s="1">
        <f>IFERROR(__xludf.DUMMYFUNCTION("""COMPUTED_VALUE"""),8851535.0)</f>
        <v>8851535</v>
      </c>
    </row>
    <row r="3968">
      <c r="A3968" s="2">
        <f>IFERROR(__xludf.DUMMYFUNCTION("""COMPUTED_VALUE"""),42284.66666666667)</f>
        <v>42284.66667</v>
      </c>
      <c r="B3968" s="1">
        <f>IFERROR(__xludf.DUMMYFUNCTION("""COMPUTED_VALUE"""),73.72)</f>
        <v>73.72</v>
      </c>
      <c r="C3968" s="1">
        <f>IFERROR(__xludf.DUMMYFUNCTION("""COMPUTED_VALUE"""),73.87)</f>
        <v>73.87</v>
      </c>
      <c r="D3968" s="1">
        <f>IFERROR(__xludf.DUMMYFUNCTION("""COMPUTED_VALUE"""),73.32)</f>
        <v>73.32</v>
      </c>
      <c r="E3968" s="1">
        <f>IFERROR(__xludf.DUMMYFUNCTION("""COMPUTED_VALUE"""),73.72)</f>
        <v>73.72</v>
      </c>
      <c r="F3968" s="1">
        <f>IFERROR(__xludf.DUMMYFUNCTION("""COMPUTED_VALUE"""),8073977.0)</f>
        <v>8073977</v>
      </c>
    </row>
    <row r="3969">
      <c r="A3969" s="2">
        <f>IFERROR(__xludf.DUMMYFUNCTION("""COMPUTED_VALUE"""),42285.66666666667)</f>
        <v>42285.66667</v>
      </c>
      <c r="B3969" s="1">
        <f>IFERROR(__xludf.DUMMYFUNCTION("""COMPUTED_VALUE"""),73.68)</f>
        <v>73.68</v>
      </c>
      <c r="C3969" s="1">
        <f>IFERROR(__xludf.DUMMYFUNCTION("""COMPUTED_VALUE"""),74.44)</f>
        <v>74.44</v>
      </c>
      <c r="D3969" s="1">
        <f>IFERROR(__xludf.DUMMYFUNCTION("""COMPUTED_VALUE"""),73.49)</f>
        <v>73.49</v>
      </c>
      <c r="E3969" s="1">
        <f>IFERROR(__xludf.DUMMYFUNCTION("""COMPUTED_VALUE"""),74.4)</f>
        <v>74.4</v>
      </c>
      <c r="F3969" s="1">
        <f>IFERROR(__xludf.DUMMYFUNCTION("""COMPUTED_VALUE"""),6856553.0)</f>
        <v>6856553</v>
      </c>
    </row>
    <row r="3970">
      <c r="A3970" s="2">
        <f>IFERROR(__xludf.DUMMYFUNCTION("""COMPUTED_VALUE"""),42286.66666666667)</f>
        <v>42286.66667</v>
      </c>
      <c r="B3970" s="1">
        <f>IFERROR(__xludf.DUMMYFUNCTION("""COMPUTED_VALUE"""),74.59)</f>
        <v>74.59</v>
      </c>
      <c r="C3970" s="1">
        <f>IFERROR(__xludf.DUMMYFUNCTION("""COMPUTED_VALUE"""),74.91)</f>
        <v>74.91</v>
      </c>
      <c r="D3970" s="1">
        <f>IFERROR(__xludf.DUMMYFUNCTION("""COMPUTED_VALUE"""),74.32)</f>
        <v>74.32</v>
      </c>
      <c r="E3970" s="1">
        <f>IFERROR(__xludf.DUMMYFUNCTION("""COMPUTED_VALUE"""),74.48)</f>
        <v>74.48</v>
      </c>
      <c r="F3970" s="1">
        <f>IFERROR(__xludf.DUMMYFUNCTION("""COMPUTED_VALUE"""),6880082.0)</f>
        <v>6880082</v>
      </c>
    </row>
    <row r="3971">
      <c r="A3971" s="2">
        <f>IFERROR(__xludf.DUMMYFUNCTION("""COMPUTED_VALUE"""),42289.66666666667)</f>
        <v>42289.66667</v>
      </c>
      <c r="B3971" s="1">
        <f>IFERROR(__xludf.DUMMYFUNCTION("""COMPUTED_VALUE"""),74.69)</f>
        <v>74.69</v>
      </c>
      <c r="C3971" s="1">
        <f>IFERROR(__xludf.DUMMYFUNCTION("""COMPUTED_VALUE"""),74.76)</f>
        <v>74.76</v>
      </c>
      <c r="D3971" s="1">
        <f>IFERROR(__xludf.DUMMYFUNCTION("""COMPUTED_VALUE"""),73.91)</f>
        <v>73.91</v>
      </c>
      <c r="E3971" s="1">
        <f>IFERROR(__xludf.DUMMYFUNCTION("""COMPUTED_VALUE"""),74.33)</f>
        <v>74.33</v>
      </c>
      <c r="F3971" s="1">
        <f>IFERROR(__xludf.DUMMYFUNCTION("""COMPUTED_VALUE"""),6255896.0)</f>
        <v>6255896</v>
      </c>
    </row>
    <row r="3972">
      <c r="A3972" s="2">
        <f>IFERROR(__xludf.DUMMYFUNCTION("""COMPUTED_VALUE"""),42290.66666666667)</f>
        <v>42290.66667</v>
      </c>
      <c r="B3972" s="1">
        <f>IFERROR(__xludf.DUMMYFUNCTION("""COMPUTED_VALUE"""),74.24)</f>
        <v>74.24</v>
      </c>
      <c r="C3972" s="1">
        <f>IFERROR(__xludf.DUMMYFUNCTION("""COMPUTED_VALUE"""),74.28)</f>
        <v>74.28</v>
      </c>
      <c r="D3972" s="1">
        <f>IFERROR(__xludf.DUMMYFUNCTION("""COMPUTED_VALUE"""),73.66)</f>
        <v>73.66</v>
      </c>
      <c r="E3972" s="1">
        <f>IFERROR(__xludf.DUMMYFUNCTION("""COMPUTED_VALUE"""),74.11)</f>
        <v>74.11</v>
      </c>
      <c r="F3972" s="1">
        <f>IFERROR(__xludf.DUMMYFUNCTION("""COMPUTED_VALUE"""),8390248.0)</f>
        <v>8390248</v>
      </c>
    </row>
    <row r="3973">
      <c r="A3973" s="2">
        <f>IFERROR(__xludf.DUMMYFUNCTION("""COMPUTED_VALUE"""),42291.66666666667)</f>
        <v>42291.66667</v>
      </c>
      <c r="B3973" s="1">
        <f>IFERROR(__xludf.DUMMYFUNCTION("""COMPUTED_VALUE"""),74.21)</f>
        <v>74.21</v>
      </c>
      <c r="C3973" s="1">
        <f>IFERROR(__xludf.DUMMYFUNCTION("""COMPUTED_VALUE"""),74.61)</f>
        <v>74.61</v>
      </c>
      <c r="D3973" s="1">
        <f>IFERROR(__xludf.DUMMYFUNCTION("""COMPUTED_VALUE"""),73.9)</f>
        <v>73.9</v>
      </c>
      <c r="E3973" s="1">
        <f>IFERROR(__xludf.DUMMYFUNCTION("""COMPUTED_VALUE"""),74.21)</f>
        <v>74.21</v>
      </c>
      <c r="F3973" s="1">
        <f>IFERROR(__xludf.DUMMYFUNCTION("""COMPUTED_VALUE"""),8478970.0)</f>
        <v>8478970</v>
      </c>
    </row>
    <row r="3974">
      <c r="A3974" s="2">
        <f>IFERROR(__xludf.DUMMYFUNCTION("""COMPUTED_VALUE"""),42292.66666666667)</f>
        <v>42292.66667</v>
      </c>
      <c r="B3974" s="1">
        <f>IFERROR(__xludf.DUMMYFUNCTION("""COMPUTED_VALUE"""),74.64)</f>
        <v>74.64</v>
      </c>
      <c r="C3974" s="1">
        <f>IFERROR(__xludf.DUMMYFUNCTION("""COMPUTED_VALUE"""),74.84)</f>
        <v>74.84</v>
      </c>
      <c r="D3974" s="1">
        <f>IFERROR(__xludf.DUMMYFUNCTION("""COMPUTED_VALUE"""),74.03)</f>
        <v>74.03</v>
      </c>
      <c r="E3974" s="1">
        <f>IFERROR(__xludf.DUMMYFUNCTION("""COMPUTED_VALUE"""),74.27)</f>
        <v>74.27</v>
      </c>
      <c r="F3974" s="1">
        <f>IFERROR(__xludf.DUMMYFUNCTION("""COMPUTED_VALUE"""),8607447.0)</f>
        <v>8607447</v>
      </c>
    </row>
    <row r="3975">
      <c r="A3975" s="2">
        <f>IFERROR(__xludf.DUMMYFUNCTION("""COMPUTED_VALUE"""),42293.66666666667)</f>
        <v>42293.66667</v>
      </c>
      <c r="B3975" s="1">
        <f>IFERROR(__xludf.DUMMYFUNCTION("""COMPUTED_VALUE"""),74.72)</f>
        <v>74.72</v>
      </c>
      <c r="C3975" s="1">
        <f>IFERROR(__xludf.DUMMYFUNCTION("""COMPUTED_VALUE"""),75.04)</f>
        <v>75.04</v>
      </c>
      <c r="D3975" s="1">
        <f>IFERROR(__xludf.DUMMYFUNCTION("""COMPUTED_VALUE"""),74.34)</f>
        <v>74.34</v>
      </c>
      <c r="E3975" s="1">
        <f>IFERROR(__xludf.DUMMYFUNCTION("""COMPUTED_VALUE"""),74.9)</f>
        <v>74.9</v>
      </c>
      <c r="F3975" s="1">
        <f>IFERROR(__xludf.DUMMYFUNCTION("""COMPUTED_VALUE"""),9578893.0)</f>
        <v>9578893</v>
      </c>
    </row>
    <row r="3976">
      <c r="A3976" s="2">
        <f>IFERROR(__xludf.DUMMYFUNCTION("""COMPUTED_VALUE"""),42296.66666666667)</f>
        <v>42296.66667</v>
      </c>
      <c r="B3976" s="1">
        <f>IFERROR(__xludf.DUMMYFUNCTION("""COMPUTED_VALUE"""),74.65)</f>
        <v>74.65</v>
      </c>
      <c r="C3976" s="1">
        <f>IFERROR(__xludf.DUMMYFUNCTION("""COMPUTED_VALUE"""),75.19)</f>
        <v>75.19</v>
      </c>
      <c r="D3976" s="1">
        <f>IFERROR(__xludf.DUMMYFUNCTION("""COMPUTED_VALUE"""),74.53)</f>
        <v>74.53</v>
      </c>
      <c r="E3976" s="1">
        <f>IFERROR(__xludf.DUMMYFUNCTION("""COMPUTED_VALUE"""),75.16)</f>
        <v>75.16</v>
      </c>
      <c r="F3976" s="1">
        <f>IFERROR(__xludf.DUMMYFUNCTION("""COMPUTED_VALUE"""),7292177.0)</f>
        <v>7292177</v>
      </c>
    </row>
    <row r="3977">
      <c r="A3977" s="2">
        <f>IFERROR(__xludf.DUMMYFUNCTION("""COMPUTED_VALUE"""),42297.66666666667)</f>
        <v>42297.66667</v>
      </c>
      <c r="B3977" s="1">
        <f>IFERROR(__xludf.DUMMYFUNCTION("""COMPUTED_VALUE"""),74.87)</f>
        <v>74.87</v>
      </c>
      <c r="C3977" s="1">
        <f>IFERROR(__xludf.DUMMYFUNCTION("""COMPUTED_VALUE"""),75.05)</f>
        <v>75.05</v>
      </c>
      <c r="D3977" s="1">
        <f>IFERROR(__xludf.DUMMYFUNCTION("""COMPUTED_VALUE"""),74.16)</f>
        <v>74.16</v>
      </c>
      <c r="E3977" s="1">
        <f>IFERROR(__xludf.DUMMYFUNCTION("""COMPUTED_VALUE"""),74.43)</f>
        <v>74.43</v>
      </c>
      <c r="F3977" s="1">
        <f>IFERROR(__xludf.DUMMYFUNCTION("""COMPUTED_VALUE"""),8531907.0)</f>
        <v>8531907</v>
      </c>
    </row>
    <row r="3978">
      <c r="A3978" s="2">
        <f>IFERROR(__xludf.DUMMYFUNCTION("""COMPUTED_VALUE"""),42298.66666666667)</f>
        <v>42298.66667</v>
      </c>
      <c r="B3978" s="1">
        <f>IFERROR(__xludf.DUMMYFUNCTION("""COMPUTED_VALUE"""),73.75)</f>
        <v>73.75</v>
      </c>
      <c r="C3978" s="1">
        <f>IFERROR(__xludf.DUMMYFUNCTION("""COMPUTED_VALUE"""),74.54)</f>
        <v>74.54</v>
      </c>
      <c r="D3978" s="1">
        <f>IFERROR(__xludf.DUMMYFUNCTION("""COMPUTED_VALUE"""),73.5)</f>
        <v>73.5</v>
      </c>
      <c r="E3978" s="1">
        <f>IFERROR(__xludf.DUMMYFUNCTION("""COMPUTED_VALUE"""),73.59)</f>
        <v>73.59</v>
      </c>
      <c r="F3978" s="1">
        <f>IFERROR(__xludf.DUMMYFUNCTION("""COMPUTED_VALUE"""),8320070.0)</f>
        <v>8320070</v>
      </c>
    </row>
    <row r="3979">
      <c r="A3979" s="2">
        <f>IFERROR(__xludf.DUMMYFUNCTION("""COMPUTED_VALUE"""),42299.66666666667)</f>
        <v>42299.66667</v>
      </c>
      <c r="B3979" s="1">
        <f>IFERROR(__xludf.DUMMYFUNCTION("""COMPUTED_VALUE"""),73.86)</f>
        <v>73.86</v>
      </c>
      <c r="C3979" s="1">
        <f>IFERROR(__xludf.DUMMYFUNCTION("""COMPUTED_VALUE"""),75.61)</f>
        <v>75.61</v>
      </c>
      <c r="D3979" s="1">
        <f>IFERROR(__xludf.DUMMYFUNCTION("""COMPUTED_VALUE"""),73.61)</f>
        <v>73.61</v>
      </c>
      <c r="E3979" s="1">
        <f>IFERROR(__xludf.DUMMYFUNCTION("""COMPUTED_VALUE"""),74.85)</f>
        <v>74.85</v>
      </c>
      <c r="F3979" s="1">
        <f>IFERROR(__xludf.DUMMYFUNCTION("""COMPUTED_VALUE"""),1.4078852E7)</f>
        <v>14078852</v>
      </c>
    </row>
    <row r="3980">
      <c r="A3980" s="2">
        <f>IFERROR(__xludf.DUMMYFUNCTION("""COMPUTED_VALUE"""),42300.66666666667)</f>
        <v>42300.66667</v>
      </c>
      <c r="B3980" s="1">
        <f>IFERROR(__xludf.DUMMYFUNCTION("""COMPUTED_VALUE"""),76.76)</f>
        <v>76.76</v>
      </c>
      <c r="C3980" s="1">
        <f>IFERROR(__xludf.DUMMYFUNCTION("""COMPUTED_VALUE"""),78.45)</f>
        <v>78.45</v>
      </c>
      <c r="D3980" s="1">
        <f>IFERROR(__xludf.DUMMYFUNCTION("""COMPUTED_VALUE"""),76.31)</f>
        <v>76.31</v>
      </c>
      <c r="E3980" s="1">
        <f>IFERROR(__xludf.DUMMYFUNCTION("""COMPUTED_VALUE"""),77.03)</f>
        <v>77.03</v>
      </c>
      <c r="F3980" s="1">
        <f>IFERROR(__xludf.DUMMYFUNCTION("""COMPUTED_VALUE"""),1.645017E7)</f>
        <v>16450170</v>
      </c>
    </row>
    <row r="3981">
      <c r="A3981" s="2">
        <f>IFERROR(__xludf.DUMMYFUNCTION("""COMPUTED_VALUE"""),42303.66666666667)</f>
        <v>42303.66667</v>
      </c>
      <c r="B3981" s="1">
        <f>IFERROR(__xludf.DUMMYFUNCTION("""COMPUTED_VALUE"""),77.0)</f>
        <v>77</v>
      </c>
      <c r="C3981" s="1">
        <f>IFERROR(__xludf.DUMMYFUNCTION("""COMPUTED_VALUE"""),77.9)</f>
        <v>77.9</v>
      </c>
      <c r="D3981" s="1">
        <f>IFERROR(__xludf.DUMMYFUNCTION("""COMPUTED_VALUE"""),77.0)</f>
        <v>77</v>
      </c>
      <c r="E3981" s="1">
        <f>IFERROR(__xludf.DUMMYFUNCTION("""COMPUTED_VALUE"""),77.49)</f>
        <v>77.49</v>
      </c>
      <c r="F3981" s="1">
        <f>IFERROR(__xludf.DUMMYFUNCTION("""COMPUTED_VALUE"""),1.1464659E7)</f>
        <v>11464659</v>
      </c>
    </row>
    <row r="3982">
      <c r="A3982" s="2">
        <f>IFERROR(__xludf.DUMMYFUNCTION("""COMPUTED_VALUE"""),42304.66666666667)</f>
        <v>42304.66667</v>
      </c>
      <c r="B3982" s="1">
        <f>IFERROR(__xludf.DUMMYFUNCTION("""COMPUTED_VALUE"""),77.12)</f>
        <v>77.12</v>
      </c>
      <c r="C3982" s="1">
        <f>IFERROR(__xludf.DUMMYFUNCTION("""COMPUTED_VALUE"""),77.36)</f>
        <v>77.36</v>
      </c>
      <c r="D3982" s="1">
        <f>IFERROR(__xludf.DUMMYFUNCTION("""COMPUTED_VALUE"""),76.81)</f>
        <v>76.81</v>
      </c>
      <c r="E3982" s="1">
        <f>IFERROR(__xludf.DUMMYFUNCTION("""COMPUTED_VALUE"""),77.29)</f>
        <v>77.29</v>
      </c>
      <c r="F3982" s="1">
        <f>IFERROR(__xludf.DUMMYFUNCTION("""COMPUTED_VALUE"""),9423405.0)</f>
        <v>9423405</v>
      </c>
    </row>
    <row r="3983">
      <c r="A3983" s="2">
        <f>IFERROR(__xludf.DUMMYFUNCTION("""COMPUTED_VALUE"""),42305.66666666667)</f>
        <v>42305.66667</v>
      </c>
      <c r="B3983" s="1">
        <f>IFERROR(__xludf.DUMMYFUNCTION("""COMPUTED_VALUE"""),77.39)</f>
        <v>77.39</v>
      </c>
      <c r="C3983" s="1">
        <f>IFERROR(__xludf.DUMMYFUNCTION("""COMPUTED_VALUE"""),77.54)</f>
        <v>77.54</v>
      </c>
      <c r="D3983" s="1">
        <f>IFERROR(__xludf.DUMMYFUNCTION("""COMPUTED_VALUE"""),75.69)</f>
        <v>75.69</v>
      </c>
      <c r="E3983" s="1">
        <f>IFERROR(__xludf.DUMMYFUNCTION("""COMPUTED_VALUE"""),76.51)</f>
        <v>76.51</v>
      </c>
      <c r="F3983" s="1">
        <f>IFERROR(__xludf.DUMMYFUNCTION("""COMPUTED_VALUE"""),1.0175963E7)</f>
        <v>10175963</v>
      </c>
    </row>
    <row r="3984">
      <c r="A3984" s="2">
        <f>IFERROR(__xludf.DUMMYFUNCTION("""COMPUTED_VALUE"""),42306.66666666667)</f>
        <v>42306.66667</v>
      </c>
      <c r="B3984" s="1">
        <f>IFERROR(__xludf.DUMMYFUNCTION("""COMPUTED_VALUE"""),76.75)</f>
        <v>76.75</v>
      </c>
      <c r="C3984" s="1">
        <f>IFERROR(__xludf.DUMMYFUNCTION("""COMPUTED_VALUE"""),77.19)</f>
        <v>77.19</v>
      </c>
      <c r="D3984" s="1">
        <f>IFERROR(__xludf.DUMMYFUNCTION("""COMPUTED_VALUE"""),76.24)</f>
        <v>76.24</v>
      </c>
      <c r="E3984" s="1">
        <f>IFERROR(__xludf.DUMMYFUNCTION("""COMPUTED_VALUE"""),77.02)</f>
        <v>77.02</v>
      </c>
      <c r="F3984" s="1">
        <f>IFERROR(__xludf.DUMMYFUNCTION("""COMPUTED_VALUE"""),8230732.0)</f>
        <v>8230732</v>
      </c>
    </row>
    <row r="3985">
      <c r="A3985" s="2">
        <f>IFERROR(__xludf.DUMMYFUNCTION("""COMPUTED_VALUE"""),42307.66666666667)</f>
        <v>42307.66667</v>
      </c>
      <c r="B3985" s="1">
        <f>IFERROR(__xludf.DUMMYFUNCTION("""COMPUTED_VALUE"""),76.98)</f>
        <v>76.98</v>
      </c>
      <c r="C3985" s="1">
        <f>IFERROR(__xludf.DUMMYFUNCTION("""COMPUTED_VALUE"""),77.14)</f>
        <v>77.14</v>
      </c>
      <c r="D3985" s="1">
        <f>IFERROR(__xludf.DUMMYFUNCTION("""COMPUTED_VALUE"""),76.38)</f>
        <v>76.38</v>
      </c>
      <c r="E3985" s="1">
        <f>IFERROR(__xludf.DUMMYFUNCTION("""COMPUTED_VALUE"""),76.38)</f>
        <v>76.38</v>
      </c>
      <c r="F3985" s="1">
        <f>IFERROR(__xludf.DUMMYFUNCTION("""COMPUTED_VALUE"""),9547425.0)</f>
        <v>9547425</v>
      </c>
    </row>
    <row r="3986">
      <c r="A3986" s="2">
        <f>IFERROR(__xludf.DUMMYFUNCTION("""COMPUTED_VALUE"""),42310.66666666667)</f>
        <v>42310.66667</v>
      </c>
      <c r="B3986" s="1">
        <f>IFERROR(__xludf.DUMMYFUNCTION("""COMPUTED_VALUE"""),76.57)</f>
        <v>76.57</v>
      </c>
      <c r="C3986" s="1">
        <f>IFERROR(__xludf.DUMMYFUNCTION("""COMPUTED_VALUE"""),76.77)</f>
        <v>76.77</v>
      </c>
      <c r="D3986" s="1">
        <f>IFERROR(__xludf.DUMMYFUNCTION("""COMPUTED_VALUE"""),76.05)</f>
        <v>76.05</v>
      </c>
      <c r="E3986" s="1">
        <f>IFERROR(__xludf.DUMMYFUNCTION("""COMPUTED_VALUE"""),76.6)</f>
        <v>76.6</v>
      </c>
      <c r="F3986" s="1">
        <f>IFERROR(__xludf.DUMMYFUNCTION("""COMPUTED_VALUE"""),7152929.0)</f>
        <v>7152929</v>
      </c>
    </row>
    <row r="3987">
      <c r="A3987" s="2">
        <f>IFERROR(__xludf.DUMMYFUNCTION("""COMPUTED_VALUE"""),42311.66666666667)</f>
        <v>42311.66667</v>
      </c>
      <c r="B3987" s="1">
        <f>IFERROR(__xludf.DUMMYFUNCTION("""COMPUTED_VALUE"""),76.3)</f>
        <v>76.3</v>
      </c>
      <c r="C3987" s="1">
        <f>IFERROR(__xludf.DUMMYFUNCTION("""COMPUTED_VALUE"""),77.42)</f>
        <v>77.42</v>
      </c>
      <c r="D3987" s="1">
        <f>IFERROR(__xludf.DUMMYFUNCTION("""COMPUTED_VALUE"""),75.96)</f>
        <v>75.96</v>
      </c>
      <c r="E3987" s="1">
        <f>IFERROR(__xludf.DUMMYFUNCTION("""COMPUTED_VALUE"""),77.05)</f>
        <v>77.05</v>
      </c>
      <c r="F3987" s="1">
        <f>IFERROR(__xludf.DUMMYFUNCTION("""COMPUTED_VALUE"""),8013214.0)</f>
        <v>8013214</v>
      </c>
    </row>
    <row r="3988">
      <c r="A3988" s="2">
        <f>IFERROR(__xludf.DUMMYFUNCTION("""COMPUTED_VALUE"""),42312.66666666667)</f>
        <v>42312.66667</v>
      </c>
      <c r="B3988" s="1">
        <f>IFERROR(__xludf.DUMMYFUNCTION("""COMPUTED_VALUE"""),77.03)</f>
        <v>77.03</v>
      </c>
      <c r="C3988" s="1">
        <f>IFERROR(__xludf.DUMMYFUNCTION("""COMPUTED_VALUE"""),77.14)</f>
        <v>77.14</v>
      </c>
      <c r="D3988" s="1">
        <f>IFERROR(__xludf.DUMMYFUNCTION("""COMPUTED_VALUE"""),76.51)</f>
        <v>76.51</v>
      </c>
      <c r="E3988" s="1">
        <f>IFERROR(__xludf.DUMMYFUNCTION("""COMPUTED_VALUE"""),77.06)</f>
        <v>77.06</v>
      </c>
      <c r="F3988" s="1">
        <f>IFERROR(__xludf.DUMMYFUNCTION("""COMPUTED_VALUE"""),6376267.0)</f>
        <v>6376267</v>
      </c>
    </row>
    <row r="3989">
      <c r="A3989" s="2">
        <f>IFERROR(__xludf.DUMMYFUNCTION("""COMPUTED_VALUE"""),42313.66666666667)</f>
        <v>42313.66667</v>
      </c>
      <c r="B3989" s="1">
        <f>IFERROR(__xludf.DUMMYFUNCTION("""COMPUTED_VALUE"""),77.09)</f>
        <v>77.09</v>
      </c>
      <c r="C3989" s="1">
        <f>IFERROR(__xludf.DUMMYFUNCTION("""COMPUTED_VALUE"""),77.26)</f>
        <v>77.26</v>
      </c>
      <c r="D3989" s="1">
        <f>IFERROR(__xludf.DUMMYFUNCTION("""COMPUTED_VALUE"""),75.96)</f>
        <v>75.96</v>
      </c>
      <c r="E3989" s="1">
        <f>IFERROR(__xludf.DUMMYFUNCTION("""COMPUTED_VALUE"""),76.39)</f>
        <v>76.39</v>
      </c>
      <c r="F3989" s="1">
        <f>IFERROR(__xludf.DUMMYFUNCTION("""COMPUTED_VALUE"""),6860600.0)</f>
        <v>6860600</v>
      </c>
    </row>
    <row r="3990">
      <c r="A3990" s="2">
        <f>IFERROR(__xludf.DUMMYFUNCTION("""COMPUTED_VALUE"""),42314.66666666667)</f>
        <v>42314.66667</v>
      </c>
      <c r="B3990" s="1">
        <f>IFERROR(__xludf.DUMMYFUNCTION("""COMPUTED_VALUE"""),75.88)</f>
        <v>75.88</v>
      </c>
      <c r="C3990" s="1">
        <f>IFERROR(__xludf.DUMMYFUNCTION("""COMPUTED_VALUE"""),76.0)</f>
        <v>76</v>
      </c>
      <c r="D3990" s="1">
        <f>IFERROR(__xludf.DUMMYFUNCTION("""COMPUTED_VALUE"""),74.69)</f>
        <v>74.69</v>
      </c>
      <c r="E3990" s="1">
        <f>IFERROR(__xludf.DUMMYFUNCTION("""COMPUTED_VALUE"""),75.57)</f>
        <v>75.57</v>
      </c>
      <c r="F3990" s="1">
        <f>IFERROR(__xludf.DUMMYFUNCTION("""COMPUTED_VALUE"""),9483466.0)</f>
        <v>9483466</v>
      </c>
    </row>
    <row r="3991">
      <c r="A3991" s="2">
        <f>IFERROR(__xludf.DUMMYFUNCTION("""COMPUTED_VALUE"""),42317.66666666667)</f>
        <v>42317.66667</v>
      </c>
      <c r="B3991" s="1">
        <f>IFERROR(__xludf.DUMMYFUNCTION("""COMPUTED_VALUE"""),75.21)</f>
        <v>75.21</v>
      </c>
      <c r="C3991" s="1">
        <f>IFERROR(__xludf.DUMMYFUNCTION("""COMPUTED_VALUE"""),75.63)</f>
        <v>75.63</v>
      </c>
      <c r="D3991" s="1">
        <f>IFERROR(__xludf.DUMMYFUNCTION("""COMPUTED_VALUE"""),74.93)</f>
        <v>74.93</v>
      </c>
      <c r="E3991" s="1">
        <f>IFERROR(__xludf.DUMMYFUNCTION("""COMPUTED_VALUE"""),75.4)</f>
        <v>75.4</v>
      </c>
      <c r="F3991" s="1">
        <f>IFERROR(__xludf.DUMMYFUNCTION("""COMPUTED_VALUE"""),8607162.0)</f>
        <v>8607162</v>
      </c>
    </row>
    <row r="3992">
      <c r="A3992" s="2">
        <f>IFERROR(__xludf.DUMMYFUNCTION("""COMPUTED_VALUE"""),42318.66666666667)</f>
        <v>42318.66667</v>
      </c>
      <c r="B3992" s="1">
        <f>IFERROR(__xludf.DUMMYFUNCTION("""COMPUTED_VALUE"""),75.38)</f>
        <v>75.38</v>
      </c>
      <c r="C3992" s="1">
        <f>IFERROR(__xludf.DUMMYFUNCTION("""COMPUTED_VALUE"""),76.24)</f>
        <v>76.24</v>
      </c>
      <c r="D3992" s="1">
        <f>IFERROR(__xludf.DUMMYFUNCTION("""COMPUTED_VALUE"""),75.23)</f>
        <v>75.23</v>
      </c>
      <c r="E3992" s="1">
        <f>IFERROR(__xludf.DUMMYFUNCTION("""COMPUTED_VALUE"""),75.77)</f>
        <v>75.77</v>
      </c>
      <c r="F3992" s="1">
        <f>IFERROR(__xludf.DUMMYFUNCTION("""COMPUTED_VALUE"""),6551032.0)</f>
        <v>6551032</v>
      </c>
    </row>
    <row r="3993">
      <c r="A3993" s="2">
        <f>IFERROR(__xludf.DUMMYFUNCTION("""COMPUTED_VALUE"""),42319.66666666667)</f>
        <v>42319.66667</v>
      </c>
      <c r="B3993" s="1">
        <f>IFERROR(__xludf.DUMMYFUNCTION("""COMPUTED_VALUE"""),76.02)</f>
        <v>76.02</v>
      </c>
      <c r="C3993" s="1">
        <f>IFERROR(__xludf.DUMMYFUNCTION("""COMPUTED_VALUE"""),76.43)</f>
        <v>76.43</v>
      </c>
      <c r="D3993" s="1">
        <f>IFERROR(__xludf.DUMMYFUNCTION("""COMPUTED_VALUE"""),75.92)</f>
        <v>75.92</v>
      </c>
      <c r="E3993" s="1">
        <f>IFERROR(__xludf.DUMMYFUNCTION("""COMPUTED_VALUE"""),75.96)</f>
        <v>75.96</v>
      </c>
      <c r="F3993" s="1">
        <f>IFERROR(__xludf.DUMMYFUNCTION("""COMPUTED_VALUE"""),5295876.0)</f>
        <v>5295876</v>
      </c>
    </row>
    <row r="3994">
      <c r="A3994" s="2">
        <f>IFERROR(__xludf.DUMMYFUNCTION("""COMPUTED_VALUE"""),42320.66666666667)</f>
        <v>42320.66667</v>
      </c>
      <c r="B3994" s="1">
        <f>IFERROR(__xludf.DUMMYFUNCTION("""COMPUTED_VALUE"""),75.67)</f>
        <v>75.67</v>
      </c>
      <c r="C3994" s="1">
        <f>IFERROR(__xludf.DUMMYFUNCTION("""COMPUTED_VALUE"""),76.01)</f>
        <v>76.01</v>
      </c>
      <c r="D3994" s="1">
        <f>IFERROR(__xludf.DUMMYFUNCTION("""COMPUTED_VALUE"""),74.66)</f>
        <v>74.66</v>
      </c>
      <c r="E3994" s="1">
        <f>IFERROR(__xludf.DUMMYFUNCTION("""COMPUTED_VALUE"""),74.66)</f>
        <v>74.66</v>
      </c>
      <c r="F3994" s="1">
        <f>IFERROR(__xludf.DUMMYFUNCTION("""COMPUTED_VALUE"""),7678594.0)</f>
        <v>7678594</v>
      </c>
    </row>
    <row r="3995">
      <c r="A3995" s="2">
        <f>IFERROR(__xludf.DUMMYFUNCTION("""COMPUTED_VALUE"""),42321.66666666667)</f>
        <v>42321.66667</v>
      </c>
      <c r="B3995" s="1">
        <f>IFERROR(__xludf.DUMMYFUNCTION("""COMPUTED_VALUE"""),74.64)</f>
        <v>74.64</v>
      </c>
      <c r="C3995" s="1">
        <f>IFERROR(__xludf.DUMMYFUNCTION("""COMPUTED_VALUE"""),74.98)</f>
        <v>74.98</v>
      </c>
      <c r="D3995" s="1">
        <f>IFERROR(__xludf.DUMMYFUNCTION("""COMPUTED_VALUE"""),73.95)</f>
        <v>73.95</v>
      </c>
      <c r="E3995" s="1">
        <f>IFERROR(__xludf.DUMMYFUNCTION("""COMPUTED_VALUE"""),73.96)</f>
        <v>73.96</v>
      </c>
      <c r="F3995" s="1">
        <f>IFERROR(__xludf.DUMMYFUNCTION("""COMPUTED_VALUE"""),8468816.0)</f>
        <v>8468816</v>
      </c>
    </row>
    <row r="3996">
      <c r="A3996" s="2">
        <f>IFERROR(__xludf.DUMMYFUNCTION("""COMPUTED_VALUE"""),42324.66666666667)</f>
        <v>42324.66667</v>
      </c>
      <c r="B3996" s="1">
        <f>IFERROR(__xludf.DUMMYFUNCTION("""COMPUTED_VALUE"""),74.25)</f>
        <v>74.25</v>
      </c>
      <c r="C3996" s="1">
        <f>IFERROR(__xludf.DUMMYFUNCTION("""COMPUTED_VALUE"""),75.33)</f>
        <v>75.33</v>
      </c>
      <c r="D3996" s="1">
        <f>IFERROR(__xludf.DUMMYFUNCTION("""COMPUTED_VALUE"""),74.01)</f>
        <v>74.01</v>
      </c>
      <c r="E3996" s="1">
        <f>IFERROR(__xludf.DUMMYFUNCTION("""COMPUTED_VALUE"""),75.3)</f>
        <v>75.3</v>
      </c>
      <c r="F3996" s="1">
        <f>IFERROR(__xludf.DUMMYFUNCTION("""COMPUTED_VALUE"""),7410647.0)</f>
        <v>7410647</v>
      </c>
    </row>
    <row r="3997">
      <c r="A3997" s="2">
        <f>IFERROR(__xludf.DUMMYFUNCTION("""COMPUTED_VALUE"""),42325.66666666667)</f>
        <v>42325.66667</v>
      </c>
      <c r="B3997" s="1">
        <f>IFERROR(__xludf.DUMMYFUNCTION("""COMPUTED_VALUE"""),75.33)</f>
        <v>75.33</v>
      </c>
      <c r="C3997" s="1">
        <f>IFERROR(__xludf.DUMMYFUNCTION("""COMPUTED_VALUE"""),76.01)</f>
        <v>76.01</v>
      </c>
      <c r="D3997" s="1">
        <f>IFERROR(__xludf.DUMMYFUNCTION("""COMPUTED_VALUE"""),74.87)</f>
        <v>74.87</v>
      </c>
      <c r="E3997" s="1">
        <f>IFERROR(__xludf.DUMMYFUNCTION("""COMPUTED_VALUE"""),75.07)</f>
        <v>75.07</v>
      </c>
      <c r="F3997" s="1">
        <f>IFERROR(__xludf.DUMMYFUNCTION("""COMPUTED_VALUE"""),8761043.0)</f>
        <v>8761043</v>
      </c>
    </row>
    <row r="3998">
      <c r="A3998" s="2">
        <f>IFERROR(__xludf.DUMMYFUNCTION("""COMPUTED_VALUE"""),42326.66666666667)</f>
        <v>42326.66667</v>
      </c>
      <c r="B3998" s="1">
        <f>IFERROR(__xludf.DUMMYFUNCTION("""COMPUTED_VALUE"""),74.98)</f>
        <v>74.98</v>
      </c>
      <c r="C3998" s="1">
        <f>IFERROR(__xludf.DUMMYFUNCTION("""COMPUTED_VALUE"""),75.96)</f>
        <v>75.96</v>
      </c>
      <c r="D3998" s="1">
        <f>IFERROR(__xludf.DUMMYFUNCTION("""COMPUTED_VALUE"""),74.81)</f>
        <v>74.81</v>
      </c>
      <c r="E3998" s="1">
        <f>IFERROR(__xludf.DUMMYFUNCTION("""COMPUTED_VALUE"""),75.9)</f>
        <v>75.9</v>
      </c>
      <c r="F3998" s="1">
        <f>IFERROR(__xludf.DUMMYFUNCTION("""COMPUTED_VALUE"""),6446956.0)</f>
        <v>6446956</v>
      </c>
    </row>
    <row r="3999">
      <c r="A3999" s="2">
        <f>IFERROR(__xludf.DUMMYFUNCTION("""COMPUTED_VALUE"""),42327.66666666667)</f>
        <v>42327.66667</v>
      </c>
      <c r="B3999" s="1">
        <f>IFERROR(__xludf.DUMMYFUNCTION("""COMPUTED_VALUE"""),76.14)</f>
        <v>76.14</v>
      </c>
      <c r="C3999" s="1">
        <f>IFERROR(__xludf.DUMMYFUNCTION("""COMPUTED_VALUE"""),76.96)</f>
        <v>76.96</v>
      </c>
      <c r="D3999" s="1">
        <f>IFERROR(__xludf.DUMMYFUNCTION("""COMPUTED_VALUE"""),76.02)</f>
        <v>76.02</v>
      </c>
      <c r="E3999" s="1">
        <f>IFERROR(__xludf.DUMMYFUNCTION("""COMPUTED_VALUE"""),76.22)</f>
        <v>76.22</v>
      </c>
      <c r="F3999" s="1">
        <f>IFERROR(__xludf.DUMMYFUNCTION("""COMPUTED_VALUE"""),7899386.0)</f>
        <v>7899386</v>
      </c>
    </row>
    <row r="4000">
      <c r="A4000" s="2">
        <f>IFERROR(__xludf.DUMMYFUNCTION("""COMPUTED_VALUE"""),42328.66666666667)</f>
        <v>42328.66667</v>
      </c>
      <c r="B4000" s="1">
        <f>IFERROR(__xludf.DUMMYFUNCTION("""COMPUTED_VALUE"""),76.55)</f>
        <v>76.55</v>
      </c>
      <c r="C4000" s="1">
        <f>IFERROR(__xludf.DUMMYFUNCTION("""COMPUTED_VALUE"""),76.86)</f>
        <v>76.86</v>
      </c>
      <c r="D4000" s="1">
        <f>IFERROR(__xludf.DUMMYFUNCTION("""COMPUTED_VALUE"""),75.68)</f>
        <v>75.68</v>
      </c>
      <c r="E4000" s="1">
        <f>IFERROR(__xludf.DUMMYFUNCTION("""COMPUTED_VALUE"""),75.82)</f>
        <v>75.82</v>
      </c>
      <c r="F4000" s="1">
        <f>IFERROR(__xludf.DUMMYFUNCTION("""COMPUTED_VALUE"""),9533187.0)</f>
        <v>9533187</v>
      </c>
    </row>
    <row r="4001">
      <c r="A4001" s="2">
        <f>IFERROR(__xludf.DUMMYFUNCTION("""COMPUTED_VALUE"""),42331.66666666667)</f>
        <v>42331.66667</v>
      </c>
      <c r="B4001" s="1">
        <f>IFERROR(__xludf.DUMMYFUNCTION("""COMPUTED_VALUE"""),75.82)</f>
        <v>75.82</v>
      </c>
      <c r="C4001" s="1">
        <f>IFERROR(__xludf.DUMMYFUNCTION("""COMPUTED_VALUE"""),76.06)</f>
        <v>76.06</v>
      </c>
      <c r="D4001" s="1">
        <f>IFERROR(__xludf.DUMMYFUNCTION("""COMPUTED_VALUE"""),75.4)</f>
        <v>75.4</v>
      </c>
      <c r="E4001" s="1">
        <f>IFERROR(__xludf.DUMMYFUNCTION("""COMPUTED_VALUE"""),75.97)</f>
        <v>75.97</v>
      </c>
      <c r="F4001" s="1">
        <f>IFERROR(__xludf.DUMMYFUNCTION("""COMPUTED_VALUE"""),9421321.0)</f>
        <v>9421321</v>
      </c>
    </row>
    <row r="4002">
      <c r="A4002" s="2">
        <f>IFERROR(__xludf.DUMMYFUNCTION("""COMPUTED_VALUE"""),42332.66666666667)</f>
        <v>42332.66667</v>
      </c>
      <c r="B4002" s="1">
        <f>IFERROR(__xludf.DUMMYFUNCTION("""COMPUTED_VALUE"""),75.62)</f>
        <v>75.62</v>
      </c>
      <c r="C4002" s="1">
        <f>IFERROR(__xludf.DUMMYFUNCTION("""COMPUTED_VALUE"""),76.69)</f>
        <v>76.69</v>
      </c>
      <c r="D4002" s="1">
        <f>IFERROR(__xludf.DUMMYFUNCTION("""COMPUTED_VALUE"""),75.61)</f>
        <v>75.61</v>
      </c>
      <c r="E4002" s="1">
        <f>IFERROR(__xludf.DUMMYFUNCTION("""COMPUTED_VALUE"""),76.45)</f>
        <v>76.45</v>
      </c>
      <c r="F4002" s="1">
        <f>IFERROR(__xludf.DUMMYFUNCTION("""COMPUTED_VALUE"""),7086626.0)</f>
        <v>7086626</v>
      </c>
    </row>
    <row r="4003">
      <c r="A4003" s="2">
        <f>IFERROR(__xludf.DUMMYFUNCTION("""COMPUTED_VALUE"""),42333.66666666667)</f>
        <v>42333.66667</v>
      </c>
      <c r="B4003" s="1">
        <f>IFERROR(__xludf.DUMMYFUNCTION("""COMPUTED_VALUE"""),76.53)</f>
        <v>76.53</v>
      </c>
      <c r="C4003" s="1">
        <f>IFERROR(__xludf.DUMMYFUNCTION("""COMPUTED_VALUE"""),76.74)</f>
        <v>76.74</v>
      </c>
      <c r="D4003" s="1">
        <f>IFERROR(__xludf.DUMMYFUNCTION("""COMPUTED_VALUE"""),75.88)</f>
        <v>75.88</v>
      </c>
      <c r="E4003" s="1">
        <f>IFERROR(__xludf.DUMMYFUNCTION("""COMPUTED_VALUE"""),75.9)</f>
        <v>75.9</v>
      </c>
      <c r="F4003" s="1">
        <f>IFERROR(__xludf.DUMMYFUNCTION("""COMPUTED_VALUE"""),4266529.0)</f>
        <v>4266529</v>
      </c>
    </row>
    <row r="4004">
      <c r="A4004" s="2">
        <f>IFERROR(__xludf.DUMMYFUNCTION("""COMPUTED_VALUE"""),42335.66666666667)</f>
        <v>42335.66667</v>
      </c>
      <c r="B4004" s="1">
        <f>IFERROR(__xludf.DUMMYFUNCTION("""COMPUTED_VALUE"""),75.89)</f>
        <v>75.89</v>
      </c>
      <c r="C4004" s="1">
        <f>IFERROR(__xludf.DUMMYFUNCTION("""COMPUTED_VALUE"""),76.37)</f>
        <v>76.37</v>
      </c>
      <c r="D4004" s="1">
        <f>IFERROR(__xludf.DUMMYFUNCTION("""COMPUTED_VALUE"""),75.5)</f>
        <v>75.5</v>
      </c>
      <c r="E4004" s="1">
        <f>IFERROR(__xludf.DUMMYFUNCTION("""COMPUTED_VALUE"""),75.7)</f>
        <v>75.7</v>
      </c>
      <c r="F4004" s="1">
        <f>IFERROR(__xludf.DUMMYFUNCTION("""COMPUTED_VALUE"""),2390080.0)</f>
        <v>2390080</v>
      </c>
    </row>
    <row r="4005">
      <c r="A4005" s="2">
        <f>IFERROR(__xludf.DUMMYFUNCTION("""COMPUTED_VALUE"""),42338.66666666667)</f>
        <v>42338.66667</v>
      </c>
      <c r="B4005" s="1">
        <f>IFERROR(__xludf.DUMMYFUNCTION("""COMPUTED_VALUE"""),75.58)</f>
        <v>75.58</v>
      </c>
      <c r="C4005" s="1">
        <f>IFERROR(__xludf.DUMMYFUNCTION("""COMPUTED_VALUE"""),75.81)</f>
        <v>75.81</v>
      </c>
      <c r="D4005" s="1">
        <f>IFERROR(__xludf.DUMMYFUNCTION("""COMPUTED_VALUE"""),74.84)</f>
        <v>74.84</v>
      </c>
      <c r="E4005" s="1">
        <f>IFERROR(__xludf.DUMMYFUNCTION("""COMPUTED_VALUE"""),74.84)</f>
        <v>74.84</v>
      </c>
      <c r="F4005" s="1">
        <f>IFERROR(__xludf.DUMMYFUNCTION("""COMPUTED_VALUE"""),8935677.0)</f>
        <v>8935677</v>
      </c>
    </row>
    <row r="4006">
      <c r="A4006" s="2">
        <f>IFERROR(__xludf.DUMMYFUNCTION("""COMPUTED_VALUE"""),42339.66666666667)</f>
        <v>42339.66667</v>
      </c>
      <c r="B4006" s="1">
        <f>IFERROR(__xludf.DUMMYFUNCTION("""COMPUTED_VALUE"""),74.87)</f>
        <v>74.87</v>
      </c>
      <c r="C4006" s="1">
        <f>IFERROR(__xludf.DUMMYFUNCTION("""COMPUTED_VALUE"""),76.22)</f>
        <v>76.22</v>
      </c>
      <c r="D4006" s="1">
        <f>IFERROR(__xludf.DUMMYFUNCTION("""COMPUTED_VALUE"""),74.87)</f>
        <v>74.87</v>
      </c>
      <c r="E4006" s="1">
        <f>IFERROR(__xludf.DUMMYFUNCTION("""COMPUTED_VALUE"""),75.94)</f>
        <v>75.94</v>
      </c>
      <c r="F4006" s="1">
        <f>IFERROR(__xludf.DUMMYFUNCTION("""COMPUTED_VALUE"""),8391666.0)</f>
        <v>8391666</v>
      </c>
    </row>
    <row r="4007">
      <c r="A4007" s="2">
        <f>IFERROR(__xludf.DUMMYFUNCTION("""COMPUTED_VALUE"""),42340.66666666667)</f>
        <v>42340.66667</v>
      </c>
      <c r="B4007" s="1">
        <f>IFERROR(__xludf.DUMMYFUNCTION("""COMPUTED_VALUE"""),75.73)</f>
        <v>75.73</v>
      </c>
      <c r="C4007" s="1">
        <f>IFERROR(__xludf.DUMMYFUNCTION("""COMPUTED_VALUE"""),76.46)</f>
        <v>76.46</v>
      </c>
      <c r="D4007" s="1">
        <f>IFERROR(__xludf.DUMMYFUNCTION("""COMPUTED_VALUE"""),75.65)</f>
        <v>75.65</v>
      </c>
      <c r="E4007" s="1">
        <f>IFERROR(__xludf.DUMMYFUNCTION("""COMPUTED_VALUE"""),75.79)</f>
        <v>75.79</v>
      </c>
      <c r="F4007" s="1">
        <f>IFERROR(__xludf.DUMMYFUNCTION("""COMPUTED_VALUE"""),8104185.0)</f>
        <v>8104185</v>
      </c>
    </row>
    <row r="4008">
      <c r="A4008" s="2">
        <f>IFERROR(__xludf.DUMMYFUNCTION("""COMPUTED_VALUE"""),42341.66666666667)</f>
        <v>42341.66667</v>
      </c>
      <c r="B4008" s="1">
        <f>IFERROR(__xludf.DUMMYFUNCTION("""COMPUTED_VALUE"""),75.83)</f>
        <v>75.83</v>
      </c>
      <c r="C4008" s="1">
        <f>IFERROR(__xludf.DUMMYFUNCTION("""COMPUTED_VALUE"""),76.2)</f>
        <v>76.2</v>
      </c>
      <c r="D4008" s="1">
        <f>IFERROR(__xludf.DUMMYFUNCTION("""COMPUTED_VALUE"""),75.17)</f>
        <v>75.17</v>
      </c>
      <c r="E4008" s="1">
        <f>IFERROR(__xludf.DUMMYFUNCTION("""COMPUTED_VALUE"""),75.74)</f>
        <v>75.74</v>
      </c>
      <c r="F4008" s="1">
        <f>IFERROR(__xludf.DUMMYFUNCTION("""COMPUTED_VALUE"""),1.117864E7)</f>
        <v>11178640</v>
      </c>
    </row>
    <row r="4009">
      <c r="A4009" s="2">
        <f>IFERROR(__xludf.DUMMYFUNCTION("""COMPUTED_VALUE"""),42342.66666666667)</f>
        <v>42342.66667</v>
      </c>
      <c r="B4009" s="1">
        <f>IFERROR(__xludf.DUMMYFUNCTION("""COMPUTED_VALUE"""),75.98)</f>
        <v>75.98</v>
      </c>
      <c r="C4009" s="1">
        <f>IFERROR(__xludf.DUMMYFUNCTION("""COMPUTED_VALUE"""),77.9)</f>
        <v>77.9</v>
      </c>
      <c r="D4009" s="1">
        <f>IFERROR(__xludf.DUMMYFUNCTION("""COMPUTED_VALUE"""),75.92)</f>
        <v>75.92</v>
      </c>
      <c r="E4009" s="1">
        <f>IFERROR(__xludf.DUMMYFUNCTION("""COMPUTED_VALUE"""),77.83)</f>
        <v>77.83</v>
      </c>
      <c r="F4009" s="1">
        <f>IFERROR(__xludf.DUMMYFUNCTION("""COMPUTED_VALUE"""),1.1960891E7)</f>
        <v>11960891</v>
      </c>
    </row>
    <row r="4010">
      <c r="A4010" s="2">
        <f>IFERROR(__xludf.DUMMYFUNCTION("""COMPUTED_VALUE"""),42345.66666666667)</f>
        <v>42345.66667</v>
      </c>
      <c r="B4010" s="1">
        <f>IFERROR(__xludf.DUMMYFUNCTION("""COMPUTED_VALUE"""),77.54)</f>
        <v>77.54</v>
      </c>
      <c r="C4010" s="1">
        <f>IFERROR(__xludf.DUMMYFUNCTION("""COMPUTED_VALUE"""),78.5)</f>
        <v>78.5</v>
      </c>
      <c r="D4010" s="1">
        <f>IFERROR(__xludf.DUMMYFUNCTION("""COMPUTED_VALUE"""),77.54)</f>
        <v>77.54</v>
      </c>
      <c r="E4010" s="1">
        <f>IFERROR(__xludf.DUMMYFUNCTION("""COMPUTED_VALUE"""),78.37)</f>
        <v>78.37</v>
      </c>
      <c r="F4010" s="1">
        <f>IFERROR(__xludf.DUMMYFUNCTION("""COMPUTED_VALUE"""),9459974.0)</f>
        <v>9459974</v>
      </c>
    </row>
    <row r="4011">
      <c r="A4011" s="2">
        <f>IFERROR(__xludf.DUMMYFUNCTION("""COMPUTED_VALUE"""),42346.66666666667)</f>
        <v>42346.66667</v>
      </c>
      <c r="B4011" s="1">
        <f>IFERROR(__xludf.DUMMYFUNCTION("""COMPUTED_VALUE"""),77.68)</f>
        <v>77.68</v>
      </c>
      <c r="C4011" s="1">
        <f>IFERROR(__xludf.DUMMYFUNCTION("""COMPUTED_VALUE"""),78.5)</f>
        <v>78.5</v>
      </c>
      <c r="D4011" s="1">
        <f>IFERROR(__xludf.DUMMYFUNCTION("""COMPUTED_VALUE"""),77.35)</f>
        <v>77.35</v>
      </c>
      <c r="E4011" s="1">
        <f>IFERROR(__xludf.DUMMYFUNCTION("""COMPUTED_VALUE"""),77.75)</f>
        <v>77.75</v>
      </c>
      <c r="F4011" s="1">
        <f>IFERROR(__xludf.DUMMYFUNCTION("""COMPUTED_VALUE"""),8312676.0)</f>
        <v>8312676</v>
      </c>
    </row>
    <row r="4012">
      <c r="A4012" s="2">
        <f>IFERROR(__xludf.DUMMYFUNCTION("""COMPUTED_VALUE"""),42347.66666666667)</f>
        <v>42347.66667</v>
      </c>
      <c r="B4012" s="1">
        <f>IFERROR(__xludf.DUMMYFUNCTION("""COMPUTED_VALUE"""),77.6)</f>
        <v>77.6</v>
      </c>
      <c r="C4012" s="1">
        <f>IFERROR(__xludf.DUMMYFUNCTION("""COMPUTED_VALUE"""),78.99)</f>
        <v>78.99</v>
      </c>
      <c r="D4012" s="1">
        <f>IFERROR(__xludf.DUMMYFUNCTION("""COMPUTED_VALUE"""),77.44)</f>
        <v>77.44</v>
      </c>
      <c r="E4012" s="1">
        <f>IFERROR(__xludf.DUMMYFUNCTION("""COMPUTED_VALUE"""),77.7)</f>
        <v>77.7</v>
      </c>
      <c r="F4012" s="1">
        <f>IFERROR(__xludf.DUMMYFUNCTION("""COMPUTED_VALUE"""),1.0081941E7)</f>
        <v>10081941</v>
      </c>
    </row>
    <row r="4013">
      <c r="A4013" s="2">
        <f>IFERROR(__xludf.DUMMYFUNCTION("""COMPUTED_VALUE"""),42348.66666666667)</f>
        <v>42348.66667</v>
      </c>
      <c r="B4013" s="1">
        <f>IFERROR(__xludf.DUMMYFUNCTION("""COMPUTED_VALUE"""),77.91)</f>
        <v>77.91</v>
      </c>
      <c r="C4013" s="1">
        <f>IFERROR(__xludf.DUMMYFUNCTION("""COMPUTED_VALUE"""),78.54)</f>
        <v>78.54</v>
      </c>
      <c r="D4013" s="1">
        <f>IFERROR(__xludf.DUMMYFUNCTION("""COMPUTED_VALUE"""),77.57)</f>
        <v>77.57</v>
      </c>
      <c r="E4013" s="1">
        <f>IFERROR(__xludf.DUMMYFUNCTION("""COMPUTED_VALUE"""),77.79)</f>
        <v>77.79</v>
      </c>
      <c r="F4013" s="1">
        <f>IFERROR(__xludf.DUMMYFUNCTION("""COMPUTED_VALUE"""),8984179.0)</f>
        <v>8984179</v>
      </c>
    </row>
    <row r="4014">
      <c r="A4014" s="2">
        <f>IFERROR(__xludf.DUMMYFUNCTION("""COMPUTED_VALUE"""),42349.66666666667)</f>
        <v>42349.66667</v>
      </c>
      <c r="B4014" s="1">
        <f>IFERROR(__xludf.DUMMYFUNCTION("""COMPUTED_VALUE"""),77.51)</f>
        <v>77.51</v>
      </c>
      <c r="C4014" s="1">
        <f>IFERROR(__xludf.DUMMYFUNCTION("""COMPUTED_VALUE"""),78.33)</f>
        <v>78.33</v>
      </c>
      <c r="D4014" s="1">
        <f>IFERROR(__xludf.DUMMYFUNCTION("""COMPUTED_VALUE"""),77.11)</f>
        <v>77.11</v>
      </c>
      <c r="E4014" s="1">
        <f>IFERROR(__xludf.DUMMYFUNCTION("""COMPUTED_VALUE"""),77.78)</f>
        <v>77.78</v>
      </c>
      <c r="F4014" s="1">
        <f>IFERROR(__xludf.DUMMYFUNCTION("""COMPUTED_VALUE"""),1.2280492E7)</f>
        <v>12280492</v>
      </c>
    </row>
    <row r="4015">
      <c r="A4015" s="2">
        <f>IFERROR(__xludf.DUMMYFUNCTION("""COMPUTED_VALUE"""),42352.66666666667)</f>
        <v>42352.66667</v>
      </c>
      <c r="B4015" s="1">
        <f>IFERROR(__xludf.DUMMYFUNCTION("""COMPUTED_VALUE"""),77.63)</f>
        <v>77.63</v>
      </c>
      <c r="C4015" s="1">
        <f>IFERROR(__xludf.DUMMYFUNCTION("""COMPUTED_VALUE"""),78.53)</f>
        <v>78.53</v>
      </c>
      <c r="D4015" s="1">
        <f>IFERROR(__xludf.DUMMYFUNCTION("""COMPUTED_VALUE"""),77.44)</f>
        <v>77.44</v>
      </c>
      <c r="E4015" s="1">
        <f>IFERROR(__xludf.DUMMYFUNCTION("""COMPUTED_VALUE"""),78.29)</f>
        <v>78.29</v>
      </c>
      <c r="F4015" s="1">
        <f>IFERROR(__xludf.DUMMYFUNCTION("""COMPUTED_VALUE"""),1.2177054E7)</f>
        <v>12177054</v>
      </c>
    </row>
    <row r="4016">
      <c r="A4016" s="2">
        <f>IFERROR(__xludf.DUMMYFUNCTION("""COMPUTED_VALUE"""),42353.66666666667)</f>
        <v>42353.66667</v>
      </c>
      <c r="B4016" s="1">
        <f>IFERROR(__xludf.DUMMYFUNCTION("""COMPUTED_VALUE"""),78.71)</f>
        <v>78.71</v>
      </c>
      <c r="C4016" s="1">
        <f>IFERROR(__xludf.DUMMYFUNCTION("""COMPUTED_VALUE"""),80.0)</f>
        <v>80</v>
      </c>
      <c r="D4016" s="1">
        <f>IFERROR(__xludf.DUMMYFUNCTION("""COMPUTED_VALUE"""),78.48)</f>
        <v>78.48</v>
      </c>
      <c r="E4016" s="1">
        <f>IFERROR(__xludf.DUMMYFUNCTION("""COMPUTED_VALUE"""),79.68)</f>
        <v>79.68</v>
      </c>
      <c r="F4016" s="1">
        <f>IFERROR(__xludf.DUMMYFUNCTION("""COMPUTED_VALUE"""),1.4113384E7)</f>
        <v>14113384</v>
      </c>
    </row>
    <row r="4017">
      <c r="A4017" s="2">
        <f>IFERROR(__xludf.DUMMYFUNCTION("""COMPUTED_VALUE"""),42354.66666666667)</f>
        <v>42354.66667</v>
      </c>
      <c r="B4017" s="1">
        <f>IFERROR(__xludf.DUMMYFUNCTION("""COMPUTED_VALUE"""),79.98)</f>
        <v>79.98</v>
      </c>
      <c r="C4017" s="1">
        <f>IFERROR(__xludf.DUMMYFUNCTION("""COMPUTED_VALUE"""),81.23)</f>
        <v>81.23</v>
      </c>
      <c r="D4017" s="1">
        <f>IFERROR(__xludf.DUMMYFUNCTION("""COMPUTED_VALUE"""),79.8)</f>
        <v>79.8</v>
      </c>
      <c r="E4017" s="1">
        <f>IFERROR(__xludf.DUMMYFUNCTION("""COMPUTED_VALUE"""),80.99)</f>
        <v>80.99</v>
      </c>
      <c r="F4017" s="1">
        <f>IFERROR(__xludf.DUMMYFUNCTION("""COMPUTED_VALUE"""),1.4102635E7)</f>
        <v>14102635</v>
      </c>
    </row>
    <row r="4018">
      <c r="A4018" s="2">
        <f>IFERROR(__xludf.DUMMYFUNCTION("""COMPUTED_VALUE"""),42355.66666666667)</f>
        <v>42355.66667</v>
      </c>
      <c r="B4018" s="1">
        <f>IFERROR(__xludf.DUMMYFUNCTION("""COMPUTED_VALUE"""),80.98)</f>
        <v>80.98</v>
      </c>
      <c r="C4018" s="1">
        <f>IFERROR(__xludf.DUMMYFUNCTION("""COMPUTED_VALUE"""),81.03)</f>
        <v>81.03</v>
      </c>
      <c r="D4018" s="1">
        <f>IFERROR(__xludf.DUMMYFUNCTION("""COMPUTED_VALUE"""),80.2)</f>
        <v>80.2</v>
      </c>
      <c r="E4018" s="1">
        <f>IFERROR(__xludf.DUMMYFUNCTION("""COMPUTED_VALUE"""),80.29)</f>
        <v>80.29</v>
      </c>
      <c r="F4018" s="1">
        <f>IFERROR(__xludf.DUMMYFUNCTION("""COMPUTED_VALUE"""),9863048.0)</f>
        <v>9863048</v>
      </c>
    </row>
    <row r="4019">
      <c r="A4019" s="2">
        <f>IFERROR(__xludf.DUMMYFUNCTION("""COMPUTED_VALUE"""),42356.66666666667)</f>
        <v>42356.66667</v>
      </c>
      <c r="B4019" s="1">
        <f>IFERROR(__xludf.DUMMYFUNCTION("""COMPUTED_VALUE"""),79.95)</f>
        <v>79.95</v>
      </c>
      <c r="C4019" s="1">
        <f>IFERROR(__xludf.DUMMYFUNCTION("""COMPUTED_VALUE"""),80.12)</f>
        <v>80.12</v>
      </c>
      <c r="D4019" s="1">
        <f>IFERROR(__xludf.DUMMYFUNCTION("""COMPUTED_VALUE"""),78.13)</f>
        <v>78.13</v>
      </c>
      <c r="E4019" s="1">
        <f>IFERROR(__xludf.DUMMYFUNCTION("""COMPUTED_VALUE"""),78.13)</f>
        <v>78.13</v>
      </c>
      <c r="F4019" s="1">
        <f>IFERROR(__xludf.DUMMYFUNCTION("""COMPUTED_VALUE"""),2.1249394E7)</f>
        <v>21249394</v>
      </c>
    </row>
    <row r="4020">
      <c r="A4020" s="2">
        <f>IFERROR(__xludf.DUMMYFUNCTION("""COMPUTED_VALUE"""),42359.66666666667)</f>
        <v>42359.66667</v>
      </c>
      <c r="B4020" s="1">
        <f>IFERROR(__xludf.DUMMYFUNCTION("""COMPUTED_VALUE"""),78.63)</f>
        <v>78.63</v>
      </c>
      <c r="C4020" s="1">
        <f>IFERROR(__xludf.DUMMYFUNCTION("""COMPUTED_VALUE"""),78.98)</f>
        <v>78.98</v>
      </c>
      <c r="D4020" s="1">
        <f>IFERROR(__xludf.DUMMYFUNCTION("""COMPUTED_VALUE"""),78.15)</f>
        <v>78.15</v>
      </c>
      <c r="E4020" s="1">
        <f>IFERROR(__xludf.DUMMYFUNCTION("""COMPUTED_VALUE"""),78.95)</f>
        <v>78.95</v>
      </c>
      <c r="F4020" s="1">
        <f>IFERROR(__xludf.DUMMYFUNCTION("""COMPUTED_VALUE"""),9105613.0)</f>
        <v>9105613</v>
      </c>
    </row>
    <row r="4021">
      <c r="A4021" s="2">
        <f>IFERROR(__xludf.DUMMYFUNCTION("""COMPUTED_VALUE"""),42360.66666666667)</f>
        <v>42360.66667</v>
      </c>
      <c r="B4021" s="1">
        <f>IFERROR(__xludf.DUMMYFUNCTION("""COMPUTED_VALUE"""),79.16)</f>
        <v>79.16</v>
      </c>
      <c r="C4021" s="1">
        <f>IFERROR(__xludf.DUMMYFUNCTION("""COMPUTED_VALUE"""),79.75)</f>
        <v>79.75</v>
      </c>
      <c r="D4021" s="1">
        <f>IFERROR(__xludf.DUMMYFUNCTION("""COMPUTED_VALUE"""),78.88)</f>
        <v>78.88</v>
      </c>
      <c r="E4021" s="1">
        <f>IFERROR(__xludf.DUMMYFUNCTION("""COMPUTED_VALUE"""),79.6)</f>
        <v>79.6</v>
      </c>
      <c r="F4021" s="1">
        <f>IFERROR(__xludf.DUMMYFUNCTION("""COMPUTED_VALUE"""),9871875.0)</f>
        <v>9871875</v>
      </c>
    </row>
    <row r="4022">
      <c r="A4022" s="2">
        <f>IFERROR(__xludf.DUMMYFUNCTION("""COMPUTED_VALUE"""),42361.66666666667)</f>
        <v>42361.66667</v>
      </c>
      <c r="B4022" s="1">
        <f>IFERROR(__xludf.DUMMYFUNCTION("""COMPUTED_VALUE"""),79.95)</f>
        <v>79.95</v>
      </c>
      <c r="C4022" s="1">
        <f>IFERROR(__xludf.DUMMYFUNCTION("""COMPUTED_VALUE"""),80.43)</f>
        <v>80.43</v>
      </c>
      <c r="D4022" s="1">
        <f>IFERROR(__xludf.DUMMYFUNCTION("""COMPUTED_VALUE"""),79.5)</f>
        <v>79.5</v>
      </c>
      <c r="E4022" s="1">
        <f>IFERROR(__xludf.DUMMYFUNCTION("""COMPUTED_VALUE"""),79.92)</f>
        <v>79.92</v>
      </c>
      <c r="F4022" s="1">
        <f>IFERROR(__xludf.DUMMYFUNCTION("""COMPUTED_VALUE"""),8254573.0)</f>
        <v>8254573</v>
      </c>
    </row>
    <row r="4023">
      <c r="A4023" s="2">
        <f>IFERROR(__xludf.DUMMYFUNCTION("""COMPUTED_VALUE"""),42362.66666666667)</f>
        <v>42362.66667</v>
      </c>
      <c r="B4023" s="1">
        <f>IFERROR(__xludf.DUMMYFUNCTION("""COMPUTED_VALUE"""),79.66)</f>
        <v>79.66</v>
      </c>
      <c r="C4023" s="1">
        <f>IFERROR(__xludf.DUMMYFUNCTION("""COMPUTED_VALUE"""),80.15)</f>
        <v>80.15</v>
      </c>
      <c r="D4023" s="1">
        <f>IFERROR(__xludf.DUMMYFUNCTION("""COMPUTED_VALUE"""),79.6)</f>
        <v>79.6</v>
      </c>
      <c r="E4023" s="1">
        <f>IFERROR(__xludf.DUMMYFUNCTION("""COMPUTED_VALUE"""),79.79)</f>
        <v>79.79</v>
      </c>
      <c r="F4023" s="1">
        <f>IFERROR(__xludf.DUMMYFUNCTION("""COMPUTED_VALUE"""),2498020.0)</f>
        <v>2498020</v>
      </c>
    </row>
    <row r="4024">
      <c r="A4024" s="2">
        <f>IFERROR(__xludf.DUMMYFUNCTION("""COMPUTED_VALUE"""),42366.66666666667)</f>
        <v>42366.66667</v>
      </c>
      <c r="B4024" s="1">
        <f>IFERROR(__xludf.DUMMYFUNCTION("""COMPUTED_VALUE"""),79.74)</f>
        <v>79.74</v>
      </c>
      <c r="C4024" s="1">
        <f>IFERROR(__xludf.DUMMYFUNCTION("""COMPUTED_VALUE"""),79.97)</f>
        <v>79.97</v>
      </c>
      <c r="D4024" s="1">
        <f>IFERROR(__xludf.DUMMYFUNCTION("""COMPUTED_VALUE"""),79.47)</f>
        <v>79.47</v>
      </c>
      <c r="E4024" s="1">
        <f>IFERROR(__xludf.DUMMYFUNCTION("""COMPUTED_VALUE"""),79.92)</f>
        <v>79.92</v>
      </c>
      <c r="F4024" s="1">
        <f>IFERROR(__xludf.DUMMYFUNCTION("""COMPUTED_VALUE"""),4149999.0)</f>
        <v>4149999</v>
      </c>
    </row>
    <row r="4025">
      <c r="A4025" s="2">
        <f>IFERROR(__xludf.DUMMYFUNCTION("""COMPUTED_VALUE"""),42367.66666666667)</f>
        <v>42367.66667</v>
      </c>
      <c r="B4025" s="1">
        <f>IFERROR(__xludf.DUMMYFUNCTION("""COMPUTED_VALUE"""),80.22)</f>
        <v>80.22</v>
      </c>
      <c r="C4025" s="1">
        <f>IFERROR(__xludf.DUMMYFUNCTION("""COMPUTED_VALUE"""),80.61)</f>
        <v>80.61</v>
      </c>
      <c r="D4025" s="1">
        <f>IFERROR(__xludf.DUMMYFUNCTION("""COMPUTED_VALUE"""),79.85)</f>
        <v>79.85</v>
      </c>
      <c r="E4025" s="1">
        <f>IFERROR(__xludf.DUMMYFUNCTION("""COMPUTED_VALUE"""),80.36)</f>
        <v>80.36</v>
      </c>
      <c r="F4025" s="1">
        <f>IFERROR(__xludf.DUMMYFUNCTION("""COMPUTED_VALUE"""),4405598.0)</f>
        <v>4405598</v>
      </c>
    </row>
    <row r="4026">
      <c r="A4026" s="2">
        <f>IFERROR(__xludf.DUMMYFUNCTION("""COMPUTED_VALUE"""),42368.66666666667)</f>
        <v>42368.66667</v>
      </c>
      <c r="B4026" s="1">
        <f>IFERROR(__xludf.DUMMYFUNCTION("""COMPUTED_VALUE"""),80.46)</f>
        <v>80.46</v>
      </c>
      <c r="C4026" s="1">
        <f>IFERROR(__xludf.DUMMYFUNCTION("""COMPUTED_VALUE"""),80.5)</f>
        <v>80.5</v>
      </c>
      <c r="D4026" s="1">
        <f>IFERROR(__xludf.DUMMYFUNCTION("""COMPUTED_VALUE"""),80.0)</f>
        <v>80</v>
      </c>
      <c r="E4026" s="1">
        <f>IFERROR(__xludf.DUMMYFUNCTION("""COMPUTED_VALUE"""),80.07)</f>
        <v>80.07</v>
      </c>
      <c r="F4026" s="1">
        <f>IFERROR(__xludf.DUMMYFUNCTION("""COMPUTED_VALUE"""),3793159.0)</f>
        <v>3793159</v>
      </c>
    </row>
    <row r="4027">
      <c r="A4027" s="2">
        <f>IFERROR(__xludf.DUMMYFUNCTION("""COMPUTED_VALUE"""),42369.66666666667)</f>
        <v>42369.66667</v>
      </c>
      <c r="B4027" s="1">
        <f>IFERROR(__xludf.DUMMYFUNCTION("""COMPUTED_VALUE"""),79.91)</f>
        <v>79.91</v>
      </c>
      <c r="C4027" s="1">
        <f>IFERROR(__xludf.DUMMYFUNCTION("""COMPUTED_VALUE"""),80.04)</f>
        <v>80.04</v>
      </c>
      <c r="D4027" s="1">
        <f>IFERROR(__xludf.DUMMYFUNCTION("""COMPUTED_VALUE"""),79.31)</f>
        <v>79.31</v>
      </c>
      <c r="E4027" s="1">
        <f>IFERROR(__xludf.DUMMYFUNCTION("""COMPUTED_VALUE"""),79.41)</f>
        <v>79.41</v>
      </c>
      <c r="F4027" s="1">
        <f>IFERROR(__xludf.DUMMYFUNCTION("""COMPUTED_VALUE"""),5077736.0)</f>
        <v>5077736</v>
      </c>
    </row>
    <row r="4028">
      <c r="A4028" s="2">
        <f>IFERROR(__xludf.DUMMYFUNCTION("""COMPUTED_VALUE"""),42373.66666666667)</f>
        <v>42373.66667</v>
      </c>
      <c r="B4028" s="1">
        <f>IFERROR(__xludf.DUMMYFUNCTION("""COMPUTED_VALUE"""),78.36)</f>
        <v>78.36</v>
      </c>
      <c r="C4028" s="1">
        <f>IFERROR(__xludf.DUMMYFUNCTION("""COMPUTED_VALUE"""),78.5)</f>
        <v>78.5</v>
      </c>
      <c r="D4028" s="1">
        <f>IFERROR(__xludf.DUMMYFUNCTION("""COMPUTED_VALUE"""),77.54)</f>
        <v>77.54</v>
      </c>
      <c r="E4028" s="1">
        <f>IFERROR(__xludf.DUMMYFUNCTION("""COMPUTED_VALUE"""),78.37)</f>
        <v>78.37</v>
      </c>
      <c r="F4028" s="1">
        <f>IFERROR(__xludf.DUMMYFUNCTION("""COMPUTED_VALUE"""),1.152978E7)</f>
        <v>11529780</v>
      </c>
    </row>
    <row r="4029">
      <c r="A4029" s="2">
        <f>IFERROR(__xludf.DUMMYFUNCTION("""COMPUTED_VALUE"""),42374.66666666667)</f>
        <v>42374.66667</v>
      </c>
      <c r="B4029" s="1">
        <f>IFERROR(__xludf.DUMMYFUNCTION("""COMPUTED_VALUE"""),78.44)</f>
        <v>78.44</v>
      </c>
      <c r="C4029" s="1">
        <f>IFERROR(__xludf.DUMMYFUNCTION("""COMPUTED_VALUE"""),78.96)</f>
        <v>78.96</v>
      </c>
      <c r="D4029" s="1">
        <f>IFERROR(__xludf.DUMMYFUNCTION("""COMPUTED_VALUE"""),78.21)</f>
        <v>78.21</v>
      </c>
      <c r="E4029" s="1">
        <f>IFERROR(__xludf.DUMMYFUNCTION("""COMPUTED_VALUE"""),78.62)</f>
        <v>78.62</v>
      </c>
      <c r="F4029" s="1">
        <f>IFERROR(__xludf.DUMMYFUNCTION("""COMPUTED_VALUE"""),8133650.0)</f>
        <v>8133650</v>
      </c>
    </row>
    <row r="4030">
      <c r="A4030" s="2">
        <f>IFERROR(__xludf.DUMMYFUNCTION("""COMPUTED_VALUE"""),42375.66666666667)</f>
        <v>42375.66667</v>
      </c>
      <c r="B4030" s="1">
        <f>IFERROR(__xludf.DUMMYFUNCTION("""COMPUTED_VALUE"""),77.67)</f>
        <v>77.67</v>
      </c>
      <c r="C4030" s="1">
        <f>IFERROR(__xludf.DUMMYFUNCTION("""COMPUTED_VALUE"""),78.29)</f>
        <v>78.29</v>
      </c>
      <c r="D4030" s="1">
        <f>IFERROR(__xludf.DUMMYFUNCTION("""COMPUTED_VALUE"""),77.12)</f>
        <v>77.12</v>
      </c>
      <c r="E4030" s="1">
        <f>IFERROR(__xludf.DUMMYFUNCTION("""COMPUTED_VALUE"""),77.86)</f>
        <v>77.86</v>
      </c>
      <c r="F4030" s="1">
        <f>IFERROR(__xludf.DUMMYFUNCTION("""COMPUTED_VALUE"""),9551003.0)</f>
        <v>9551003</v>
      </c>
    </row>
    <row r="4031">
      <c r="A4031" s="2">
        <f>IFERROR(__xludf.DUMMYFUNCTION("""COMPUTED_VALUE"""),42376.66666666667)</f>
        <v>42376.66667</v>
      </c>
      <c r="B4031" s="1">
        <f>IFERROR(__xludf.DUMMYFUNCTION("""COMPUTED_VALUE"""),76.85)</f>
        <v>76.85</v>
      </c>
      <c r="C4031" s="1">
        <f>IFERROR(__xludf.DUMMYFUNCTION("""COMPUTED_VALUE"""),77.6)</f>
        <v>77.6</v>
      </c>
      <c r="D4031" s="1">
        <f>IFERROR(__xludf.DUMMYFUNCTION("""COMPUTED_VALUE"""),76.07)</f>
        <v>76.07</v>
      </c>
      <c r="E4031" s="1">
        <f>IFERROR(__xludf.DUMMYFUNCTION("""COMPUTED_VALUE"""),77.18)</f>
        <v>77.18</v>
      </c>
      <c r="F4031" s="1">
        <f>IFERROR(__xludf.DUMMYFUNCTION("""COMPUTED_VALUE"""),1.1972911E7)</f>
        <v>11972911</v>
      </c>
    </row>
    <row r="4032">
      <c r="A4032" s="2">
        <f>IFERROR(__xludf.DUMMYFUNCTION("""COMPUTED_VALUE"""),42377.66666666667)</f>
        <v>42377.66667</v>
      </c>
      <c r="B4032" s="1">
        <f>IFERROR(__xludf.DUMMYFUNCTION("""COMPUTED_VALUE"""),77.36)</f>
        <v>77.36</v>
      </c>
      <c r="C4032" s="1">
        <f>IFERROR(__xludf.DUMMYFUNCTION("""COMPUTED_VALUE"""),77.48)</f>
        <v>77.48</v>
      </c>
      <c r="D4032" s="1">
        <f>IFERROR(__xludf.DUMMYFUNCTION("""COMPUTED_VALUE"""),75.67)</f>
        <v>75.67</v>
      </c>
      <c r="E4032" s="1">
        <f>IFERROR(__xludf.DUMMYFUNCTION("""COMPUTED_VALUE"""),75.97)</f>
        <v>75.97</v>
      </c>
      <c r="F4032" s="1">
        <f>IFERROR(__xludf.DUMMYFUNCTION("""COMPUTED_VALUE"""),9676357.0)</f>
        <v>9676357</v>
      </c>
    </row>
    <row r="4033">
      <c r="A4033" s="2">
        <f>IFERROR(__xludf.DUMMYFUNCTION("""COMPUTED_VALUE"""),42380.66666666667)</f>
        <v>42380.66667</v>
      </c>
      <c r="B4033" s="1">
        <f>IFERROR(__xludf.DUMMYFUNCTION("""COMPUTED_VALUE"""),76.17)</f>
        <v>76.17</v>
      </c>
      <c r="C4033" s="1">
        <f>IFERROR(__xludf.DUMMYFUNCTION("""COMPUTED_VALUE"""),77.04)</f>
        <v>77.04</v>
      </c>
      <c r="D4033" s="1">
        <f>IFERROR(__xludf.DUMMYFUNCTION("""COMPUTED_VALUE"""),75.6)</f>
        <v>75.6</v>
      </c>
      <c r="E4033" s="1">
        <f>IFERROR(__xludf.DUMMYFUNCTION("""COMPUTED_VALUE"""),76.67)</f>
        <v>76.67</v>
      </c>
      <c r="F4033" s="1">
        <f>IFERROR(__xludf.DUMMYFUNCTION("""COMPUTED_VALUE"""),1.0208739E7)</f>
        <v>10208739</v>
      </c>
    </row>
    <row r="4034">
      <c r="A4034" s="2">
        <f>IFERROR(__xludf.DUMMYFUNCTION("""COMPUTED_VALUE"""),42381.66666666667)</f>
        <v>42381.66667</v>
      </c>
      <c r="B4034" s="1">
        <f>IFERROR(__xludf.DUMMYFUNCTION("""COMPUTED_VALUE"""),77.0)</f>
        <v>77</v>
      </c>
      <c r="C4034" s="1">
        <f>IFERROR(__xludf.DUMMYFUNCTION("""COMPUTED_VALUE"""),77.02)</f>
        <v>77.02</v>
      </c>
      <c r="D4034" s="1">
        <f>IFERROR(__xludf.DUMMYFUNCTION("""COMPUTED_VALUE"""),75.75)</f>
        <v>75.75</v>
      </c>
      <c r="E4034" s="1">
        <f>IFERROR(__xludf.DUMMYFUNCTION("""COMPUTED_VALUE"""),76.51)</f>
        <v>76.51</v>
      </c>
      <c r="F4034" s="1">
        <f>IFERROR(__xludf.DUMMYFUNCTION("""COMPUTED_VALUE"""),8772843.0)</f>
        <v>8772843</v>
      </c>
    </row>
    <row r="4035">
      <c r="A4035" s="2">
        <f>IFERROR(__xludf.DUMMYFUNCTION("""COMPUTED_VALUE"""),42382.66666666667)</f>
        <v>42382.66667</v>
      </c>
      <c r="B4035" s="1">
        <f>IFERROR(__xludf.DUMMYFUNCTION("""COMPUTED_VALUE"""),76.97)</f>
        <v>76.97</v>
      </c>
      <c r="C4035" s="1">
        <f>IFERROR(__xludf.DUMMYFUNCTION("""COMPUTED_VALUE"""),76.99)</f>
        <v>76.99</v>
      </c>
      <c r="D4035" s="1">
        <f>IFERROR(__xludf.DUMMYFUNCTION("""COMPUTED_VALUE"""),75.79)</f>
        <v>75.79</v>
      </c>
      <c r="E4035" s="1">
        <f>IFERROR(__xludf.DUMMYFUNCTION("""COMPUTED_VALUE"""),75.85)</f>
        <v>75.85</v>
      </c>
      <c r="F4035" s="1">
        <f>IFERROR(__xludf.DUMMYFUNCTION("""COMPUTED_VALUE"""),9310023.0)</f>
        <v>9310023</v>
      </c>
    </row>
    <row r="4036">
      <c r="A4036" s="2">
        <f>IFERROR(__xludf.DUMMYFUNCTION("""COMPUTED_VALUE"""),42383.66666666667)</f>
        <v>42383.66667</v>
      </c>
      <c r="B4036" s="1">
        <f>IFERROR(__xludf.DUMMYFUNCTION("""COMPUTED_VALUE"""),76.1)</f>
        <v>76.1</v>
      </c>
      <c r="C4036" s="1">
        <f>IFERROR(__xludf.DUMMYFUNCTION("""COMPUTED_VALUE"""),76.95)</f>
        <v>76.95</v>
      </c>
      <c r="D4036" s="1">
        <f>IFERROR(__xludf.DUMMYFUNCTION("""COMPUTED_VALUE"""),75.88)</f>
        <v>75.88</v>
      </c>
      <c r="E4036" s="1">
        <f>IFERROR(__xludf.DUMMYFUNCTION("""COMPUTED_VALUE"""),76.15)</f>
        <v>76.15</v>
      </c>
      <c r="F4036" s="1">
        <f>IFERROR(__xludf.DUMMYFUNCTION("""COMPUTED_VALUE"""),1.283448E7)</f>
        <v>12834480</v>
      </c>
    </row>
    <row r="4037">
      <c r="A4037" s="2">
        <f>IFERROR(__xludf.DUMMYFUNCTION("""COMPUTED_VALUE"""),42384.66666666667)</f>
        <v>42384.66667</v>
      </c>
      <c r="B4037" s="1">
        <f>IFERROR(__xludf.DUMMYFUNCTION("""COMPUTED_VALUE"""),74.5)</f>
        <v>74.5</v>
      </c>
      <c r="C4037" s="1">
        <f>IFERROR(__xludf.DUMMYFUNCTION("""COMPUTED_VALUE"""),75.68)</f>
        <v>75.68</v>
      </c>
      <c r="D4037" s="1">
        <f>IFERROR(__xludf.DUMMYFUNCTION("""COMPUTED_VALUE"""),74.47)</f>
        <v>74.47</v>
      </c>
      <c r="E4037" s="1">
        <f>IFERROR(__xludf.DUMMYFUNCTION("""COMPUTED_VALUE"""),74.98)</f>
        <v>74.98</v>
      </c>
      <c r="F4037" s="1">
        <f>IFERROR(__xludf.DUMMYFUNCTION("""COMPUTED_VALUE"""),1.7023356E7)</f>
        <v>17023356</v>
      </c>
    </row>
    <row r="4038">
      <c r="A4038" s="2">
        <f>IFERROR(__xludf.DUMMYFUNCTION("""COMPUTED_VALUE"""),42388.66666666667)</f>
        <v>42388.66667</v>
      </c>
      <c r="B4038" s="1">
        <f>IFERROR(__xludf.DUMMYFUNCTION("""COMPUTED_VALUE"""),75.8)</f>
        <v>75.8</v>
      </c>
      <c r="C4038" s="1">
        <f>IFERROR(__xludf.DUMMYFUNCTION("""COMPUTED_VALUE"""),76.91)</f>
        <v>76.91</v>
      </c>
      <c r="D4038" s="1">
        <f>IFERROR(__xludf.DUMMYFUNCTION("""COMPUTED_VALUE"""),75.72)</f>
        <v>75.72</v>
      </c>
      <c r="E4038" s="1">
        <f>IFERROR(__xludf.DUMMYFUNCTION("""COMPUTED_VALUE"""),76.73)</f>
        <v>76.73</v>
      </c>
      <c r="F4038" s="1">
        <f>IFERROR(__xludf.DUMMYFUNCTION("""COMPUTED_VALUE"""),1.3457281E7)</f>
        <v>13457281</v>
      </c>
    </row>
    <row r="4039">
      <c r="A4039" s="2">
        <f>IFERROR(__xludf.DUMMYFUNCTION("""COMPUTED_VALUE"""),42389.66666666667)</f>
        <v>42389.66667</v>
      </c>
      <c r="B4039" s="1">
        <f>IFERROR(__xludf.DUMMYFUNCTION("""COMPUTED_VALUE"""),75.29)</f>
        <v>75.29</v>
      </c>
      <c r="C4039" s="1">
        <f>IFERROR(__xludf.DUMMYFUNCTION("""COMPUTED_VALUE"""),76.09)</f>
        <v>76.09</v>
      </c>
      <c r="D4039" s="1">
        <f>IFERROR(__xludf.DUMMYFUNCTION("""COMPUTED_VALUE"""),74.46)</f>
        <v>74.46</v>
      </c>
      <c r="E4039" s="1">
        <f>IFERROR(__xludf.DUMMYFUNCTION("""COMPUTED_VALUE"""),75.83)</f>
        <v>75.83</v>
      </c>
      <c r="F4039" s="1">
        <f>IFERROR(__xludf.DUMMYFUNCTION("""COMPUTED_VALUE"""),1.7795006E7)</f>
        <v>17795006</v>
      </c>
    </row>
    <row r="4040">
      <c r="A4040" s="2">
        <f>IFERROR(__xludf.DUMMYFUNCTION("""COMPUTED_VALUE"""),42390.66666666667)</f>
        <v>42390.66667</v>
      </c>
      <c r="B4040" s="1">
        <f>IFERROR(__xludf.DUMMYFUNCTION("""COMPUTED_VALUE"""),76.02)</f>
        <v>76.02</v>
      </c>
      <c r="C4040" s="1">
        <f>IFERROR(__xludf.DUMMYFUNCTION("""COMPUTED_VALUE"""),77.18)</f>
        <v>77.18</v>
      </c>
      <c r="D4040" s="1">
        <f>IFERROR(__xludf.DUMMYFUNCTION("""COMPUTED_VALUE"""),75.41)</f>
        <v>75.41</v>
      </c>
      <c r="E4040" s="1">
        <f>IFERROR(__xludf.DUMMYFUNCTION("""COMPUTED_VALUE"""),76.72)</f>
        <v>76.72</v>
      </c>
      <c r="F4040" s="1">
        <f>IFERROR(__xludf.DUMMYFUNCTION("""COMPUTED_VALUE"""),1.2712854E7)</f>
        <v>12712854</v>
      </c>
    </row>
    <row r="4041">
      <c r="A4041" s="2">
        <f>IFERROR(__xludf.DUMMYFUNCTION("""COMPUTED_VALUE"""),42391.66666666667)</f>
        <v>42391.66667</v>
      </c>
      <c r="B4041" s="1">
        <f>IFERROR(__xludf.DUMMYFUNCTION("""COMPUTED_VALUE"""),77.4)</f>
        <v>77.4</v>
      </c>
      <c r="C4041" s="1">
        <f>IFERROR(__xludf.DUMMYFUNCTION("""COMPUTED_VALUE"""),77.97)</f>
        <v>77.97</v>
      </c>
      <c r="D4041" s="1">
        <f>IFERROR(__xludf.DUMMYFUNCTION("""COMPUTED_VALUE"""),76.55)</f>
        <v>76.55</v>
      </c>
      <c r="E4041" s="1">
        <f>IFERROR(__xludf.DUMMYFUNCTION("""COMPUTED_VALUE"""),77.36)</f>
        <v>77.36</v>
      </c>
      <c r="F4041" s="1">
        <f>IFERROR(__xludf.DUMMYFUNCTION("""COMPUTED_VALUE"""),9465787.0)</f>
        <v>9465787</v>
      </c>
    </row>
    <row r="4042">
      <c r="A4042" s="2">
        <f>IFERROR(__xludf.DUMMYFUNCTION("""COMPUTED_VALUE"""),42394.66666666667)</f>
        <v>42394.66667</v>
      </c>
      <c r="B4042" s="1">
        <f>IFERROR(__xludf.DUMMYFUNCTION("""COMPUTED_VALUE"""),77.2)</f>
        <v>77.2</v>
      </c>
      <c r="C4042" s="1">
        <f>IFERROR(__xludf.DUMMYFUNCTION("""COMPUTED_VALUE"""),77.36)</f>
        <v>77.36</v>
      </c>
      <c r="D4042" s="1">
        <f>IFERROR(__xludf.DUMMYFUNCTION("""COMPUTED_VALUE"""),76.56)</f>
        <v>76.56</v>
      </c>
      <c r="E4042" s="1">
        <f>IFERROR(__xludf.DUMMYFUNCTION("""COMPUTED_VALUE"""),76.85)</f>
        <v>76.85</v>
      </c>
      <c r="F4042" s="1">
        <f>IFERROR(__xludf.DUMMYFUNCTION("""COMPUTED_VALUE"""),9869807.0)</f>
        <v>9869807</v>
      </c>
    </row>
    <row r="4043">
      <c r="A4043" s="2">
        <f>IFERROR(__xludf.DUMMYFUNCTION("""COMPUTED_VALUE"""),42395.66666666667)</f>
        <v>42395.66667</v>
      </c>
      <c r="B4043" s="1">
        <f>IFERROR(__xludf.DUMMYFUNCTION("""COMPUTED_VALUE"""),78.0)</f>
        <v>78</v>
      </c>
      <c r="C4043" s="1">
        <f>IFERROR(__xludf.DUMMYFUNCTION("""COMPUTED_VALUE"""),79.58)</f>
        <v>79.58</v>
      </c>
      <c r="D4043" s="1">
        <f>IFERROR(__xludf.DUMMYFUNCTION("""COMPUTED_VALUE"""),77.54)</f>
        <v>77.54</v>
      </c>
      <c r="E4043" s="1">
        <f>IFERROR(__xludf.DUMMYFUNCTION("""COMPUTED_VALUE"""),78.81)</f>
        <v>78.81</v>
      </c>
      <c r="F4043" s="1">
        <f>IFERROR(__xludf.DUMMYFUNCTION("""COMPUTED_VALUE"""),1.637465E7)</f>
        <v>16374650</v>
      </c>
    </row>
    <row r="4044">
      <c r="A4044" s="2">
        <f>IFERROR(__xludf.DUMMYFUNCTION("""COMPUTED_VALUE"""),42396.66666666667)</f>
        <v>42396.66667</v>
      </c>
      <c r="B4044" s="1">
        <f>IFERROR(__xludf.DUMMYFUNCTION("""COMPUTED_VALUE"""),78.53)</f>
        <v>78.53</v>
      </c>
      <c r="C4044" s="1">
        <f>IFERROR(__xludf.DUMMYFUNCTION("""COMPUTED_VALUE"""),79.85)</f>
        <v>79.85</v>
      </c>
      <c r="D4044" s="1">
        <f>IFERROR(__xludf.DUMMYFUNCTION("""COMPUTED_VALUE"""),78.15)</f>
        <v>78.15</v>
      </c>
      <c r="E4044" s="1">
        <f>IFERROR(__xludf.DUMMYFUNCTION("""COMPUTED_VALUE"""),78.8)</f>
        <v>78.8</v>
      </c>
      <c r="F4044" s="1">
        <f>IFERROR(__xludf.DUMMYFUNCTION("""COMPUTED_VALUE"""),1.081582E7)</f>
        <v>10815820</v>
      </c>
    </row>
    <row r="4045">
      <c r="A4045" s="2">
        <f>IFERROR(__xludf.DUMMYFUNCTION("""COMPUTED_VALUE"""),42397.66666666667)</f>
        <v>42397.66667</v>
      </c>
      <c r="B4045" s="1">
        <f>IFERROR(__xludf.DUMMYFUNCTION("""COMPUTED_VALUE"""),79.4)</f>
        <v>79.4</v>
      </c>
      <c r="C4045" s="1">
        <f>IFERROR(__xludf.DUMMYFUNCTION("""COMPUTED_VALUE"""),80.0)</f>
        <v>80</v>
      </c>
      <c r="D4045" s="1">
        <f>IFERROR(__xludf.DUMMYFUNCTION("""COMPUTED_VALUE"""),78.61)</f>
        <v>78.61</v>
      </c>
      <c r="E4045" s="1">
        <f>IFERROR(__xludf.DUMMYFUNCTION("""COMPUTED_VALUE"""),79.82)</f>
        <v>79.82</v>
      </c>
      <c r="F4045" s="1">
        <f>IFERROR(__xludf.DUMMYFUNCTION("""COMPUTED_VALUE"""),9894121.0)</f>
        <v>9894121</v>
      </c>
    </row>
    <row r="4046">
      <c r="A4046" s="2">
        <f>IFERROR(__xludf.DUMMYFUNCTION("""COMPUTED_VALUE"""),42398.66666666667)</f>
        <v>42398.66667</v>
      </c>
      <c r="B4046" s="1">
        <f>IFERROR(__xludf.DUMMYFUNCTION("""COMPUTED_VALUE"""),79.98)</f>
        <v>79.98</v>
      </c>
      <c r="C4046" s="1">
        <f>IFERROR(__xludf.DUMMYFUNCTION("""COMPUTED_VALUE"""),82.0)</f>
        <v>82</v>
      </c>
      <c r="D4046" s="1">
        <f>IFERROR(__xludf.DUMMYFUNCTION("""COMPUTED_VALUE"""),79.83)</f>
        <v>79.83</v>
      </c>
      <c r="E4046" s="1">
        <f>IFERROR(__xludf.DUMMYFUNCTION("""COMPUTED_VALUE"""),81.69)</f>
        <v>81.69</v>
      </c>
      <c r="F4046" s="1">
        <f>IFERROR(__xludf.DUMMYFUNCTION("""COMPUTED_VALUE"""),1.9893903E7)</f>
        <v>19893903</v>
      </c>
    </row>
    <row r="4047">
      <c r="A4047" s="2">
        <f>IFERROR(__xludf.DUMMYFUNCTION("""COMPUTED_VALUE"""),42401.66666666667)</f>
        <v>42401.66667</v>
      </c>
      <c r="B4047" s="1">
        <f>IFERROR(__xludf.DUMMYFUNCTION("""COMPUTED_VALUE"""),81.21)</f>
        <v>81.21</v>
      </c>
      <c r="C4047" s="1">
        <f>IFERROR(__xludf.DUMMYFUNCTION("""COMPUTED_VALUE"""),81.4)</f>
        <v>81.4</v>
      </c>
      <c r="D4047" s="1">
        <f>IFERROR(__xludf.DUMMYFUNCTION("""COMPUTED_VALUE"""),80.53)</f>
        <v>80.53</v>
      </c>
      <c r="E4047" s="1">
        <f>IFERROR(__xludf.DUMMYFUNCTION("""COMPUTED_VALUE"""),81.12)</f>
        <v>81.12</v>
      </c>
      <c r="F4047" s="1">
        <f>IFERROR(__xludf.DUMMYFUNCTION("""COMPUTED_VALUE"""),9657184.0)</f>
        <v>9657184</v>
      </c>
    </row>
    <row r="4048">
      <c r="A4048" s="2">
        <f>IFERROR(__xludf.DUMMYFUNCTION("""COMPUTED_VALUE"""),42402.66666666667)</f>
        <v>42402.66667</v>
      </c>
      <c r="B4048" s="1">
        <f>IFERROR(__xludf.DUMMYFUNCTION("""COMPUTED_VALUE"""),80.09)</f>
        <v>80.09</v>
      </c>
      <c r="C4048" s="1">
        <f>IFERROR(__xludf.DUMMYFUNCTION("""COMPUTED_VALUE"""),80.54)</f>
        <v>80.54</v>
      </c>
      <c r="D4048" s="1">
        <f>IFERROR(__xludf.DUMMYFUNCTION("""COMPUTED_VALUE"""),79.81)</f>
        <v>79.81</v>
      </c>
      <c r="E4048" s="1">
        <f>IFERROR(__xludf.DUMMYFUNCTION("""COMPUTED_VALUE"""),80.22)</f>
        <v>80.22</v>
      </c>
      <c r="F4048" s="1">
        <f>IFERROR(__xludf.DUMMYFUNCTION("""COMPUTED_VALUE"""),9116414.0)</f>
        <v>9116414</v>
      </c>
    </row>
    <row r="4049">
      <c r="A4049" s="2">
        <f>IFERROR(__xludf.DUMMYFUNCTION("""COMPUTED_VALUE"""),42403.66666666667)</f>
        <v>42403.66667</v>
      </c>
      <c r="B4049" s="1">
        <f>IFERROR(__xludf.DUMMYFUNCTION("""COMPUTED_VALUE"""),80.48)</f>
        <v>80.48</v>
      </c>
      <c r="C4049" s="1">
        <f>IFERROR(__xludf.DUMMYFUNCTION("""COMPUTED_VALUE"""),81.24)</f>
        <v>81.24</v>
      </c>
      <c r="D4049" s="1">
        <f>IFERROR(__xludf.DUMMYFUNCTION("""COMPUTED_VALUE"""),80.02)</f>
        <v>80.02</v>
      </c>
      <c r="E4049" s="1">
        <f>IFERROR(__xludf.DUMMYFUNCTION("""COMPUTED_VALUE"""),81.1)</f>
        <v>81.1</v>
      </c>
      <c r="F4049" s="1">
        <f>IFERROR(__xludf.DUMMYFUNCTION("""COMPUTED_VALUE"""),1.0149588E7)</f>
        <v>10149588</v>
      </c>
    </row>
    <row r="4050">
      <c r="A4050" s="2">
        <f>IFERROR(__xludf.DUMMYFUNCTION("""COMPUTED_VALUE"""),42404.66666666667)</f>
        <v>42404.66667</v>
      </c>
      <c r="B4050" s="1">
        <f>IFERROR(__xludf.DUMMYFUNCTION("""COMPUTED_VALUE"""),80.85)</f>
        <v>80.85</v>
      </c>
      <c r="C4050" s="1">
        <f>IFERROR(__xludf.DUMMYFUNCTION("""COMPUTED_VALUE"""),81.1)</f>
        <v>81.1</v>
      </c>
      <c r="D4050" s="1">
        <f>IFERROR(__xludf.DUMMYFUNCTION("""COMPUTED_VALUE"""),80.33)</f>
        <v>80.33</v>
      </c>
      <c r="E4050" s="1">
        <f>IFERROR(__xludf.DUMMYFUNCTION("""COMPUTED_VALUE"""),80.7)</f>
        <v>80.7</v>
      </c>
      <c r="F4050" s="1">
        <f>IFERROR(__xludf.DUMMYFUNCTION("""COMPUTED_VALUE"""),8294739.0)</f>
        <v>8294739</v>
      </c>
    </row>
    <row r="4051">
      <c r="A4051" s="2">
        <f>IFERROR(__xludf.DUMMYFUNCTION("""COMPUTED_VALUE"""),42405.66666666667)</f>
        <v>42405.66667</v>
      </c>
      <c r="B4051" s="1">
        <f>IFERROR(__xludf.DUMMYFUNCTION("""COMPUTED_VALUE"""),80.58)</f>
        <v>80.58</v>
      </c>
      <c r="C4051" s="1">
        <f>IFERROR(__xludf.DUMMYFUNCTION("""COMPUTED_VALUE"""),81.2)</f>
        <v>81.2</v>
      </c>
      <c r="D4051" s="1">
        <f>IFERROR(__xludf.DUMMYFUNCTION("""COMPUTED_VALUE"""),80.57)</f>
        <v>80.57</v>
      </c>
      <c r="E4051" s="1">
        <f>IFERROR(__xludf.DUMMYFUNCTION("""COMPUTED_VALUE"""),81.2)</f>
        <v>81.2</v>
      </c>
      <c r="F4051" s="1">
        <f>IFERROR(__xludf.DUMMYFUNCTION("""COMPUTED_VALUE"""),9957558.0)</f>
        <v>9957558</v>
      </c>
    </row>
    <row r="4052">
      <c r="A4052" s="2">
        <f>IFERROR(__xludf.DUMMYFUNCTION("""COMPUTED_VALUE"""),42408.66666666667)</f>
        <v>42408.66667</v>
      </c>
      <c r="B4052" s="1">
        <f>IFERROR(__xludf.DUMMYFUNCTION("""COMPUTED_VALUE"""),80.29)</f>
        <v>80.29</v>
      </c>
      <c r="C4052" s="1">
        <f>IFERROR(__xludf.DUMMYFUNCTION("""COMPUTED_VALUE"""),82.72)</f>
        <v>82.72</v>
      </c>
      <c r="D4052" s="1">
        <f>IFERROR(__xludf.DUMMYFUNCTION("""COMPUTED_VALUE"""),80.29)</f>
        <v>80.29</v>
      </c>
      <c r="E4052" s="1">
        <f>IFERROR(__xludf.DUMMYFUNCTION("""COMPUTED_VALUE"""),82.62)</f>
        <v>82.62</v>
      </c>
      <c r="F4052" s="1">
        <f>IFERROR(__xludf.DUMMYFUNCTION("""COMPUTED_VALUE"""),1.6530157E7)</f>
        <v>16530157</v>
      </c>
    </row>
    <row r="4053">
      <c r="A4053" s="2">
        <f>IFERROR(__xludf.DUMMYFUNCTION("""COMPUTED_VALUE"""),42409.66666666667)</f>
        <v>42409.66667</v>
      </c>
      <c r="B4053" s="1">
        <f>IFERROR(__xludf.DUMMYFUNCTION("""COMPUTED_VALUE"""),81.83)</f>
        <v>81.83</v>
      </c>
      <c r="C4053" s="1">
        <f>IFERROR(__xludf.DUMMYFUNCTION("""COMPUTED_VALUE"""),83.0)</f>
        <v>83</v>
      </c>
      <c r="D4053" s="1">
        <f>IFERROR(__xludf.DUMMYFUNCTION("""COMPUTED_VALUE"""),81.02)</f>
        <v>81.02</v>
      </c>
      <c r="E4053" s="1">
        <f>IFERROR(__xludf.DUMMYFUNCTION("""COMPUTED_VALUE"""),82.64)</f>
        <v>82.64</v>
      </c>
      <c r="F4053" s="1">
        <f>IFERROR(__xludf.DUMMYFUNCTION("""COMPUTED_VALUE"""),1.4308426E7)</f>
        <v>14308426</v>
      </c>
    </row>
    <row r="4054">
      <c r="A4054" s="2">
        <f>IFERROR(__xludf.DUMMYFUNCTION("""COMPUTED_VALUE"""),42410.66666666667)</f>
        <v>42410.66667</v>
      </c>
      <c r="B4054" s="1">
        <f>IFERROR(__xludf.DUMMYFUNCTION("""COMPUTED_VALUE"""),82.91)</f>
        <v>82.91</v>
      </c>
      <c r="C4054" s="1">
        <f>IFERROR(__xludf.DUMMYFUNCTION("""COMPUTED_VALUE"""),83.0)</f>
        <v>83</v>
      </c>
      <c r="D4054" s="1">
        <f>IFERROR(__xludf.DUMMYFUNCTION("""COMPUTED_VALUE"""),81.46)</f>
        <v>81.46</v>
      </c>
      <c r="E4054" s="1">
        <f>IFERROR(__xludf.DUMMYFUNCTION("""COMPUTED_VALUE"""),81.62)</f>
        <v>81.62</v>
      </c>
      <c r="F4054" s="1">
        <f>IFERROR(__xludf.DUMMYFUNCTION("""COMPUTED_VALUE"""),1.0584587E7)</f>
        <v>10584587</v>
      </c>
    </row>
    <row r="4055">
      <c r="A4055" s="2">
        <f>IFERROR(__xludf.DUMMYFUNCTION("""COMPUTED_VALUE"""),42411.66666666667)</f>
        <v>42411.66667</v>
      </c>
      <c r="B4055" s="1">
        <f>IFERROR(__xludf.DUMMYFUNCTION("""COMPUTED_VALUE"""),80.39)</f>
        <v>80.39</v>
      </c>
      <c r="C4055" s="1">
        <f>IFERROR(__xludf.DUMMYFUNCTION("""COMPUTED_VALUE"""),80.99)</f>
        <v>80.99</v>
      </c>
      <c r="D4055" s="1">
        <f>IFERROR(__xludf.DUMMYFUNCTION("""COMPUTED_VALUE"""),79.63)</f>
        <v>79.63</v>
      </c>
      <c r="E4055" s="1">
        <f>IFERROR(__xludf.DUMMYFUNCTION("""COMPUTED_VALUE"""),79.9)</f>
        <v>79.9</v>
      </c>
      <c r="F4055" s="1">
        <f>IFERROR(__xludf.DUMMYFUNCTION("""COMPUTED_VALUE"""),1.2342937E7)</f>
        <v>12342937</v>
      </c>
    </row>
    <row r="4056">
      <c r="A4056" s="2">
        <f>IFERROR(__xludf.DUMMYFUNCTION("""COMPUTED_VALUE"""),42412.66666666667)</f>
        <v>42412.66667</v>
      </c>
      <c r="B4056" s="1">
        <f>IFERROR(__xludf.DUMMYFUNCTION("""COMPUTED_VALUE"""),80.36)</f>
        <v>80.36</v>
      </c>
      <c r="C4056" s="1">
        <f>IFERROR(__xludf.DUMMYFUNCTION("""COMPUTED_VALUE"""),81.02)</f>
        <v>81.02</v>
      </c>
      <c r="D4056" s="1">
        <f>IFERROR(__xludf.DUMMYFUNCTION("""COMPUTED_VALUE"""),79.79)</f>
        <v>79.79</v>
      </c>
      <c r="E4056" s="1">
        <f>IFERROR(__xludf.DUMMYFUNCTION("""COMPUTED_VALUE"""),80.99)</f>
        <v>80.99</v>
      </c>
      <c r="F4056" s="1">
        <f>IFERROR(__xludf.DUMMYFUNCTION("""COMPUTED_VALUE"""),9306055.0)</f>
        <v>9306055</v>
      </c>
    </row>
    <row r="4057">
      <c r="A4057" s="2">
        <f>IFERROR(__xludf.DUMMYFUNCTION("""COMPUTED_VALUE"""),42416.66666666667)</f>
        <v>42416.66667</v>
      </c>
      <c r="B4057" s="1">
        <f>IFERROR(__xludf.DUMMYFUNCTION("""COMPUTED_VALUE"""),81.99)</f>
        <v>81.99</v>
      </c>
      <c r="C4057" s="1">
        <f>IFERROR(__xludf.DUMMYFUNCTION("""COMPUTED_VALUE"""),81.99)</f>
        <v>81.99</v>
      </c>
      <c r="D4057" s="1">
        <f>IFERROR(__xludf.DUMMYFUNCTION("""COMPUTED_VALUE"""),80.84)</f>
        <v>80.84</v>
      </c>
      <c r="E4057" s="1">
        <f>IFERROR(__xludf.DUMMYFUNCTION("""COMPUTED_VALUE"""),81.47)</f>
        <v>81.47</v>
      </c>
      <c r="F4057" s="1">
        <f>IFERROR(__xludf.DUMMYFUNCTION("""COMPUTED_VALUE"""),9352104.0)</f>
        <v>9352104</v>
      </c>
    </row>
    <row r="4058">
      <c r="A4058" s="2">
        <f>IFERROR(__xludf.DUMMYFUNCTION("""COMPUTED_VALUE"""),42417.66666666667)</f>
        <v>42417.66667</v>
      </c>
      <c r="B4058" s="1">
        <f>IFERROR(__xludf.DUMMYFUNCTION("""COMPUTED_VALUE"""),81.65)</f>
        <v>81.65</v>
      </c>
      <c r="C4058" s="1">
        <f>IFERROR(__xludf.DUMMYFUNCTION("""COMPUTED_VALUE"""),82.83)</f>
        <v>82.83</v>
      </c>
      <c r="D4058" s="1">
        <f>IFERROR(__xludf.DUMMYFUNCTION("""COMPUTED_VALUE"""),81.51)</f>
        <v>81.51</v>
      </c>
      <c r="E4058" s="1">
        <f>IFERROR(__xludf.DUMMYFUNCTION("""COMPUTED_VALUE"""),82.45)</f>
        <v>82.45</v>
      </c>
      <c r="F4058" s="1">
        <f>IFERROR(__xludf.DUMMYFUNCTION("""COMPUTED_VALUE"""),1.089294E7)</f>
        <v>10892940</v>
      </c>
    </row>
    <row r="4059">
      <c r="A4059" s="2">
        <f>IFERROR(__xludf.DUMMYFUNCTION("""COMPUTED_VALUE"""),42418.66666666667)</f>
        <v>42418.66667</v>
      </c>
      <c r="B4059" s="1">
        <f>IFERROR(__xludf.DUMMYFUNCTION("""COMPUTED_VALUE"""),82.23)</f>
        <v>82.23</v>
      </c>
      <c r="C4059" s="1">
        <f>IFERROR(__xludf.DUMMYFUNCTION("""COMPUTED_VALUE"""),82.32)</f>
        <v>82.32</v>
      </c>
      <c r="D4059" s="1">
        <f>IFERROR(__xludf.DUMMYFUNCTION("""COMPUTED_VALUE"""),81.21)</f>
        <v>81.21</v>
      </c>
      <c r="E4059" s="1">
        <f>IFERROR(__xludf.DUMMYFUNCTION("""COMPUTED_VALUE"""),81.98)</f>
        <v>81.98</v>
      </c>
      <c r="F4059" s="1">
        <f>IFERROR(__xludf.DUMMYFUNCTION("""COMPUTED_VALUE"""),7702583.0)</f>
        <v>7702583</v>
      </c>
    </row>
    <row r="4060">
      <c r="A4060" s="2">
        <f>IFERROR(__xludf.DUMMYFUNCTION("""COMPUTED_VALUE"""),42419.66666666667)</f>
        <v>42419.66667</v>
      </c>
      <c r="B4060" s="1">
        <f>IFERROR(__xludf.DUMMYFUNCTION("""COMPUTED_VALUE"""),81.96)</f>
        <v>81.96</v>
      </c>
      <c r="C4060" s="1">
        <f>IFERROR(__xludf.DUMMYFUNCTION("""COMPUTED_VALUE"""),82.26)</f>
        <v>82.26</v>
      </c>
      <c r="D4060" s="1">
        <f>IFERROR(__xludf.DUMMYFUNCTION("""COMPUTED_VALUE"""),81.4)</f>
        <v>81.4</v>
      </c>
      <c r="E4060" s="1">
        <f>IFERROR(__xludf.DUMMYFUNCTION("""COMPUTED_VALUE"""),81.79)</f>
        <v>81.79</v>
      </c>
      <c r="F4060" s="1">
        <f>IFERROR(__xludf.DUMMYFUNCTION("""COMPUTED_VALUE"""),7709648.0)</f>
        <v>7709648</v>
      </c>
    </row>
    <row r="4061">
      <c r="A4061" s="2">
        <f>IFERROR(__xludf.DUMMYFUNCTION("""COMPUTED_VALUE"""),42422.66666666667)</f>
        <v>42422.66667</v>
      </c>
      <c r="B4061" s="1">
        <f>IFERROR(__xludf.DUMMYFUNCTION("""COMPUTED_VALUE"""),82.07)</f>
        <v>82.07</v>
      </c>
      <c r="C4061" s="1">
        <f>IFERROR(__xludf.DUMMYFUNCTION("""COMPUTED_VALUE"""),82.67)</f>
        <v>82.67</v>
      </c>
      <c r="D4061" s="1">
        <f>IFERROR(__xludf.DUMMYFUNCTION("""COMPUTED_VALUE"""),81.71)</f>
        <v>81.71</v>
      </c>
      <c r="E4061" s="1">
        <f>IFERROR(__xludf.DUMMYFUNCTION("""COMPUTED_VALUE"""),82.13)</f>
        <v>82.13</v>
      </c>
      <c r="F4061" s="1">
        <f>IFERROR(__xludf.DUMMYFUNCTION("""COMPUTED_VALUE"""),6916394.0)</f>
        <v>6916394</v>
      </c>
    </row>
    <row r="4062">
      <c r="A4062" s="2">
        <f>IFERROR(__xludf.DUMMYFUNCTION("""COMPUTED_VALUE"""),42423.66666666667)</f>
        <v>42423.66667</v>
      </c>
      <c r="B4062" s="1">
        <f>IFERROR(__xludf.DUMMYFUNCTION("""COMPUTED_VALUE"""),82.0)</f>
        <v>82</v>
      </c>
      <c r="C4062" s="1">
        <f>IFERROR(__xludf.DUMMYFUNCTION("""COMPUTED_VALUE"""),82.46)</f>
        <v>82.46</v>
      </c>
      <c r="D4062" s="1">
        <f>IFERROR(__xludf.DUMMYFUNCTION("""COMPUTED_VALUE"""),81.61)</f>
        <v>81.61</v>
      </c>
      <c r="E4062" s="1">
        <f>IFERROR(__xludf.DUMMYFUNCTION("""COMPUTED_VALUE"""),81.81)</f>
        <v>81.81</v>
      </c>
      <c r="F4062" s="1">
        <f>IFERROR(__xludf.DUMMYFUNCTION("""COMPUTED_VALUE"""),5840568.0)</f>
        <v>5840568</v>
      </c>
    </row>
    <row r="4063">
      <c r="A4063" s="2">
        <f>IFERROR(__xludf.DUMMYFUNCTION("""COMPUTED_VALUE"""),42424.66666666667)</f>
        <v>42424.66667</v>
      </c>
      <c r="B4063" s="1">
        <f>IFERROR(__xludf.DUMMYFUNCTION("""COMPUTED_VALUE"""),81.26)</f>
        <v>81.26</v>
      </c>
      <c r="C4063" s="1">
        <f>IFERROR(__xludf.DUMMYFUNCTION("""COMPUTED_VALUE"""),81.64)</f>
        <v>81.64</v>
      </c>
      <c r="D4063" s="1">
        <f>IFERROR(__xludf.DUMMYFUNCTION("""COMPUTED_VALUE"""),80.66)</f>
        <v>80.66</v>
      </c>
      <c r="E4063" s="1">
        <f>IFERROR(__xludf.DUMMYFUNCTION("""COMPUTED_VALUE"""),81.56)</f>
        <v>81.56</v>
      </c>
      <c r="F4063" s="1">
        <f>IFERROR(__xludf.DUMMYFUNCTION("""COMPUTED_VALUE"""),6759568.0)</f>
        <v>6759568</v>
      </c>
    </row>
    <row r="4064">
      <c r="A4064" s="2">
        <f>IFERROR(__xludf.DUMMYFUNCTION("""COMPUTED_VALUE"""),42425.66666666667)</f>
        <v>42425.66667</v>
      </c>
      <c r="B4064" s="1">
        <f>IFERROR(__xludf.DUMMYFUNCTION("""COMPUTED_VALUE"""),81.7)</f>
        <v>81.7</v>
      </c>
      <c r="C4064" s="1">
        <f>IFERROR(__xludf.DUMMYFUNCTION("""COMPUTED_VALUE"""),82.34)</f>
        <v>82.34</v>
      </c>
      <c r="D4064" s="1">
        <f>IFERROR(__xludf.DUMMYFUNCTION("""COMPUTED_VALUE"""),81.47)</f>
        <v>81.47</v>
      </c>
      <c r="E4064" s="1">
        <f>IFERROR(__xludf.DUMMYFUNCTION("""COMPUTED_VALUE"""),82.34)</f>
        <v>82.34</v>
      </c>
      <c r="F4064" s="1">
        <f>IFERROR(__xludf.DUMMYFUNCTION("""COMPUTED_VALUE"""),6789653.0)</f>
        <v>6789653</v>
      </c>
    </row>
    <row r="4065">
      <c r="A4065" s="2">
        <f>IFERROR(__xludf.DUMMYFUNCTION("""COMPUTED_VALUE"""),42426.66666666667)</f>
        <v>42426.66667</v>
      </c>
      <c r="B4065" s="1">
        <f>IFERROR(__xludf.DUMMYFUNCTION("""COMPUTED_VALUE"""),82.52)</f>
        <v>82.52</v>
      </c>
      <c r="C4065" s="1">
        <f>IFERROR(__xludf.DUMMYFUNCTION("""COMPUTED_VALUE"""),82.65)</f>
        <v>82.65</v>
      </c>
      <c r="D4065" s="1">
        <f>IFERROR(__xludf.DUMMYFUNCTION("""COMPUTED_VALUE"""),80.95)</f>
        <v>80.95</v>
      </c>
      <c r="E4065" s="1">
        <f>IFERROR(__xludf.DUMMYFUNCTION("""COMPUTED_VALUE"""),81.1)</f>
        <v>81.1</v>
      </c>
      <c r="F4065" s="1">
        <f>IFERROR(__xludf.DUMMYFUNCTION("""COMPUTED_VALUE"""),9280910.0)</f>
        <v>9280910</v>
      </c>
    </row>
    <row r="4066">
      <c r="A4066" s="2">
        <f>IFERROR(__xludf.DUMMYFUNCTION("""COMPUTED_VALUE"""),42429.66666666667)</f>
        <v>42429.66667</v>
      </c>
      <c r="B4066" s="1">
        <f>IFERROR(__xludf.DUMMYFUNCTION("""COMPUTED_VALUE"""),81.1)</f>
        <v>81.1</v>
      </c>
      <c r="C4066" s="1">
        <f>IFERROR(__xludf.DUMMYFUNCTION("""COMPUTED_VALUE"""),81.35)</f>
        <v>81.35</v>
      </c>
      <c r="D4066" s="1">
        <f>IFERROR(__xludf.DUMMYFUNCTION("""COMPUTED_VALUE"""),80.21)</f>
        <v>80.21</v>
      </c>
      <c r="E4066" s="1">
        <f>IFERROR(__xludf.DUMMYFUNCTION("""COMPUTED_VALUE"""),80.29)</f>
        <v>80.29</v>
      </c>
      <c r="F4066" s="1">
        <f>IFERROR(__xludf.DUMMYFUNCTION("""COMPUTED_VALUE"""),1.105246E7)</f>
        <v>11052460</v>
      </c>
    </row>
    <row r="4067">
      <c r="A4067" s="2">
        <f>IFERROR(__xludf.DUMMYFUNCTION("""COMPUTED_VALUE"""),42430.66666666667)</f>
        <v>42430.66667</v>
      </c>
      <c r="B4067" s="1">
        <f>IFERROR(__xludf.DUMMYFUNCTION("""COMPUTED_VALUE"""),80.54)</f>
        <v>80.54</v>
      </c>
      <c r="C4067" s="1">
        <f>IFERROR(__xludf.DUMMYFUNCTION("""COMPUTED_VALUE"""),81.36)</f>
        <v>81.36</v>
      </c>
      <c r="D4067" s="1">
        <f>IFERROR(__xludf.DUMMYFUNCTION("""COMPUTED_VALUE"""),80.53)</f>
        <v>80.53</v>
      </c>
      <c r="E4067" s="1">
        <f>IFERROR(__xludf.DUMMYFUNCTION("""COMPUTED_VALUE"""),81.23)</f>
        <v>81.23</v>
      </c>
      <c r="F4067" s="1">
        <f>IFERROR(__xludf.DUMMYFUNCTION("""COMPUTED_VALUE"""),9482539.0)</f>
        <v>9482539</v>
      </c>
    </row>
    <row r="4068">
      <c r="A4068" s="2">
        <f>IFERROR(__xludf.DUMMYFUNCTION("""COMPUTED_VALUE"""),42431.66666666667)</f>
        <v>42431.66667</v>
      </c>
      <c r="B4068" s="1">
        <f>IFERROR(__xludf.DUMMYFUNCTION("""COMPUTED_VALUE"""),81.58)</f>
        <v>81.58</v>
      </c>
      <c r="C4068" s="1">
        <f>IFERROR(__xludf.DUMMYFUNCTION("""COMPUTED_VALUE"""),82.66)</f>
        <v>82.66</v>
      </c>
      <c r="D4068" s="1">
        <f>IFERROR(__xludf.DUMMYFUNCTION("""COMPUTED_VALUE"""),80.85)</f>
        <v>80.85</v>
      </c>
      <c r="E4068" s="1">
        <f>IFERROR(__xludf.DUMMYFUNCTION("""COMPUTED_VALUE"""),82.55)</f>
        <v>82.55</v>
      </c>
      <c r="F4068" s="1">
        <f>IFERROR(__xludf.DUMMYFUNCTION("""COMPUTED_VALUE"""),1.2096642E7)</f>
        <v>12096642</v>
      </c>
    </row>
    <row r="4069">
      <c r="A4069" s="2">
        <f>IFERROR(__xludf.DUMMYFUNCTION("""COMPUTED_VALUE"""),42432.66666666667)</f>
        <v>42432.66667</v>
      </c>
      <c r="B4069" s="1">
        <f>IFERROR(__xludf.DUMMYFUNCTION("""COMPUTED_VALUE"""),82.54)</f>
        <v>82.54</v>
      </c>
      <c r="C4069" s="1">
        <f>IFERROR(__xludf.DUMMYFUNCTION("""COMPUTED_VALUE"""),82.93)</f>
        <v>82.93</v>
      </c>
      <c r="D4069" s="1">
        <f>IFERROR(__xludf.DUMMYFUNCTION("""COMPUTED_VALUE"""),82.18)</f>
        <v>82.18</v>
      </c>
      <c r="E4069" s="1">
        <f>IFERROR(__xludf.DUMMYFUNCTION("""COMPUTED_VALUE"""),82.84)</f>
        <v>82.84</v>
      </c>
      <c r="F4069" s="1">
        <f>IFERROR(__xludf.DUMMYFUNCTION("""COMPUTED_VALUE"""),8747057.0)</f>
        <v>8747057</v>
      </c>
    </row>
    <row r="4070">
      <c r="A4070" s="2">
        <f>IFERROR(__xludf.DUMMYFUNCTION("""COMPUTED_VALUE"""),42433.66666666667)</f>
        <v>42433.66667</v>
      </c>
      <c r="B4070" s="1">
        <f>IFERROR(__xludf.DUMMYFUNCTION("""COMPUTED_VALUE"""),82.62)</f>
        <v>82.62</v>
      </c>
      <c r="C4070" s="1">
        <f>IFERROR(__xludf.DUMMYFUNCTION("""COMPUTED_VALUE"""),83.74)</f>
        <v>83.74</v>
      </c>
      <c r="D4070" s="1">
        <f>IFERROR(__xludf.DUMMYFUNCTION("""COMPUTED_VALUE"""),82.26)</f>
        <v>82.26</v>
      </c>
      <c r="E4070" s="1">
        <f>IFERROR(__xludf.DUMMYFUNCTION("""COMPUTED_VALUE"""),83.49)</f>
        <v>83.49</v>
      </c>
      <c r="F4070" s="1">
        <f>IFERROR(__xludf.DUMMYFUNCTION("""COMPUTED_VALUE"""),9406671.0)</f>
        <v>9406671</v>
      </c>
    </row>
    <row r="4071">
      <c r="A4071" s="2">
        <f>IFERROR(__xludf.DUMMYFUNCTION("""COMPUTED_VALUE"""),42436.66666666667)</f>
        <v>42436.66667</v>
      </c>
      <c r="B4071" s="1">
        <f>IFERROR(__xludf.DUMMYFUNCTION("""COMPUTED_VALUE"""),83.18)</f>
        <v>83.18</v>
      </c>
      <c r="C4071" s="1">
        <f>IFERROR(__xludf.DUMMYFUNCTION("""COMPUTED_VALUE"""),83.7)</f>
        <v>83.7</v>
      </c>
      <c r="D4071" s="1">
        <f>IFERROR(__xludf.DUMMYFUNCTION("""COMPUTED_VALUE"""),83.0)</f>
        <v>83</v>
      </c>
      <c r="E4071" s="1">
        <f>IFERROR(__xludf.DUMMYFUNCTION("""COMPUTED_VALUE"""),83.1)</f>
        <v>83.1</v>
      </c>
      <c r="F4071" s="1">
        <f>IFERROR(__xludf.DUMMYFUNCTION("""COMPUTED_VALUE"""),6792402.0)</f>
        <v>6792402</v>
      </c>
    </row>
    <row r="4072">
      <c r="A4072" s="2">
        <f>IFERROR(__xludf.DUMMYFUNCTION("""COMPUTED_VALUE"""),42437.66666666667)</f>
        <v>42437.66667</v>
      </c>
      <c r="B4072" s="1">
        <f>IFERROR(__xludf.DUMMYFUNCTION("""COMPUTED_VALUE"""),82.97)</f>
        <v>82.97</v>
      </c>
      <c r="C4072" s="1">
        <f>IFERROR(__xludf.DUMMYFUNCTION("""COMPUTED_VALUE"""),83.75)</f>
        <v>83.75</v>
      </c>
      <c r="D4072" s="1">
        <f>IFERROR(__xludf.DUMMYFUNCTION("""COMPUTED_VALUE"""),82.67)</f>
        <v>82.67</v>
      </c>
      <c r="E4072" s="1">
        <f>IFERROR(__xludf.DUMMYFUNCTION("""COMPUTED_VALUE"""),83.06)</f>
        <v>83.06</v>
      </c>
      <c r="F4072" s="1">
        <f>IFERROR(__xludf.DUMMYFUNCTION("""COMPUTED_VALUE"""),7788361.0)</f>
        <v>7788361</v>
      </c>
    </row>
    <row r="4073">
      <c r="A4073" s="2">
        <f>IFERROR(__xludf.DUMMYFUNCTION("""COMPUTED_VALUE"""),42438.66666666667)</f>
        <v>42438.66667</v>
      </c>
      <c r="B4073" s="1">
        <f>IFERROR(__xludf.DUMMYFUNCTION("""COMPUTED_VALUE"""),83.3)</f>
        <v>83.3</v>
      </c>
      <c r="C4073" s="1">
        <f>IFERROR(__xludf.DUMMYFUNCTION("""COMPUTED_VALUE"""),83.69)</f>
        <v>83.69</v>
      </c>
      <c r="D4073" s="1">
        <f>IFERROR(__xludf.DUMMYFUNCTION("""COMPUTED_VALUE"""),82.68)</f>
        <v>82.68</v>
      </c>
      <c r="E4073" s="1">
        <f>IFERROR(__xludf.DUMMYFUNCTION("""COMPUTED_VALUE"""),82.96)</f>
        <v>82.96</v>
      </c>
      <c r="F4073" s="1">
        <f>IFERROR(__xludf.DUMMYFUNCTION("""COMPUTED_VALUE"""),8954549.0)</f>
        <v>8954549</v>
      </c>
    </row>
    <row r="4074">
      <c r="A4074" s="2">
        <f>IFERROR(__xludf.DUMMYFUNCTION("""COMPUTED_VALUE"""),42439.66666666667)</f>
        <v>42439.66667</v>
      </c>
      <c r="B4074" s="1">
        <f>IFERROR(__xludf.DUMMYFUNCTION("""COMPUTED_VALUE"""),83.13)</f>
        <v>83.13</v>
      </c>
      <c r="C4074" s="1">
        <f>IFERROR(__xludf.DUMMYFUNCTION("""COMPUTED_VALUE"""),83.23)</f>
        <v>83.23</v>
      </c>
      <c r="D4074" s="1">
        <f>IFERROR(__xludf.DUMMYFUNCTION("""COMPUTED_VALUE"""),81.75)</f>
        <v>81.75</v>
      </c>
      <c r="E4074" s="1">
        <f>IFERROR(__xludf.DUMMYFUNCTION("""COMPUTED_VALUE"""),82.28)</f>
        <v>82.28</v>
      </c>
      <c r="F4074" s="1">
        <f>IFERROR(__xludf.DUMMYFUNCTION("""COMPUTED_VALUE"""),1.0385568E7)</f>
        <v>10385568</v>
      </c>
    </row>
    <row r="4075">
      <c r="A4075" s="2">
        <f>IFERROR(__xludf.DUMMYFUNCTION("""COMPUTED_VALUE"""),42440.66666666667)</f>
        <v>42440.66667</v>
      </c>
      <c r="B4075" s="1">
        <f>IFERROR(__xludf.DUMMYFUNCTION("""COMPUTED_VALUE"""),82.75)</f>
        <v>82.75</v>
      </c>
      <c r="C4075" s="1">
        <f>IFERROR(__xludf.DUMMYFUNCTION("""COMPUTED_VALUE"""),82.8)</f>
        <v>82.8</v>
      </c>
      <c r="D4075" s="1">
        <f>IFERROR(__xludf.DUMMYFUNCTION("""COMPUTED_VALUE"""),81.44)</f>
        <v>81.44</v>
      </c>
      <c r="E4075" s="1">
        <f>IFERROR(__xludf.DUMMYFUNCTION("""COMPUTED_VALUE"""),81.75)</f>
        <v>81.75</v>
      </c>
      <c r="F4075" s="1">
        <f>IFERROR(__xludf.DUMMYFUNCTION("""COMPUTED_VALUE"""),1.1109536E7)</f>
        <v>11109536</v>
      </c>
    </row>
    <row r="4076">
      <c r="A4076" s="2">
        <f>IFERROR(__xludf.DUMMYFUNCTION("""COMPUTED_VALUE"""),42443.66666666667)</f>
        <v>42443.66667</v>
      </c>
      <c r="B4076" s="1">
        <f>IFERROR(__xludf.DUMMYFUNCTION("""COMPUTED_VALUE"""),81.57)</f>
        <v>81.57</v>
      </c>
      <c r="C4076" s="1">
        <f>IFERROR(__xludf.DUMMYFUNCTION("""COMPUTED_VALUE"""),81.85)</f>
        <v>81.85</v>
      </c>
      <c r="D4076" s="1">
        <f>IFERROR(__xludf.DUMMYFUNCTION("""COMPUTED_VALUE"""),80.68)</f>
        <v>80.68</v>
      </c>
      <c r="E4076" s="1">
        <f>IFERROR(__xludf.DUMMYFUNCTION("""COMPUTED_VALUE"""),81.17)</f>
        <v>81.17</v>
      </c>
      <c r="F4076" s="1">
        <f>IFERROR(__xludf.DUMMYFUNCTION("""COMPUTED_VALUE"""),1.2389311E7)</f>
        <v>12389311</v>
      </c>
    </row>
    <row r="4077">
      <c r="A4077" s="2">
        <f>IFERROR(__xludf.DUMMYFUNCTION("""COMPUTED_VALUE"""),42444.66666666667)</f>
        <v>42444.66667</v>
      </c>
      <c r="B4077" s="1">
        <f>IFERROR(__xludf.DUMMYFUNCTION("""COMPUTED_VALUE"""),81.0)</f>
        <v>81</v>
      </c>
      <c r="C4077" s="1">
        <f>IFERROR(__xludf.DUMMYFUNCTION("""COMPUTED_VALUE"""),81.46)</f>
        <v>81.46</v>
      </c>
      <c r="D4077" s="1">
        <f>IFERROR(__xludf.DUMMYFUNCTION("""COMPUTED_VALUE"""),80.76)</f>
        <v>80.76</v>
      </c>
      <c r="E4077" s="1">
        <f>IFERROR(__xludf.DUMMYFUNCTION("""COMPUTED_VALUE"""),81.31)</f>
        <v>81.31</v>
      </c>
      <c r="F4077" s="1">
        <f>IFERROR(__xludf.DUMMYFUNCTION("""COMPUTED_VALUE"""),9297647.0)</f>
        <v>9297647</v>
      </c>
    </row>
    <row r="4078">
      <c r="A4078" s="2">
        <f>IFERROR(__xludf.DUMMYFUNCTION("""COMPUTED_VALUE"""),42445.66666666667)</f>
        <v>42445.66667</v>
      </c>
      <c r="B4078" s="1">
        <f>IFERROR(__xludf.DUMMYFUNCTION("""COMPUTED_VALUE"""),81.31)</f>
        <v>81.31</v>
      </c>
      <c r="C4078" s="1">
        <f>IFERROR(__xludf.DUMMYFUNCTION("""COMPUTED_VALUE"""),81.8)</f>
        <v>81.8</v>
      </c>
      <c r="D4078" s="1">
        <f>IFERROR(__xludf.DUMMYFUNCTION("""COMPUTED_VALUE"""),80.48)</f>
        <v>80.48</v>
      </c>
      <c r="E4078" s="1">
        <f>IFERROR(__xludf.DUMMYFUNCTION("""COMPUTED_VALUE"""),81.34)</f>
        <v>81.34</v>
      </c>
      <c r="F4078" s="1">
        <f>IFERROR(__xludf.DUMMYFUNCTION("""COMPUTED_VALUE"""),9489776.0)</f>
        <v>9489776</v>
      </c>
    </row>
    <row r="4079">
      <c r="A4079" s="2">
        <f>IFERROR(__xludf.DUMMYFUNCTION("""COMPUTED_VALUE"""),42446.66666666667)</f>
        <v>42446.66667</v>
      </c>
      <c r="B4079" s="1">
        <f>IFERROR(__xludf.DUMMYFUNCTION("""COMPUTED_VALUE"""),81.29)</f>
        <v>81.29</v>
      </c>
      <c r="C4079" s="1">
        <f>IFERROR(__xludf.DUMMYFUNCTION("""COMPUTED_VALUE"""),83.23)</f>
        <v>83.23</v>
      </c>
      <c r="D4079" s="1">
        <f>IFERROR(__xludf.DUMMYFUNCTION("""COMPUTED_VALUE"""),81.28)</f>
        <v>81.28</v>
      </c>
      <c r="E4079" s="1">
        <f>IFERROR(__xludf.DUMMYFUNCTION("""COMPUTED_VALUE"""),82.75)</f>
        <v>82.75</v>
      </c>
      <c r="F4079" s="1">
        <f>IFERROR(__xludf.DUMMYFUNCTION("""COMPUTED_VALUE"""),5296259.0)</f>
        <v>5296259</v>
      </c>
    </row>
    <row r="4080">
      <c r="A4080" s="2">
        <f>IFERROR(__xludf.DUMMYFUNCTION("""COMPUTED_VALUE"""),42447.66666666667)</f>
        <v>42447.66667</v>
      </c>
      <c r="B4080" s="1">
        <f>IFERROR(__xludf.DUMMYFUNCTION("""COMPUTED_VALUE"""),82.86)</f>
        <v>82.86</v>
      </c>
      <c r="C4080" s="1">
        <f>IFERROR(__xludf.DUMMYFUNCTION("""COMPUTED_VALUE"""),83.5)</f>
        <v>83.5</v>
      </c>
      <c r="D4080" s="1">
        <f>IFERROR(__xludf.DUMMYFUNCTION("""COMPUTED_VALUE"""),82.44)</f>
        <v>82.44</v>
      </c>
      <c r="E4080" s="1">
        <f>IFERROR(__xludf.DUMMYFUNCTION("""COMPUTED_VALUE"""),83.15)</f>
        <v>83.15</v>
      </c>
      <c r="F4080" s="1">
        <f>IFERROR(__xludf.DUMMYFUNCTION("""COMPUTED_VALUE"""),3.3635172E7)</f>
        <v>33635172</v>
      </c>
    </row>
    <row r="4081">
      <c r="A4081" s="2">
        <f>IFERROR(__xludf.DUMMYFUNCTION("""COMPUTED_VALUE"""),42450.66666666667)</f>
        <v>42450.66667</v>
      </c>
      <c r="B4081" s="1">
        <f>IFERROR(__xludf.DUMMYFUNCTION("""COMPUTED_VALUE"""),83.12)</f>
        <v>83.12</v>
      </c>
      <c r="C4081" s="1">
        <f>IFERROR(__xludf.DUMMYFUNCTION("""COMPUTED_VALUE"""),83.87)</f>
        <v>83.87</v>
      </c>
      <c r="D4081" s="1">
        <f>IFERROR(__xludf.DUMMYFUNCTION("""COMPUTED_VALUE"""),82.91)</f>
        <v>82.91</v>
      </c>
      <c r="E4081" s="1">
        <f>IFERROR(__xludf.DUMMYFUNCTION("""COMPUTED_VALUE"""),83.32)</f>
        <v>83.32</v>
      </c>
      <c r="F4081" s="1">
        <f>IFERROR(__xludf.DUMMYFUNCTION("""COMPUTED_VALUE"""),8625579.0)</f>
        <v>8625579</v>
      </c>
    </row>
    <row r="4082">
      <c r="A4082" s="2">
        <f>IFERROR(__xludf.DUMMYFUNCTION("""COMPUTED_VALUE"""),42451.66666666667)</f>
        <v>42451.66667</v>
      </c>
      <c r="B4082" s="1">
        <f>IFERROR(__xludf.DUMMYFUNCTION("""COMPUTED_VALUE"""),83.28)</f>
        <v>83.28</v>
      </c>
      <c r="C4082" s="1">
        <f>IFERROR(__xludf.DUMMYFUNCTION("""COMPUTED_VALUE"""),83.32)</f>
        <v>83.32</v>
      </c>
      <c r="D4082" s="1">
        <f>IFERROR(__xludf.DUMMYFUNCTION("""COMPUTED_VALUE"""),82.49)</f>
        <v>82.49</v>
      </c>
      <c r="E4082" s="1">
        <f>IFERROR(__xludf.DUMMYFUNCTION("""COMPUTED_VALUE"""),82.74)</f>
        <v>82.74</v>
      </c>
      <c r="F4082" s="1">
        <f>IFERROR(__xludf.DUMMYFUNCTION("""COMPUTED_VALUE"""),7205943.0)</f>
        <v>7205943</v>
      </c>
    </row>
    <row r="4083">
      <c r="A4083" s="2">
        <f>IFERROR(__xludf.DUMMYFUNCTION("""COMPUTED_VALUE"""),42452.66666666667)</f>
        <v>42452.66667</v>
      </c>
      <c r="B4083" s="1">
        <f>IFERROR(__xludf.DUMMYFUNCTION("""COMPUTED_VALUE"""),82.72)</f>
        <v>82.72</v>
      </c>
      <c r="C4083" s="1">
        <f>IFERROR(__xludf.DUMMYFUNCTION("""COMPUTED_VALUE"""),83.49)</f>
        <v>83.49</v>
      </c>
      <c r="D4083" s="1">
        <f>IFERROR(__xludf.DUMMYFUNCTION("""COMPUTED_VALUE"""),82.58)</f>
        <v>82.58</v>
      </c>
      <c r="E4083" s="1">
        <f>IFERROR(__xludf.DUMMYFUNCTION("""COMPUTED_VALUE"""),82.82)</f>
        <v>82.82</v>
      </c>
      <c r="F4083" s="1">
        <f>IFERROR(__xludf.DUMMYFUNCTION("""COMPUTED_VALUE"""),5594556.0)</f>
        <v>5594556</v>
      </c>
    </row>
    <row r="4084">
      <c r="A4084" s="2">
        <f>IFERROR(__xludf.DUMMYFUNCTION("""COMPUTED_VALUE"""),42453.66666666667)</f>
        <v>42453.66667</v>
      </c>
      <c r="B4084" s="1">
        <f>IFERROR(__xludf.DUMMYFUNCTION("""COMPUTED_VALUE"""),82.46)</f>
        <v>82.46</v>
      </c>
      <c r="C4084" s="1">
        <f>IFERROR(__xludf.DUMMYFUNCTION("""COMPUTED_VALUE"""),83.12)</f>
        <v>83.12</v>
      </c>
      <c r="D4084" s="1">
        <f>IFERROR(__xludf.DUMMYFUNCTION("""COMPUTED_VALUE"""),82.43)</f>
        <v>82.43</v>
      </c>
      <c r="E4084" s="1">
        <f>IFERROR(__xludf.DUMMYFUNCTION("""COMPUTED_VALUE"""),82.89)</f>
        <v>82.89</v>
      </c>
      <c r="F4084" s="1">
        <f>IFERROR(__xludf.DUMMYFUNCTION("""COMPUTED_VALUE"""),6645546.0)</f>
        <v>6645546</v>
      </c>
    </row>
    <row r="4085">
      <c r="A4085" s="2">
        <f>IFERROR(__xludf.DUMMYFUNCTION("""COMPUTED_VALUE"""),42457.66666666667)</f>
        <v>42457.66667</v>
      </c>
      <c r="B4085" s="1">
        <f>IFERROR(__xludf.DUMMYFUNCTION("""COMPUTED_VALUE"""),82.99)</f>
        <v>82.99</v>
      </c>
      <c r="C4085" s="1">
        <f>IFERROR(__xludf.DUMMYFUNCTION("""COMPUTED_VALUE"""),83.45)</f>
        <v>83.45</v>
      </c>
      <c r="D4085" s="1">
        <f>IFERROR(__xludf.DUMMYFUNCTION("""COMPUTED_VALUE"""),82.52)</f>
        <v>82.52</v>
      </c>
      <c r="E4085" s="1">
        <f>IFERROR(__xludf.DUMMYFUNCTION("""COMPUTED_VALUE"""),82.62)</f>
        <v>82.62</v>
      </c>
      <c r="F4085" s="1">
        <f>IFERROR(__xludf.DUMMYFUNCTION("""COMPUTED_VALUE"""),4988467.0)</f>
        <v>4988467</v>
      </c>
    </row>
    <row r="4086">
      <c r="A4086" s="2">
        <f>IFERROR(__xludf.DUMMYFUNCTION("""COMPUTED_VALUE"""),42458.66666666667)</f>
        <v>42458.66667</v>
      </c>
      <c r="B4086" s="1">
        <f>IFERROR(__xludf.DUMMYFUNCTION("""COMPUTED_VALUE"""),82.66)</f>
        <v>82.66</v>
      </c>
      <c r="C4086" s="1">
        <f>IFERROR(__xludf.DUMMYFUNCTION("""COMPUTED_VALUE"""),83.09)</f>
        <v>83.09</v>
      </c>
      <c r="D4086" s="1">
        <f>IFERROR(__xludf.DUMMYFUNCTION("""COMPUTED_VALUE"""),82.16)</f>
        <v>82.16</v>
      </c>
      <c r="E4086" s="1">
        <f>IFERROR(__xludf.DUMMYFUNCTION("""COMPUTED_VALUE"""),82.8)</f>
        <v>82.8</v>
      </c>
      <c r="F4086" s="1">
        <f>IFERROR(__xludf.DUMMYFUNCTION("""COMPUTED_VALUE"""),6731392.0)</f>
        <v>6731392</v>
      </c>
    </row>
    <row r="4087">
      <c r="A4087" s="2">
        <f>IFERROR(__xludf.DUMMYFUNCTION("""COMPUTED_VALUE"""),42459.66666666667)</f>
        <v>42459.66667</v>
      </c>
      <c r="B4087" s="1">
        <f>IFERROR(__xludf.DUMMYFUNCTION("""COMPUTED_VALUE"""),83.09)</f>
        <v>83.09</v>
      </c>
      <c r="C4087" s="1">
        <f>IFERROR(__xludf.DUMMYFUNCTION("""COMPUTED_VALUE"""),83.36)</f>
        <v>83.36</v>
      </c>
      <c r="D4087" s="1">
        <f>IFERROR(__xludf.DUMMYFUNCTION("""COMPUTED_VALUE"""),82.65)</f>
        <v>82.65</v>
      </c>
      <c r="E4087" s="1">
        <f>IFERROR(__xludf.DUMMYFUNCTION("""COMPUTED_VALUE"""),82.68)</f>
        <v>82.68</v>
      </c>
      <c r="F4087" s="1">
        <f>IFERROR(__xludf.DUMMYFUNCTION("""COMPUTED_VALUE"""),6925060.0)</f>
        <v>6925060</v>
      </c>
    </row>
    <row r="4088">
      <c r="A4088" s="2">
        <f>IFERROR(__xludf.DUMMYFUNCTION("""COMPUTED_VALUE"""),42460.66666666667)</f>
        <v>42460.66667</v>
      </c>
      <c r="B4088" s="1">
        <f>IFERROR(__xludf.DUMMYFUNCTION("""COMPUTED_VALUE"""),82.75)</f>
        <v>82.75</v>
      </c>
      <c r="C4088" s="1">
        <f>IFERROR(__xludf.DUMMYFUNCTION("""COMPUTED_VALUE"""),83.0)</f>
        <v>83</v>
      </c>
      <c r="D4088" s="1">
        <f>IFERROR(__xludf.DUMMYFUNCTION("""COMPUTED_VALUE"""),82.15)</f>
        <v>82.15</v>
      </c>
      <c r="E4088" s="1">
        <f>IFERROR(__xludf.DUMMYFUNCTION("""COMPUTED_VALUE"""),82.31)</f>
        <v>82.31</v>
      </c>
      <c r="F4088" s="1">
        <f>IFERROR(__xludf.DUMMYFUNCTION("""COMPUTED_VALUE"""),6819225.0)</f>
        <v>6819225</v>
      </c>
    </row>
    <row r="4089">
      <c r="A4089" s="2">
        <f>IFERROR(__xludf.DUMMYFUNCTION("""COMPUTED_VALUE"""),42461.66666666667)</f>
        <v>42461.66667</v>
      </c>
      <c r="B4089" s="1">
        <f>IFERROR(__xludf.DUMMYFUNCTION("""COMPUTED_VALUE"""),82.0)</f>
        <v>82</v>
      </c>
      <c r="C4089" s="1">
        <f>IFERROR(__xludf.DUMMYFUNCTION("""COMPUTED_VALUE"""),83.62)</f>
        <v>83.62</v>
      </c>
      <c r="D4089" s="1">
        <f>IFERROR(__xludf.DUMMYFUNCTION("""COMPUTED_VALUE"""),81.93)</f>
        <v>81.93</v>
      </c>
      <c r="E4089" s="1">
        <f>IFERROR(__xludf.DUMMYFUNCTION("""COMPUTED_VALUE"""),83.53)</f>
        <v>83.53</v>
      </c>
      <c r="F4089" s="1">
        <f>IFERROR(__xludf.DUMMYFUNCTION("""COMPUTED_VALUE"""),8028606.0)</f>
        <v>8028606</v>
      </c>
    </row>
    <row r="4090">
      <c r="A4090" s="2">
        <f>IFERROR(__xludf.DUMMYFUNCTION("""COMPUTED_VALUE"""),42464.66666666667)</f>
        <v>42464.66667</v>
      </c>
      <c r="B4090" s="1">
        <f>IFERROR(__xludf.DUMMYFUNCTION("""COMPUTED_VALUE"""),83.65)</f>
        <v>83.65</v>
      </c>
      <c r="C4090" s="1">
        <f>IFERROR(__xludf.DUMMYFUNCTION("""COMPUTED_VALUE"""),83.65)</f>
        <v>83.65</v>
      </c>
      <c r="D4090" s="1">
        <f>IFERROR(__xludf.DUMMYFUNCTION("""COMPUTED_VALUE"""),83.03)</f>
        <v>83.03</v>
      </c>
      <c r="E4090" s="1">
        <f>IFERROR(__xludf.DUMMYFUNCTION("""COMPUTED_VALUE"""),83.21)</f>
        <v>83.21</v>
      </c>
      <c r="F4090" s="1">
        <f>IFERROR(__xludf.DUMMYFUNCTION("""COMPUTED_VALUE"""),5593417.0)</f>
        <v>5593417</v>
      </c>
    </row>
    <row r="4091">
      <c r="A4091" s="2">
        <f>IFERROR(__xludf.DUMMYFUNCTION("""COMPUTED_VALUE"""),42465.66666666667)</f>
        <v>42465.66667</v>
      </c>
      <c r="B4091" s="1">
        <f>IFERROR(__xludf.DUMMYFUNCTION("""COMPUTED_VALUE"""),83.16)</f>
        <v>83.16</v>
      </c>
      <c r="C4091" s="1">
        <f>IFERROR(__xludf.DUMMYFUNCTION("""COMPUTED_VALUE"""),83.56)</f>
        <v>83.56</v>
      </c>
      <c r="D4091" s="1">
        <f>IFERROR(__xludf.DUMMYFUNCTION("""COMPUTED_VALUE"""),82.99)</f>
        <v>82.99</v>
      </c>
      <c r="E4091" s="1">
        <f>IFERROR(__xludf.DUMMYFUNCTION("""COMPUTED_VALUE"""),83.16)</f>
        <v>83.16</v>
      </c>
      <c r="F4091" s="1">
        <f>IFERROR(__xludf.DUMMYFUNCTION("""COMPUTED_VALUE"""),5259066.0)</f>
        <v>5259066</v>
      </c>
    </row>
    <row r="4092">
      <c r="A4092" s="2">
        <f>IFERROR(__xludf.DUMMYFUNCTION("""COMPUTED_VALUE"""),42466.66666666667)</f>
        <v>42466.66667</v>
      </c>
      <c r="B4092" s="1">
        <f>IFERROR(__xludf.DUMMYFUNCTION("""COMPUTED_VALUE"""),83.14)</f>
        <v>83.14</v>
      </c>
      <c r="C4092" s="1">
        <f>IFERROR(__xludf.DUMMYFUNCTION("""COMPUTED_VALUE"""),83.84)</f>
        <v>83.84</v>
      </c>
      <c r="D4092" s="1">
        <f>IFERROR(__xludf.DUMMYFUNCTION("""COMPUTED_VALUE"""),83.08)</f>
        <v>83.08</v>
      </c>
      <c r="E4092" s="1">
        <f>IFERROR(__xludf.DUMMYFUNCTION("""COMPUTED_VALUE"""),83.81)</f>
        <v>83.81</v>
      </c>
      <c r="F4092" s="1">
        <f>IFERROR(__xludf.DUMMYFUNCTION("""COMPUTED_VALUE"""),6292095.0)</f>
        <v>6292095</v>
      </c>
    </row>
    <row r="4093">
      <c r="A4093" s="2">
        <f>IFERROR(__xludf.DUMMYFUNCTION("""COMPUTED_VALUE"""),42467.66666666667)</f>
        <v>42467.66667</v>
      </c>
      <c r="B4093" s="1">
        <f>IFERROR(__xludf.DUMMYFUNCTION("""COMPUTED_VALUE"""),83.24)</f>
        <v>83.24</v>
      </c>
      <c r="C4093" s="1">
        <f>IFERROR(__xludf.DUMMYFUNCTION("""COMPUTED_VALUE"""),83.68)</f>
        <v>83.68</v>
      </c>
      <c r="D4093" s="1">
        <f>IFERROR(__xludf.DUMMYFUNCTION("""COMPUTED_VALUE"""),82.87)</f>
        <v>82.87</v>
      </c>
      <c r="E4093" s="1">
        <f>IFERROR(__xludf.DUMMYFUNCTION("""COMPUTED_VALUE"""),83.24)</f>
        <v>83.24</v>
      </c>
      <c r="F4093" s="1">
        <f>IFERROR(__xludf.DUMMYFUNCTION("""COMPUTED_VALUE"""),6655914.0)</f>
        <v>6655914</v>
      </c>
    </row>
    <row r="4094">
      <c r="A4094" s="2">
        <f>IFERROR(__xludf.DUMMYFUNCTION("""COMPUTED_VALUE"""),42468.66666666667)</f>
        <v>42468.66667</v>
      </c>
      <c r="B4094" s="1">
        <f>IFERROR(__xludf.DUMMYFUNCTION("""COMPUTED_VALUE"""),83.44)</f>
        <v>83.44</v>
      </c>
      <c r="C4094" s="1">
        <f>IFERROR(__xludf.DUMMYFUNCTION("""COMPUTED_VALUE"""),83.45)</f>
        <v>83.45</v>
      </c>
      <c r="D4094" s="1">
        <f>IFERROR(__xludf.DUMMYFUNCTION("""COMPUTED_VALUE"""),82.77)</f>
        <v>82.77</v>
      </c>
      <c r="E4094" s="1">
        <f>IFERROR(__xludf.DUMMYFUNCTION("""COMPUTED_VALUE"""),83.2)</f>
        <v>83.2</v>
      </c>
      <c r="F4094" s="1">
        <f>IFERROR(__xludf.DUMMYFUNCTION("""COMPUTED_VALUE"""),5452535.0)</f>
        <v>5452535</v>
      </c>
    </row>
    <row r="4095">
      <c r="A4095" s="2">
        <f>IFERROR(__xludf.DUMMYFUNCTION("""COMPUTED_VALUE"""),42471.66666666667)</f>
        <v>42471.66667</v>
      </c>
      <c r="B4095" s="1">
        <f>IFERROR(__xludf.DUMMYFUNCTION("""COMPUTED_VALUE"""),83.03)</f>
        <v>83.03</v>
      </c>
      <c r="C4095" s="1">
        <f>IFERROR(__xludf.DUMMYFUNCTION("""COMPUTED_VALUE"""),83.34)</f>
        <v>83.34</v>
      </c>
      <c r="D4095" s="1">
        <f>IFERROR(__xludf.DUMMYFUNCTION("""COMPUTED_VALUE"""),82.66)</f>
        <v>82.66</v>
      </c>
      <c r="E4095" s="1">
        <f>IFERROR(__xludf.DUMMYFUNCTION("""COMPUTED_VALUE"""),82.73)</f>
        <v>82.73</v>
      </c>
      <c r="F4095" s="1">
        <f>IFERROR(__xludf.DUMMYFUNCTION("""COMPUTED_VALUE"""),7081525.0)</f>
        <v>7081525</v>
      </c>
    </row>
    <row r="4096">
      <c r="A4096" s="2">
        <f>IFERROR(__xludf.DUMMYFUNCTION("""COMPUTED_VALUE"""),42472.66666666667)</f>
        <v>42472.66667</v>
      </c>
      <c r="B4096" s="1">
        <f>IFERROR(__xludf.DUMMYFUNCTION("""COMPUTED_VALUE"""),82.71)</f>
        <v>82.71</v>
      </c>
      <c r="C4096" s="1">
        <f>IFERROR(__xludf.DUMMYFUNCTION("""COMPUTED_VALUE"""),83.21)</f>
        <v>83.21</v>
      </c>
      <c r="D4096" s="1">
        <f>IFERROR(__xludf.DUMMYFUNCTION("""COMPUTED_VALUE"""),82.45)</f>
        <v>82.45</v>
      </c>
      <c r="E4096" s="1">
        <f>IFERROR(__xludf.DUMMYFUNCTION("""COMPUTED_VALUE"""),82.83)</f>
        <v>82.83</v>
      </c>
      <c r="F4096" s="1">
        <f>IFERROR(__xludf.DUMMYFUNCTION("""COMPUTED_VALUE"""),7081592.0)</f>
        <v>7081592</v>
      </c>
    </row>
    <row r="4097">
      <c r="A4097" s="2">
        <f>IFERROR(__xludf.DUMMYFUNCTION("""COMPUTED_VALUE"""),42473.66666666667)</f>
        <v>42473.66667</v>
      </c>
      <c r="B4097" s="1">
        <f>IFERROR(__xludf.DUMMYFUNCTION("""COMPUTED_VALUE"""),83.05)</f>
        <v>83.05</v>
      </c>
      <c r="C4097" s="1">
        <f>IFERROR(__xludf.DUMMYFUNCTION("""COMPUTED_VALUE"""),83.43)</f>
        <v>83.43</v>
      </c>
      <c r="D4097" s="1">
        <f>IFERROR(__xludf.DUMMYFUNCTION("""COMPUTED_VALUE"""),81.84)</f>
        <v>81.84</v>
      </c>
      <c r="E4097" s="1">
        <f>IFERROR(__xludf.DUMMYFUNCTION("""COMPUTED_VALUE"""),82.46)</f>
        <v>82.46</v>
      </c>
      <c r="F4097" s="1">
        <f>IFERROR(__xludf.DUMMYFUNCTION("""COMPUTED_VALUE"""),1.1737617E7)</f>
        <v>11737617</v>
      </c>
    </row>
    <row r="4098">
      <c r="A4098" s="2">
        <f>IFERROR(__xludf.DUMMYFUNCTION("""COMPUTED_VALUE"""),42474.66666666667)</f>
        <v>42474.66667</v>
      </c>
      <c r="B4098" s="1">
        <f>IFERROR(__xludf.DUMMYFUNCTION("""COMPUTED_VALUE"""),81.95)</f>
        <v>81.95</v>
      </c>
      <c r="C4098" s="1">
        <f>IFERROR(__xludf.DUMMYFUNCTION("""COMPUTED_VALUE"""),82.37)</f>
        <v>82.37</v>
      </c>
      <c r="D4098" s="1">
        <f>IFERROR(__xludf.DUMMYFUNCTION("""COMPUTED_VALUE"""),81.54)</f>
        <v>81.54</v>
      </c>
      <c r="E4098" s="1">
        <f>IFERROR(__xludf.DUMMYFUNCTION("""COMPUTED_VALUE"""),82.01)</f>
        <v>82.01</v>
      </c>
      <c r="F4098" s="1">
        <f>IFERROR(__xludf.DUMMYFUNCTION("""COMPUTED_VALUE"""),6904390.0)</f>
        <v>6904390</v>
      </c>
    </row>
    <row r="4099">
      <c r="A4099" s="2">
        <f>IFERROR(__xludf.DUMMYFUNCTION("""COMPUTED_VALUE"""),42475.66666666667)</f>
        <v>42475.66667</v>
      </c>
      <c r="B4099" s="1">
        <f>IFERROR(__xludf.DUMMYFUNCTION("""COMPUTED_VALUE"""),82.05)</f>
        <v>82.05</v>
      </c>
      <c r="C4099" s="1">
        <f>IFERROR(__xludf.DUMMYFUNCTION("""COMPUTED_VALUE"""),82.43)</f>
        <v>82.43</v>
      </c>
      <c r="D4099" s="1">
        <f>IFERROR(__xludf.DUMMYFUNCTION("""COMPUTED_VALUE"""),81.85)</f>
        <v>81.85</v>
      </c>
      <c r="E4099" s="1">
        <f>IFERROR(__xludf.DUMMYFUNCTION("""COMPUTED_VALUE"""),82.3)</f>
        <v>82.3</v>
      </c>
      <c r="F4099" s="1">
        <f>IFERROR(__xludf.DUMMYFUNCTION("""COMPUTED_VALUE"""),7299199.0)</f>
        <v>7299199</v>
      </c>
    </row>
    <row r="4100">
      <c r="A4100" s="2">
        <f>IFERROR(__xludf.DUMMYFUNCTION("""COMPUTED_VALUE"""),42478.66666666667)</f>
        <v>42478.66667</v>
      </c>
      <c r="B4100" s="1">
        <f>IFERROR(__xludf.DUMMYFUNCTION("""COMPUTED_VALUE"""),82.29)</f>
        <v>82.29</v>
      </c>
      <c r="C4100" s="1">
        <f>IFERROR(__xludf.DUMMYFUNCTION("""COMPUTED_VALUE"""),82.99)</f>
        <v>82.99</v>
      </c>
      <c r="D4100" s="1">
        <f>IFERROR(__xludf.DUMMYFUNCTION("""COMPUTED_VALUE"""),82.02)</f>
        <v>82.02</v>
      </c>
      <c r="E4100" s="1">
        <f>IFERROR(__xludf.DUMMYFUNCTION("""COMPUTED_VALUE"""),82.83)</f>
        <v>82.83</v>
      </c>
      <c r="F4100" s="1">
        <f>IFERROR(__xludf.DUMMYFUNCTION("""COMPUTED_VALUE"""),5627974.0)</f>
        <v>5627974</v>
      </c>
    </row>
    <row r="4101">
      <c r="A4101" s="2">
        <f>IFERROR(__xludf.DUMMYFUNCTION("""COMPUTED_VALUE"""),42479.66666666667)</f>
        <v>42479.66667</v>
      </c>
      <c r="B4101" s="1">
        <f>IFERROR(__xludf.DUMMYFUNCTION("""COMPUTED_VALUE"""),82.91)</f>
        <v>82.91</v>
      </c>
      <c r="C4101" s="1">
        <f>IFERROR(__xludf.DUMMYFUNCTION("""COMPUTED_VALUE"""),83.7)</f>
        <v>83.7</v>
      </c>
      <c r="D4101" s="1">
        <f>IFERROR(__xludf.DUMMYFUNCTION("""COMPUTED_VALUE"""),82.85)</f>
        <v>82.85</v>
      </c>
      <c r="E4101" s="1">
        <f>IFERROR(__xludf.DUMMYFUNCTION("""COMPUTED_VALUE"""),83.28)</f>
        <v>83.28</v>
      </c>
      <c r="F4101" s="1">
        <f>IFERROR(__xludf.DUMMYFUNCTION("""COMPUTED_VALUE"""),6606143.0)</f>
        <v>6606143</v>
      </c>
    </row>
    <row r="4102">
      <c r="A4102" s="2">
        <f>IFERROR(__xludf.DUMMYFUNCTION("""COMPUTED_VALUE"""),42480.66666666667)</f>
        <v>42480.66667</v>
      </c>
      <c r="B4102" s="1">
        <f>IFERROR(__xludf.DUMMYFUNCTION("""COMPUTED_VALUE"""),83.29)</f>
        <v>83.29</v>
      </c>
      <c r="C4102" s="1">
        <f>IFERROR(__xludf.DUMMYFUNCTION("""COMPUTED_VALUE"""),83.34)</f>
        <v>83.34</v>
      </c>
      <c r="D4102" s="1">
        <f>IFERROR(__xludf.DUMMYFUNCTION("""COMPUTED_VALUE"""),81.48)</f>
        <v>81.48</v>
      </c>
      <c r="E4102" s="1">
        <f>IFERROR(__xludf.DUMMYFUNCTION("""COMPUTED_VALUE"""),81.55)</f>
        <v>81.55</v>
      </c>
      <c r="F4102" s="1">
        <f>IFERROR(__xludf.DUMMYFUNCTION("""COMPUTED_VALUE"""),9124197.0)</f>
        <v>9124197</v>
      </c>
    </row>
    <row r="4103">
      <c r="A4103" s="2">
        <f>IFERROR(__xludf.DUMMYFUNCTION("""COMPUTED_VALUE"""),42481.66666666667)</f>
        <v>42481.66667</v>
      </c>
      <c r="B4103" s="1">
        <f>IFERROR(__xludf.DUMMYFUNCTION("""COMPUTED_VALUE"""),81.04)</f>
        <v>81.04</v>
      </c>
      <c r="C4103" s="1">
        <f>IFERROR(__xludf.DUMMYFUNCTION("""COMPUTED_VALUE"""),81.31)</f>
        <v>81.31</v>
      </c>
      <c r="D4103" s="1">
        <f>IFERROR(__xludf.DUMMYFUNCTION("""COMPUTED_VALUE"""),80.55)</f>
        <v>80.55</v>
      </c>
      <c r="E4103" s="1">
        <f>IFERROR(__xludf.DUMMYFUNCTION("""COMPUTED_VALUE"""),80.8)</f>
        <v>80.8</v>
      </c>
      <c r="F4103" s="1">
        <f>IFERROR(__xludf.DUMMYFUNCTION("""COMPUTED_VALUE"""),8802047.0)</f>
        <v>8802047</v>
      </c>
    </row>
    <row r="4104">
      <c r="A4104" s="2">
        <f>IFERROR(__xludf.DUMMYFUNCTION("""COMPUTED_VALUE"""),42482.66666666667)</f>
        <v>42482.66667</v>
      </c>
      <c r="B4104" s="1">
        <f>IFERROR(__xludf.DUMMYFUNCTION("""COMPUTED_VALUE"""),80.4)</f>
        <v>80.4</v>
      </c>
      <c r="C4104" s="1">
        <f>IFERROR(__xludf.DUMMYFUNCTION("""COMPUTED_VALUE"""),80.95)</f>
        <v>80.95</v>
      </c>
      <c r="D4104" s="1">
        <f>IFERROR(__xludf.DUMMYFUNCTION("""COMPUTED_VALUE"""),79.91)</f>
        <v>79.91</v>
      </c>
      <c r="E4104" s="1">
        <f>IFERROR(__xludf.DUMMYFUNCTION("""COMPUTED_VALUE"""),80.95)</f>
        <v>80.95</v>
      </c>
      <c r="F4104" s="1">
        <f>IFERROR(__xludf.DUMMYFUNCTION("""COMPUTED_VALUE"""),8027428.0)</f>
        <v>8027428</v>
      </c>
    </row>
    <row r="4105">
      <c r="A4105" s="2">
        <f>IFERROR(__xludf.DUMMYFUNCTION("""COMPUTED_VALUE"""),42485.66666666667)</f>
        <v>42485.66667</v>
      </c>
      <c r="B4105" s="1">
        <f>IFERROR(__xludf.DUMMYFUNCTION("""COMPUTED_VALUE"""),80.92)</f>
        <v>80.92</v>
      </c>
      <c r="C4105" s="1">
        <f>IFERROR(__xludf.DUMMYFUNCTION("""COMPUTED_VALUE"""),81.48)</f>
        <v>81.48</v>
      </c>
      <c r="D4105" s="1">
        <f>IFERROR(__xludf.DUMMYFUNCTION("""COMPUTED_VALUE"""),80.42)</f>
        <v>80.42</v>
      </c>
      <c r="E4105" s="1">
        <f>IFERROR(__xludf.DUMMYFUNCTION("""COMPUTED_VALUE"""),81.41)</f>
        <v>81.41</v>
      </c>
      <c r="F4105" s="1">
        <f>IFERROR(__xludf.DUMMYFUNCTION("""COMPUTED_VALUE"""),7672761.0)</f>
        <v>7672761</v>
      </c>
    </row>
    <row r="4106">
      <c r="A4106" s="2">
        <f>IFERROR(__xludf.DUMMYFUNCTION("""COMPUTED_VALUE"""),42486.66666666667)</f>
        <v>42486.66667</v>
      </c>
      <c r="B4106" s="1">
        <f>IFERROR(__xludf.DUMMYFUNCTION("""COMPUTED_VALUE"""),81.5)</f>
        <v>81.5</v>
      </c>
      <c r="C4106" s="1">
        <f>IFERROR(__xludf.DUMMYFUNCTION("""COMPUTED_VALUE"""),81.5)</f>
        <v>81.5</v>
      </c>
      <c r="D4106" s="1">
        <f>IFERROR(__xludf.DUMMYFUNCTION("""COMPUTED_VALUE"""),79.21)</f>
        <v>79.21</v>
      </c>
      <c r="E4106" s="1">
        <f>IFERROR(__xludf.DUMMYFUNCTION("""COMPUTED_VALUE"""),79.55)</f>
        <v>79.55</v>
      </c>
      <c r="F4106" s="1">
        <f>IFERROR(__xludf.DUMMYFUNCTION("""COMPUTED_VALUE"""),1.3741743E7)</f>
        <v>13741743</v>
      </c>
    </row>
    <row r="4107">
      <c r="A4107" s="2">
        <f>IFERROR(__xludf.DUMMYFUNCTION("""COMPUTED_VALUE"""),42487.66666666667)</f>
        <v>42487.66667</v>
      </c>
      <c r="B4107" s="1">
        <f>IFERROR(__xludf.DUMMYFUNCTION("""COMPUTED_VALUE"""),79.47)</f>
        <v>79.47</v>
      </c>
      <c r="C4107" s="1">
        <f>IFERROR(__xludf.DUMMYFUNCTION("""COMPUTED_VALUE"""),80.15)</f>
        <v>80.15</v>
      </c>
      <c r="D4107" s="1">
        <f>IFERROR(__xludf.DUMMYFUNCTION("""COMPUTED_VALUE"""),79.1)</f>
        <v>79.1</v>
      </c>
      <c r="E4107" s="1">
        <f>IFERROR(__xludf.DUMMYFUNCTION("""COMPUTED_VALUE"""),79.89)</f>
        <v>79.89</v>
      </c>
      <c r="F4107" s="1">
        <f>IFERROR(__xludf.DUMMYFUNCTION("""COMPUTED_VALUE"""),7689188.0)</f>
        <v>7689188</v>
      </c>
    </row>
    <row r="4108">
      <c r="A4108" s="2">
        <f>IFERROR(__xludf.DUMMYFUNCTION("""COMPUTED_VALUE"""),42488.66666666667)</f>
        <v>42488.66667</v>
      </c>
      <c r="B4108" s="1">
        <f>IFERROR(__xludf.DUMMYFUNCTION("""COMPUTED_VALUE"""),79.48)</f>
        <v>79.48</v>
      </c>
      <c r="C4108" s="1">
        <f>IFERROR(__xludf.DUMMYFUNCTION("""COMPUTED_VALUE"""),80.27)</f>
        <v>80.27</v>
      </c>
      <c r="D4108" s="1">
        <f>IFERROR(__xludf.DUMMYFUNCTION("""COMPUTED_VALUE"""),79.39)</f>
        <v>79.39</v>
      </c>
      <c r="E4108" s="1">
        <f>IFERROR(__xludf.DUMMYFUNCTION("""COMPUTED_VALUE"""),79.76)</f>
        <v>79.76</v>
      </c>
      <c r="F4108" s="1">
        <f>IFERROR(__xludf.DUMMYFUNCTION("""COMPUTED_VALUE"""),7615948.0)</f>
        <v>7615948</v>
      </c>
    </row>
    <row r="4109">
      <c r="A4109" s="2">
        <f>IFERROR(__xludf.DUMMYFUNCTION("""COMPUTED_VALUE"""),42489.66666666667)</f>
        <v>42489.66667</v>
      </c>
      <c r="B4109" s="1">
        <f>IFERROR(__xludf.DUMMYFUNCTION("""COMPUTED_VALUE"""),79.67)</f>
        <v>79.67</v>
      </c>
      <c r="C4109" s="1">
        <f>IFERROR(__xludf.DUMMYFUNCTION("""COMPUTED_VALUE"""),80.15)</f>
        <v>80.15</v>
      </c>
      <c r="D4109" s="1">
        <f>IFERROR(__xludf.DUMMYFUNCTION("""COMPUTED_VALUE"""),79.37)</f>
        <v>79.37</v>
      </c>
      <c r="E4109" s="1">
        <f>IFERROR(__xludf.DUMMYFUNCTION("""COMPUTED_VALUE"""),80.12)</f>
        <v>80.12</v>
      </c>
      <c r="F4109" s="1">
        <f>IFERROR(__xludf.DUMMYFUNCTION("""COMPUTED_VALUE"""),9390964.0)</f>
        <v>9390964</v>
      </c>
    </row>
    <row r="4110">
      <c r="A4110" s="2">
        <f>IFERROR(__xludf.DUMMYFUNCTION("""COMPUTED_VALUE"""),42492.66666666667)</f>
        <v>42492.66667</v>
      </c>
      <c r="B4110" s="1">
        <f>IFERROR(__xludf.DUMMYFUNCTION("""COMPUTED_VALUE"""),80.02)</f>
        <v>80.02</v>
      </c>
      <c r="C4110" s="1">
        <f>IFERROR(__xludf.DUMMYFUNCTION("""COMPUTED_VALUE"""),81.3)</f>
        <v>81.3</v>
      </c>
      <c r="D4110" s="1">
        <f>IFERROR(__xludf.DUMMYFUNCTION("""COMPUTED_VALUE"""),80.02)</f>
        <v>80.02</v>
      </c>
      <c r="E4110" s="1">
        <f>IFERROR(__xludf.DUMMYFUNCTION("""COMPUTED_VALUE"""),80.97)</f>
        <v>80.97</v>
      </c>
      <c r="F4110" s="1">
        <f>IFERROR(__xludf.DUMMYFUNCTION("""COMPUTED_VALUE"""),7862575.0)</f>
        <v>7862575</v>
      </c>
    </row>
    <row r="4111">
      <c r="A4111" s="2">
        <f>IFERROR(__xludf.DUMMYFUNCTION("""COMPUTED_VALUE"""),42493.66666666667)</f>
        <v>42493.66667</v>
      </c>
      <c r="B4111" s="1">
        <f>IFERROR(__xludf.DUMMYFUNCTION("""COMPUTED_VALUE"""),80.8)</f>
        <v>80.8</v>
      </c>
      <c r="C4111" s="1">
        <f>IFERROR(__xludf.DUMMYFUNCTION("""COMPUTED_VALUE"""),81.7)</f>
        <v>81.7</v>
      </c>
      <c r="D4111" s="1">
        <f>IFERROR(__xludf.DUMMYFUNCTION("""COMPUTED_VALUE"""),80.69)</f>
        <v>80.69</v>
      </c>
      <c r="E4111" s="1">
        <f>IFERROR(__xludf.DUMMYFUNCTION("""COMPUTED_VALUE"""),81.1)</f>
        <v>81.1</v>
      </c>
      <c r="F4111" s="1">
        <f>IFERROR(__xludf.DUMMYFUNCTION("""COMPUTED_VALUE"""),7617484.0)</f>
        <v>7617484</v>
      </c>
    </row>
    <row r="4112">
      <c r="A4112" s="2">
        <f>IFERROR(__xludf.DUMMYFUNCTION("""COMPUTED_VALUE"""),42494.66666666667)</f>
        <v>42494.66667</v>
      </c>
      <c r="B4112" s="1">
        <f>IFERROR(__xludf.DUMMYFUNCTION("""COMPUTED_VALUE"""),80.87)</f>
        <v>80.87</v>
      </c>
      <c r="C4112" s="1">
        <f>IFERROR(__xludf.DUMMYFUNCTION("""COMPUTED_VALUE"""),81.77)</f>
        <v>81.77</v>
      </c>
      <c r="D4112" s="1">
        <f>IFERROR(__xludf.DUMMYFUNCTION("""COMPUTED_VALUE"""),80.87)</f>
        <v>80.87</v>
      </c>
      <c r="E4112" s="1">
        <f>IFERROR(__xludf.DUMMYFUNCTION("""COMPUTED_VALUE"""),81.6)</f>
        <v>81.6</v>
      </c>
      <c r="F4112" s="1">
        <f>IFERROR(__xludf.DUMMYFUNCTION("""COMPUTED_VALUE"""),7365495.0)</f>
        <v>7365495</v>
      </c>
    </row>
    <row r="4113">
      <c r="A4113" s="2">
        <f>IFERROR(__xludf.DUMMYFUNCTION("""COMPUTED_VALUE"""),42495.66666666667)</f>
        <v>42495.66667</v>
      </c>
      <c r="B4113" s="1">
        <f>IFERROR(__xludf.DUMMYFUNCTION("""COMPUTED_VALUE"""),81.6)</f>
        <v>81.6</v>
      </c>
      <c r="C4113" s="1">
        <f>IFERROR(__xludf.DUMMYFUNCTION("""COMPUTED_VALUE"""),82.09)</f>
        <v>82.09</v>
      </c>
      <c r="D4113" s="1">
        <f>IFERROR(__xludf.DUMMYFUNCTION("""COMPUTED_VALUE"""),80.92)</f>
        <v>80.92</v>
      </c>
      <c r="E4113" s="1">
        <f>IFERROR(__xludf.DUMMYFUNCTION("""COMPUTED_VALUE"""),81.3)</f>
        <v>81.3</v>
      </c>
      <c r="F4113" s="1">
        <f>IFERROR(__xludf.DUMMYFUNCTION("""COMPUTED_VALUE"""),6399874.0)</f>
        <v>6399874</v>
      </c>
    </row>
    <row r="4114">
      <c r="A4114" s="2">
        <f>IFERROR(__xludf.DUMMYFUNCTION("""COMPUTED_VALUE"""),42496.66666666667)</f>
        <v>42496.66667</v>
      </c>
      <c r="B4114" s="1">
        <f>IFERROR(__xludf.DUMMYFUNCTION("""COMPUTED_VALUE"""),81.42)</f>
        <v>81.42</v>
      </c>
      <c r="C4114" s="1">
        <f>IFERROR(__xludf.DUMMYFUNCTION("""COMPUTED_VALUE"""),82.25)</f>
        <v>82.25</v>
      </c>
      <c r="D4114" s="1">
        <f>IFERROR(__xludf.DUMMYFUNCTION("""COMPUTED_VALUE"""),81.17)</f>
        <v>81.17</v>
      </c>
      <c r="E4114" s="1">
        <f>IFERROR(__xludf.DUMMYFUNCTION("""COMPUTED_VALUE"""),82.13)</f>
        <v>82.13</v>
      </c>
      <c r="F4114" s="1">
        <f>IFERROR(__xludf.DUMMYFUNCTION("""COMPUTED_VALUE"""),6297747.0)</f>
        <v>6297747</v>
      </c>
    </row>
    <row r="4115">
      <c r="A4115" s="2">
        <f>IFERROR(__xludf.DUMMYFUNCTION("""COMPUTED_VALUE"""),42499.66666666667)</f>
        <v>42499.66667</v>
      </c>
      <c r="B4115" s="1">
        <f>IFERROR(__xludf.DUMMYFUNCTION("""COMPUTED_VALUE"""),82.21)</f>
        <v>82.21</v>
      </c>
      <c r="C4115" s="1">
        <f>IFERROR(__xludf.DUMMYFUNCTION("""COMPUTED_VALUE"""),82.73)</f>
        <v>82.73</v>
      </c>
      <c r="D4115" s="1">
        <f>IFERROR(__xludf.DUMMYFUNCTION("""COMPUTED_VALUE"""),81.97)</f>
        <v>81.97</v>
      </c>
      <c r="E4115" s="1">
        <f>IFERROR(__xludf.DUMMYFUNCTION("""COMPUTED_VALUE"""),82.12)</f>
        <v>82.12</v>
      </c>
      <c r="F4115" s="1">
        <f>IFERROR(__xludf.DUMMYFUNCTION("""COMPUTED_VALUE"""),6718615.0)</f>
        <v>6718615</v>
      </c>
    </row>
    <row r="4116">
      <c r="A4116" s="2">
        <f>IFERROR(__xludf.DUMMYFUNCTION("""COMPUTED_VALUE"""),42500.66666666667)</f>
        <v>42500.66667</v>
      </c>
      <c r="B4116" s="1">
        <f>IFERROR(__xludf.DUMMYFUNCTION("""COMPUTED_VALUE"""),82.15)</f>
        <v>82.15</v>
      </c>
      <c r="C4116" s="1">
        <f>IFERROR(__xludf.DUMMYFUNCTION("""COMPUTED_VALUE"""),82.68)</f>
        <v>82.68</v>
      </c>
      <c r="D4116" s="1">
        <f>IFERROR(__xludf.DUMMYFUNCTION("""COMPUTED_VALUE"""),82.12)</f>
        <v>82.12</v>
      </c>
      <c r="E4116" s="1">
        <f>IFERROR(__xludf.DUMMYFUNCTION("""COMPUTED_VALUE"""),82.48)</f>
        <v>82.48</v>
      </c>
      <c r="F4116" s="1">
        <f>IFERROR(__xludf.DUMMYFUNCTION("""COMPUTED_VALUE"""),6223170.0)</f>
        <v>6223170</v>
      </c>
    </row>
    <row r="4117">
      <c r="A4117" s="2">
        <f>IFERROR(__xludf.DUMMYFUNCTION("""COMPUTED_VALUE"""),42501.66666666667)</f>
        <v>42501.66667</v>
      </c>
      <c r="B4117" s="1">
        <f>IFERROR(__xludf.DUMMYFUNCTION("""COMPUTED_VALUE"""),82.5)</f>
        <v>82.5</v>
      </c>
      <c r="C4117" s="1">
        <f>IFERROR(__xludf.DUMMYFUNCTION("""COMPUTED_VALUE"""),82.89)</f>
        <v>82.89</v>
      </c>
      <c r="D4117" s="1">
        <f>IFERROR(__xludf.DUMMYFUNCTION("""COMPUTED_VALUE"""),82.13)</f>
        <v>82.13</v>
      </c>
      <c r="E4117" s="1">
        <f>IFERROR(__xludf.DUMMYFUNCTION("""COMPUTED_VALUE"""),82.15)</f>
        <v>82.15</v>
      </c>
      <c r="F4117" s="1">
        <f>IFERROR(__xludf.DUMMYFUNCTION("""COMPUTED_VALUE"""),5974299.0)</f>
        <v>5974299</v>
      </c>
    </row>
    <row r="4118">
      <c r="A4118" s="2">
        <f>IFERROR(__xludf.DUMMYFUNCTION("""COMPUTED_VALUE"""),42502.66666666667)</f>
        <v>42502.66667</v>
      </c>
      <c r="B4118" s="1">
        <f>IFERROR(__xludf.DUMMYFUNCTION("""COMPUTED_VALUE"""),82.48)</f>
        <v>82.48</v>
      </c>
      <c r="C4118" s="1">
        <f>IFERROR(__xludf.DUMMYFUNCTION("""COMPUTED_VALUE"""),82.74)</f>
        <v>82.74</v>
      </c>
      <c r="D4118" s="1">
        <f>IFERROR(__xludf.DUMMYFUNCTION("""COMPUTED_VALUE"""),82.11)</f>
        <v>82.11</v>
      </c>
      <c r="E4118" s="1">
        <f>IFERROR(__xludf.DUMMYFUNCTION("""COMPUTED_VALUE"""),82.41)</f>
        <v>82.41</v>
      </c>
      <c r="F4118" s="1">
        <f>IFERROR(__xludf.DUMMYFUNCTION("""COMPUTED_VALUE"""),4925007.0)</f>
        <v>4925007</v>
      </c>
    </row>
    <row r="4119">
      <c r="A4119" s="2">
        <f>IFERROR(__xludf.DUMMYFUNCTION("""COMPUTED_VALUE"""),42503.66666666667)</f>
        <v>42503.66667</v>
      </c>
      <c r="B4119" s="1">
        <f>IFERROR(__xludf.DUMMYFUNCTION("""COMPUTED_VALUE"""),82.42)</f>
        <v>82.42</v>
      </c>
      <c r="C4119" s="1">
        <f>IFERROR(__xludf.DUMMYFUNCTION("""COMPUTED_VALUE"""),82.42)</f>
        <v>82.42</v>
      </c>
      <c r="D4119" s="1">
        <f>IFERROR(__xludf.DUMMYFUNCTION("""COMPUTED_VALUE"""),81.0)</f>
        <v>81</v>
      </c>
      <c r="E4119" s="1">
        <f>IFERROR(__xludf.DUMMYFUNCTION("""COMPUTED_VALUE"""),81.23)</f>
        <v>81.23</v>
      </c>
      <c r="F4119" s="1">
        <f>IFERROR(__xludf.DUMMYFUNCTION("""COMPUTED_VALUE"""),6578134.0)</f>
        <v>6578134</v>
      </c>
    </row>
    <row r="4120">
      <c r="A4120" s="2">
        <f>IFERROR(__xludf.DUMMYFUNCTION("""COMPUTED_VALUE"""),42506.66666666667)</f>
        <v>42506.66667</v>
      </c>
      <c r="B4120" s="1">
        <f>IFERROR(__xludf.DUMMYFUNCTION("""COMPUTED_VALUE"""),81.01)</f>
        <v>81.01</v>
      </c>
      <c r="C4120" s="1">
        <f>IFERROR(__xludf.DUMMYFUNCTION("""COMPUTED_VALUE"""),81.89)</f>
        <v>81.89</v>
      </c>
      <c r="D4120" s="1">
        <f>IFERROR(__xludf.DUMMYFUNCTION("""COMPUTED_VALUE"""),80.75)</f>
        <v>80.75</v>
      </c>
      <c r="E4120" s="1">
        <f>IFERROR(__xludf.DUMMYFUNCTION("""COMPUTED_VALUE"""),81.63)</f>
        <v>81.63</v>
      </c>
      <c r="F4120" s="1">
        <f>IFERROR(__xludf.DUMMYFUNCTION("""COMPUTED_VALUE"""),6497236.0)</f>
        <v>6497236</v>
      </c>
    </row>
    <row r="4121">
      <c r="A4121" s="2">
        <f>IFERROR(__xludf.DUMMYFUNCTION("""COMPUTED_VALUE"""),42507.66666666667)</f>
        <v>42507.66667</v>
      </c>
      <c r="B4121" s="1">
        <f>IFERROR(__xludf.DUMMYFUNCTION("""COMPUTED_VALUE"""),81.64)</f>
        <v>81.64</v>
      </c>
      <c r="C4121" s="1">
        <f>IFERROR(__xludf.DUMMYFUNCTION("""COMPUTED_VALUE"""),82.06)</f>
        <v>82.06</v>
      </c>
      <c r="D4121" s="1">
        <f>IFERROR(__xludf.DUMMYFUNCTION("""COMPUTED_VALUE"""),80.33)</f>
        <v>80.33</v>
      </c>
      <c r="E4121" s="1">
        <f>IFERROR(__xludf.DUMMYFUNCTION("""COMPUTED_VALUE"""),80.62)</f>
        <v>80.62</v>
      </c>
      <c r="F4121" s="1">
        <f>IFERROR(__xludf.DUMMYFUNCTION("""COMPUTED_VALUE"""),1.0188233E7)</f>
        <v>10188233</v>
      </c>
    </row>
    <row r="4122">
      <c r="A4122" s="2">
        <f>IFERROR(__xludf.DUMMYFUNCTION("""COMPUTED_VALUE"""),42508.66666666667)</f>
        <v>42508.66667</v>
      </c>
      <c r="B4122" s="1">
        <f>IFERROR(__xludf.DUMMYFUNCTION("""COMPUTED_VALUE"""),80.59)</f>
        <v>80.59</v>
      </c>
      <c r="C4122" s="1">
        <f>IFERROR(__xludf.DUMMYFUNCTION("""COMPUTED_VALUE"""),80.77)</f>
        <v>80.77</v>
      </c>
      <c r="D4122" s="1">
        <f>IFERROR(__xludf.DUMMYFUNCTION("""COMPUTED_VALUE"""),79.41)</f>
        <v>79.41</v>
      </c>
      <c r="E4122" s="1">
        <f>IFERROR(__xludf.DUMMYFUNCTION("""COMPUTED_VALUE"""),79.85)</f>
        <v>79.85</v>
      </c>
      <c r="F4122" s="1">
        <f>IFERROR(__xludf.DUMMYFUNCTION("""COMPUTED_VALUE"""),8344069.0)</f>
        <v>8344069</v>
      </c>
    </row>
    <row r="4123">
      <c r="A4123" s="2">
        <f>IFERROR(__xludf.DUMMYFUNCTION("""COMPUTED_VALUE"""),42509.66666666667)</f>
        <v>42509.66667</v>
      </c>
      <c r="B4123" s="1">
        <f>IFERROR(__xludf.DUMMYFUNCTION("""COMPUTED_VALUE"""),79.64)</f>
        <v>79.64</v>
      </c>
      <c r="C4123" s="1">
        <f>IFERROR(__xludf.DUMMYFUNCTION("""COMPUTED_VALUE"""),80.22)</f>
        <v>80.22</v>
      </c>
      <c r="D4123" s="1">
        <f>IFERROR(__xludf.DUMMYFUNCTION("""COMPUTED_VALUE"""),79.45)</f>
        <v>79.45</v>
      </c>
      <c r="E4123" s="1">
        <f>IFERROR(__xludf.DUMMYFUNCTION("""COMPUTED_VALUE"""),80.19)</f>
        <v>80.19</v>
      </c>
      <c r="F4123" s="1">
        <f>IFERROR(__xludf.DUMMYFUNCTION("""COMPUTED_VALUE"""),6242472.0)</f>
        <v>6242472</v>
      </c>
    </row>
    <row r="4124">
      <c r="A4124" s="2">
        <f>IFERROR(__xludf.DUMMYFUNCTION("""COMPUTED_VALUE"""),42510.66666666667)</f>
        <v>42510.66667</v>
      </c>
      <c r="B4124" s="1">
        <f>IFERROR(__xludf.DUMMYFUNCTION("""COMPUTED_VALUE"""),80.44)</f>
        <v>80.44</v>
      </c>
      <c r="C4124" s="1">
        <f>IFERROR(__xludf.DUMMYFUNCTION("""COMPUTED_VALUE"""),80.5)</f>
        <v>80.5</v>
      </c>
      <c r="D4124" s="1">
        <f>IFERROR(__xludf.DUMMYFUNCTION("""COMPUTED_VALUE"""),79.79)</f>
        <v>79.79</v>
      </c>
      <c r="E4124" s="1">
        <f>IFERROR(__xludf.DUMMYFUNCTION("""COMPUTED_VALUE"""),80.02)</f>
        <v>80.02</v>
      </c>
      <c r="F4124" s="1">
        <f>IFERROR(__xludf.DUMMYFUNCTION("""COMPUTED_VALUE"""),6526805.0)</f>
        <v>6526805</v>
      </c>
    </row>
    <row r="4125">
      <c r="A4125" s="2">
        <f>IFERROR(__xludf.DUMMYFUNCTION("""COMPUTED_VALUE"""),42513.66666666667)</f>
        <v>42513.66667</v>
      </c>
      <c r="B4125" s="1">
        <f>IFERROR(__xludf.DUMMYFUNCTION("""COMPUTED_VALUE"""),80.05)</f>
        <v>80.05</v>
      </c>
      <c r="C4125" s="1">
        <f>IFERROR(__xludf.DUMMYFUNCTION("""COMPUTED_VALUE"""),80.33)</f>
        <v>80.33</v>
      </c>
      <c r="D4125" s="1">
        <f>IFERROR(__xludf.DUMMYFUNCTION("""COMPUTED_VALUE"""),79.85)</f>
        <v>79.85</v>
      </c>
      <c r="E4125" s="1">
        <f>IFERROR(__xludf.DUMMYFUNCTION("""COMPUTED_VALUE"""),80.2)</f>
        <v>80.2</v>
      </c>
      <c r="F4125" s="1">
        <f>IFERROR(__xludf.DUMMYFUNCTION("""COMPUTED_VALUE"""),5620561.0)</f>
        <v>5620561</v>
      </c>
    </row>
    <row r="4126">
      <c r="A4126" s="2">
        <f>IFERROR(__xludf.DUMMYFUNCTION("""COMPUTED_VALUE"""),42514.66666666667)</f>
        <v>42514.66667</v>
      </c>
      <c r="B4126" s="1">
        <f>IFERROR(__xludf.DUMMYFUNCTION("""COMPUTED_VALUE"""),80.3)</f>
        <v>80.3</v>
      </c>
      <c r="C4126" s="1">
        <f>IFERROR(__xludf.DUMMYFUNCTION("""COMPUTED_VALUE"""),81.38)</f>
        <v>81.38</v>
      </c>
      <c r="D4126" s="1">
        <f>IFERROR(__xludf.DUMMYFUNCTION("""COMPUTED_VALUE"""),80.3)</f>
        <v>80.3</v>
      </c>
      <c r="E4126" s="1">
        <f>IFERROR(__xludf.DUMMYFUNCTION("""COMPUTED_VALUE"""),80.97)</f>
        <v>80.97</v>
      </c>
      <c r="F4126" s="1">
        <f>IFERROR(__xludf.DUMMYFUNCTION("""COMPUTED_VALUE"""),6292952.0)</f>
        <v>6292952</v>
      </c>
    </row>
    <row r="4127">
      <c r="A4127" s="2">
        <f>IFERROR(__xludf.DUMMYFUNCTION("""COMPUTED_VALUE"""),42515.66666666667)</f>
        <v>42515.66667</v>
      </c>
      <c r="B4127" s="1">
        <f>IFERROR(__xludf.DUMMYFUNCTION("""COMPUTED_VALUE"""),81.08)</f>
        <v>81.08</v>
      </c>
      <c r="C4127" s="1">
        <f>IFERROR(__xludf.DUMMYFUNCTION("""COMPUTED_VALUE"""),81.78)</f>
        <v>81.78</v>
      </c>
      <c r="D4127" s="1">
        <f>IFERROR(__xludf.DUMMYFUNCTION("""COMPUTED_VALUE"""),81.01)</f>
        <v>81.01</v>
      </c>
      <c r="E4127" s="1">
        <f>IFERROR(__xludf.DUMMYFUNCTION("""COMPUTED_VALUE"""),81.48)</f>
        <v>81.48</v>
      </c>
      <c r="F4127" s="1">
        <f>IFERROR(__xludf.DUMMYFUNCTION("""COMPUTED_VALUE"""),6050617.0)</f>
        <v>6050617</v>
      </c>
    </row>
    <row r="4128">
      <c r="A4128" s="2">
        <f>IFERROR(__xludf.DUMMYFUNCTION("""COMPUTED_VALUE"""),42516.66666666667)</f>
        <v>42516.66667</v>
      </c>
      <c r="B4128" s="1">
        <f>IFERROR(__xludf.DUMMYFUNCTION("""COMPUTED_VALUE"""),81.48)</f>
        <v>81.48</v>
      </c>
      <c r="C4128" s="1">
        <f>IFERROR(__xludf.DUMMYFUNCTION("""COMPUTED_VALUE"""),81.6)</f>
        <v>81.6</v>
      </c>
      <c r="D4128" s="1">
        <f>IFERROR(__xludf.DUMMYFUNCTION("""COMPUTED_VALUE"""),81.09)</f>
        <v>81.09</v>
      </c>
      <c r="E4128" s="1">
        <f>IFERROR(__xludf.DUMMYFUNCTION("""COMPUTED_VALUE"""),81.22)</f>
        <v>81.22</v>
      </c>
      <c r="F4128" s="1">
        <f>IFERROR(__xludf.DUMMYFUNCTION("""COMPUTED_VALUE"""),4622328.0)</f>
        <v>4622328</v>
      </c>
    </row>
    <row r="4129">
      <c r="A4129" s="2">
        <f>IFERROR(__xludf.DUMMYFUNCTION("""COMPUTED_VALUE"""),42517.66666666667)</f>
        <v>42517.66667</v>
      </c>
      <c r="B4129" s="1">
        <f>IFERROR(__xludf.DUMMYFUNCTION("""COMPUTED_VALUE"""),81.27)</f>
        <v>81.27</v>
      </c>
      <c r="C4129" s="1">
        <f>IFERROR(__xludf.DUMMYFUNCTION("""COMPUTED_VALUE"""),81.66)</f>
        <v>81.66</v>
      </c>
      <c r="D4129" s="1">
        <f>IFERROR(__xludf.DUMMYFUNCTION("""COMPUTED_VALUE"""),81.16)</f>
        <v>81.16</v>
      </c>
      <c r="E4129" s="1">
        <f>IFERROR(__xludf.DUMMYFUNCTION("""COMPUTED_VALUE"""),81.43)</f>
        <v>81.43</v>
      </c>
      <c r="F4129" s="1">
        <f>IFERROR(__xludf.DUMMYFUNCTION("""COMPUTED_VALUE"""),4322195.0)</f>
        <v>4322195</v>
      </c>
    </row>
    <row r="4130">
      <c r="A4130" s="2">
        <f>IFERROR(__xludf.DUMMYFUNCTION("""COMPUTED_VALUE"""),42521.66666666667)</f>
        <v>42521.66667</v>
      </c>
      <c r="B4130" s="1">
        <f>IFERROR(__xludf.DUMMYFUNCTION("""COMPUTED_VALUE"""),81.58)</f>
        <v>81.58</v>
      </c>
      <c r="C4130" s="1">
        <f>IFERROR(__xludf.DUMMYFUNCTION("""COMPUTED_VALUE"""),81.82)</f>
        <v>81.82</v>
      </c>
      <c r="D4130" s="1">
        <f>IFERROR(__xludf.DUMMYFUNCTION("""COMPUTED_VALUE"""),80.74)</f>
        <v>80.74</v>
      </c>
      <c r="E4130" s="1">
        <f>IFERROR(__xludf.DUMMYFUNCTION("""COMPUTED_VALUE"""),81.04)</f>
        <v>81.04</v>
      </c>
      <c r="F4130" s="1">
        <f>IFERROR(__xludf.DUMMYFUNCTION("""COMPUTED_VALUE"""),6705032.0)</f>
        <v>6705032</v>
      </c>
    </row>
    <row r="4131">
      <c r="A4131" s="2">
        <f>IFERROR(__xludf.DUMMYFUNCTION("""COMPUTED_VALUE"""),42522.66666666667)</f>
        <v>42522.66667</v>
      </c>
      <c r="B4131" s="1">
        <f>IFERROR(__xludf.DUMMYFUNCTION("""COMPUTED_VALUE"""),80.95)</f>
        <v>80.95</v>
      </c>
      <c r="C4131" s="1">
        <f>IFERROR(__xludf.DUMMYFUNCTION("""COMPUTED_VALUE"""),81.8)</f>
        <v>81.8</v>
      </c>
      <c r="D4131" s="1">
        <f>IFERROR(__xludf.DUMMYFUNCTION("""COMPUTED_VALUE"""),80.86)</f>
        <v>80.86</v>
      </c>
      <c r="E4131" s="1">
        <f>IFERROR(__xludf.DUMMYFUNCTION("""COMPUTED_VALUE"""),81.79)</f>
        <v>81.79</v>
      </c>
      <c r="F4131" s="1">
        <f>IFERROR(__xludf.DUMMYFUNCTION("""COMPUTED_VALUE"""),6183908.0)</f>
        <v>6183908</v>
      </c>
    </row>
    <row r="4132">
      <c r="A4132" s="2">
        <f>IFERROR(__xludf.DUMMYFUNCTION("""COMPUTED_VALUE"""),42523.66666666667)</f>
        <v>42523.66667</v>
      </c>
      <c r="B4132" s="1">
        <f>IFERROR(__xludf.DUMMYFUNCTION("""COMPUTED_VALUE"""),81.53)</f>
        <v>81.53</v>
      </c>
      <c r="C4132" s="1">
        <f>IFERROR(__xludf.DUMMYFUNCTION("""COMPUTED_VALUE"""),81.95)</f>
        <v>81.95</v>
      </c>
      <c r="D4132" s="1">
        <f>IFERROR(__xludf.DUMMYFUNCTION("""COMPUTED_VALUE"""),81.33)</f>
        <v>81.33</v>
      </c>
      <c r="E4132" s="1">
        <f>IFERROR(__xludf.DUMMYFUNCTION("""COMPUTED_VALUE"""),81.95)</f>
        <v>81.95</v>
      </c>
      <c r="F4132" s="1">
        <f>IFERROR(__xludf.DUMMYFUNCTION("""COMPUTED_VALUE"""),5185852.0)</f>
        <v>5185852</v>
      </c>
    </row>
    <row r="4133">
      <c r="A4133" s="2">
        <f>IFERROR(__xludf.DUMMYFUNCTION("""COMPUTED_VALUE"""),42524.66666666667)</f>
        <v>42524.66667</v>
      </c>
      <c r="B4133" s="1">
        <f>IFERROR(__xludf.DUMMYFUNCTION("""COMPUTED_VALUE"""),81.93)</f>
        <v>81.93</v>
      </c>
      <c r="C4133" s="1">
        <f>IFERROR(__xludf.DUMMYFUNCTION("""COMPUTED_VALUE"""),82.49)</f>
        <v>82.49</v>
      </c>
      <c r="D4133" s="1">
        <f>IFERROR(__xludf.DUMMYFUNCTION("""COMPUTED_VALUE"""),81.78)</f>
        <v>81.78</v>
      </c>
      <c r="E4133" s="1">
        <f>IFERROR(__xludf.DUMMYFUNCTION("""COMPUTED_VALUE"""),82.47)</f>
        <v>82.47</v>
      </c>
      <c r="F4133" s="1">
        <f>IFERROR(__xludf.DUMMYFUNCTION("""COMPUTED_VALUE"""),6306519.0)</f>
        <v>6306519</v>
      </c>
    </row>
    <row r="4134">
      <c r="A4134" s="2">
        <f>IFERROR(__xludf.DUMMYFUNCTION("""COMPUTED_VALUE"""),42527.66666666667)</f>
        <v>42527.66667</v>
      </c>
      <c r="B4134" s="1">
        <f>IFERROR(__xludf.DUMMYFUNCTION("""COMPUTED_VALUE"""),82.4)</f>
        <v>82.4</v>
      </c>
      <c r="C4134" s="1">
        <f>IFERROR(__xludf.DUMMYFUNCTION("""COMPUTED_VALUE"""),82.83)</f>
        <v>82.83</v>
      </c>
      <c r="D4134" s="1">
        <f>IFERROR(__xludf.DUMMYFUNCTION("""COMPUTED_VALUE"""),82.23)</f>
        <v>82.23</v>
      </c>
      <c r="E4134" s="1">
        <f>IFERROR(__xludf.DUMMYFUNCTION("""COMPUTED_VALUE"""),82.77)</f>
        <v>82.77</v>
      </c>
      <c r="F4134" s="1">
        <f>IFERROR(__xludf.DUMMYFUNCTION("""COMPUTED_VALUE"""),5292348.0)</f>
        <v>5292348</v>
      </c>
    </row>
    <row r="4135">
      <c r="A4135" s="2">
        <f>IFERROR(__xludf.DUMMYFUNCTION("""COMPUTED_VALUE"""),42528.66666666667)</f>
        <v>42528.66667</v>
      </c>
      <c r="B4135" s="1">
        <f>IFERROR(__xludf.DUMMYFUNCTION("""COMPUTED_VALUE"""),82.76)</f>
        <v>82.76</v>
      </c>
      <c r="C4135" s="1">
        <f>IFERROR(__xludf.DUMMYFUNCTION("""COMPUTED_VALUE"""),82.89)</f>
        <v>82.89</v>
      </c>
      <c r="D4135" s="1">
        <f>IFERROR(__xludf.DUMMYFUNCTION("""COMPUTED_VALUE"""),82.25)</f>
        <v>82.25</v>
      </c>
      <c r="E4135" s="1">
        <f>IFERROR(__xludf.DUMMYFUNCTION("""COMPUTED_VALUE"""),82.32)</f>
        <v>82.32</v>
      </c>
      <c r="F4135" s="1">
        <f>IFERROR(__xludf.DUMMYFUNCTION("""COMPUTED_VALUE"""),6327475.0)</f>
        <v>6327475</v>
      </c>
    </row>
    <row r="4136">
      <c r="A4136" s="2">
        <f>IFERROR(__xludf.DUMMYFUNCTION("""COMPUTED_VALUE"""),42529.66666666667)</f>
        <v>42529.66667</v>
      </c>
      <c r="B4136" s="1">
        <f>IFERROR(__xludf.DUMMYFUNCTION("""COMPUTED_VALUE"""),82.37)</f>
        <v>82.37</v>
      </c>
      <c r="C4136" s="1">
        <f>IFERROR(__xludf.DUMMYFUNCTION("""COMPUTED_VALUE"""),82.75)</f>
        <v>82.75</v>
      </c>
      <c r="D4136" s="1">
        <f>IFERROR(__xludf.DUMMYFUNCTION("""COMPUTED_VALUE"""),82.02)</f>
        <v>82.02</v>
      </c>
      <c r="E4136" s="1">
        <f>IFERROR(__xludf.DUMMYFUNCTION("""COMPUTED_VALUE"""),82.65)</f>
        <v>82.65</v>
      </c>
      <c r="F4136" s="1">
        <f>IFERROR(__xludf.DUMMYFUNCTION("""COMPUTED_VALUE"""),4712567.0)</f>
        <v>4712567</v>
      </c>
    </row>
    <row r="4137">
      <c r="A4137" s="2">
        <f>IFERROR(__xludf.DUMMYFUNCTION("""COMPUTED_VALUE"""),42530.66666666667)</f>
        <v>42530.66667</v>
      </c>
      <c r="B4137" s="1">
        <f>IFERROR(__xludf.DUMMYFUNCTION("""COMPUTED_VALUE"""),82.58)</f>
        <v>82.58</v>
      </c>
      <c r="C4137" s="1">
        <f>IFERROR(__xludf.DUMMYFUNCTION("""COMPUTED_VALUE"""),83.26)</f>
        <v>83.26</v>
      </c>
      <c r="D4137" s="1">
        <f>IFERROR(__xludf.DUMMYFUNCTION("""COMPUTED_VALUE"""),82.43)</f>
        <v>82.43</v>
      </c>
      <c r="E4137" s="1">
        <f>IFERROR(__xludf.DUMMYFUNCTION("""COMPUTED_VALUE"""),83.17)</f>
        <v>83.17</v>
      </c>
      <c r="F4137" s="1">
        <f>IFERROR(__xludf.DUMMYFUNCTION("""COMPUTED_VALUE"""),6144895.0)</f>
        <v>6144895</v>
      </c>
    </row>
    <row r="4138">
      <c r="A4138" s="2">
        <f>IFERROR(__xludf.DUMMYFUNCTION("""COMPUTED_VALUE"""),42531.66666666667)</f>
        <v>42531.66667</v>
      </c>
      <c r="B4138" s="1">
        <f>IFERROR(__xludf.DUMMYFUNCTION("""COMPUTED_VALUE"""),82.77)</f>
        <v>82.77</v>
      </c>
      <c r="C4138" s="1">
        <f>IFERROR(__xludf.DUMMYFUNCTION("""COMPUTED_VALUE"""),83.34)</f>
        <v>83.34</v>
      </c>
      <c r="D4138" s="1">
        <f>IFERROR(__xludf.DUMMYFUNCTION("""COMPUTED_VALUE"""),82.61)</f>
        <v>82.61</v>
      </c>
      <c r="E4138" s="1">
        <f>IFERROR(__xludf.DUMMYFUNCTION("""COMPUTED_VALUE"""),83.2)</f>
        <v>83.2</v>
      </c>
      <c r="F4138" s="1">
        <f>IFERROR(__xludf.DUMMYFUNCTION("""COMPUTED_VALUE"""),6840768.0)</f>
        <v>6840768</v>
      </c>
    </row>
    <row r="4139">
      <c r="A4139" s="2">
        <f>IFERROR(__xludf.DUMMYFUNCTION("""COMPUTED_VALUE"""),42534.66666666667)</f>
        <v>42534.66667</v>
      </c>
      <c r="B4139" s="1">
        <f>IFERROR(__xludf.DUMMYFUNCTION("""COMPUTED_VALUE"""),82.96)</f>
        <v>82.96</v>
      </c>
      <c r="C4139" s="1">
        <f>IFERROR(__xludf.DUMMYFUNCTION("""COMPUTED_VALUE"""),83.4)</f>
        <v>83.4</v>
      </c>
      <c r="D4139" s="1">
        <f>IFERROR(__xludf.DUMMYFUNCTION("""COMPUTED_VALUE"""),82.53)</f>
        <v>82.53</v>
      </c>
      <c r="E4139" s="1">
        <f>IFERROR(__xludf.DUMMYFUNCTION("""COMPUTED_VALUE"""),82.57)</f>
        <v>82.57</v>
      </c>
      <c r="F4139" s="1">
        <f>IFERROR(__xludf.DUMMYFUNCTION("""COMPUTED_VALUE"""),6167444.0)</f>
        <v>6167444</v>
      </c>
    </row>
    <row r="4140">
      <c r="A4140" s="2">
        <f>IFERROR(__xludf.DUMMYFUNCTION("""COMPUTED_VALUE"""),42535.66666666667)</f>
        <v>42535.66667</v>
      </c>
      <c r="B4140" s="1">
        <f>IFERROR(__xludf.DUMMYFUNCTION("""COMPUTED_VALUE"""),82.55)</f>
        <v>82.55</v>
      </c>
      <c r="C4140" s="1">
        <f>IFERROR(__xludf.DUMMYFUNCTION("""COMPUTED_VALUE"""),83.37)</f>
        <v>83.37</v>
      </c>
      <c r="D4140" s="1">
        <f>IFERROR(__xludf.DUMMYFUNCTION("""COMPUTED_VALUE"""),82.27)</f>
        <v>82.27</v>
      </c>
      <c r="E4140" s="1">
        <f>IFERROR(__xludf.DUMMYFUNCTION("""COMPUTED_VALUE"""),83.35)</f>
        <v>83.35</v>
      </c>
      <c r="F4140" s="1">
        <f>IFERROR(__xludf.DUMMYFUNCTION("""COMPUTED_VALUE"""),6868619.0)</f>
        <v>6868619</v>
      </c>
    </row>
    <row r="4141">
      <c r="A4141" s="2">
        <f>IFERROR(__xludf.DUMMYFUNCTION("""COMPUTED_VALUE"""),42536.66666666667)</f>
        <v>42536.66667</v>
      </c>
      <c r="B4141" s="1">
        <f>IFERROR(__xludf.DUMMYFUNCTION("""COMPUTED_VALUE"""),83.4)</f>
        <v>83.4</v>
      </c>
      <c r="C4141" s="1">
        <f>IFERROR(__xludf.DUMMYFUNCTION("""COMPUTED_VALUE"""),83.5)</f>
        <v>83.5</v>
      </c>
      <c r="D4141" s="1">
        <f>IFERROR(__xludf.DUMMYFUNCTION("""COMPUTED_VALUE"""),82.82)</f>
        <v>82.82</v>
      </c>
      <c r="E4141" s="1">
        <f>IFERROR(__xludf.DUMMYFUNCTION("""COMPUTED_VALUE"""),82.95)</f>
        <v>82.95</v>
      </c>
      <c r="F4141" s="1">
        <f>IFERROR(__xludf.DUMMYFUNCTION("""COMPUTED_VALUE"""),7081953.0)</f>
        <v>7081953</v>
      </c>
    </row>
    <row r="4142">
      <c r="A4142" s="2">
        <f>IFERROR(__xludf.DUMMYFUNCTION("""COMPUTED_VALUE"""),42537.66666666667)</f>
        <v>42537.66667</v>
      </c>
      <c r="B4142" s="1">
        <f>IFERROR(__xludf.DUMMYFUNCTION("""COMPUTED_VALUE"""),82.67)</f>
        <v>82.67</v>
      </c>
      <c r="C4142" s="1">
        <f>IFERROR(__xludf.DUMMYFUNCTION("""COMPUTED_VALUE"""),83.61)</f>
        <v>83.61</v>
      </c>
      <c r="D4142" s="1">
        <f>IFERROR(__xludf.DUMMYFUNCTION("""COMPUTED_VALUE"""),82.66)</f>
        <v>82.66</v>
      </c>
      <c r="E4142" s="1">
        <f>IFERROR(__xludf.DUMMYFUNCTION("""COMPUTED_VALUE"""),83.41)</f>
        <v>83.41</v>
      </c>
      <c r="F4142" s="1">
        <f>IFERROR(__xludf.DUMMYFUNCTION("""COMPUTED_VALUE"""),6630088.0)</f>
        <v>6630088</v>
      </c>
    </row>
    <row r="4143">
      <c r="A4143" s="2">
        <f>IFERROR(__xludf.DUMMYFUNCTION("""COMPUTED_VALUE"""),42538.66666666667)</f>
        <v>42538.66667</v>
      </c>
      <c r="B4143" s="1">
        <f>IFERROR(__xludf.DUMMYFUNCTION("""COMPUTED_VALUE"""),83.31)</f>
        <v>83.31</v>
      </c>
      <c r="C4143" s="1">
        <f>IFERROR(__xludf.DUMMYFUNCTION("""COMPUTED_VALUE"""),83.44)</f>
        <v>83.44</v>
      </c>
      <c r="D4143" s="1">
        <f>IFERROR(__xludf.DUMMYFUNCTION("""COMPUTED_VALUE"""),82.35)</f>
        <v>82.35</v>
      </c>
      <c r="E4143" s="1">
        <f>IFERROR(__xludf.DUMMYFUNCTION("""COMPUTED_VALUE"""),83.13)</f>
        <v>83.13</v>
      </c>
      <c r="F4143" s="1">
        <f>IFERROR(__xludf.DUMMYFUNCTION("""COMPUTED_VALUE"""),1.1741742E7)</f>
        <v>11741742</v>
      </c>
    </row>
    <row r="4144">
      <c r="A4144" s="2">
        <f>IFERROR(__xludf.DUMMYFUNCTION("""COMPUTED_VALUE"""),42541.66666666667)</f>
        <v>42541.66667</v>
      </c>
      <c r="B4144" s="1">
        <f>IFERROR(__xludf.DUMMYFUNCTION("""COMPUTED_VALUE"""),83.52)</f>
        <v>83.52</v>
      </c>
      <c r="C4144" s="1">
        <f>IFERROR(__xludf.DUMMYFUNCTION("""COMPUTED_VALUE"""),83.7)</f>
        <v>83.7</v>
      </c>
      <c r="D4144" s="1">
        <f>IFERROR(__xludf.DUMMYFUNCTION("""COMPUTED_VALUE"""),83.03)</f>
        <v>83.03</v>
      </c>
      <c r="E4144" s="1">
        <f>IFERROR(__xludf.DUMMYFUNCTION("""COMPUTED_VALUE"""),83.04)</f>
        <v>83.04</v>
      </c>
      <c r="F4144" s="1">
        <f>IFERROR(__xludf.DUMMYFUNCTION("""COMPUTED_VALUE"""),6164326.0)</f>
        <v>6164326</v>
      </c>
    </row>
    <row r="4145">
      <c r="A4145" s="2">
        <f>IFERROR(__xludf.DUMMYFUNCTION("""COMPUTED_VALUE"""),42542.66666666667)</f>
        <v>42542.66667</v>
      </c>
      <c r="B4145" s="1">
        <f>IFERROR(__xludf.DUMMYFUNCTION("""COMPUTED_VALUE"""),83.09)</f>
        <v>83.09</v>
      </c>
      <c r="C4145" s="1">
        <f>IFERROR(__xludf.DUMMYFUNCTION("""COMPUTED_VALUE"""),83.78)</f>
        <v>83.78</v>
      </c>
      <c r="D4145" s="1">
        <f>IFERROR(__xludf.DUMMYFUNCTION("""COMPUTED_VALUE"""),83.09)</f>
        <v>83.09</v>
      </c>
      <c r="E4145" s="1">
        <f>IFERROR(__xludf.DUMMYFUNCTION("""COMPUTED_VALUE"""),83.41)</f>
        <v>83.41</v>
      </c>
      <c r="F4145" s="1">
        <f>IFERROR(__xludf.DUMMYFUNCTION("""COMPUTED_VALUE"""),6594737.0)</f>
        <v>6594737</v>
      </c>
    </row>
    <row r="4146">
      <c r="A4146" s="2">
        <f>IFERROR(__xludf.DUMMYFUNCTION("""COMPUTED_VALUE"""),42543.66666666667)</f>
        <v>42543.66667</v>
      </c>
      <c r="B4146" s="1">
        <f>IFERROR(__xludf.DUMMYFUNCTION("""COMPUTED_VALUE"""),83.5)</f>
        <v>83.5</v>
      </c>
      <c r="C4146" s="1">
        <f>IFERROR(__xludf.DUMMYFUNCTION("""COMPUTED_VALUE"""),83.76)</f>
        <v>83.76</v>
      </c>
      <c r="D4146" s="1">
        <f>IFERROR(__xludf.DUMMYFUNCTION("""COMPUTED_VALUE"""),83.29)</f>
        <v>83.29</v>
      </c>
      <c r="E4146" s="1">
        <f>IFERROR(__xludf.DUMMYFUNCTION("""COMPUTED_VALUE"""),83.57)</f>
        <v>83.57</v>
      </c>
      <c r="F4146" s="1">
        <f>IFERROR(__xludf.DUMMYFUNCTION("""COMPUTED_VALUE"""),4940053.0)</f>
        <v>4940053</v>
      </c>
    </row>
    <row r="4147">
      <c r="A4147" s="2">
        <f>IFERROR(__xludf.DUMMYFUNCTION("""COMPUTED_VALUE"""),42544.66666666667)</f>
        <v>42544.66667</v>
      </c>
      <c r="B4147" s="1">
        <f>IFERROR(__xludf.DUMMYFUNCTION("""COMPUTED_VALUE"""),83.81)</f>
        <v>83.81</v>
      </c>
      <c r="C4147" s="1">
        <f>IFERROR(__xludf.DUMMYFUNCTION("""COMPUTED_VALUE"""),84.21)</f>
        <v>84.21</v>
      </c>
      <c r="D4147" s="1">
        <f>IFERROR(__xludf.DUMMYFUNCTION("""COMPUTED_VALUE"""),83.57)</f>
        <v>83.57</v>
      </c>
      <c r="E4147" s="1">
        <f>IFERROR(__xludf.DUMMYFUNCTION("""COMPUTED_VALUE"""),84.21)</f>
        <v>84.21</v>
      </c>
      <c r="F4147" s="1">
        <f>IFERROR(__xludf.DUMMYFUNCTION("""COMPUTED_VALUE"""),7360818.0)</f>
        <v>7360818</v>
      </c>
    </row>
    <row r="4148">
      <c r="A4148" s="2">
        <f>IFERROR(__xludf.DUMMYFUNCTION("""COMPUTED_VALUE"""),42545.66666666667)</f>
        <v>42545.66667</v>
      </c>
      <c r="B4148" s="1">
        <f>IFERROR(__xludf.DUMMYFUNCTION("""COMPUTED_VALUE"""),82.61)</f>
        <v>82.61</v>
      </c>
      <c r="C4148" s="1">
        <f>IFERROR(__xludf.DUMMYFUNCTION("""COMPUTED_VALUE"""),83.82)</f>
        <v>83.82</v>
      </c>
      <c r="D4148" s="1">
        <f>IFERROR(__xludf.DUMMYFUNCTION("""COMPUTED_VALUE"""),81.99)</f>
        <v>81.99</v>
      </c>
      <c r="E4148" s="1">
        <f>IFERROR(__xludf.DUMMYFUNCTION("""COMPUTED_VALUE"""),82.26)</f>
        <v>82.26</v>
      </c>
      <c r="F4148" s="1">
        <f>IFERROR(__xludf.DUMMYFUNCTION("""COMPUTED_VALUE"""),1.2400528E7)</f>
        <v>12400528</v>
      </c>
    </row>
    <row r="4149">
      <c r="A4149" s="2">
        <f>IFERROR(__xludf.DUMMYFUNCTION("""COMPUTED_VALUE"""),42548.66666666667)</f>
        <v>42548.66667</v>
      </c>
      <c r="B4149" s="1">
        <f>IFERROR(__xludf.DUMMYFUNCTION("""COMPUTED_VALUE"""),81.83)</f>
        <v>81.83</v>
      </c>
      <c r="C4149" s="1">
        <f>IFERROR(__xludf.DUMMYFUNCTION("""COMPUTED_VALUE"""),81.89)</f>
        <v>81.89</v>
      </c>
      <c r="D4149" s="1">
        <f>IFERROR(__xludf.DUMMYFUNCTION("""COMPUTED_VALUE"""),81.0)</f>
        <v>81</v>
      </c>
      <c r="E4149" s="1">
        <f>IFERROR(__xludf.DUMMYFUNCTION("""COMPUTED_VALUE"""),81.23)</f>
        <v>81.23</v>
      </c>
      <c r="F4149" s="1">
        <f>IFERROR(__xludf.DUMMYFUNCTION("""COMPUTED_VALUE"""),9619036.0)</f>
        <v>9619036</v>
      </c>
    </row>
    <row r="4150">
      <c r="A4150" s="2">
        <f>IFERROR(__xludf.DUMMYFUNCTION("""COMPUTED_VALUE"""),42549.66666666667)</f>
        <v>42549.66667</v>
      </c>
      <c r="B4150" s="1">
        <f>IFERROR(__xludf.DUMMYFUNCTION("""COMPUTED_VALUE"""),81.44)</f>
        <v>81.44</v>
      </c>
      <c r="C4150" s="1">
        <f>IFERROR(__xludf.DUMMYFUNCTION("""COMPUTED_VALUE"""),82.49)</f>
        <v>82.49</v>
      </c>
      <c r="D4150" s="1">
        <f>IFERROR(__xludf.DUMMYFUNCTION("""COMPUTED_VALUE"""),80.95)</f>
        <v>80.95</v>
      </c>
      <c r="E4150" s="1">
        <f>IFERROR(__xludf.DUMMYFUNCTION("""COMPUTED_VALUE"""),82.46)</f>
        <v>82.46</v>
      </c>
      <c r="F4150" s="1">
        <f>IFERROR(__xludf.DUMMYFUNCTION("""COMPUTED_VALUE"""),9257100.0)</f>
        <v>9257100</v>
      </c>
    </row>
    <row r="4151">
      <c r="A4151" s="2">
        <f>IFERROR(__xludf.DUMMYFUNCTION("""COMPUTED_VALUE"""),42550.66666666667)</f>
        <v>42550.66667</v>
      </c>
      <c r="B4151" s="1">
        <f>IFERROR(__xludf.DUMMYFUNCTION("""COMPUTED_VALUE"""),82.96)</f>
        <v>82.96</v>
      </c>
      <c r="C4151" s="1">
        <f>IFERROR(__xludf.DUMMYFUNCTION("""COMPUTED_VALUE"""),83.91)</f>
        <v>83.91</v>
      </c>
      <c r="D4151" s="1">
        <f>IFERROR(__xludf.DUMMYFUNCTION("""COMPUTED_VALUE"""),82.91)</f>
        <v>82.91</v>
      </c>
      <c r="E4151" s="1">
        <f>IFERROR(__xludf.DUMMYFUNCTION("""COMPUTED_VALUE"""),83.91)</f>
        <v>83.91</v>
      </c>
      <c r="F4151" s="1">
        <f>IFERROR(__xludf.DUMMYFUNCTION("""COMPUTED_VALUE"""),7927096.0)</f>
        <v>7927096</v>
      </c>
    </row>
    <row r="4152">
      <c r="A4152" s="2">
        <f>IFERROR(__xludf.DUMMYFUNCTION("""COMPUTED_VALUE"""),42551.66666666667)</f>
        <v>42551.66667</v>
      </c>
      <c r="B4152" s="1">
        <f>IFERROR(__xludf.DUMMYFUNCTION("""COMPUTED_VALUE"""),83.91)</f>
        <v>83.91</v>
      </c>
      <c r="C4152" s="1">
        <f>IFERROR(__xludf.DUMMYFUNCTION("""COMPUTED_VALUE"""),84.8)</f>
        <v>84.8</v>
      </c>
      <c r="D4152" s="1">
        <f>IFERROR(__xludf.DUMMYFUNCTION("""COMPUTED_VALUE"""),83.82)</f>
        <v>83.82</v>
      </c>
      <c r="E4152" s="1">
        <f>IFERROR(__xludf.DUMMYFUNCTION("""COMPUTED_VALUE"""),84.67)</f>
        <v>84.67</v>
      </c>
      <c r="F4152" s="1">
        <f>IFERROR(__xludf.DUMMYFUNCTION("""COMPUTED_VALUE"""),1.0969276E7)</f>
        <v>10969276</v>
      </c>
    </row>
    <row r="4153">
      <c r="A4153" s="2">
        <f>IFERROR(__xludf.DUMMYFUNCTION("""COMPUTED_VALUE"""),42552.66666666667)</f>
        <v>42552.66667</v>
      </c>
      <c r="B4153" s="1">
        <f>IFERROR(__xludf.DUMMYFUNCTION("""COMPUTED_VALUE"""),84.52)</f>
        <v>84.52</v>
      </c>
      <c r="C4153" s="1">
        <f>IFERROR(__xludf.DUMMYFUNCTION("""COMPUTED_VALUE"""),84.99)</f>
        <v>84.99</v>
      </c>
      <c r="D4153" s="1">
        <f>IFERROR(__xludf.DUMMYFUNCTION("""COMPUTED_VALUE"""),84.51)</f>
        <v>84.51</v>
      </c>
      <c r="E4153" s="1">
        <f>IFERROR(__xludf.DUMMYFUNCTION("""COMPUTED_VALUE"""),84.78)</f>
        <v>84.78</v>
      </c>
      <c r="F4153" s="1">
        <f>IFERROR(__xludf.DUMMYFUNCTION("""COMPUTED_VALUE"""),9530706.0)</f>
        <v>9530706</v>
      </c>
    </row>
    <row r="4154">
      <c r="A4154" s="2">
        <f>IFERROR(__xludf.DUMMYFUNCTION("""COMPUTED_VALUE"""),42556.66666666667)</f>
        <v>42556.66667</v>
      </c>
      <c r="B4154" s="1">
        <f>IFERROR(__xludf.DUMMYFUNCTION("""COMPUTED_VALUE"""),84.48)</f>
        <v>84.48</v>
      </c>
      <c r="C4154" s="1">
        <f>IFERROR(__xludf.DUMMYFUNCTION("""COMPUTED_VALUE"""),85.95)</f>
        <v>85.95</v>
      </c>
      <c r="D4154" s="1">
        <f>IFERROR(__xludf.DUMMYFUNCTION("""COMPUTED_VALUE"""),84.45)</f>
        <v>84.45</v>
      </c>
      <c r="E4154" s="1">
        <f>IFERROR(__xludf.DUMMYFUNCTION("""COMPUTED_VALUE"""),85.44)</f>
        <v>85.44</v>
      </c>
      <c r="F4154" s="1">
        <f>IFERROR(__xludf.DUMMYFUNCTION("""COMPUTED_VALUE"""),1.1395221E7)</f>
        <v>11395221</v>
      </c>
    </row>
    <row r="4155">
      <c r="A4155" s="2">
        <f>IFERROR(__xludf.DUMMYFUNCTION("""COMPUTED_VALUE"""),42557.66666666667)</f>
        <v>42557.66667</v>
      </c>
      <c r="B4155" s="1">
        <f>IFERROR(__xludf.DUMMYFUNCTION("""COMPUTED_VALUE"""),85.37)</f>
        <v>85.37</v>
      </c>
      <c r="C4155" s="1">
        <f>IFERROR(__xludf.DUMMYFUNCTION("""COMPUTED_VALUE"""),85.5)</f>
        <v>85.5</v>
      </c>
      <c r="D4155" s="1">
        <f>IFERROR(__xludf.DUMMYFUNCTION("""COMPUTED_VALUE"""),84.74)</f>
        <v>84.74</v>
      </c>
      <c r="E4155" s="1">
        <f>IFERROR(__xludf.DUMMYFUNCTION("""COMPUTED_VALUE"""),85.03)</f>
        <v>85.03</v>
      </c>
      <c r="F4155" s="1">
        <f>IFERROR(__xludf.DUMMYFUNCTION("""COMPUTED_VALUE"""),8356546.0)</f>
        <v>8356546</v>
      </c>
    </row>
    <row r="4156">
      <c r="A4156" s="2">
        <f>IFERROR(__xludf.DUMMYFUNCTION("""COMPUTED_VALUE"""),42558.66666666667)</f>
        <v>42558.66667</v>
      </c>
      <c r="B4156" s="1">
        <f>IFERROR(__xludf.DUMMYFUNCTION("""COMPUTED_VALUE"""),85.23)</f>
        <v>85.23</v>
      </c>
      <c r="C4156" s="1">
        <f>IFERROR(__xludf.DUMMYFUNCTION("""COMPUTED_VALUE"""),85.24)</f>
        <v>85.24</v>
      </c>
      <c r="D4156" s="1">
        <f>IFERROR(__xludf.DUMMYFUNCTION("""COMPUTED_VALUE"""),84.53)</f>
        <v>84.53</v>
      </c>
      <c r="E4156" s="1">
        <f>IFERROR(__xludf.DUMMYFUNCTION("""COMPUTED_VALUE"""),84.83)</f>
        <v>84.83</v>
      </c>
      <c r="F4156" s="1">
        <f>IFERROR(__xludf.DUMMYFUNCTION("""COMPUTED_VALUE"""),7905843.0)</f>
        <v>7905843</v>
      </c>
    </row>
    <row r="4157">
      <c r="A4157" s="2">
        <f>IFERROR(__xludf.DUMMYFUNCTION("""COMPUTED_VALUE"""),42559.66666666667)</f>
        <v>42559.66667</v>
      </c>
      <c r="B4157" s="1">
        <f>IFERROR(__xludf.DUMMYFUNCTION("""COMPUTED_VALUE"""),84.98)</f>
        <v>84.98</v>
      </c>
      <c r="C4157" s="1">
        <f>IFERROR(__xludf.DUMMYFUNCTION("""COMPUTED_VALUE"""),85.9)</f>
        <v>85.9</v>
      </c>
      <c r="D4157" s="1">
        <f>IFERROR(__xludf.DUMMYFUNCTION("""COMPUTED_VALUE"""),84.77)</f>
        <v>84.77</v>
      </c>
      <c r="E4157" s="1">
        <f>IFERROR(__xludf.DUMMYFUNCTION("""COMPUTED_VALUE"""),85.77)</f>
        <v>85.77</v>
      </c>
      <c r="F4157" s="1">
        <f>IFERROR(__xludf.DUMMYFUNCTION("""COMPUTED_VALUE"""),6827349.0)</f>
        <v>6827349</v>
      </c>
    </row>
    <row r="4158">
      <c r="A4158" s="2">
        <f>IFERROR(__xludf.DUMMYFUNCTION("""COMPUTED_VALUE"""),42562.66666666667)</f>
        <v>42562.66667</v>
      </c>
      <c r="B4158" s="1">
        <f>IFERROR(__xludf.DUMMYFUNCTION("""COMPUTED_VALUE"""),85.61)</f>
        <v>85.61</v>
      </c>
      <c r="C4158" s="1">
        <f>IFERROR(__xludf.DUMMYFUNCTION("""COMPUTED_VALUE"""),85.95)</f>
        <v>85.95</v>
      </c>
      <c r="D4158" s="1">
        <f>IFERROR(__xludf.DUMMYFUNCTION("""COMPUTED_VALUE"""),84.91)</f>
        <v>84.91</v>
      </c>
      <c r="E4158" s="1">
        <f>IFERROR(__xludf.DUMMYFUNCTION("""COMPUTED_VALUE"""),85.75)</f>
        <v>85.75</v>
      </c>
      <c r="F4158" s="1">
        <f>IFERROR(__xludf.DUMMYFUNCTION("""COMPUTED_VALUE"""),6156824.0)</f>
        <v>6156824</v>
      </c>
    </row>
    <row r="4159">
      <c r="A4159" s="2">
        <f>IFERROR(__xludf.DUMMYFUNCTION("""COMPUTED_VALUE"""),42563.66666666667)</f>
        <v>42563.66667</v>
      </c>
      <c r="B4159" s="1">
        <f>IFERROR(__xludf.DUMMYFUNCTION("""COMPUTED_VALUE"""),85.49)</f>
        <v>85.49</v>
      </c>
      <c r="C4159" s="1">
        <f>IFERROR(__xludf.DUMMYFUNCTION("""COMPUTED_VALUE"""),85.94)</f>
        <v>85.94</v>
      </c>
      <c r="D4159" s="1">
        <f>IFERROR(__xludf.DUMMYFUNCTION("""COMPUTED_VALUE"""),85.19)</f>
        <v>85.19</v>
      </c>
      <c r="E4159" s="1">
        <f>IFERROR(__xludf.DUMMYFUNCTION("""COMPUTED_VALUE"""),85.75)</f>
        <v>85.75</v>
      </c>
      <c r="F4159" s="1">
        <f>IFERROR(__xludf.DUMMYFUNCTION("""COMPUTED_VALUE"""),6649827.0)</f>
        <v>6649827</v>
      </c>
    </row>
    <row r="4160">
      <c r="A4160" s="2">
        <f>IFERROR(__xludf.DUMMYFUNCTION("""COMPUTED_VALUE"""),42564.66666666667)</f>
        <v>42564.66667</v>
      </c>
      <c r="B4160" s="1">
        <f>IFERROR(__xludf.DUMMYFUNCTION("""COMPUTED_VALUE"""),85.81)</f>
        <v>85.81</v>
      </c>
      <c r="C4160" s="1">
        <f>IFERROR(__xludf.DUMMYFUNCTION("""COMPUTED_VALUE"""),86.15)</f>
        <v>86.15</v>
      </c>
      <c r="D4160" s="1">
        <f>IFERROR(__xludf.DUMMYFUNCTION("""COMPUTED_VALUE"""),85.41)</f>
        <v>85.41</v>
      </c>
      <c r="E4160" s="1">
        <f>IFERROR(__xludf.DUMMYFUNCTION("""COMPUTED_VALUE"""),85.89)</f>
        <v>85.89</v>
      </c>
      <c r="F4160" s="1">
        <f>IFERROR(__xludf.DUMMYFUNCTION("""COMPUTED_VALUE"""),7571473.0)</f>
        <v>7571473</v>
      </c>
    </row>
    <row r="4161">
      <c r="A4161" s="2">
        <f>IFERROR(__xludf.DUMMYFUNCTION("""COMPUTED_VALUE"""),42565.66666666667)</f>
        <v>42565.66667</v>
      </c>
      <c r="B4161" s="1">
        <f>IFERROR(__xludf.DUMMYFUNCTION("""COMPUTED_VALUE"""),86.44)</f>
        <v>86.44</v>
      </c>
      <c r="C4161" s="1">
        <f>IFERROR(__xludf.DUMMYFUNCTION("""COMPUTED_VALUE"""),86.89)</f>
        <v>86.89</v>
      </c>
      <c r="D4161" s="1">
        <f>IFERROR(__xludf.DUMMYFUNCTION("""COMPUTED_VALUE"""),85.85)</f>
        <v>85.85</v>
      </c>
      <c r="E4161" s="1">
        <f>IFERROR(__xludf.DUMMYFUNCTION("""COMPUTED_VALUE"""),85.87)</f>
        <v>85.87</v>
      </c>
      <c r="F4161" s="1">
        <f>IFERROR(__xludf.DUMMYFUNCTION("""COMPUTED_VALUE"""),1.1342573E7)</f>
        <v>11342573</v>
      </c>
    </row>
    <row r="4162">
      <c r="A4162" s="2">
        <f>IFERROR(__xludf.DUMMYFUNCTION("""COMPUTED_VALUE"""),42566.66666666667)</f>
        <v>42566.66667</v>
      </c>
      <c r="B4162" s="1">
        <f>IFERROR(__xludf.DUMMYFUNCTION("""COMPUTED_VALUE"""),86.25)</f>
        <v>86.25</v>
      </c>
      <c r="C4162" s="1">
        <f>IFERROR(__xludf.DUMMYFUNCTION("""COMPUTED_VALUE"""),86.48)</f>
        <v>86.48</v>
      </c>
      <c r="D4162" s="1">
        <f>IFERROR(__xludf.DUMMYFUNCTION("""COMPUTED_VALUE"""),85.79)</f>
        <v>85.79</v>
      </c>
      <c r="E4162" s="1">
        <f>IFERROR(__xludf.DUMMYFUNCTION("""COMPUTED_VALUE"""),86.01)</f>
        <v>86.01</v>
      </c>
      <c r="F4162" s="1">
        <f>IFERROR(__xludf.DUMMYFUNCTION("""COMPUTED_VALUE"""),8491347.0)</f>
        <v>8491347</v>
      </c>
    </row>
    <row r="4163">
      <c r="A4163" s="2">
        <f>IFERROR(__xludf.DUMMYFUNCTION("""COMPUTED_VALUE"""),42569.66666666667)</f>
        <v>42569.66667</v>
      </c>
      <c r="B4163" s="1">
        <f>IFERROR(__xludf.DUMMYFUNCTION("""COMPUTED_VALUE"""),86.02)</f>
        <v>86.02</v>
      </c>
      <c r="C4163" s="1">
        <f>IFERROR(__xludf.DUMMYFUNCTION("""COMPUTED_VALUE"""),86.05)</f>
        <v>86.05</v>
      </c>
      <c r="D4163" s="1">
        <f>IFERROR(__xludf.DUMMYFUNCTION("""COMPUTED_VALUE"""),85.7)</f>
        <v>85.7</v>
      </c>
      <c r="E4163" s="1">
        <f>IFERROR(__xludf.DUMMYFUNCTION("""COMPUTED_VALUE"""),85.93)</f>
        <v>85.93</v>
      </c>
      <c r="F4163" s="1">
        <f>IFERROR(__xludf.DUMMYFUNCTION("""COMPUTED_VALUE"""),4781778.0)</f>
        <v>4781778</v>
      </c>
    </row>
    <row r="4164">
      <c r="A4164" s="2">
        <f>IFERROR(__xludf.DUMMYFUNCTION("""COMPUTED_VALUE"""),42570.66666666667)</f>
        <v>42570.66667</v>
      </c>
      <c r="B4164" s="1">
        <f>IFERROR(__xludf.DUMMYFUNCTION("""COMPUTED_VALUE"""),85.67)</f>
        <v>85.67</v>
      </c>
      <c r="C4164" s="1">
        <f>IFERROR(__xludf.DUMMYFUNCTION("""COMPUTED_VALUE"""),86.18)</f>
        <v>86.18</v>
      </c>
      <c r="D4164" s="1">
        <f>IFERROR(__xludf.DUMMYFUNCTION("""COMPUTED_VALUE"""),85.56)</f>
        <v>85.56</v>
      </c>
      <c r="E4164" s="1">
        <f>IFERROR(__xludf.DUMMYFUNCTION("""COMPUTED_VALUE"""),86.17)</f>
        <v>86.17</v>
      </c>
      <c r="F4164" s="1">
        <f>IFERROR(__xludf.DUMMYFUNCTION("""COMPUTED_VALUE"""),6078231.0)</f>
        <v>6078231</v>
      </c>
    </row>
    <row r="4165">
      <c r="A4165" s="2">
        <f>IFERROR(__xludf.DUMMYFUNCTION("""COMPUTED_VALUE"""),42571.66666666667)</f>
        <v>42571.66667</v>
      </c>
      <c r="B4165" s="1">
        <f>IFERROR(__xludf.DUMMYFUNCTION("""COMPUTED_VALUE"""),85.38)</f>
        <v>85.38</v>
      </c>
      <c r="C4165" s="1">
        <f>IFERROR(__xludf.DUMMYFUNCTION("""COMPUTED_VALUE"""),85.73)</f>
        <v>85.73</v>
      </c>
      <c r="D4165" s="1">
        <f>IFERROR(__xludf.DUMMYFUNCTION("""COMPUTED_VALUE"""),85.13)</f>
        <v>85.13</v>
      </c>
      <c r="E4165" s="1">
        <f>IFERROR(__xludf.DUMMYFUNCTION("""COMPUTED_VALUE"""),85.32)</f>
        <v>85.32</v>
      </c>
      <c r="F4165" s="1">
        <f>IFERROR(__xludf.DUMMYFUNCTION("""COMPUTED_VALUE"""),6289008.0)</f>
        <v>6289008</v>
      </c>
    </row>
    <row r="4166">
      <c r="A4166" s="2">
        <f>IFERROR(__xludf.DUMMYFUNCTION("""COMPUTED_VALUE"""),42572.66666666667)</f>
        <v>42572.66667</v>
      </c>
      <c r="B4166" s="1">
        <f>IFERROR(__xludf.DUMMYFUNCTION("""COMPUTED_VALUE"""),85.02)</f>
        <v>85.02</v>
      </c>
      <c r="C4166" s="1">
        <f>IFERROR(__xludf.DUMMYFUNCTION("""COMPUTED_VALUE"""),85.37)</f>
        <v>85.37</v>
      </c>
      <c r="D4166" s="1">
        <f>IFERROR(__xludf.DUMMYFUNCTION("""COMPUTED_VALUE"""),84.88)</f>
        <v>84.88</v>
      </c>
      <c r="E4166" s="1">
        <f>IFERROR(__xludf.DUMMYFUNCTION("""COMPUTED_VALUE"""),85.26)</f>
        <v>85.26</v>
      </c>
      <c r="F4166" s="1">
        <f>IFERROR(__xludf.DUMMYFUNCTION("""COMPUTED_VALUE"""),5471194.0)</f>
        <v>5471194</v>
      </c>
    </row>
    <row r="4167">
      <c r="A4167" s="2">
        <f>IFERROR(__xludf.DUMMYFUNCTION("""COMPUTED_VALUE"""),42573.66666666667)</f>
        <v>42573.66667</v>
      </c>
      <c r="B4167" s="1">
        <f>IFERROR(__xludf.DUMMYFUNCTION("""COMPUTED_VALUE"""),85.5)</f>
        <v>85.5</v>
      </c>
      <c r="C4167" s="1">
        <f>IFERROR(__xludf.DUMMYFUNCTION("""COMPUTED_VALUE"""),85.98)</f>
        <v>85.98</v>
      </c>
      <c r="D4167" s="1">
        <f>IFERROR(__xludf.DUMMYFUNCTION("""COMPUTED_VALUE"""),85.45)</f>
        <v>85.45</v>
      </c>
      <c r="E4167" s="1">
        <f>IFERROR(__xludf.DUMMYFUNCTION("""COMPUTED_VALUE"""),85.72)</f>
        <v>85.72</v>
      </c>
      <c r="F4167" s="1">
        <f>IFERROR(__xludf.DUMMYFUNCTION("""COMPUTED_VALUE"""),6165618.0)</f>
        <v>6165618</v>
      </c>
    </row>
    <row r="4168">
      <c r="A4168" s="2">
        <f>IFERROR(__xludf.DUMMYFUNCTION("""COMPUTED_VALUE"""),42576.66666666667)</f>
        <v>42576.66667</v>
      </c>
      <c r="B4168" s="1">
        <f>IFERROR(__xludf.DUMMYFUNCTION("""COMPUTED_VALUE"""),85.53)</f>
        <v>85.53</v>
      </c>
      <c r="C4168" s="1">
        <f>IFERROR(__xludf.DUMMYFUNCTION("""COMPUTED_VALUE"""),85.8)</f>
        <v>85.8</v>
      </c>
      <c r="D4168" s="1">
        <f>IFERROR(__xludf.DUMMYFUNCTION("""COMPUTED_VALUE"""),85.15)</f>
        <v>85.15</v>
      </c>
      <c r="E4168" s="1">
        <f>IFERROR(__xludf.DUMMYFUNCTION("""COMPUTED_VALUE"""),85.8)</f>
        <v>85.8</v>
      </c>
      <c r="F4168" s="1">
        <f>IFERROR(__xludf.DUMMYFUNCTION("""COMPUTED_VALUE"""),5604714.0)</f>
        <v>5604714</v>
      </c>
    </row>
    <row r="4169">
      <c r="A4169" s="2">
        <f>IFERROR(__xludf.DUMMYFUNCTION("""COMPUTED_VALUE"""),42577.66666666667)</f>
        <v>42577.66667</v>
      </c>
      <c r="B4169" s="1">
        <f>IFERROR(__xludf.DUMMYFUNCTION("""COMPUTED_VALUE"""),85.68)</f>
        <v>85.68</v>
      </c>
      <c r="C4169" s="1">
        <f>IFERROR(__xludf.DUMMYFUNCTION("""COMPUTED_VALUE"""),86.08)</f>
        <v>86.08</v>
      </c>
      <c r="D4169" s="1">
        <f>IFERROR(__xludf.DUMMYFUNCTION("""COMPUTED_VALUE"""),85.17)</f>
        <v>85.17</v>
      </c>
      <c r="E4169" s="1">
        <f>IFERROR(__xludf.DUMMYFUNCTION("""COMPUTED_VALUE"""),85.27)</f>
        <v>85.27</v>
      </c>
      <c r="F4169" s="1">
        <f>IFERROR(__xludf.DUMMYFUNCTION("""COMPUTED_VALUE"""),5377632.0)</f>
        <v>5377632</v>
      </c>
    </row>
    <row r="4170">
      <c r="A4170" s="2">
        <f>IFERROR(__xludf.DUMMYFUNCTION("""COMPUTED_VALUE"""),42578.66666666667)</f>
        <v>42578.66667</v>
      </c>
      <c r="B4170" s="1">
        <f>IFERROR(__xludf.DUMMYFUNCTION("""COMPUTED_VALUE"""),85.24)</f>
        <v>85.24</v>
      </c>
      <c r="C4170" s="1">
        <f>IFERROR(__xludf.DUMMYFUNCTION("""COMPUTED_VALUE"""),85.3)</f>
        <v>85.3</v>
      </c>
      <c r="D4170" s="1">
        <f>IFERROR(__xludf.DUMMYFUNCTION("""COMPUTED_VALUE"""),84.32)</f>
        <v>84.32</v>
      </c>
      <c r="E4170" s="1">
        <f>IFERROR(__xludf.DUMMYFUNCTION("""COMPUTED_VALUE"""),84.46)</f>
        <v>84.46</v>
      </c>
      <c r="F4170" s="1">
        <f>IFERROR(__xludf.DUMMYFUNCTION("""COMPUTED_VALUE"""),7744552.0)</f>
        <v>7744552</v>
      </c>
    </row>
    <row r="4171">
      <c r="A4171" s="2">
        <f>IFERROR(__xludf.DUMMYFUNCTION("""COMPUTED_VALUE"""),42579.66666666667)</f>
        <v>42579.66667</v>
      </c>
      <c r="B4171" s="1">
        <f>IFERROR(__xludf.DUMMYFUNCTION("""COMPUTED_VALUE"""),84.42)</f>
        <v>84.42</v>
      </c>
      <c r="C4171" s="1">
        <f>IFERROR(__xludf.DUMMYFUNCTION("""COMPUTED_VALUE"""),84.98)</f>
        <v>84.98</v>
      </c>
      <c r="D4171" s="1">
        <f>IFERROR(__xludf.DUMMYFUNCTION("""COMPUTED_VALUE"""),84.4)</f>
        <v>84.4</v>
      </c>
      <c r="E4171" s="1">
        <f>IFERROR(__xludf.DUMMYFUNCTION("""COMPUTED_VALUE"""),84.81)</f>
        <v>84.81</v>
      </c>
      <c r="F4171" s="1">
        <f>IFERROR(__xludf.DUMMYFUNCTION("""COMPUTED_VALUE"""),5911575.0)</f>
        <v>5911575</v>
      </c>
    </row>
    <row r="4172">
      <c r="A4172" s="2">
        <f>IFERROR(__xludf.DUMMYFUNCTION("""COMPUTED_VALUE"""),42580.66666666667)</f>
        <v>42580.66667</v>
      </c>
      <c r="B4172" s="1">
        <f>IFERROR(__xludf.DUMMYFUNCTION("""COMPUTED_VALUE"""),84.89)</f>
        <v>84.89</v>
      </c>
      <c r="C4172" s="1">
        <f>IFERROR(__xludf.DUMMYFUNCTION("""COMPUTED_VALUE"""),85.79)</f>
        <v>85.79</v>
      </c>
      <c r="D4172" s="1">
        <f>IFERROR(__xludf.DUMMYFUNCTION("""COMPUTED_VALUE"""),84.8)</f>
        <v>84.8</v>
      </c>
      <c r="E4172" s="1">
        <f>IFERROR(__xludf.DUMMYFUNCTION("""COMPUTED_VALUE"""),85.59)</f>
        <v>85.59</v>
      </c>
      <c r="F4172" s="1">
        <f>IFERROR(__xludf.DUMMYFUNCTION("""COMPUTED_VALUE"""),7520867.0)</f>
        <v>7520867</v>
      </c>
    </row>
    <row r="4173">
      <c r="A4173" s="2">
        <f>IFERROR(__xludf.DUMMYFUNCTION("""COMPUTED_VALUE"""),42583.66666666667)</f>
        <v>42583.66667</v>
      </c>
      <c r="B4173" s="1">
        <f>IFERROR(__xludf.DUMMYFUNCTION("""COMPUTED_VALUE"""),85.44)</f>
        <v>85.44</v>
      </c>
      <c r="C4173" s="1">
        <f>IFERROR(__xludf.DUMMYFUNCTION("""COMPUTED_VALUE"""),86.58)</f>
        <v>86.58</v>
      </c>
      <c r="D4173" s="1">
        <f>IFERROR(__xludf.DUMMYFUNCTION("""COMPUTED_VALUE"""),85.42)</f>
        <v>85.42</v>
      </c>
      <c r="E4173" s="1">
        <f>IFERROR(__xludf.DUMMYFUNCTION("""COMPUTED_VALUE"""),86.41)</f>
        <v>86.41</v>
      </c>
      <c r="F4173" s="1">
        <f>IFERROR(__xludf.DUMMYFUNCTION("""COMPUTED_VALUE"""),1.0419968E7)</f>
        <v>10419968</v>
      </c>
    </row>
    <row r="4174">
      <c r="A4174" s="2">
        <f>IFERROR(__xludf.DUMMYFUNCTION("""COMPUTED_VALUE"""),42584.66666666667)</f>
        <v>42584.66667</v>
      </c>
      <c r="B4174" s="1">
        <f>IFERROR(__xludf.DUMMYFUNCTION("""COMPUTED_VALUE"""),87.02)</f>
        <v>87.02</v>
      </c>
      <c r="C4174" s="1">
        <f>IFERROR(__xludf.DUMMYFUNCTION("""COMPUTED_VALUE"""),87.15)</f>
        <v>87.15</v>
      </c>
      <c r="D4174" s="1">
        <f>IFERROR(__xludf.DUMMYFUNCTION("""COMPUTED_VALUE"""),86.24)</f>
        <v>86.24</v>
      </c>
      <c r="E4174" s="1">
        <f>IFERROR(__xludf.DUMMYFUNCTION("""COMPUTED_VALUE"""),86.76)</f>
        <v>86.76</v>
      </c>
      <c r="F4174" s="1">
        <f>IFERROR(__xludf.DUMMYFUNCTION("""COMPUTED_VALUE"""),1.3083211E7)</f>
        <v>13083211</v>
      </c>
    </row>
    <row r="4175">
      <c r="A4175" s="2">
        <f>IFERROR(__xludf.DUMMYFUNCTION("""COMPUTED_VALUE"""),42585.66666666667)</f>
        <v>42585.66667</v>
      </c>
      <c r="B4175" s="1">
        <f>IFERROR(__xludf.DUMMYFUNCTION("""COMPUTED_VALUE"""),86.51)</f>
        <v>86.51</v>
      </c>
      <c r="C4175" s="1">
        <f>IFERROR(__xludf.DUMMYFUNCTION("""COMPUTED_VALUE"""),86.72)</f>
        <v>86.72</v>
      </c>
      <c r="D4175" s="1">
        <f>IFERROR(__xludf.DUMMYFUNCTION("""COMPUTED_VALUE"""),85.46)</f>
        <v>85.46</v>
      </c>
      <c r="E4175" s="1">
        <f>IFERROR(__xludf.DUMMYFUNCTION("""COMPUTED_VALUE"""),85.97)</f>
        <v>85.97</v>
      </c>
      <c r="F4175" s="1">
        <f>IFERROR(__xludf.DUMMYFUNCTION("""COMPUTED_VALUE"""),8192099.0)</f>
        <v>8192099</v>
      </c>
    </row>
    <row r="4176">
      <c r="A4176" s="2">
        <f>IFERROR(__xludf.DUMMYFUNCTION("""COMPUTED_VALUE"""),42586.66666666667)</f>
        <v>42586.66667</v>
      </c>
      <c r="B4176" s="1">
        <f>IFERROR(__xludf.DUMMYFUNCTION("""COMPUTED_VALUE"""),86.12)</f>
        <v>86.12</v>
      </c>
      <c r="C4176" s="1">
        <f>IFERROR(__xludf.DUMMYFUNCTION("""COMPUTED_VALUE"""),86.53)</f>
        <v>86.53</v>
      </c>
      <c r="D4176" s="1">
        <f>IFERROR(__xludf.DUMMYFUNCTION("""COMPUTED_VALUE"""),85.8)</f>
        <v>85.8</v>
      </c>
      <c r="E4176" s="1">
        <f>IFERROR(__xludf.DUMMYFUNCTION("""COMPUTED_VALUE"""),86.05)</f>
        <v>86.05</v>
      </c>
      <c r="F4176" s="1">
        <f>IFERROR(__xludf.DUMMYFUNCTION("""COMPUTED_VALUE"""),5564060.0)</f>
        <v>5564060</v>
      </c>
    </row>
    <row r="4177">
      <c r="A4177" s="2">
        <f>IFERROR(__xludf.DUMMYFUNCTION("""COMPUTED_VALUE"""),42587.66666666667)</f>
        <v>42587.66667</v>
      </c>
      <c r="B4177" s="1">
        <f>IFERROR(__xludf.DUMMYFUNCTION("""COMPUTED_VALUE"""),86.08)</f>
        <v>86.08</v>
      </c>
      <c r="C4177" s="1">
        <f>IFERROR(__xludf.DUMMYFUNCTION("""COMPUTED_VALUE"""),86.44)</f>
        <v>86.44</v>
      </c>
      <c r="D4177" s="1">
        <f>IFERROR(__xludf.DUMMYFUNCTION("""COMPUTED_VALUE"""),85.53)</f>
        <v>85.53</v>
      </c>
      <c r="E4177" s="1">
        <f>IFERROR(__xludf.DUMMYFUNCTION("""COMPUTED_VALUE"""),85.78)</f>
        <v>85.78</v>
      </c>
      <c r="F4177" s="1">
        <f>IFERROR(__xludf.DUMMYFUNCTION("""COMPUTED_VALUE"""),6729690.0)</f>
        <v>6729690</v>
      </c>
    </row>
    <row r="4178">
      <c r="A4178" s="2">
        <f>IFERROR(__xludf.DUMMYFUNCTION("""COMPUTED_VALUE"""),42590.66666666667)</f>
        <v>42590.66667</v>
      </c>
      <c r="B4178" s="1">
        <f>IFERROR(__xludf.DUMMYFUNCTION("""COMPUTED_VALUE"""),85.61)</f>
        <v>85.61</v>
      </c>
      <c r="C4178" s="1">
        <f>IFERROR(__xludf.DUMMYFUNCTION("""COMPUTED_VALUE"""),85.9)</f>
        <v>85.9</v>
      </c>
      <c r="D4178" s="1">
        <f>IFERROR(__xludf.DUMMYFUNCTION("""COMPUTED_VALUE"""),85.13)</f>
        <v>85.13</v>
      </c>
      <c r="E4178" s="1">
        <f>IFERROR(__xludf.DUMMYFUNCTION("""COMPUTED_VALUE"""),85.76)</f>
        <v>85.76</v>
      </c>
      <c r="F4178" s="1">
        <f>IFERROR(__xludf.DUMMYFUNCTION("""COMPUTED_VALUE"""),5388177.0)</f>
        <v>5388177</v>
      </c>
    </row>
    <row r="4179">
      <c r="A4179" s="2">
        <f>IFERROR(__xludf.DUMMYFUNCTION("""COMPUTED_VALUE"""),42591.66666666667)</f>
        <v>42591.66667</v>
      </c>
      <c r="B4179" s="1">
        <f>IFERROR(__xludf.DUMMYFUNCTION("""COMPUTED_VALUE"""),85.86)</f>
        <v>85.86</v>
      </c>
      <c r="C4179" s="1">
        <f>IFERROR(__xludf.DUMMYFUNCTION("""COMPUTED_VALUE"""),86.34)</f>
        <v>86.34</v>
      </c>
      <c r="D4179" s="1">
        <f>IFERROR(__xludf.DUMMYFUNCTION("""COMPUTED_VALUE"""),85.68)</f>
        <v>85.68</v>
      </c>
      <c r="E4179" s="1">
        <f>IFERROR(__xludf.DUMMYFUNCTION("""COMPUTED_VALUE"""),85.99)</f>
        <v>85.99</v>
      </c>
      <c r="F4179" s="1">
        <f>IFERROR(__xludf.DUMMYFUNCTION("""COMPUTED_VALUE"""),4158784.0)</f>
        <v>4158784</v>
      </c>
    </row>
    <row r="4180">
      <c r="A4180" s="2">
        <f>IFERROR(__xludf.DUMMYFUNCTION("""COMPUTED_VALUE"""),42592.66666666667)</f>
        <v>42592.66667</v>
      </c>
      <c r="B4180" s="1">
        <f>IFERROR(__xludf.DUMMYFUNCTION("""COMPUTED_VALUE"""),86.26)</f>
        <v>86.26</v>
      </c>
      <c r="C4180" s="1">
        <f>IFERROR(__xludf.DUMMYFUNCTION("""COMPUTED_VALUE"""),86.82)</f>
        <v>86.82</v>
      </c>
      <c r="D4180" s="1">
        <f>IFERROR(__xludf.DUMMYFUNCTION("""COMPUTED_VALUE"""),86.0)</f>
        <v>86</v>
      </c>
      <c r="E4180" s="1">
        <f>IFERROR(__xludf.DUMMYFUNCTION("""COMPUTED_VALUE"""),86.31)</f>
        <v>86.31</v>
      </c>
      <c r="F4180" s="1">
        <f>IFERROR(__xludf.DUMMYFUNCTION("""COMPUTED_VALUE"""),5981436.0)</f>
        <v>5981436</v>
      </c>
    </row>
    <row r="4181">
      <c r="A4181" s="2">
        <f>IFERROR(__xludf.DUMMYFUNCTION("""COMPUTED_VALUE"""),42593.66666666667)</f>
        <v>42593.66667</v>
      </c>
      <c r="B4181" s="1">
        <f>IFERROR(__xludf.DUMMYFUNCTION("""COMPUTED_VALUE"""),86.7)</f>
        <v>86.7</v>
      </c>
      <c r="C4181" s="1">
        <f>IFERROR(__xludf.DUMMYFUNCTION("""COMPUTED_VALUE"""),87.0)</f>
        <v>87</v>
      </c>
      <c r="D4181" s="1">
        <f>IFERROR(__xludf.DUMMYFUNCTION("""COMPUTED_VALUE"""),86.4)</f>
        <v>86.4</v>
      </c>
      <c r="E4181" s="1">
        <f>IFERROR(__xludf.DUMMYFUNCTION("""COMPUTED_VALUE"""),86.73)</f>
        <v>86.73</v>
      </c>
      <c r="F4181" s="1">
        <f>IFERROR(__xludf.DUMMYFUNCTION("""COMPUTED_VALUE"""),7387106.0)</f>
        <v>7387106</v>
      </c>
    </row>
    <row r="4182">
      <c r="A4182" s="2">
        <f>IFERROR(__xludf.DUMMYFUNCTION("""COMPUTED_VALUE"""),42594.66666666667)</f>
        <v>42594.66667</v>
      </c>
      <c r="B4182" s="1">
        <f>IFERROR(__xludf.DUMMYFUNCTION("""COMPUTED_VALUE"""),86.92)</f>
        <v>86.92</v>
      </c>
      <c r="C4182" s="1">
        <f>IFERROR(__xludf.DUMMYFUNCTION("""COMPUTED_VALUE"""),87.45)</f>
        <v>87.45</v>
      </c>
      <c r="D4182" s="1">
        <f>IFERROR(__xludf.DUMMYFUNCTION("""COMPUTED_VALUE"""),86.78)</f>
        <v>86.78</v>
      </c>
      <c r="E4182" s="1">
        <f>IFERROR(__xludf.DUMMYFUNCTION("""COMPUTED_VALUE"""),87.04)</f>
        <v>87.04</v>
      </c>
      <c r="F4182" s="1">
        <f>IFERROR(__xludf.DUMMYFUNCTION("""COMPUTED_VALUE"""),8063375.0)</f>
        <v>8063375</v>
      </c>
    </row>
    <row r="4183">
      <c r="A4183" s="2">
        <f>IFERROR(__xludf.DUMMYFUNCTION("""COMPUTED_VALUE"""),42597.66666666667)</f>
        <v>42597.66667</v>
      </c>
      <c r="B4183" s="1">
        <f>IFERROR(__xludf.DUMMYFUNCTION("""COMPUTED_VALUE"""),87.52)</f>
        <v>87.52</v>
      </c>
      <c r="C4183" s="1">
        <f>IFERROR(__xludf.DUMMYFUNCTION("""COMPUTED_VALUE"""),87.57)</f>
        <v>87.57</v>
      </c>
      <c r="D4183" s="1">
        <f>IFERROR(__xludf.DUMMYFUNCTION("""COMPUTED_VALUE"""),86.99)</f>
        <v>86.99</v>
      </c>
      <c r="E4183" s="1">
        <f>IFERROR(__xludf.DUMMYFUNCTION("""COMPUTED_VALUE"""),87.02)</f>
        <v>87.02</v>
      </c>
      <c r="F4183" s="1">
        <f>IFERROR(__xludf.DUMMYFUNCTION("""COMPUTED_VALUE"""),6871164.0)</f>
        <v>6871164</v>
      </c>
    </row>
    <row r="4184">
      <c r="A4184" s="2">
        <f>IFERROR(__xludf.DUMMYFUNCTION("""COMPUTED_VALUE"""),42598.66666666667)</f>
        <v>42598.66667</v>
      </c>
      <c r="B4184" s="1">
        <f>IFERROR(__xludf.DUMMYFUNCTION("""COMPUTED_VALUE"""),86.98)</f>
        <v>86.98</v>
      </c>
      <c r="C4184" s="1">
        <f>IFERROR(__xludf.DUMMYFUNCTION("""COMPUTED_VALUE"""),87.4)</f>
        <v>87.4</v>
      </c>
      <c r="D4184" s="1">
        <f>IFERROR(__xludf.DUMMYFUNCTION("""COMPUTED_VALUE"""),86.47)</f>
        <v>86.47</v>
      </c>
      <c r="E4184" s="1">
        <f>IFERROR(__xludf.DUMMYFUNCTION("""COMPUTED_VALUE"""),86.58)</f>
        <v>86.58</v>
      </c>
      <c r="F4184" s="1">
        <f>IFERROR(__xludf.DUMMYFUNCTION("""COMPUTED_VALUE"""),8071056.0)</f>
        <v>8071056</v>
      </c>
    </row>
    <row r="4185">
      <c r="A4185" s="2">
        <f>IFERROR(__xludf.DUMMYFUNCTION("""COMPUTED_VALUE"""),42599.66666666667)</f>
        <v>42599.66667</v>
      </c>
      <c r="B4185" s="1">
        <f>IFERROR(__xludf.DUMMYFUNCTION("""COMPUTED_VALUE"""),86.45)</f>
        <v>86.45</v>
      </c>
      <c r="C4185" s="1">
        <f>IFERROR(__xludf.DUMMYFUNCTION("""COMPUTED_VALUE"""),87.11)</f>
        <v>87.11</v>
      </c>
      <c r="D4185" s="1">
        <f>IFERROR(__xludf.DUMMYFUNCTION("""COMPUTED_VALUE"""),85.97)</f>
        <v>85.97</v>
      </c>
      <c r="E4185" s="1">
        <f>IFERROR(__xludf.DUMMYFUNCTION("""COMPUTED_VALUE"""),86.96)</f>
        <v>86.96</v>
      </c>
      <c r="F4185" s="1">
        <f>IFERROR(__xludf.DUMMYFUNCTION("""COMPUTED_VALUE"""),6762059.0)</f>
        <v>6762059</v>
      </c>
    </row>
    <row r="4186">
      <c r="A4186" s="2">
        <f>IFERROR(__xludf.DUMMYFUNCTION("""COMPUTED_VALUE"""),42600.66666666667)</f>
        <v>42600.66667</v>
      </c>
      <c r="B4186" s="1">
        <f>IFERROR(__xludf.DUMMYFUNCTION("""COMPUTED_VALUE"""),86.94)</f>
        <v>86.94</v>
      </c>
      <c r="C4186" s="1">
        <f>IFERROR(__xludf.DUMMYFUNCTION("""COMPUTED_VALUE"""),87.46)</f>
        <v>87.46</v>
      </c>
      <c r="D4186" s="1">
        <f>IFERROR(__xludf.DUMMYFUNCTION("""COMPUTED_VALUE"""),86.94)</f>
        <v>86.94</v>
      </c>
      <c r="E4186" s="1">
        <f>IFERROR(__xludf.DUMMYFUNCTION("""COMPUTED_VALUE"""),87.44)</f>
        <v>87.44</v>
      </c>
      <c r="F4186" s="1">
        <f>IFERROR(__xludf.DUMMYFUNCTION("""COMPUTED_VALUE"""),7082804.0)</f>
        <v>7082804</v>
      </c>
    </row>
    <row r="4187">
      <c r="A4187" s="2">
        <f>IFERROR(__xludf.DUMMYFUNCTION("""COMPUTED_VALUE"""),42601.66666666667)</f>
        <v>42601.66667</v>
      </c>
      <c r="B4187" s="1">
        <f>IFERROR(__xludf.DUMMYFUNCTION("""COMPUTED_VALUE"""),87.2)</f>
        <v>87.2</v>
      </c>
      <c r="C4187" s="1">
        <f>IFERROR(__xludf.DUMMYFUNCTION("""COMPUTED_VALUE"""),87.41)</f>
        <v>87.41</v>
      </c>
      <c r="D4187" s="1">
        <f>IFERROR(__xludf.DUMMYFUNCTION("""COMPUTED_VALUE"""),87.05)</f>
        <v>87.05</v>
      </c>
      <c r="E4187" s="1">
        <f>IFERROR(__xludf.DUMMYFUNCTION("""COMPUTED_VALUE"""),87.31)</f>
        <v>87.31</v>
      </c>
      <c r="F4187" s="1">
        <f>IFERROR(__xludf.DUMMYFUNCTION("""COMPUTED_VALUE"""),6199917.0)</f>
        <v>6199917</v>
      </c>
    </row>
    <row r="4188">
      <c r="A4188" s="2">
        <f>IFERROR(__xludf.DUMMYFUNCTION("""COMPUTED_VALUE"""),42604.66666666667)</f>
        <v>42604.66667</v>
      </c>
      <c r="B4188" s="1">
        <f>IFERROR(__xludf.DUMMYFUNCTION("""COMPUTED_VALUE"""),87.14)</f>
        <v>87.14</v>
      </c>
      <c r="C4188" s="1">
        <f>IFERROR(__xludf.DUMMYFUNCTION("""COMPUTED_VALUE"""),87.21)</f>
        <v>87.21</v>
      </c>
      <c r="D4188" s="1">
        <f>IFERROR(__xludf.DUMMYFUNCTION("""COMPUTED_VALUE"""),86.58)</f>
        <v>86.58</v>
      </c>
      <c r="E4188" s="1">
        <f>IFERROR(__xludf.DUMMYFUNCTION("""COMPUTED_VALUE"""),86.85)</f>
        <v>86.85</v>
      </c>
      <c r="F4188" s="1">
        <f>IFERROR(__xludf.DUMMYFUNCTION("""COMPUTED_VALUE"""),5921119.0)</f>
        <v>5921119</v>
      </c>
    </row>
    <row r="4189">
      <c r="A4189" s="2">
        <f>IFERROR(__xludf.DUMMYFUNCTION("""COMPUTED_VALUE"""),42605.66666666667)</f>
        <v>42605.66667</v>
      </c>
      <c r="B4189" s="1">
        <f>IFERROR(__xludf.DUMMYFUNCTION("""COMPUTED_VALUE"""),87.13)</f>
        <v>87.13</v>
      </c>
      <c r="C4189" s="1">
        <f>IFERROR(__xludf.DUMMYFUNCTION("""COMPUTED_VALUE"""),87.5)</f>
        <v>87.5</v>
      </c>
      <c r="D4189" s="1">
        <f>IFERROR(__xludf.DUMMYFUNCTION("""COMPUTED_VALUE"""),87.04)</f>
        <v>87.04</v>
      </c>
      <c r="E4189" s="1">
        <f>IFERROR(__xludf.DUMMYFUNCTION("""COMPUTED_VALUE"""),87.4)</f>
        <v>87.4</v>
      </c>
      <c r="F4189" s="1">
        <f>IFERROR(__xludf.DUMMYFUNCTION("""COMPUTED_VALUE"""),5420109.0)</f>
        <v>5420109</v>
      </c>
    </row>
    <row r="4190">
      <c r="A4190" s="2">
        <f>IFERROR(__xludf.DUMMYFUNCTION("""COMPUTED_VALUE"""),42606.66666666667)</f>
        <v>42606.66667</v>
      </c>
      <c r="B4190" s="1">
        <f>IFERROR(__xludf.DUMMYFUNCTION("""COMPUTED_VALUE"""),87.32)</f>
        <v>87.32</v>
      </c>
      <c r="C4190" s="1">
        <f>IFERROR(__xludf.DUMMYFUNCTION("""COMPUTED_VALUE"""),87.45)</f>
        <v>87.45</v>
      </c>
      <c r="D4190" s="1">
        <f>IFERROR(__xludf.DUMMYFUNCTION("""COMPUTED_VALUE"""),86.56)</f>
        <v>86.56</v>
      </c>
      <c r="E4190" s="1">
        <f>IFERROR(__xludf.DUMMYFUNCTION("""COMPUTED_VALUE"""),87.31)</f>
        <v>87.31</v>
      </c>
      <c r="F4190" s="1">
        <f>IFERROR(__xludf.DUMMYFUNCTION("""COMPUTED_VALUE"""),5713285.0)</f>
        <v>5713285</v>
      </c>
    </row>
    <row r="4191">
      <c r="A4191" s="2">
        <f>IFERROR(__xludf.DUMMYFUNCTION("""COMPUTED_VALUE"""),42607.66666666667)</f>
        <v>42607.66667</v>
      </c>
      <c r="B4191" s="1">
        <f>IFERROR(__xludf.DUMMYFUNCTION("""COMPUTED_VALUE"""),87.3)</f>
        <v>87.3</v>
      </c>
      <c r="C4191" s="1">
        <f>IFERROR(__xludf.DUMMYFUNCTION("""COMPUTED_VALUE"""),87.94)</f>
        <v>87.94</v>
      </c>
      <c r="D4191" s="1">
        <f>IFERROR(__xludf.DUMMYFUNCTION("""COMPUTED_VALUE"""),87.04)</f>
        <v>87.04</v>
      </c>
      <c r="E4191" s="1">
        <f>IFERROR(__xludf.DUMMYFUNCTION("""COMPUTED_VALUE"""),87.9)</f>
        <v>87.9</v>
      </c>
      <c r="F4191" s="1">
        <f>IFERROR(__xludf.DUMMYFUNCTION("""COMPUTED_VALUE"""),1.0594773E7)</f>
        <v>10594773</v>
      </c>
    </row>
    <row r="4192">
      <c r="A4192" s="2">
        <f>IFERROR(__xludf.DUMMYFUNCTION("""COMPUTED_VALUE"""),42608.66666666667)</f>
        <v>42608.66667</v>
      </c>
      <c r="B4192" s="1">
        <f>IFERROR(__xludf.DUMMYFUNCTION("""COMPUTED_VALUE"""),87.87)</f>
        <v>87.87</v>
      </c>
      <c r="C4192" s="1">
        <f>IFERROR(__xludf.DUMMYFUNCTION("""COMPUTED_VALUE"""),88.5)</f>
        <v>88.5</v>
      </c>
      <c r="D4192" s="1">
        <f>IFERROR(__xludf.DUMMYFUNCTION("""COMPUTED_VALUE"""),87.17)</f>
        <v>87.17</v>
      </c>
      <c r="E4192" s="1">
        <f>IFERROR(__xludf.DUMMYFUNCTION("""COMPUTED_VALUE"""),87.58)</f>
        <v>87.58</v>
      </c>
      <c r="F4192" s="1">
        <f>IFERROR(__xludf.DUMMYFUNCTION("""COMPUTED_VALUE"""),1.6408187E7)</f>
        <v>16408187</v>
      </c>
    </row>
    <row r="4193">
      <c r="A4193" s="2">
        <f>IFERROR(__xludf.DUMMYFUNCTION("""COMPUTED_VALUE"""),42611.66666666667)</f>
        <v>42611.66667</v>
      </c>
      <c r="B4193" s="1">
        <f>IFERROR(__xludf.DUMMYFUNCTION("""COMPUTED_VALUE"""),87.39)</f>
        <v>87.39</v>
      </c>
      <c r="C4193" s="1">
        <f>IFERROR(__xludf.DUMMYFUNCTION("""COMPUTED_VALUE"""),88.4)</f>
        <v>88.4</v>
      </c>
      <c r="D4193" s="1">
        <f>IFERROR(__xludf.DUMMYFUNCTION("""COMPUTED_VALUE"""),87.32)</f>
        <v>87.32</v>
      </c>
      <c r="E4193" s="1">
        <f>IFERROR(__xludf.DUMMYFUNCTION("""COMPUTED_VALUE"""),88.3)</f>
        <v>88.3</v>
      </c>
      <c r="F4193" s="1">
        <f>IFERROR(__xludf.DUMMYFUNCTION("""COMPUTED_VALUE"""),8934447.0)</f>
        <v>8934447</v>
      </c>
    </row>
    <row r="4194">
      <c r="A4194" s="2">
        <f>IFERROR(__xludf.DUMMYFUNCTION("""COMPUTED_VALUE"""),42612.66666666667)</f>
        <v>42612.66667</v>
      </c>
      <c r="B4194" s="1">
        <f>IFERROR(__xludf.DUMMYFUNCTION("""COMPUTED_VALUE"""),87.72)</f>
        <v>87.72</v>
      </c>
      <c r="C4194" s="1">
        <f>IFERROR(__xludf.DUMMYFUNCTION("""COMPUTED_VALUE"""),88.3)</f>
        <v>88.3</v>
      </c>
      <c r="D4194" s="1">
        <f>IFERROR(__xludf.DUMMYFUNCTION("""COMPUTED_VALUE"""),87.46)</f>
        <v>87.46</v>
      </c>
      <c r="E4194" s="1">
        <f>IFERROR(__xludf.DUMMYFUNCTION("""COMPUTED_VALUE"""),87.54)</f>
        <v>87.54</v>
      </c>
      <c r="F4194" s="1">
        <f>IFERROR(__xludf.DUMMYFUNCTION("""COMPUTED_VALUE"""),1.1618492E7)</f>
        <v>11618492</v>
      </c>
    </row>
    <row r="4195">
      <c r="A4195" s="2">
        <f>IFERROR(__xludf.DUMMYFUNCTION("""COMPUTED_VALUE"""),42613.66666666667)</f>
        <v>42613.66667</v>
      </c>
      <c r="B4195" s="1">
        <f>IFERROR(__xludf.DUMMYFUNCTION("""COMPUTED_VALUE"""),87.75)</f>
        <v>87.75</v>
      </c>
      <c r="C4195" s="1">
        <f>IFERROR(__xludf.DUMMYFUNCTION("""COMPUTED_VALUE"""),87.85)</f>
        <v>87.85</v>
      </c>
      <c r="D4195" s="1">
        <f>IFERROR(__xludf.DUMMYFUNCTION("""COMPUTED_VALUE"""),87.03)</f>
        <v>87.03</v>
      </c>
      <c r="E4195" s="1">
        <f>IFERROR(__xludf.DUMMYFUNCTION("""COMPUTED_VALUE"""),87.31)</f>
        <v>87.31</v>
      </c>
      <c r="F4195" s="1">
        <f>IFERROR(__xludf.DUMMYFUNCTION("""COMPUTED_VALUE"""),1.1407806E7)</f>
        <v>11407806</v>
      </c>
    </row>
    <row r="4196">
      <c r="A4196" s="2">
        <f>IFERROR(__xludf.DUMMYFUNCTION("""COMPUTED_VALUE"""),42614.66666666667)</f>
        <v>42614.66667</v>
      </c>
      <c r="B4196" s="1">
        <f>IFERROR(__xludf.DUMMYFUNCTION("""COMPUTED_VALUE"""),87.36)</f>
        <v>87.36</v>
      </c>
      <c r="C4196" s="1">
        <f>IFERROR(__xludf.DUMMYFUNCTION("""COMPUTED_VALUE"""),88.31)</f>
        <v>88.31</v>
      </c>
      <c r="D4196" s="1">
        <f>IFERROR(__xludf.DUMMYFUNCTION("""COMPUTED_VALUE"""),86.98)</f>
        <v>86.98</v>
      </c>
      <c r="E4196" s="1">
        <f>IFERROR(__xludf.DUMMYFUNCTION("""COMPUTED_VALUE"""),88.31)</f>
        <v>88.31</v>
      </c>
      <c r="F4196" s="1">
        <f>IFERROR(__xludf.DUMMYFUNCTION("""COMPUTED_VALUE"""),2.9793245E7)</f>
        <v>29793245</v>
      </c>
    </row>
    <row r="4197">
      <c r="A4197" s="2">
        <f>IFERROR(__xludf.DUMMYFUNCTION("""COMPUTED_VALUE"""),42615.66666666667)</f>
        <v>42615.66667</v>
      </c>
      <c r="B4197" s="1">
        <f>IFERROR(__xludf.DUMMYFUNCTION("""COMPUTED_VALUE"""),88.48)</f>
        <v>88.48</v>
      </c>
      <c r="C4197" s="1">
        <f>IFERROR(__xludf.DUMMYFUNCTION("""COMPUTED_VALUE"""),88.87)</f>
        <v>88.87</v>
      </c>
      <c r="D4197" s="1">
        <f>IFERROR(__xludf.DUMMYFUNCTION("""COMPUTED_VALUE"""),88.04)</f>
        <v>88.04</v>
      </c>
      <c r="E4197" s="1">
        <f>IFERROR(__xludf.DUMMYFUNCTION("""COMPUTED_VALUE"""),88.2)</f>
        <v>88.2</v>
      </c>
      <c r="F4197" s="1">
        <f>IFERROR(__xludf.DUMMYFUNCTION("""COMPUTED_VALUE"""),1.7467358E7)</f>
        <v>17467358</v>
      </c>
    </row>
    <row r="4198">
      <c r="A4198" s="2">
        <f>IFERROR(__xludf.DUMMYFUNCTION("""COMPUTED_VALUE"""),42619.66666666667)</f>
        <v>42619.66667</v>
      </c>
      <c r="B4198" s="1">
        <f>IFERROR(__xludf.DUMMYFUNCTION("""COMPUTED_VALUE"""),88.25)</f>
        <v>88.25</v>
      </c>
      <c r="C4198" s="1">
        <f>IFERROR(__xludf.DUMMYFUNCTION("""COMPUTED_VALUE"""),88.64)</f>
        <v>88.64</v>
      </c>
      <c r="D4198" s="1">
        <f>IFERROR(__xludf.DUMMYFUNCTION("""COMPUTED_VALUE"""),87.88)</f>
        <v>87.88</v>
      </c>
      <c r="E4198" s="1">
        <f>IFERROR(__xludf.DUMMYFUNCTION("""COMPUTED_VALUE"""),88.64)</f>
        <v>88.64</v>
      </c>
      <c r="F4198" s="1">
        <f>IFERROR(__xludf.DUMMYFUNCTION("""COMPUTED_VALUE"""),1.4472067E7)</f>
        <v>14472067</v>
      </c>
    </row>
    <row r="4199">
      <c r="A4199" s="2">
        <f>IFERROR(__xludf.DUMMYFUNCTION("""COMPUTED_VALUE"""),42620.66666666667)</f>
        <v>42620.66667</v>
      </c>
      <c r="B4199" s="1">
        <f>IFERROR(__xludf.DUMMYFUNCTION("""COMPUTED_VALUE"""),88.31)</f>
        <v>88.31</v>
      </c>
      <c r="C4199" s="1">
        <f>IFERROR(__xludf.DUMMYFUNCTION("""COMPUTED_VALUE"""),88.41)</f>
        <v>88.41</v>
      </c>
      <c r="D4199" s="1">
        <f>IFERROR(__xludf.DUMMYFUNCTION("""COMPUTED_VALUE"""),87.71)</f>
        <v>87.71</v>
      </c>
      <c r="E4199" s="1">
        <f>IFERROR(__xludf.DUMMYFUNCTION("""COMPUTED_VALUE"""),87.95)</f>
        <v>87.95</v>
      </c>
      <c r="F4199" s="1">
        <f>IFERROR(__xludf.DUMMYFUNCTION("""COMPUTED_VALUE"""),1.7556418E7)</f>
        <v>17556418</v>
      </c>
    </row>
    <row r="4200">
      <c r="A4200" s="2">
        <f>IFERROR(__xludf.DUMMYFUNCTION("""COMPUTED_VALUE"""),42621.66666666667)</f>
        <v>42621.66667</v>
      </c>
      <c r="B4200" s="1">
        <f>IFERROR(__xludf.DUMMYFUNCTION("""COMPUTED_VALUE"""),87.95)</f>
        <v>87.95</v>
      </c>
      <c r="C4200" s="1">
        <f>IFERROR(__xludf.DUMMYFUNCTION("""COMPUTED_VALUE"""),88.18)</f>
        <v>88.18</v>
      </c>
      <c r="D4200" s="1">
        <f>IFERROR(__xludf.DUMMYFUNCTION("""COMPUTED_VALUE"""),87.63)</f>
        <v>87.63</v>
      </c>
      <c r="E4200" s="1">
        <f>IFERROR(__xludf.DUMMYFUNCTION("""COMPUTED_VALUE"""),87.78)</f>
        <v>87.78</v>
      </c>
      <c r="F4200" s="1">
        <f>IFERROR(__xludf.DUMMYFUNCTION("""COMPUTED_VALUE"""),2.3465367E7)</f>
        <v>23465367</v>
      </c>
    </row>
    <row r="4201">
      <c r="A4201" s="2">
        <f>IFERROR(__xludf.DUMMYFUNCTION("""COMPUTED_VALUE"""),42622.66666666667)</f>
        <v>42622.66667</v>
      </c>
      <c r="B4201" s="1">
        <f>IFERROR(__xludf.DUMMYFUNCTION("""COMPUTED_VALUE"""),87.1)</f>
        <v>87.1</v>
      </c>
      <c r="C4201" s="1">
        <f>IFERROR(__xludf.DUMMYFUNCTION("""COMPUTED_VALUE"""),87.17)</f>
        <v>87.17</v>
      </c>
      <c r="D4201" s="1">
        <f>IFERROR(__xludf.DUMMYFUNCTION("""COMPUTED_VALUE"""),86.24)</f>
        <v>86.24</v>
      </c>
      <c r="E4201" s="1">
        <f>IFERROR(__xludf.DUMMYFUNCTION("""COMPUTED_VALUE"""),86.24)</f>
        <v>86.24</v>
      </c>
      <c r="F4201" s="1">
        <f>IFERROR(__xludf.DUMMYFUNCTION("""COMPUTED_VALUE"""),2.1953687E7)</f>
        <v>21953687</v>
      </c>
    </row>
    <row r="4202">
      <c r="A4202" s="2">
        <f>IFERROR(__xludf.DUMMYFUNCTION("""COMPUTED_VALUE"""),42625.66666666667)</f>
        <v>42625.66667</v>
      </c>
      <c r="B4202" s="1">
        <f>IFERROR(__xludf.DUMMYFUNCTION("""COMPUTED_VALUE"""),86.04)</f>
        <v>86.04</v>
      </c>
      <c r="C4202" s="1">
        <f>IFERROR(__xludf.DUMMYFUNCTION("""COMPUTED_VALUE"""),88.38)</f>
        <v>88.38</v>
      </c>
      <c r="D4202" s="1">
        <f>IFERROR(__xludf.DUMMYFUNCTION("""COMPUTED_VALUE"""),85.96)</f>
        <v>85.96</v>
      </c>
      <c r="E4202" s="1">
        <f>IFERROR(__xludf.DUMMYFUNCTION("""COMPUTED_VALUE"""),88.25)</f>
        <v>88.25</v>
      </c>
      <c r="F4202" s="1">
        <f>IFERROR(__xludf.DUMMYFUNCTION("""COMPUTED_VALUE"""),1.610571E7)</f>
        <v>16105710</v>
      </c>
    </row>
    <row r="4203">
      <c r="A4203" s="2">
        <f>IFERROR(__xludf.DUMMYFUNCTION("""COMPUTED_VALUE"""),42626.66666666667)</f>
        <v>42626.66667</v>
      </c>
      <c r="B4203" s="1">
        <f>IFERROR(__xludf.DUMMYFUNCTION("""COMPUTED_VALUE"""),87.55)</f>
        <v>87.55</v>
      </c>
      <c r="C4203" s="1">
        <f>IFERROR(__xludf.DUMMYFUNCTION("""COMPUTED_VALUE"""),87.91)</f>
        <v>87.91</v>
      </c>
      <c r="D4203" s="1">
        <f>IFERROR(__xludf.DUMMYFUNCTION("""COMPUTED_VALUE"""),87.01)</f>
        <v>87.01</v>
      </c>
      <c r="E4203" s="1">
        <f>IFERROR(__xludf.DUMMYFUNCTION("""COMPUTED_VALUE"""),87.05)</f>
        <v>87.05</v>
      </c>
      <c r="F4203" s="1">
        <f>IFERROR(__xludf.DUMMYFUNCTION("""COMPUTED_VALUE"""),1.9682126E7)</f>
        <v>19682126</v>
      </c>
    </row>
    <row r="4204">
      <c r="A4204" s="2">
        <f>IFERROR(__xludf.DUMMYFUNCTION("""COMPUTED_VALUE"""),42627.66666666667)</f>
        <v>42627.66667</v>
      </c>
      <c r="B4204" s="1">
        <f>IFERROR(__xludf.DUMMYFUNCTION("""COMPUTED_VALUE"""),87.12)</f>
        <v>87.12</v>
      </c>
      <c r="C4204" s="1">
        <f>IFERROR(__xludf.DUMMYFUNCTION("""COMPUTED_VALUE"""),87.6)</f>
        <v>87.6</v>
      </c>
      <c r="D4204" s="1">
        <f>IFERROR(__xludf.DUMMYFUNCTION("""COMPUTED_VALUE"""),86.87)</f>
        <v>86.87</v>
      </c>
      <c r="E4204" s="1">
        <f>IFERROR(__xludf.DUMMYFUNCTION("""COMPUTED_VALUE"""),87.01)</f>
        <v>87.01</v>
      </c>
      <c r="F4204" s="1">
        <f>IFERROR(__xludf.DUMMYFUNCTION("""COMPUTED_VALUE"""),2.5397922E7)</f>
        <v>25397922</v>
      </c>
    </row>
    <row r="4205">
      <c r="A4205" s="2">
        <f>IFERROR(__xludf.DUMMYFUNCTION("""COMPUTED_VALUE"""),42628.66666666667)</f>
        <v>42628.66667</v>
      </c>
      <c r="B4205" s="1">
        <f>IFERROR(__xludf.DUMMYFUNCTION("""COMPUTED_VALUE"""),86.75)</f>
        <v>86.75</v>
      </c>
      <c r="C4205" s="1">
        <f>IFERROR(__xludf.DUMMYFUNCTION("""COMPUTED_VALUE"""),88.27)</f>
        <v>88.27</v>
      </c>
      <c r="D4205" s="1">
        <f>IFERROR(__xludf.DUMMYFUNCTION("""COMPUTED_VALUE"""),86.75)</f>
        <v>86.75</v>
      </c>
      <c r="E4205" s="1">
        <f>IFERROR(__xludf.DUMMYFUNCTION("""COMPUTED_VALUE"""),88.06)</f>
        <v>88.06</v>
      </c>
      <c r="F4205" s="1">
        <f>IFERROR(__xludf.DUMMYFUNCTION("""COMPUTED_VALUE"""),1.3891454E7)</f>
        <v>13891454</v>
      </c>
    </row>
    <row r="4206">
      <c r="A4206" s="2">
        <f>IFERROR(__xludf.DUMMYFUNCTION("""COMPUTED_VALUE"""),42629.66666666667)</f>
        <v>42629.66667</v>
      </c>
      <c r="B4206" s="1">
        <f>IFERROR(__xludf.DUMMYFUNCTION("""COMPUTED_VALUE"""),87.62)</f>
        <v>87.62</v>
      </c>
      <c r="C4206" s="1">
        <f>IFERROR(__xludf.DUMMYFUNCTION("""COMPUTED_VALUE"""),88.11)</f>
        <v>88.11</v>
      </c>
      <c r="D4206" s="1">
        <f>IFERROR(__xludf.DUMMYFUNCTION("""COMPUTED_VALUE"""),87.3)</f>
        <v>87.3</v>
      </c>
      <c r="E4206" s="1">
        <f>IFERROR(__xludf.DUMMYFUNCTION("""COMPUTED_VALUE"""),88.05)</f>
        <v>88.05</v>
      </c>
      <c r="F4206" s="1">
        <f>IFERROR(__xludf.DUMMYFUNCTION("""COMPUTED_VALUE"""),2.3518263E7)</f>
        <v>23518263</v>
      </c>
    </row>
    <row r="4207">
      <c r="A4207" s="2">
        <f>IFERROR(__xludf.DUMMYFUNCTION("""COMPUTED_VALUE"""),42632.66666666667)</f>
        <v>42632.66667</v>
      </c>
      <c r="B4207" s="1">
        <f>IFERROR(__xludf.DUMMYFUNCTION("""COMPUTED_VALUE"""),87.92)</f>
        <v>87.92</v>
      </c>
      <c r="C4207" s="1">
        <f>IFERROR(__xludf.DUMMYFUNCTION("""COMPUTED_VALUE"""),88.95)</f>
        <v>88.95</v>
      </c>
      <c r="D4207" s="1">
        <f>IFERROR(__xludf.DUMMYFUNCTION("""COMPUTED_VALUE"""),87.25)</f>
        <v>87.25</v>
      </c>
      <c r="E4207" s="1">
        <f>IFERROR(__xludf.DUMMYFUNCTION("""COMPUTED_VALUE"""),88.37)</f>
        <v>88.37</v>
      </c>
      <c r="F4207" s="1">
        <f>IFERROR(__xludf.DUMMYFUNCTION("""COMPUTED_VALUE"""),1.9173561E7)</f>
        <v>19173561</v>
      </c>
    </row>
    <row r="4208">
      <c r="A4208" s="2">
        <f>IFERROR(__xludf.DUMMYFUNCTION("""COMPUTED_VALUE"""),42633.66666666667)</f>
        <v>42633.66667</v>
      </c>
      <c r="B4208" s="1">
        <f>IFERROR(__xludf.DUMMYFUNCTION("""COMPUTED_VALUE"""),88.5)</f>
        <v>88.5</v>
      </c>
      <c r="C4208" s="1">
        <f>IFERROR(__xludf.DUMMYFUNCTION("""COMPUTED_VALUE"""),88.95)</f>
        <v>88.95</v>
      </c>
      <c r="D4208" s="1">
        <f>IFERROR(__xludf.DUMMYFUNCTION("""COMPUTED_VALUE"""),88.18)</f>
        <v>88.18</v>
      </c>
      <c r="E4208" s="1">
        <f>IFERROR(__xludf.DUMMYFUNCTION("""COMPUTED_VALUE"""),88.58)</f>
        <v>88.58</v>
      </c>
      <c r="F4208" s="1">
        <f>IFERROR(__xludf.DUMMYFUNCTION("""COMPUTED_VALUE"""),3.3986484E7)</f>
        <v>33986484</v>
      </c>
    </row>
    <row r="4209">
      <c r="A4209" s="2">
        <f>IFERROR(__xludf.DUMMYFUNCTION("""COMPUTED_VALUE"""),42634.66666666667)</f>
        <v>42634.66667</v>
      </c>
      <c r="B4209" s="1">
        <f>IFERROR(__xludf.DUMMYFUNCTION("""COMPUTED_VALUE"""),88.54)</f>
        <v>88.54</v>
      </c>
      <c r="C4209" s="1">
        <f>IFERROR(__xludf.DUMMYFUNCTION("""COMPUTED_VALUE"""),88.79)</f>
        <v>88.79</v>
      </c>
      <c r="D4209" s="1">
        <f>IFERROR(__xludf.DUMMYFUNCTION("""COMPUTED_VALUE"""),86.44)</f>
        <v>86.44</v>
      </c>
      <c r="E4209" s="1">
        <f>IFERROR(__xludf.DUMMYFUNCTION("""COMPUTED_VALUE"""),87.8)</f>
        <v>87.8</v>
      </c>
      <c r="F4209" s="1">
        <f>IFERROR(__xludf.DUMMYFUNCTION("""COMPUTED_VALUE"""),5.5409813E7)</f>
        <v>55409813</v>
      </c>
    </row>
    <row r="4210">
      <c r="A4210" s="2">
        <f>IFERROR(__xludf.DUMMYFUNCTION("""COMPUTED_VALUE"""),42635.66666666667)</f>
        <v>42635.66667</v>
      </c>
      <c r="B4210" s="1">
        <f>IFERROR(__xludf.DUMMYFUNCTION("""COMPUTED_VALUE"""),87.77)</f>
        <v>87.77</v>
      </c>
      <c r="C4210" s="1">
        <f>IFERROR(__xludf.DUMMYFUNCTION("""COMPUTED_VALUE"""),89.3)</f>
        <v>89.3</v>
      </c>
      <c r="D4210" s="1">
        <f>IFERROR(__xludf.DUMMYFUNCTION("""COMPUTED_VALUE"""),87.77)</f>
        <v>87.77</v>
      </c>
      <c r="E4210" s="1">
        <f>IFERROR(__xludf.DUMMYFUNCTION("""COMPUTED_VALUE"""),88.99)</f>
        <v>88.99</v>
      </c>
      <c r="F4210" s="1">
        <f>IFERROR(__xludf.DUMMYFUNCTION("""COMPUTED_VALUE"""),5.2692368E7)</f>
        <v>52692368</v>
      </c>
    </row>
    <row r="4211">
      <c r="A4211" s="2">
        <f>IFERROR(__xludf.DUMMYFUNCTION("""COMPUTED_VALUE"""),42636.66666666667)</f>
        <v>42636.66667</v>
      </c>
      <c r="B4211" s="1">
        <f>IFERROR(__xludf.DUMMYFUNCTION("""COMPUTED_VALUE"""),88.63)</f>
        <v>88.63</v>
      </c>
      <c r="C4211" s="1">
        <f>IFERROR(__xludf.DUMMYFUNCTION("""COMPUTED_VALUE"""),88.94)</f>
        <v>88.94</v>
      </c>
      <c r="D4211" s="1">
        <f>IFERROR(__xludf.DUMMYFUNCTION("""COMPUTED_VALUE"""),87.49)</f>
        <v>87.49</v>
      </c>
      <c r="E4211" s="1">
        <f>IFERROR(__xludf.DUMMYFUNCTION("""COMPUTED_VALUE"""),87.76)</f>
        <v>87.76</v>
      </c>
      <c r="F4211" s="1">
        <f>IFERROR(__xludf.DUMMYFUNCTION("""COMPUTED_VALUE"""),4.8281375E7)</f>
        <v>48281375</v>
      </c>
    </row>
    <row r="4212">
      <c r="A4212" s="2">
        <f>IFERROR(__xludf.DUMMYFUNCTION("""COMPUTED_VALUE"""),42639.66666666667)</f>
        <v>42639.66667</v>
      </c>
      <c r="B4212" s="1">
        <f>IFERROR(__xludf.DUMMYFUNCTION("""COMPUTED_VALUE"""),87.42)</f>
        <v>87.42</v>
      </c>
      <c r="C4212" s="1">
        <f>IFERROR(__xludf.DUMMYFUNCTION("""COMPUTED_VALUE"""),88.43)</f>
        <v>88.43</v>
      </c>
      <c r="D4212" s="1">
        <f>IFERROR(__xludf.DUMMYFUNCTION("""COMPUTED_VALUE"""),86.61)</f>
        <v>86.61</v>
      </c>
      <c r="E4212" s="1">
        <f>IFERROR(__xludf.DUMMYFUNCTION("""COMPUTED_VALUE"""),87.85)</f>
        <v>87.85</v>
      </c>
      <c r="F4212" s="1">
        <f>IFERROR(__xludf.DUMMYFUNCTION("""COMPUTED_VALUE"""),6.0276563E7)</f>
        <v>60276563</v>
      </c>
    </row>
    <row r="4213">
      <c r="A4213" s="2">
        <f>IFERROR(__xludf.DUMMYFUNCTION("""COMPUTED_VALUE"""),42640.66666666667)</f>
        <v>42640.66667</v>
      </c>
      <c r="B4213" s="1">
        <f>IFERROR(__xludf.DUMMYFUNCTION("""COMPUTED_VALUE"""),88.06)</f>
        <v>88.06</v>
      </c>
      <c r="C4213" s="1">
        <f>IFERROR(__xludf.DUMMYFUNCTION("""COMPUTED_VALUE"""),88.81)</f>
        <v>88.81</v>
      </c>
      <c r="D4213" s="1">
        <f>IFERROR(__xludf.DUMMYFUNCTION("""COMPUTED_VALUE"""),87.66)</f>
        <v>87.66</v>
      </c>
      <c r="E4213" s="1">
        <f>IFERROR(__xludf.DUMMYFUNCTION("""COMPUTED_VALUE"""),88.36)</f>
        <v>88.36</v>
      </c>
      <c r="F4213" s="1">
        <f>IFERROR(__xludf.DUMMYFUNCTION("""COMPUTED_VALUE"""),6.5150794E7)</f>
        <v>65150794</v>
      </c>
    </row>
    <row r="4214">
      <c r="A4214" s="2">
        <f>IFERROR(__xludf.DUMMYFUNCTION("""COMPUTED_VALUE"""),42641.66666666667)</f>
        <v>42641.66667</v>
      </c>
      <c r="B4214" s="1">
        <f>IFERROR(__xludf.DUMMYFUNCTION("""COMPUTED_VALUE"""),88.98)</f>
        <v>88.98</v>
      </c>
      <c r="C4214" s="1">
        <f>IFERROR(__xludf.DUMMYFUNCTION("""COMPUTED_VALUE"""),89.73)</f>
        <v>89.73</v>
      </c>
      <c r="D4214" s="1">
        <f>IFERROR(__xludf.DUMMYFUNCTION("""COMPUTED_VALUE"""),88.47)</f>
        <v>88.47</v>
      </c>
      <c r="E4214" s="1">
        <f>IFERROR(__xludf.DUMMYFUNCTION("""COMPUTED_VALUE"""),89.46)</f>
        <v>89.46</v>
      </c>
      <c r="F4214" s="1">
        <f>IFERROR(__xludf.DUMMYFUNCTION("""COMPUTED_VALUE"""),8.9805959E7)</f>
        <v>89805959</v>
      </c>
    </row>
    <row r="4215">
      <c r="A4215" s="2">
        <f>IFERROR(__xludf.DUMMYFUNCTION("""COMPUTED_VALUE"""),42642.66666666667)</f>
        <v>42642.66667</v>
      </c>
      <c r="B4215" s="1">
        <f>IFERROR(__xludf.DUMMYFUNCTION("""COMPUTED_VALUE"""),89.16)</f>
        <v>89.16</v>
      </c>
      <c r="C4215" s="1">
        <f>IFERROR(__xludf.DUMMYFUNCTION("""COMPUTED_VALUE"""),89.27)</f>
        <v>89.27</v>
      </c>
      <c r="D4215" s="1">
        <f>IFERROR(__xludf.DUMMYFUNCTION("""COMPUTED_VALUE"""),87.54)</f>
        <v>87.54</v>
      </c>
      <c r="E4215" s="1">
        <f>IFERROR(__xludf.DUMMYFUNCTION("""COMPUTED_VALUE"""),88.23)</f>
        <v>88.23</v>
      </c>
      <c r="F4215" s="1">
        <f>IFERROR(__xludf.DUMMYFUNCTION("""COMPUTED_VALUE"""),7.458746E7)</f>
        <v>74587460</v>
      </c>
    </row>
    <row r="4216">
      <c r="A4216" s="2">
        <f>IFERROR(__xludf.DUMMYFUNCTION("""COMPUTED_VALUE"""),42643.66666666667)</f>
        <v>42643.66667</v>
      </c>
      <c r="B4216" s="1">
        <f>IFERROR(__xludf.DUMMYFUNCTION("""COMPUTED_VALUE"""),88.3)</f>
        <v>88.3</v>
      </c>
      <c r="C4216" s="1">
        <f>IFERROR(__xludf.DUMMYFUNCTION("""COMPUTED_VALUE"""),90.22)</f>
        <v>90.22</v>
      </c>
      <c r="D4216" s="1">
        <f>IFERROR(__xludf.DUMMYFUNCTION("""COMPUTED_VALUE"""),88.29)</f>
        <v>88.29</v>
      </c>
      <c r="E4216" s="1">
        <f>IFERROR(__xludf.DUMMYFUNCTION("""COMPUTED_VALUE"""),89.75)</f>
        <v>89.75</v>
      </c>
      <c r="F4216" s="1">
        <f>IFERROR(__xludf.DUMMYFUNCTION("""COMPUTED_VALUE"""),1.23735421E8)</f>
        <v>123735421</v>
      </c>
    </row>
    <row r="4217">
      <c r="A4217" s="2">
        <f>IFERROR(__xludf.DUMMYFUNCTION("""COMPUTED_VALUE"""),42646.66666666667)</f>
        <v>42646.66667</v>
      </c>
      <c r="B4217" s="1">
        <f>IFERROR(__xludf.DUMMYFUNCTION("""COMPUTED_VALUE"""),89.35)</f>
        <v>89.35</v>
      </c>
      <c r="C4217" s="1">
        <f>IFERROR(__xludf.DUMMYFUNCTION("""COMPUTED_VALUE"""),89.45)</f>
        <v>89.45</v>
      </c>
      <c r="D4217" s="1">
        <f>IFERROR(__xludf.DUMMYFUNCTION("""COMPUTED_VALUE"""),88.41)</f>
        <v>88.41</v>
      </c>
      <c r="E4217" s="1">
        <f>IFERROR(__xludf.DUMMYFUNCTION("""COMPUTED_VALUE"""),88.66)</f>
        <v>88.66</v>
      </c>
      <c r="F4217" s="1">
        <f>IFERROR(__xludf.DUMMYFUNCTION("""COMPUTED_VALUE"""),2.6789542E7)</f>
        <v>26789542</v>
      </c>
    </row>
    <row r="4218">
      <c r="A4218" s="2">
        <f>IFERROR(__xludf.DUMMYFUNCTION("""COMPUTED_VALUE"""),42647.66666666667)</f>
        <v>42647.66667</v>
      </c>
      <c r="B4218" s="1">
        <f>IFERROR(__xludf.DUMMYFUNCTION("""COMPUTED_VALUE"""),88.29)</f>
        <v>88.29</v>
      </c>
      <c r="C4218" s="1">
        <f>IFERROR(__xludf.DUMMYFUNCTION("""COMPUTED_VALUE"""),88.68)</f>
        <v>88.68</v>
      </c>
      <c r="D4218" s="1">
        <f>IFERROR(__xludf.DUMMYFUNCTION("""COMPUTED_VALUE"""),87.95)</f>
        <v>87.95</v>
      </c>
      <c r="E4218" s="1">
        <f>IFERROR(__xludf.DUMMYFUNCTION("""COMPUTED_VALUE"""),88.35)</f>
        <v>88.35</v>
      </c>
      <c r="F4218" s="1">
        <f>IFERROR(__xludf.DUMMYFUNCTION("""COMPUTED_VALUE"""),2.3317644E7)</f>
        <v>23317644</v>
      </c>
    </row>
    <row r="4219">
      <c r="A4219" s="2">
        <f>IFERROR(__xludf.DUMMYFUNCTION("""COMPUTED_VALUE"""),42648.66666666667)</f>
        <v>42648.66667</v>
      </c>
      <c r="B4219" s="1">
        <f>IFERROR(__xludf.DUMMYFUNCTION("""COMPUTED_VALUE"""),88.48)</f>
        <v>88.48</v>
      </c>
      <c r="C4219" s="1">
        <f>IFERROR(__xludf.DUMMYFUNCTION("""COMPUTED_VALUE"""),89.0)</f>
        <v>89</v>
      </c>
      <c r="D4219" s="1">
        <f>IFERROR(__xludf.DUMMYFUNCTION("""COMPUTED_VALUE"""),88.21)</f>
        <v>88.21</v>
      </c>
      <c r="E4219" s="1">
        <f>IFERROR(__xludf.DUMMYFUNCTION("""COMPUTED_VALUE"""),88.85)</f>
        <v>88.85</v>
      </c>
      <c r="F4219" s="1">
        <f>IFERROR(__xludf.DUMMYFUNCTION("""COMPUTED_VALUE"""),6.4580261E7)</f>
        <v>64580261</v>
      </c>
    </row>
    <row r="4220">
      <c r="A4220" s="2">
        <f>IFERROR(__xludf.DUMMYFUNCTION("""COMPUTED_VALUE"""),42649.66666666667)</f>
        <v>42649.66667</v>
      </c>
      <c r="B4220" s="1">
        <f>IFERROR(__xludf.DUMMYFUNCTION("""COMPUTED_VALUE"""),88.83)</f>
        <v>88.83</v>
      </c>
      <c r="C4220" s="1">
        <f>IFERROR(__xludf.DUMMYFUNCTION("""COMPUTED_VALUE"""),89.73)</f>
        <v>89.73</v>
      </c>
      <c r="D4220" s="1">
        <f>IFERROR(__xludf.DUMMYFUNCTION("""COMPUTED_VALUE"""),88.47)</f>
        <v>88.47</v>
      </c>
      <c r="E4220" s="1">
        <f>IFERROR(__xludf.DUMMYFUNCTION("""COMPUTED_VALUE"""),89.22)</f>
        <v>89.22</v>
      </c>
      <c r="F4220" s="1">
        <f>IFERROR(__xludf.DUMMYFUNCTION("""COMPUTED_VALUE"""),6.1462572E7)</f>
        <v>61462572</v>
      </c>
    </row>
    <row r="4221">
      <c r="A4221" s="2">
        <f>IFERROR(__xludf.DUMMYFUNCTION("""COMPUTED_VALUE"""),42650.66666666667)</f>
        <v>42650.66667</v>
      </c>
      <c r="B4221" s="1">
        <f>IFERROR(__xludf.DUMMYFUNCTION("""COMPUTED_VALUE"""),89.01)</f>
        <v>89.01</v>
      </c>
      <c r="C4221" s="1">
        <f>IFERROR(__xludf.DUMMYFUNCTION("""COMPUTED_VALUE"""),90.05)</f>
        <v>90.05</v>
      </c>
      <c r="D4221" s="1">
        <f>IFERROR(__xludf.DUMMYFUNCTION("""COMPUTED_VALUE"""),88.3)</f>
        <v>88.3</v>
      </c>
      <c r="E4221" s="1">
        <f>IFERROR(__xludf.DUMMYFUNCTION("""COMPUTED_VALUE"""),90.0)</f>
        <v>90</v>
      </c>
      <c r="F4221" s="1">
        <f>IFERROR(__xludf.DUMMYFUNCTION("""COMPUTED_VALUE"""),2.0518733E7)</f>
        <v>20518733</v>
      </c>
    </row>
    <row r="4222">
      <c r="A4222" s="2">
        <f>IFERROR(__xludf.DUMMYFUNCTION("""COMPUTED_VALUE"""),42653.66666666667)</f>
        <v>42653.66667</v>
      </c>
      <c r="B4222" s="1">
        <f>IFERROR(__xludf.DUMMYFUNCTION("""COMPUTED_VALUE"""),90.19)</f>
        <v>90.19</v>
      </c>
      <c r="C4222" s="1">
        <f>IFERROR(__xludf.DUMMYFUNCTION("""COMPUTED_VALUE"""),90.33)</f>
        <v>90.33</v>
      </c>
      <c r="D4222" s="1">
        <f>IFERROR(__xludf.DUMMYFUNCTION("""COMPUTED_VALUE"""),88.78)</f>
        <v>88.78</v>
      </c>
      <c r="E4222" s="1">
        <f>IFERROR(__xludf.DUMMYFUNCTION("""COMPUTED_VALUE"""),89.06)</f>
        <v>89.06</v>
      </c>
      <c r="F4222" s="1">
        <f>IFERROR(__xludf.DUMMYFUNCTION("""COMPUTED_VALUE"""),1.5492383E7)</f>
        <v>15492383</v>
      </c>
    </row>
    <row r="4223">
      <c r="A4223" s="2">
        <f>IFERROR(__xludf.DUMMYFUNCTION("""COMPUTED_VALUE"""),42654.66666666667)</f>
        <v>42654.66667</v>
      </c>
      <c r="B4223" s="1">
        <f>IFERROR(__xludf.DUMMYFUNCTION("""COMPUTED_VALUE"""),88.83)</f>
        <v>88.83</v>
      </c>
      <c r="C4223" s="1">
        <f>IFERROR(__xludf.DUMMYFUNCTION("""COMPUTED_VALUE"""),89.12)</f>
        <v>89.12</v>
      </c>
      <c r="D4223" s="1">
        <f>IFERROR(__xludf.DUMMYFUNCTION("""COMPUTED_VALUE"""),88.2)</f>
        <v>88.2</v>
      </c>
      <c r="E4223" s="1">
        <f>IFERROR(__xludf.DUMMYFUNCTION("""COMPUTED_VALUE"""),88.54)</f>
        <v>88.54</v>
      </c>
      <c r="F4223" s="1">
        <f>IFERROR(__xludf.DUMMYFUNCTION("""COMPUTED_VALUE"""),1.17231E7)</f>
        <v>11723100</v>
      </c>
    </row>
    <row r="4224">
      <c r="A4224" s="2">
        <f>IFERROR(__xludf.DUMMYFUNCTION("""COMPUTED_VALUE"""),42655.66666666667)</f>
        <v>42655.66667</v>
      </c>
      <c r="B4224" s="1">
        <f>IFERROR(__xludf.DUMMYFUNCTION("""COMPUTED_VALUE"""),88.74)</f>
        <v>88.74</v>
      </c>
      <c r="C4224" s="1">
        <f>IFERROR(__xludf.DUMMYFUNCTION("""COMPUTED_VALUE"""),89.01)</f>
        <v>89.01</v>
      </c>
      <c r="D4224" s="1">
        <f>IFERROR(__xludf.DUMMYFUNCTION("""COMPUTED_VALUE"""),88.33)</f>
        <v>88.33</v>
      </c>
      <c r="E4224" s="1">
        <f>IFERROR(__xludf.DUMMYFUNCTION("""COMPUTED_VALUE"""),88.57)</f>
        <v>88.57</v>
      </c>
      <c r="F4224" s="1">
        <f>IFERROR(__xludf.DUMMYFUNCTION("""COMPUTED_VALUE"""),1.7118011E7)</f>
        <v>17118011</v>
      </c>
    </row>
    <row r="4225">
      <c r="A4225" s="2">
        <f>IFERROR(__xludf.DUMMYFUNCTION("""COMPUTED_VALUE"""),42656.66666666667)</f>
        <v>42656.66667</v>
      </c>
      <c r="B4225" s="1">
        <f>IFERROR(__xludf.DUMMYFUNCTION("""COMPUTED_VALUE"""),88.05)</f>
        <v>88.05</v>
      </c>
      <c r="C4225" s="1">
        <f>IFERROR(__xludf.DUMMYFUNCTION("""COMPUTED_VALUE"""),88.57)</f>
        <v>88.57</v>
      </c>
      <c r="D4225" s="1">
        <f>IFERROR(__xludf.DUMMYFUNCTION("""COMPUTED_VALUE"""),87.6)</f>
        <v>87.6</v>
      </c>
      <c r="E4225" s="1">
        <f>IFERROR(__xludf.DUMMYFUNCTION("""COMPUTED_VALUE"""),88.24)</f>
        <v>88.24</v>
      </c>
      <c r="F4225" s="1">
        <f>IFERROR(__xludf.DUMMYFUNCTION("""COMPUTED_VALUE"""),1.1158075E7)</f>
        <v>11158075</v>
      </c>
    </row>
    <row r="4226">
      <c r="A4226" s="2">
        <f>IFERROR(__xludf.DUMMYFUNCTION("""COMPUTED_VALUE"""),42657.66666666667)</f>
        <v>42657.66667</v>
      </c>
      <c r="B4226" s="1">
        <f>IFERROR(__xludf.DUMMYFUNCTION("""COMPUTED_VALUE"""),88.5)</f>
        <v>88.5</v>
      </c>
      <c r="C4226" s="1">
        <f>IFERROR(__xludf.DUMMYFUNCTION("""COMPUTED_VALUE"""),88.96)</f>
        <v>88.96</v>
      </c>
      <c r="D4226" s="1">
        <f>IFERROR(__xludf.DUMMYFUNCTION("""COMPUTED_VALUE"""),88.22)</f>
        <v>88.22</v>
      </c>
      <c r="E4226" s="1">
        <f>IFERROR(__xludf.DUMMYFUNCTION("""COMPUTED_VALUE"""),88.43)</f>
        <v>88.43</v>
      </c>
      <c r="F4226" s="1">
        <f>IFERROR(__xludf.DUMMYFUNCTION("""COMPUTED_VALUE"""),7368968.0)</f>
        <v>7368968</v>
      </c>
    </row>
    <row r="4227">
      <c r="A4227" s="2">
        <f>IFERROR(__xludf.DUMMYFUNCTION("""COMPUTED_VALUE"""),42660.66666666667)</f>
        <v>42660.66667</v>
      </c>
      <c r="B4227" s="1">
        <f>IFERROR(__xludf.DUMMYFUNCTION("""COMPUTED_VALUE"""),88.43)</f>
        <v>88.43</v>
      </c>
      <c r="C4227" s="1">
        <f>IFERROR(__xludf.DUMMYFUNCTION("""COMPUTED_VALUE"""),88.65)</f>
        <v>88.65</v>
      </c>
      <c r="D4227" s="1">
        <f>IFERROR(__xludf.DUMMYFUNCTION("""COMPUTED_VALUE"""),87.71)</f>
        <v>87.71</v>
      </c>
      <c r="E4227" s="1">
        <f>IFERROR(__xludf.DUMMYFUNCTION("""COMPUTED_VALUE"""),87.83)</f>
        <v>87.83</v>
      </c>
      <c r="F4227" s="1">
        <f>IFERROR(__xludf.DUMMYFUNCTION("""COMPUTED_VALUE"""),7610568.0)</f>
        <v>7610568</v>
      </c>
    </row>
    <row r="4228">
      <c r="A4228" s="2">
        <f>IFERROR(__xludf.DUMMYFUNCTION("""COMPUTED_VALUE"""),42661.66666666667)</f>
        <v>42661.66667</v>
      </c>
      <c r="B4228" s="1">
        <f>IFERROR(__xludf.DUMMYFUNCTION("""COMPUTED_VALUE"""),88.21)</f>
        <v>88.21</v>
      </c>
      <c r="C4228" s="1">
        <f>IFERROR(__xludf.DUMMYFUNCTION("""COMPUTED_VALUE"""),88.27)</f>
        <v>88.27</v>
      </c>
      <c r="D4228" s="1">
        <f>IFERROR(__xludf.DUMMYFUNCTION("""COMPUTED_VALUE"""),87.44)</f>
        <v>87.44</v>
      </c>
      <c r="E4228" s="1">
        <f>IFERROR(__xludf.DUMMYFUNCTION("""COMPUTED_VALUE"""),87.45)</f>
        <v>87.45</v>
      </c>
      <c r="F4228" s="1">
        <f>IFERROR(__xludf.DUMMYFUNCTION("""COMPUTED_VALUE"""),1.0749349E7)</f>
        <v>10749349</v>
      </c>
    </row>
    <row r="4229">
      <c r="A4229" s="2">
        <f>IFERROR(__xludf.DUMMYFUNCTION("""COMPUTED_VALUE"""),42662.66666666667)</f>
        <v>42662.66667</v>
      </c>
      <c r="B4229" s="1">
        <f>IFERROR(__xludf.DUMMYFUNCTION("""COMPUTED_VALUE"""),86.65)</f>
        <v>86.65</v>
      </c>
      <c r="C4229" s="1">
        <f>IFERROR(__xludf.DUMMYFUNCTION("""COMPUTED_VALUE"""),86.82)</f>
        <v>86.82</v>
      </c>
      <c r="D4229" s="1">
        <f>IFERROR(__xludf.DUMMYFUNCTION("""COMPUTED_VALUE"""),85.44)</f>
        <v>85.44</v>
      </c>
      <c r="E4229" s="1">
        <f>IFERROR(__xludf.DUMMYFUNCTION("""COMPUTED_VALUE"""),85.54)</f>
        <v>85.54</v>
      </c>
      <c r="F4229" s="1">
        <f>IFERROR(__xludf.DUMMYFUNCTION("""COMPUTED_VALUE"""),1.2788664E7)</f>
        <v>12788664</v>
      </c>
    </row>
    <row r="4230">
      <c r="A4230" s="2">
        <f>IFERROR(__xludf.DUMMYFUNCTION("""COMPUTED_VALUE"""),42663.66666666667)</f>
        <v>42663.66667</v>
      </c>
      <c r="B4230" s="1">
        <f>IFERROR(__xludf.DUMMYFUNCTION("""COMPUTED_VALUE"""),85.38)</f>
        <v>85.38</v>
      </c>
      <c r="C4230" s="1">
        <f>IFERROR(__xludf.DUMMYFUNCTION("""COMPUTED_VALUE"""),85.52)</f>
        <v>85.52</v>
      </c>
      <c r="D4230" s="1">
        <f>IFERROR(__xludf.DUMMYFUNCTION("""COMPUTED_VALUE"""),84.79)</f>
        <v>84.79</v>
      </c>
      <c r="E4230" s="1">
        <f>IFERROR(__xludf.DUMMYFUNCTION("""COMPUTED_VALUE"""),84.93)</f>
        <v>84.93</v>
      </c>
      <c r="F4230" s="1">
        <f>IFERROR(__xludf.DUMMYFUNCTION("""COMPUTED_VALUE"""),1.0175116E7)</f>
        <v>10175116</v>
      </c>
    </row>
    <row r="4231">
      <c r="A4231" s="2">
        <f>IFERROR(__xludf.DUMMYFUNCTION("""COMPUTED_VALUE"""),42664.66666666667)</f>
        <v>42664.66667</v>
      </c>
      <c r="B4231" s="1">
        <f>IFERROR(__xludf.DUMMYFUNCTION("""COMPUTED_VALUE"""),84.41)</f>
        <v>84.41</v>
      </c>
      <c r="C4231" s="1">
        <f>IFERROR(__xludf.DUMMYFUNCTION("""COMPUTED_VALUE"""),84.86)</f>
        <v>84.86</v>
      </c>
      <c r="D4231" s="1">
        <f>IFERROR(__xludf.DUMMYFUNCTION("""COMPUTED_VALUE"""),84.24)</f>
        <v>84.24</v>
      </c>
      <c r="E4231" s="1">
        <f>IFERROR(__xludf.DUMMYFUNCTION("""COMPUTED_VALUE"""),84.33)</f>
        <v>84.33</v>
      </c>
      <c r="F4231" s="1">
        <f>IFERROR(__xludf.DUMMYFUNCTION("""COMPUTED_VALUE"""),1.3974139E7)</f>
        <v>13974139</v>
      </c>
    </row>
    <row r="4232">
      <c r="A4232" s="2">
        <f>IFERROR(__xludf.DUMMYFUNCTION("""COMPUTED_VALUE"""),42667.66666666667)</f>
        <v>42667.66667</v>
      </c>
      <c r="B4232" s="1">
        <f>IFERROR(__xludf.DUMMYFUNCTION("""COMPUTED_VALUE"""),84.39)</f>
        <v>84.39</v>
      </c>
      <c r="C4232" s="1">
        <f>IFERROR(__xludf.DUMMYFUNCTION("""COMPUTED_VALUE"""),84.7)</f>
        <v>84.7</v>
      </c>
      <c r="D4232" s="1">
        <f>IFERROR(__xludf.DUMMYFUNCTION("""COMPUTED_VALUE"""),84.06)</f>
        <v>84.06</v>
      </c>
      <c r="E4232" s="1">
        <f>IFERROR(__xludf.DUMMYFUNCTION("""COMPUTED_VALUE"""),84.1)</f>
        <v>84.1</v>
      </c>
      <c r="F4232" s="1">
        <f>IFERROR(__xludf.DUMMYFUNCTION("""COMPUTED_VALUE"""),1.0571913E7)</f>
        <v>10571913</v>
      </c>
    </row>
    <row r="4233">
      <c r="A4233" s="2">
        <f>IFERROR(__xludf.DUMMYFUNCTION("""COMPUTED_VALUE"""),42668.66666666667)</f>
        <v>42668.66667</v>
      </c>
      <c r="B4233" s="1">
        <f>IFERROR(__xludf.DUMMYFUNCTION("""COMPUTED_VALUE"""),87.49)</f>
        <v>87.49</v>
      </c>
      <c r="C4233" s="1">
        <f>IFERROR(__xludf.DUMMYFUNCTION("""COMPUTED_VALUE"""),88.08)</f>
        <v>88.08</v>
      </c>
      <c r="D4233" s="1">
        <f>IFERROR(__xludf.DUMMYFUNCTION("""COMPUTED_VALUE"""),86.97)</f>
        <v>86.97</v>
      </c>
      <c r="E4233" s="1">
        <f>IFERROR(__xludf.DUMMYFUNCTION("""COMPUTED_VALUE"""),86.97)</f>
        <v>86.97</v>
      </c>
      <c r="F4233" s="1">
        <f>IFERROR(__xludf.DUMMYFUNCTION("""COMPUTED_VALUE"""),2.0760677E7)</f>
        <v>20760677</v>
      </c>
    </row>
    <row r="4234">
      <c r="A4234" s="2">
        <f>IFERROR(__xludf.DUMMYFUNCTION("""COMPUTED_VALUE"""),42669.66666666667)</f>
        <v>42669.66667</v>
      </c>
      <c r="B4234" s="1">
        <f>IFERROR(__xludf.DUMMYFUNCTION("""COMPUTED_VALUE"""),86.91)</f>
        <v>86.91</v>
      </c>
      <c r="C4234" s="1">
        <f>IFERROR(__xludf.DUMMYFUNCTION("""COMPUTED_VALUE"""),87.74)</f>
        <v>87.74</v>
      </c>
      <c r="D4234" s="1">
        <f>IFERROR(__xludf.DUMMYFUNCTION("""COMPUTED_VALUE"""),86.78)</f>
        <v>86.78</v>
      </c>
      <c r="E4234" s="1">
        <f>IFERROR(__xludf.DUMMYFUNCTION("""COMPUTED_VALUE"""),87.4)</f>
        <v>87.4</v>
      </c>
      <c r="F4234" s="1">
        <f>IFERROR(__xludf.DUMMYFUNCTION("""COMPUTED_VALUE"""),8464058.0)</f>
        <v>8464058</v>
      </c>
    </row>
    <row r="4235">
      <c r="A4235" s="2">
        <f>IFERROR(__xludf.DUMMYFUNCTION("""COMPUTED_VALUE"""),42670.66666666667)</f>
        <v>42670.66667</v>
      </c>
      <c r="B4235" s="1">
        <f>IFERROR(__xludf.DUMMYFUNCTION("""COMPUTED_VALUE"""),87.51)</f>
        <v>87.51</v>
      </c>
      <c r="C4235" s="1">
        <f>IFERROR(__xludf.DUMMYFUNCTION("""COMPUTED_VALUE"""),87.6)</f>
        <v>87.6</v>
      </c>
      <c r="D4235" s="1">
        <f>IFERROR(__xludf.DUMMYFUNCTION("""COMPUTED_VALUE"""),86.45)</f>
        <v>86.45</v>
      </c>
      <c r="E4235" s="1">
        <f>IFERROR(__xludf.DUMMYFUNCTION("""COMPUTED_VALUE"""),86.58)</f>
        <v>86.58</v>
      </c>
      <c r="F4235" s="1">
        <f>IFERROR(__xludf.DUMMYFUNCTION("""COMPUTED_VALUE"""),6598279.0)</f>
        <v>6598279</v>
      </c>
    </row>
    <row r="4236">
      <c r="A4236" s="2">
        <f>IFERROR(__xludf.DUMMYFUNCTION("""COMPUTED_VALUE"""),42671.66666666667)</f>
        <v>42671.66667</v>
      </c>
      <c r="B4236" s="1">
        <f>IFERROR(__xludf.DUMMYFUNCTION("""COMPUTED_VALUE"""),86.87)</f>
        <v>86.87</v>
      </c>
      <c r="C4236" s="1">
        <f>IFERROR(__xludf.DUMMYFUNCTION("""COMPUTED_VALUE"""),87.23)</f>
        <v>87.23</v>
      </c>
      <c r="D4236" s="1">
        <f>IFERROR(__xludf.DUMMYFUNCTION("""COMPUTED_VALUE"""),86.45)</f>
        <v>86.45</v>
      </c>
      <c r="E4236" s="1">
        <f>IFERROR(__xludf.DUMMYFUNCTION("""COMPUTED_VALUE"""),86.84)</f>
        <v>86.84</v>
      </c>
      <c r="F4236" s="1">
        <f>IFERROR(__xludf.DUMMYFUNCTION("""COMPUTED_VALUE"""),7020989.0)</f>
        <v>7020989</v>
      </c>
    </row>
    <row r="4237">
      <c r="A4237" s="2">
        <f>IFERROR(__xludf.DUMMYFUNCTION("""COMPUTED_VALUE"""),42674.66666666667)</f>
        <v>42674.66667</v>
      </c>
      <c r="B4237" s="1">
        <f>IFERROR(__xludf.DUMMYFUNCTION("""COMPUTED_VALUE"""),87.01)</f>
        <v>87.01</v>
      </c>
      <c r="C4237" s="1">
        <f>IFERROR(__xludf.DUMMYFUNCTION("""COMPUTED_VALUE"""),87.47)</f>
        <v>87.47</v>
      </c>
      <c r="D4237" s="1">
        <f>IFERROR(__xludf.DUMMYFUNCTION("""COMPUTED_VALUE"""),86.69)</f>
        <v>86.69</v>
      </c>
      <c r="E4237" s="1">
        <f>IFERROR(__xludf.DUMMYFUNCTION("""COMPUTED_VALUE"""),86.8)</f>
        <v>86.8</v>
      </c>
      <c r="F4237" s="1">
        <f>IFERROR(__xludf.DUMMYFUNCTION("""COMPUTED_VALUE"""),8207137.0)</f>
        <v>8207137</v>
      </c>
    </row>
    <row r="4238">
      <c r="A4238" s="2">
        <f>IFERROR(__xludf.DUMMYFUNCTION("""COMPUTED_VALUE"""),42675.66666666667)</f>
        <v>42675.66667</v>
      </c>
      <c r="B4238" s="1">
        <f>IFERROR(__xludf.DUMMYFUNCTION("""COMPUTED_VALUE"""),86.58)</f>
        <v>86.58</v>
      </c>
      <c r="C4238" s="1">
        <f>IFERROR(__xludf.DUMMYFUNCTION("""COMPUTED_VALUE"""),86.99)</f>
        <v>86.99</v>
      </c>
      <c r="D4238" s="1">
        <f>IFERROR(__xludf.DUMMYFUNCTION("""COMPUTED_VALUE"""),86.48)</f>
        <v>86.48</v>
      </c>
      <c r="E4238" s="1">
        <f>IFERROR(__xludf.DUMMYFUNCTION("""COMPUTED_VALUE"""),86.85)</f>
        <v>86.85</v>
      </c>
      <c r="F4238" s="1">
        <f>IFERROR(__xludf.DUMMYFUNCTION("""COMPUTED_VALUE"""),8564471.0)</f>
        <v>8564471</v>
      </c>
    </row>
    <row r="4239">
      <c r="A4239" s="2">
        <f>IFERROR(__xludf.DUMMYFUNCTION("""COMPUTED_VALUE"""),42676.66666666667)</f>
        <v>42676.66667</v>
      </c>
      <c r="B4239" s="1">
        <f>IFERROR(__xludf.DUMMYFUNCTION("""COMPUTED_VALUE"""),86.77)</f>
        <v>86.77</v>
      </c>
      <c r="C4239" s="1">
        <f>IFERROR(__xludf.DUMMYFUNCTION("""COMPUTED_VALUE"""),87.41)</f>
        <v>87.41</v>
      </c>
      <c r="D4239" s="1">
        <f>IFERROR(__xludf.DUMMYFUNCTION("""COMPUTED_VALUE"""),86.56)</f>
        <v>86.56</v>
      </c>
      <c r="E4239" s="1">
        <f>IFERROR(__xludf.DUMMYFUNCTION("""COMPUTED_VALUE"""),86.74)</f>
        <v>86.74</v>
      </c>
      <c r="F4239" s="1">
        <f>IFERROR(__xludf.DUMMYFUNCTION("""COMPUTED_VALUE"""),7773237.0)</f>
        <v>7773237</v>
      </c>
    </row>
    <row r="4240">
      <c r="A4240" s="2">
        <f>IFERROR(__xludf.DUMMYFUNCTION("""COMPUTED_VALUE"""),42677.66666666667)</f>
        <v>42677.66667</v>
      </c>
      <c r="B4240" s="1">
        <f>IFERROR(__xludf.DUMMYFUNCTION("""COMPUTED_VALUE"""),86.8)</f>
        <v>86.8</v>
      </c>
      <c r="C4240" s="1">
        <f>IFERROR(__xludf.DUMMYFUNCTION("""COMPUTED_VALUE"""),86.98)</f>
        <v>86.98</v>
      </c>
      <c r="D4240" s="1">
        <f>IFERROR(__xludf.DUMMYFUNCTION("""COMPUTED_VALUE"""),86.47)</f>
        <v>86.47</v>
      </c>
      <c r="E4240" s="1">
        <f>IFERROR(__xludf.DUMMYFUNCTION("""COMPUTED_VALUE"""),86.6)</f>
        <v>86.6</v>
      </c>
      <c r="F4240" s="1">
        <f>IFERROR(__xludf.DUMMYFUNCTION("""COMPUTED_VALUE"""),6899931.0)</f>
        <v>6899931</v>
      </c>
    </row>
    <row r="4241">
      <c r="A4241" s="2">
        <f>IFERROR(__xludf.DUMMYFUNCTION("""COMPUTED_VALUE"""),42678.66666666667)</f>
        <v>42678.66667</v>
      </c>
      <c r="B4241" s="1">
        <f>IFERROR(__xludf.DUMMYFUNCTION("""COMPUTED_VALUE"""),86.69)</f>
        <v>86.69</v>
      </c>
      <c r="C4241" s="1">
        <f>IFERROR(__xludf.DUMMYFUNCTION("""COMPUTED_VALUE"""),86.73)</f>
        <v>86.73</v>
      </c>
      <c r="D4241" s="1">
        <f>IFERROR(__xludf.DUMMYFUNCTION("""COMPUTED_VALUE"""),85.07)</f>
        <v>85.07</v>
      </c>
      <c r="E4241" s="1">
        <f>IFERROR(__xludf.DUMMYFUNCTION("""COMPUTED_VALUE"""),85.08)</f>
        <v>85.08</v>
      </c>
      <c r="F4241" s="1">
        <f>IFERROR(__xludf.DUMMYFUNCTION("""COMPUTED_VALUE"""),9378118.0)</f>
        <v>9378118</v>
      </c>
    </row>
    <row r="4242">
      <c r="A4242" s="2">
        <f>IFERROR(__xludf.DUMMYFUNCTION("""COMPUTED_VALUE"""),42681.66666666667)</f>
        <v>42681.66667</v>
      </c>
      <c r="B4242" s="1">
        <f>IFERROR(__xludf.DUMMYFUNCTION("""COMPUTED_VALUE"""),86.02)</f>
        <v>86.02</v>
      </c>
      <c r="C4242" s="1">
        <f>IFERROR(__xludf.DUMMYFUNCTION("""COMPUTED_VALUE"""),86.57)</f>
        <v>86.57</v>
      </c>
      <c r="D4242" s="1">
        <f>IFERROR(__xludf.DUMMYFUNCTION("""COMPUTED_VALUE"""),85.6)</f>
        <v>85.6</v>
      </c>
      <c r="E4242" s="1">
        <f>IFERROR(__xludf.DUMMYFUNCTION("""COMPUTED_VALUE"""),86.56)</f>
        <v>86.56</v>
      </c>
      <c r="F4242" s="1">
        <f>IFERROR(__xludf.DUMMYFUNCTION("""COMPUTED_VALUE"""),8877905.0)</f>
        <v>8877905</v>
      </c>
    </row>
    <row r="4243">
      <c r="A4243" s="2">
        <f>IFERROR(__xludf.DUMMYFUNCTION("""COMPUTED_VALUE"""),42682.66666666667)</f>
        <v>42682.66667</v>
      </c>
      <c r="B4243" s="1">
        <f>IFERROR(__xludf.DUMMYFUNCTION("""COMPUTED_VALUE"""),86.77)</f>
        <v>86.77</v>
      </c>
      <c r="C4243" s="1">
        <f>IFERROR(__xludf.DUMMYFUNCTION("""COMPUTED_VALUE"""),87.69)</f>
        <v>87.69</v>
      </c>
      <c r="D4243" s="1">
        <f>IFERROR(__xludf.DUMMYFUNCTION("""COMPUTED_VALUE"""),86.59)</f>
        <v>86.59</v>
      </c>
      <c r="E4243" s="1">
        <f>IFERROR(__xludf.DUMMYFUNCTION("""COMPUTED_VALUE"""),87.46)</f>
        <v>87.46</v>
      </c>
      <c r="F4243" s="1">
        <f>IFERROR(__xludf.DUMMYFUNCTION("""COMPUTED_VALUE"""),7674584.0)</f>
        <v>7674584</v>
      </c>
    </row>
    <row r="4244">
      <c r="A4244" s="2">
        <f>IFERROR(__xludf.DUMMYFUNCTION("""COMPUTED_VALUE"""),42683.66666666667)</f>
        <v>42683.66667</v>
      </c>
      <c r="B4244" s="1">
        <f>IFERROR(__xludf.DUMMYFUNCTION("""COMPUTED_VALUE"""),85.26)</f>
        <v>85.26</v>
      </c>
      <c r="C4244" s="1">
        <f>IFERROR(__xludf.DUMMYFUNCTION("""COMPUTED_VALUE"""),86.54)</f>
        <v>86.54</v>
      </c>
      <c r="D4244" s="1">
        <f>IFERROR(__xludf.DUMMYFUNCTION("""COMPUTED_VALUE"""),84.31)</f>
        <v>84.31</v>
      </c>
      <c r="E4244" s="1">
        <f>IFERROR(__xludf.DUMMYFUNCTION("""COMPUTED_VALUE"""),85.93)</f>
        <v>85.93</v>
      </c>
      <c r="F4244" s="1">
        <f>IFERROR(__xludf.DUMMYFUNCTION("""COMPUTED_VALUE"""),1.1972512E7)</f>
        <v>11972512</v>
      </c>
    </row>
    <row r="4245">
      <c r="A4245" s="2">
        <f>IFERROR(__xludf.DUMMYFUNCTION("""COMPUTED_VALUE"""),42684.66666666667)</f>
        <v>42684.66667</v>
      </c>
      <c r="B4245" s="1">
        <f>IFERROR(__xludf.DUMMYFUNCTION("""COMPUTED_VALUE"""),85.51)</f>
        <v>85.51</v>
      </c>
      <c r="C4245" s="1">
        <f>IFERROR(__xludf.DUMMYFUNCTION("""COMPUTED_VALUE"""),85.7)</f>
        <v>85.7</v>
      </c>
      <c r="D4245" s="1">
        <f>IFERROR(__xludf.DUMMYFUNCTION("""COMPUTED_VALUE"""),82.18)</f>
        <v>82.18</v>
      </c>
      <c r="E4245" s="1">
        <f>IFERROR(__xludf.DUMMYFUNCTION("""COMPUTED_VALUE"""),82.96)</f>
        <v>82.96</v>
      </c>
      <c r="F4245" s="1">
        <f>IFERROR(__xludf.DUMMYFUNCTION("""COMPUTED_VALUE"""),2.209497E7)</f>
        <v>22094970</v>
      </c>
    </row>
    <row r="4246">
      <c r="A4246" s="2">
        <f>IFERROR(__xludf.DUMMYFUNCTION("""COMPUTED_VALUE"""),42685.66666666667)</f>
        <v>42685.66667</v>
      </c>
      <c r="B4246" s="1">
        <f>IFERROR(__xludf.DUMMYFUNCTION("""COMPUTED_VALUE"""),82.67)</f>
        <v>82.67</v>
      </c>
      <c r="C4246" s="1">
        <f>IFERROR(__xludf.DUMMYFUNCTION("""COMPUTED_VALUE"""),84.06)</f>
        <v>84.06</v>
      </c>
      <c r="D4246" s="1">
        <f>IFERROR(__xludf.DUMMYFUNCTION("""COMPUTED_VALUE"""),82.65)</f>
        <v>82.65</v>
      </c>
      <c r="E4246" s="1">
        <f>IFERROR(__xludf.DUMMYFUNCTION("""COMPUTED_VALUE"""),83.58)</f>
        <v>83.58</v>
      </c>
      <c r="F4246" s="1">
        <f>IFERROR(__xludf.DUMMYFUNCTION("""COMPUTED_VALUE"""),8905669.0)</f>
        <v>8905669</v>
      </c>
    </row>
    <row r="4247">
      <c r="A4247" s="2">
        <f>IFERROR(__xludf.DUMMYFUNCTION("""COMPUTED_VALUE"""),42688.66666666667)</f>
        <v>42688.66667</v>
      </c>
      <c r="B4247" s="1">
        <f>IFERROR(__xludf.DUMMYFUNCTION("""COMPUTED_VALUE"""),83.56)</f>
        <v>83.56</v>
      </c>
      <c r="C4247" s="1">
        <f>IFERROR(__xludf.DUMMYFUNCTION("""COMPUTED_VALUE"""),83.78)</f>
        <v>83.78</v>
      </c>
      <c r="D4247" s="1">
        <f>IFERROR(__xludf.DUMMYFUNCTION("""COMPUTED_VALUE"""),82.76)</f>
        <v>82.76</v>
      </c>
      <c r="E4247" s="1">
        <f>IFERROR(__xludf.DUMMYFUNCTION("""COMPUTED_VALUE"""),83.0)</f>
        <v>83</v>
      </c>
      <c r="F4247" s="1">
        <f>IFERROR(__xludf.DUMMYFUNCTION("""COMPUTED_VALUE"""),1.2862496E7)</f>
        <v>12862496</v>
      </c>
    </row>
    <row r="4248">
      <c r="A4248" s="2">
        <f>IFERROR(__xludf.DUMMYFUNCTION("""COMPUTED_VALUE"""),42689.66666666667)</f>
        <v>42689.66667</v>
      </c>
      <c r="B4248" s="1">
        <f>IFERROR(__xludf.DUMMYFUNCTION("""COMPUTED_VALUE"""),84.58)</f>
        <v>84.58</v>
      </c>
      <c r="C4248" s="1">
        <f>IFERROR(__xludf.DUMMYFUNCTION("""COMPUTED_VALUE"""),84.58)</f>
        <v>84.58</v>
      </c>
      <c r="D4248" s="1">
        <f>IFERROR(__xludf.DUMMYFUNCTION("""COMPUTED_VALUE"""),82.88)</f>
        <v>82.88</v>
      </c>
      <c r="E4248" s="1">
        <f>IFERROR(__xludf.DUMMYFUNCTION("""COMPUTED_VALUE"""),83.62)</f>
        <v>83.62</v>
      </c>
      <c r="F4248" s="1">
        <f>IFERROR(__xludf.DUMMYFUNCTION("""COMPUTED_VALUE"""),9464007.0)</f>
        <v>9464007</v>
      </c>
    </row>
    <row r="4249">
      <c r="A4249" s="2">
        <f>IFERROR(__xludf.DUMMYFUNCTION("""COMPUTED_VALUE"""),42690.66666666667)</f>
        <v>42690.66667</v>
      </c>
      <c r="B4249" s="1">
        <f>IFERROR(__xludf.DUMMYFUNCTION("""COMPUTED_VALUE"""),83.98)</f>
        <v>83.98</v>
      </c>
      <c r="C4249" s="1">
        <f>IFERROR(__xludf.DUMMYFUNCTION("""COMPUTED_VALUE"""),84.2)</f>
        <v>84.2</v>
      </c>
      <c r="D4249" s="1">
        <f>IFERROR(__xludf.DUMMYFUNCTION("""COMPUTED_VALUE"""),83.17)</f>
        <v>83.17</v>
      </c>
      <c r="E4249" s="1">
        <f>IFERROR(__xludf.DUMMYFUNCTION("""COMPUTED_VALUE"""),83.19)</f>
        <v>83.19</v>
      </c>
      <c r="F4249" s="1">
        <f>IFERROR(__xludf.DUMMYFUNCTION("""COMPUTED_VALUE"""),8542909.0)</f>
        <v>8542909</v>
      </c>
    </row>
    <row r="4250">
      <c r="A4250" s="2">
        <f>IFERROR(__xludf.DUMMYFUNCTION("""COMPUTED_VALUE"""),42691.66666666667)</f>
        <v>42691.66667</v>
      </c>
      <c r="B4250" s="1">
        <f>IFERROR(__xludf.DUMMYFUNCTION("""COMPUTED_VALUE"""),83.27)</f>
        <v>83.27</v>
      </c>
      <c r="C4250" s="1">
        <f>IFERROR(__xludf.DUMMYFUNCTION("""COMPUTED_VALUE"""),83.5)</f>
        <v>83.5</v>
      </c>
      <c r="D4250" s="1">
        <f>IFERROR(__xludf.DUMMYFUNCTION("""COMPUTED_VALUE"""),82.93)</f>
        <v>82.93</v>
      </c>
      <c r="E4250" s="1">
        <f>IFERROR(__xludf.DUMMYFUNCTION("""COMPUTED_VALUE"""),83.07)</f>
        <v>83.07</v>
      </c>
      <c r="F4250" s="1">
        <f>IFERROR(__xludf.DUMMYFUNCTION("""COMPUTED_VALUE"""),9083724.0)</f>
        <v>9083724</v>
      </c>
    </row>
    <row r="4251">
      <c r="A4251" s="2">
        <f>IFERROR(__xludf.DUMMYFUNCTION("""COMPUTED_VALUE"""),42692.66666666667)</f>
        <v>42692.66667</v>
      </c>
      <c r="B4251" s="1">
        <f>IFERROR(__xludf.DUMMYFUNCTION("""COMPUTED_VALUE"""),82.92)</f>
        <v>82.92</v>
      </c>
      <c r="C4251" s="1">
        <f>IFERROR(__xludf.DUMMYFUNCTION("""COMPUTED_VALUE"""),83.1)</f>
        <v>83.1</v>
      </c>
      <c r="D4251" s="1">
        <f>IFERROR(__xludf.DUMMYFUNCTION("""COMPUTED_VALUE"""),81.99)</f>
        <v>81.99</v>
      </c>
      <c r="E4251" s="1">
        <f>IFERROR(__xludf.DUMMYFUNCTION("""COMPUTED_VALUE"""),82.0)</f>
        <v>82</v>
      </c>
      <c r="F4251" s="1">
        <f>IFERROR(__xludf.DUMMYFUNCTION("""COMPUTED_VALUE"""),1.4565356E7)</f>
        <v>14565356</v>
      </c>
    </row>
    <row r="4252">
      <c r="A4252" s="2">
        <f>IFERROR(__xludf.DUMMYFUNCTION("""COMPUTED_VALUE"""),42695.66666666667)</f>
        <v>42695.66667</v>
      </c>
      <c r="B4252" s="1">
        <f>IFERROR(__xludf.DUMMYFUNCTION("""COMPUTED_VALUE"""),82.1)</f>
        <v>82.1</v>
      </c>
      <c r="C4252" s="1">
        <f>IFERROR(__xludf.DUMMYFUNCTION("""COMPUTED_VALUE"""),82.75)</f>
        <v>82.75</v>
      </c>
      <c r="D4252" s="1">
        <f>IFERROR(__xludf.DUMMYFUNCTION("""COMPUTED_VALUE"""),81.71)</f>
        <v>81.71</v>
      </c>
      <c r="E4252" s="1">
        <f>IFERROR(__xludf.DUMMYFUNCTION("""COMPUTED_VALUE"""),82.64)</f>
        <v>82.64</v>
      </c>
      <c r="F4252" s="1">
        <f>IFERROR(__xludf.DUMMYFUNCTION("""COMPUTED_VALUE"""),1.1481861E7)</f>
        <v>11481861</v>
      </c>
    </row>
    <row r="4253">
      <c r="A4253" s="2">
        <f>IFERROR(__xludf.DUMMYFUNCTION("""COMPUTED_VALUE"""),42696.66666666667)</f>
        <v>42696.66667</v>
      </c>
      <c r="B4253" s="1">
        <f>IFERROR(__xludf.DUMMYFUNCTION("""COMPUTED_VALUE"""),83.01)</f>
        <v>83.01</v>
      </c>
      <c r="C4253" s="1">
        <f>IFERROR(__xludf.DUMMYFUNCTION("""COMPUTED_VALUE"""),83.18)</f>
        <v>83.18</v>
      </c>
      <c r="D4253" s="1">
        <f>IFERROR(__xludf.DUMMYFUNCTION("""COMPUTED_VALUE"""),82.66)</f>
        <v>82.66</v>
      </c>
      <c r="E4253" s="1">
        <f>IFERROR(__xludf.DUMMYFUNCTION("""COMPUTED_VALUE"""),82.76)</f>
        <v>82.76</v>
      </c>
      <c r="F4253" s="1">
        <f>IFERROR(__xludf.DUMMYFUNCTION("""COMPUTED_VALUE"""),7426494.0)</f>
        <v>7426494</v>
      </c>
    </row>
    <row r="4254">
      <c r="A4254" s="2">
        <f>IFERROR(__xludf.DUMMYFUNCTION("""COMPUTED_VALUE"""),42697.66666666667)</f>
        <v>42697.66667</v>
      </c>
      <c r="B4254" s="1">
        <f>IFERROR(__xludf.DUMMYFUNCTION("""COMPUTED_VALUE"""),82.59)</f>
        <v>82.59</v>
      </c>
      <c r="C4254" s="1">
        <f>IFERROR(__xludf.DUMMYFUNCTION("""COMPUTED_VALUE"""),82.93)</f>
        <v>82.93</v>
      </c>
      <c r="D4254" s="1">
        <f>IFERROR(__xludf.DUMMYFUNCTION("""COMPUTED_VALUE"""),82.52)</f>
        <v>82.52</v>
      </c>
      <c r="E4254" s="1">
        <f>IFERROR(__xludf.DUMMYFUNCTION("""COMPUTED_VALUE"""),82.68)</f>
        <v>82.68</v>
      </c>
      <c r="F4254" s="1">
        <f>IFERROR(__xludf.DUMMYFUNCTION("""COMPUTED_VALUE"""),1.076383E7)</f>
        <v>10763830</v>
      </c>
    </row>
    <row r="4255">
      <c r="A4255" s="2">
        <f>IFERROR(__xludf.DUMMYFUNCTION("""COMPUTED_VALUE"""),42699.66666666667)</f>
        <v>42699.66667</v>
      </c>
      <c r="B4255" s="1">
        <f>IFERROR(__xludf.DUMMYFUNCTION("""COMPUTED_VALUE"""),82.99)</f>
        <v>82.99</v>
      </c>
      <c r="C4255" s="1">
        <f>IFERROR(__xludf.DUMMYFUNCTION("""COMPUTED_VALUE"""),83.46)</f>
        <v>83.46</v>
      </c>
      <c r="D4255" s="1">
        <f>IFERROR(__xludf.DUMMYFUNCTION("""COMPUTED_VALUE"""),82.95)</f>
        <v>82.95</v>
      </c>
      <c r="E4255" s="1">
        <f>IFERROR(__xludf.DUMMYFUNCTION("""COMPUTED_VALUE"""),83.46)</f>
        <v>83.46</v>
      </c>
      <c r="F4255" s="1">
        <f>IFERROR(__xludf.DUMMYFUNCTION("""COMPUTED_VALUE"""),3883098.0)</f>
        <v>3883098</v>
      </c>
    </row>
    <row r="4256">
      <c r="A4256" s="2">
        <f>IFERROR(__xludf.DUMMYFUNCTION("""COMPUTED_VALUE"""),42702.66666666667)</f>
        <v>42702.66667</v>
      </c>
      <c r="B4256" s="1">
        <f>IFERROR(__xludf.DUMMYFUNCTION("""COMPUTED_VALUE"""),83.13)</f>
        <v>83.13</v>
      </c>
      <c r="C4256" s="1">
        <f>IFERROR(__xludf.DUMMYFUNCTION("""COMPUTED_VALUE"""),83.36)</f>
        <v>83.36</v>
      </c>
      <c r="D4256" s="1">
        <f>IFERROR(__xludf.DUMMYFUNCTION("""COMPUTED_VALUE"""),82.76)</f>
        <v>82.76</v>
      </c>
      <c r="E4256" s="1">
        <f>IFERROR(__xludf.DUMMYFUNCTION("""COMPUTED_VALUE"""),83.07)</f>
        <v>83.07</v>
      </c>
      <c r="F4256" s="1">
        <f>IFERROR(__xludf.DUMMYFUNCTION("""COMPUTED_VALUE"""),6989964.0)</f>
        <v>6989964</v>
      </c>
    </row>
    <row r="4257">
      <c r="A4257" s="2">
        <f>IFERROR(__xludf.DUMMYFUNCTION("""COMPUTED_VALUE"""),42703.66666666667)</f>
        <v>42703.66667</v>
      </c>
      <c r="B4257" s="1">
        <f>IFERROR(__xludf.DUMMYFUNCTION("""COMPUTED_VALUE"""),83.42)</f>
        <v>83.42</v>
      </c>
      <c r="C4257" s="1">
        <f>IFERROR(__xludf.DUMMYFUNCTION("""COMPUTED_VALUE"""),83.48)</f>
        <v>83.48</v>
      </c>
      <c r="D4257" s="1">
        <f>IFERROR(__xludf.DUMMYFUNCTION("""COMPUTED_VALUE"""),82.69)</f>
        <v>82.69</v>
      </c>
      <c r="E4257" s="1">
        <f>IFERROR(__xludf.DUMMYFUNCTION("""COMPUTED_VALUE"""),82.89)</f>
        <v>82.89</v>
      </c>
      <c r="F4257" s="1">
        <f>IFERROR(__xludf.DUMMYFUNCTION("""COMPUTED_VALUE"""),6183113.0)</f>
        <v>6183113</v>
      </c>
    </row>
    <row r="4258">
      <c r="A4258" s="2">
        <f>IFERROR(__xludf.DUMMYFUNCTION("""COMPUTED_VALUE"""),42704.66666666667)</f>
        <v>42704.66667</v>
      </c>
      <c r="B4258" s="1">
        <f>IFERROR(__xludf.DUMMYFUNCTION("""COMPUTED_VALUE"""),82.52)</f>
        <v>82.52</v>
      </c>
      <c r="C4258" s="1">
        <f>IFERROR(__xludf.DUMMYFUNCTION("""COMPUTED_VALUE"""),82.83)</f>
        <v>82.83</v>
      </c>
      <c r="D4258" s="1">
        <f>IFERROR(__xludf.DUMMYFUNCTION("""COMPUTED_VALUE"""),82.26)</f>
        <v>82.26</v>
      </c>
      <c r="E4258" s="1">
        <f>IFERROR(__xludf.DUMMYFUNCTION("""COMPUTED_VALUE"""),82.46)</f>
        <v>82.46</v>
      </c>
      <c r="F4258" s="1">
        <f>IFERROR(__xludf.DUMMYFUNCTION("""COMPUTED_VALUE"""),1.2115374E7)</f>
        <v>12115374</v>
      </c>
    </row>
    <row r="4259">
      <c r="A4259" s="2">
        <f>IFERROR(__xludf.DUMMYFUNCTION("""COMPUTED_VALUE"""),42705.66666666667)</f>
        <v>42705.66667</v>
      </c>
      <c r="B4259" s="1">
        <f>IFERROR(__xludf.DUMMYFUNCTION("""COMPUTED_VALUE"""),82.21)</f>
        <v>82.21</v>
      </c>
      <c r="C4259" s="1">
        <f>IFERROR(__xludf.DUMMYFUNCTION("""COMPUTED_VALUE"""),82.32)</f>
        <v>82.32</v>
      </c>
      <c r="D4259" s="1">
        <f>IFERROR(__xludf.DUMMYFUNCTION("""COMPUTED_VALUE"""),81.18)</f>
        <v>81.18</v>
      </c>
      <c r="E4259" s="1">
        <f>IFERROR(__xludf.DUMMYFUNCTION("""COMPUTED_VALUE"""),81.86)</f>
        <v>81.86</v>
      </c>
      <c r="F4259" s="1">
        <f>IFERROR(__xludf.DUMMYFUNCTION("""COMPUTED_VALUE"""),1.251692E7)</f>
        <v>12516920</v>
      </c>
    </row>
    <row r="4260">
      <c r="A4260" s="2">
        <f>IFERROR(__xludf.DUMMYFUNCTION("""COMPUTED_VALUE"""),42706.66666666667)</f>
        <v>42706.66667</v>
      </c>
      <c r="B4260" s="1">
        <f>IFERROR(__xludf.DUMMYFUNCTION("""COMPUTED_VALUE"""),82.35)</f>
        <v>82.35</v>
      </c>
      <c r="C4260" s="1">
        <f>IFERROR(__xludf.DUMMYFUNCTION("""COMPUTED_VALUE"""),82.68)</f>
        <v>82.68</v>
      </c>
      <c r="D4260" s="1">
        <f>IFERROR(__xludf.DUMMYFUNCTION("""COMPUTED_VALUE"""),82.07)</f>
        <v>82.07</v>
      </c>
      <c r="E4260" s="1">
        <f>IFERROR(__xludf.DUMMYFUNCTION("""COMPUTED_VALUE"""),82.4)</f>
        <v>82.4</v>
      </c>
      <c r="F4260" s="1">
        <f>IFERROR(__xludf.DUMMYFUNCTION("""COMPUTED_VALUE"""),9079412.0)</f>
        <v>9079412</v>
      </c>
    </row>
    <row r="4261">
      <c r="A4261" s="2">
        <f>IFERROR(__xludf.DUMMYFUNCTION("""COMPUTED_VALUE"""),42709.66666666667)</f>
        <v>42709.66667</v>
      </c>
      <c r="B4261" s="1">
        <f>IFERROR(__xludf.DUMMYFUNCTION("""COMPUTED_VALUE"""),82.56)</f>
        <v>82.56</v>
      </c>
      <c r="C4261" s="1">
        <f>IFERROR(__xludf.DUMMYFUNCTION("""COMPUTED_VALUE"""),83.08)</f>
        <v>83.08</v>
      </c>
      <c r="D4261" s="1">
        <f>IFERROR(__xludf.DUMMYFUNCTION("""COMPUTED_VALUE"""),82.48)</f>
        <v>82.48</v>
      </c>
      <c r="E4261" s="1">
        <f>IFERROR(__xludf.DUMMYFUNCTION("""COMPUTED_VALUE"""),82.99)</f>
        <v>82.99</v>
      </c>
      <c r="F4261" s="1">
        <f>IFERROR(__xludf.DUMMYFUNCTION("""COMPUTED_VALUE"""),8597543.0)</f>
        <v>8597543</v>
      </c>
    </row>
    <row r="4262">
      <c r="A4262" s="2">
        <f>IFERROR(__xludf.DUMMYFUNCTION("""COMPUTED_VALUE"""),42710.66666666667)</f>
        <v>42710.66667</v>
      </c>
      <c r="B4262" s="1">
        <f>IFERROR(__xludf.DUMMYFUNCTION("""COMPUTED_VALUE"""),83.24)</f>
        <v>83.24</v>
      </c>
      <c r="C4262" s="1">
        <f>IFERROR(__xludf.DUMMYFUNCTION("""COMPUTED_VALUE"""),83.25)</f>
        <v>83.25</v>
      </c>
      <c r="D4262" s="1">
        <f>IFERROR(__xludf.DUMMYFUNCTION("""COMPUTED_VALUE"""),82.61)</f>
        <v>82.61</v>
      </c>
      <c r="E4262" s="1">
        <f>IFERROR(__xludf.DUMMYFUNCTION("""COMPUTED_VALUE"""),82.91)</f>
        <v>82.91</v>
      </c>
      <c r="F4262" s="1">
        <f>IFERROR(__xludf.DUMMYFUNCTION("""COMPUTED_VALUE"""),7326944.0)</f>
        <v>7326944</v>
      </c>
    </row>
    <row r="4263">
      <c r="A4263" s="2">
        <f>IFERROR(__xludf.DUMMYFUNCTION("""COMPUTED_VALUE"""),42711.66666666667)</f>
        <v>42711.66667</v>
      </c>
      <c r="B4263" s="1">
        <f>IFERROR(__xludf.DUMMYFUNCTION("""COMPUTED_VALUE"""),82.74)</f>
        <v>82.74</v>
      </c>
      <c r="C4263" s="1">
        <f>IFERROR(__xludf.DUMMYFUNCTION("""COMPUTED_VALUE"""),84.28)</f>
        <v>84.28</v>
      </c>
      <c r="D4263" s="1">
        <f>IFERROR(__xludf.DUMMYFUNCTION("""COMPUTED_VALUE"""),82.71)</f>
        <v>82.71</v>
      </c>
      <c r="E4263" s="1">
        <f>IFERROR(__xludf.DUMMYFUNCTION("""COMPUTED_VALUE"""),84.18)</f>
        <v>84.18</v>
      </c>
      <c r="F4263" s="1">
        <f>IFERROR(__xludf.DUMMYFUNCTION("""COMPUTED_VALUE"""),8567689.0)</f>
        <v>8567689</v>
      </c>
    </row>
    <row r="4264">
      <c r="A4264" s="2">
        <f>IFERROR(__xludf.DUMMYFUNCTION("""COMPUTED_VALUE"""),42712.66666666667)</f>
        <v>42712.66667</v>
      </c>
      <c r="B4264" s="1">
        <f>IFERROR(__xludf.DUMMYFUNCTION("""COMPUTED_VALUE"""),83.79)</f>
        <v>83.79</v>
      </c>
      <c r="C4264" s="1">
        <f>IFERROR(__xludf.DUMMYFUNCTION("""COMPUTED_VALUE"""),84.18)</f>
        <v>84.18</v>
      </c>
      <c r="D4264" s="1">
        <f>IFERROR(__xludf.DUMMYFUNCTION("""COMPUTED_VALUE"""),83.5)</f>
        <v>83.5</v>
      </c>
      <c r="E4264" s="1">
        <f>IFERROR(__xludf.DUMMYFUNCTION("""COMPUTED_VALUE"""),83.5)</f>
        <v>83.5</v>
      </c>
      <c r="F4264" s="1">
        <f>IFERROR(__xludf.DUMMYFUNCTION("""COMPUTED_VALUE"""),7522799.0)</f>
        <v>7522799</v>
      </c>
    </row>
    <row r="4265">
      <c r="A4265" s="2">
        <f>IFERROR(__xludf.DUMMYFUNCTION("""COMPUTED_VALUE"""),42713.66666666667)</f>
        <v>42713.66667</v>
      </c>
      <c r="B4265" s="1">
        <f>IFERROR(__xludf.DUMMYFUNCTION("""COMPUTED_VALUE"""),83.52)</f>
        <v>83.52</v>
      </c>
      <c r="C4265" s="1">
        <f>IFERROR(__xludf.DUMMYFUNCTION("""COMPUTED_VALUE"""),84.4)</f>
        <v>84.4</v>
      </c>
      <c r="D4265" s="1">
        <f>IFERROR(__xludf.DUMMYFUNCTION("""COMPUTED_VALUE"""),83.47)</f>
        <v>83.47</v>
      </c>
      <c r="E4265" s="1">
        <f>IFERROR(__xludf.DUMMYFUNCTION("""COMPUTED_VALUE"""),84.37)</f>
        <v>84.37</v>
      </c>
      <c r="F4265" s="1">
        <f>IFERROR(__xludf.DUMMYFUNCTION("""COMPUTED_VALUE"""),8004403.0)</f>
        <v>8004403</v>
      </c>
    </row>
    <row r="4266">
      <c r="A4266" s="2">
        <f>IFERROR(__xludf.DUMMYFUNCTION("""COMPUTED_VALUE"""),42716.66666666667)</f>
        <v>42716.66667</v>
      </c>
      <c r="B4266" s="1">
        <f>IFERROR(__xludf.DUMMYFUNCTION("""COMPUTED_VALUE"""),84.21)</f>
        <v>84.21</v>
      </c>
      <c r="C4266" s="1">
        <f>IFERROR(__xludf.DUMMYFUNCTION("""COMPUTED_VALUE"""),85.18)</f>
        <v>85.18</v>
      </c>
      <c r="D4266" s="1">
        <f>IFERROR(__xludf.DUMMYFUNCTION("""COMPUTED_VALUE"""),84.21)</f>
        <v>84.21</v>
      </c>
      <c r="E4266" s="1">
        <f>IFERROR(__xludf.DUMMYFUNCTION("""COMPUTED_VALUE"""),85.13)</f>
        <v>85.13</v>
      </c>
      <c r="F4266" s="1">
        <f>IFERROR(__xludf.DUMMYFUNCTION("""COMPUTED_VALUE"""),7493615.0)</f>
        <v>7493615</v>
      </c>
    </row>
    <row r="4267">
      <c r="A4267" s="2">
        <f>IFERROR(__xludf.DUMMYFUNCTION("""COMPUTED_VALUE"""),42717.66666666667)</f>
        <v>42717.66667</v>
      </c>
      <c r="B4267" s="1">
        <f>IFERROR(__xludf.DUMMYFUNCTION("""COMPUTED_VALUE"""),84.67)</f>
        <v>84.67</v>
      </c>
      <c r="C4267" s="1">
        <f>IFERROR(__xludf.DUMMYFUNCTION("""COMPUTED_VALUE"""),85.36)</f>
        <v>85.36</v>
      </c>
      <c r="D4267" s="1">
        <f>IFERROR(__xludf.DUMMYFUNCTION("""COMPUTED_VALUE"""),84.53)</f>
        <v>84.53</v>
      </c>
      <c r="E4267" s="1">
        <f>IFERROR(__xludf.DUMMYFUNCTION("""COMPUTED_VALUE"""),85.18)</f>
        <v>85.18</v>
      </c>
      <c r="F4267" s="1">
        <f>IFERROR(__xludf.DUMMYFUNCTION("""COMPUTED_VALUE"""),1.179594E7)</f>
        <v>11795940</v>
      </c>
    </row>
    <row r="4268">
      <c r="A4268" s="2">
        <f>IFERROR(__xludf.DUMMYFUNCTION("""COMPUTED_VALUE"""),42718.66666666667)</f>
        <v>42718.66667</v>
      </c>
      <c r="B4268" s="1">
        <f>IFERROR(__xludf.DUMMYFUNCTION("""COMPUTED_VALUE"""),85.29)</f>
        <v>85.29</v>
      </c>
      <c r="C4268" s="1">
        <f>IFERROR(__xludf.DUMMYFUNCTION("""COMPUTED_VALUE"""),85.74)</f>
        <v>85.74</v>
      </c>
      <c r="D4268" s="1">
        <f>IFERROR(__xludf.DUMMYFUNCTION("""COMPUTED_VALUE"""),84.17)</f>
        <v>84.17</v>
      </c>
      <c r="E4268" s="1">
        <f>IFERROR(__xludf.DUMMYFUNCTION("""COMPUTED_VALUE"""),84.37)</f>
        <v>84.37</v>
      </c>
      <c r="F4268" s="1">
        <f>IFERROR(__xludf.DUMMYFUNCTION("""COMPUTED_VALUE"""),1.2291445E7)</f>
        <v>12291445</v>
      </c>
    </row>
    <row r="4269">
      <c r="A4269" s="2">
        <f>IFERROR(__xludf.DUMMYFUNCTION("""COMPUTED_VALUE"""),42719.66666666667)</f>
        <v>42719.66667</v>
      </c>
      <c r="B4269" s="1">
        <f>IFERROR(__xludf.DUMMYFUNCTION("""COMPUTED_VALUE"""),84.15)</f>
        <v>84.15</v>
      </c>
      <c r="C4269" s="1">
        <f>IFERROR(__xludf.DUMMYFUNCTION("""COMPUTED_VALUE"""),84.8)</f>
        <v>84.8</v>
      </c>
      <c r="D4269" s="1">
        <f>IFERROR(__xludf.DUMMYFUNCTION("""COMPUTED_VALUE"""),83.61)</f>
        <v>83.61</v>
      </c>
      <c r="E4269" s="1">
        <f>IFERROR(__xludf.DUMMYFUNCTION("""COMPUTED_VALUE"""),84.68)</f>
        <v>84.68</v>
      </c>
      <c r="F4269" s="1">
        <f>IFERROR(__xludf.DUMMYFUNCTION("""COMPUTED_VALUE"""),8768128.0)</f>
        <v>8768128</v>
      </c>
    </row>
    <row r="4270">
      <c r="A4270" s="2">
        <f>IFERROR(__xludf.DUMMYFUNCTION("""COMPUTED_VALUE"""),42720.66666666667)</f>
        <v>42720.66667</v>
      </c>
      <c r="B4270" s="1">
        <f>IFERROR(__xludf.DUMMYFUNCTION("""COMPUTED_VALUE"""),84.9)</f>
        <v>84.9</v>
      </c>
      <c r="C4270" s="1">
        <f>IFERROR(__xludf.DUMMYFUNCTION("""COMPUTED_VALUE"""),85.12)</f>
        <v>85.12</v>
      </c>
      <c r="D4270" s="1">
        <f>IFERROR(__xludf.DUMMYFUNCTION("""COMPUTED_VALUE"""),84.15)</f>
        <v>84.15</v>
      </c>
      <c r="E4270" s="1">
        <f>IFERROR(__xludf.DUMMYFUNCTION("""COMPUTED_VALUE"""),84.68)</f>
        <v>84.68</v>
      </c>
      <c r="F4270" s="1">
        <f>IFERROR(__xludf.DUMMYFUNCTION("""COMPUTED_VALUE"""),2.117242E7)</f>
        <v>21172420</v>
      </c>
    </row>
    <row r="4271">
      <c r="A4271" s="2">
        <f>IFERROR(__xludf.DUMMYFUNCTION("""COMPUTED_VALUE"""),42723.66666666667)</f>
        <v>42723.66667</v>
      </c>
      <c r="B4271" s="1">
        <f>IFERROR(__xludf.DUMMYFUNCTION("""COMPUTED_VALUE"""),84.75)</f>
        <v>84.75</v>
      </c>
      <c r="C4271" s="1">
        <f>IFERROR(__xludf.DUMMYFUNCTION("""COMPUTED_VALUE"""),84.98)</f>
        <v>84.98</v>
      </c>
      <c r="D4271" s="1">
        <f>IFERROR(__xludf.DUMMYFUNCTION("""COMPUTED_VALUE"""),84.32)</f>
        <v>84.32</v>
      </c>
      <c r="E4271" s="1">
        <f>IFERROR(__xludf.DUMMYFUNCTION("""COMPUTED_VALUE"""),84.71)</f>
        <v>84.71</v>
      </c>
      <c r="F4271" s="1">
        <f>IFERROR(__xludf.DUMMYFUNCTION("""COMPUTED_VALUE"""),6431166.0)</f>
        <v>6431166</v>
      </c>
    </row>
    <row r="4272">
      <c r="A4272" s="2">
        <f>IFERROR(__xludf.DUMMYFUNCTION("""COMPUTED_VALUE"""),42724.66666666667)</f>
        <v>42724.66667</v>
      </c>
      <c r="B4272" s="1">
        <f>IFERROR(__xludf.DUMMYFUNCTION("""COMPUTED_VALUE"""),84.57)</f>
        <v>84.57</v>
      </c>
      <c r="C4272" s="1">
        <f>IFERROR(__xludf.DUMMYFUNCTION("""COMPUTED_VALUE"""),84.71)</f>
        <v>84.71</v>
      </c>
      <c r="D4272" s="1">
        <f>IFERROR(__xludf.DUMMYFUNCTION("""COMPUTED_VALUE"""),84.19)</f>
        <v>84.19</v>
      </c>
      <c r="E4272" s="1">
        <f>IFERROR(__xludf.DUMMYFUNCTION("""COMPUTED_VALUE"""),84.57)</f>
        <v>84.57</v>
      </c>
      <c r="F4272" s="1">
        <f>IFERROR(__xludf.DUMMYFUNCTION("""COMPUTED_VALUE"""),7482938.0)</f>
        <v>7482938</v>
      </c>
    </row>
    <row r="4273">
      <c r="A4273" s="2">
        <f>IFERROR(__xludf.DUMMYFUNCTION("""COMPUTED_VALUE"""),42725.66666666667)</f>
        <v>42725.66667</v>
      </c>
      <c r="B4273" s="1">
        <f>IFERROR(__xludf.DUMMYFUNCTION("""COMPUTED_VALUE"""),84.19)</f>
        <v>84.19</v>
      </c>
      <c r="C4273" s="1">
        <f>IFERROR(__xludf.DUMMYFUNCTION("""COMPUTED_VALUE"""),84.73)</f>
        <v>84.73</v>
      </c>
      <c r="D4273" s="1">
        <f>IFERROR(__xludf.DUMMYFUNCTION("""COMPUTED_VALUE"""),84.12)</f>
        <v>84.12</v>
      </c>
      <c r="E4273" s="1">
        <f>IFERROR(__xludf.DUMMYFUNCTION("""COMPUTED_VALUE"""),84.28)</f>
        <v>84.28</v>
      </c>
      <c r="F4273" s="1">
        <f>IFERROR(__xludf.DUMMYFUNCTION("""COMPUTED_VALUE"""),6099334.0)</f>
        <v>6099334</v>
      </c>
    </row>
    <row r="4274">
      <c r="A4274" s="2">
        <f>IFERROR(__xludf.DUMMYFUNCTION("""COMPUTED_VALUE"""),42726.66666666667)</f>
        <v>42726.66667</v>
      </c>
      <c r="B4274" s="1">
        <f>IFERROR(__xludf.DUMMYFUNCTION("""COMPUTED_VALUE"""),84.0)</f>
        <v>84</v>
      </c>
      <c r="C4274" s="1">
        <f>IFERROR(__xludf.DUMMYFUNCTION("""COMPUTED_VALUE"""),84.61)</f>
        <v>84.61</v>
      </c>
      <c r="D4274" s="1">
        <f>IFERROR(__xludf.DUMMYFUNCTION("""COMPUTED_VALUE"""),83.87)</f>
        <v>83.87</v>
      </c>
      <c r="E4274" s="1">
        <f>IFERROR(__xludf.DUMMYFUNCTION("""COMPUTED_VALUE"""),84.47)</f>
        <v>84.47</v>
      </c>
      <c r="F4274" s="1">
        <f>IFERROR(__xludf.DUMMYFUNCTION("""COMPUTED_VALUE"""),7864796.0)</f>
        <v>7864796</v>
      </c>
    </row>
    <row r="4275">
      <c r="A4275" s="2">
        <f>IFERROR(__xludf.DUMMYFUNCTION("""COMPUTED_VALUE"""),42727.66666666667)</f>
        <v>42727.66667</v>
      </c>
      <c r="B4275" s="1">
        <f>IFERROR(__xludf.DUMMYFUNCTION("""COMPUTED_VALUE"""),84.68)</f>
        <v>84.68</v>
      </c>
      <c r="C4275" s="1">
        <f>IFERROR(__xludf.DUMMYFUNCTION("""COMPUTED_VALUE"""),85.18)</f>
        <v>85.18</v>
      </c>
      <c r="D4275" s="1">
        <f>IFERROR(__xludf.DUMMYFUNCTION("""COMPUTED_VALUE"""),84.55)</f>
        <v>84.55</v>
      </c>
      <c r="E4275" s="1">
        <f>IFERROR(__xludf.DUMMYFUNCTION("""COMPUTED_VALUE"""),84.96)</f>
        <v>84.96</v>
      </c>
      <c r="F4275" s="1">
        <f>IFERROR(__xludf.DUMMYFUNCTION("""COMPUTED_VALUE"""),5283769.0)</f>
        <v>5283769</v>
      </c>
    </row>
    <row r="4276">
      <c r="A4276" s="2">
        <f>IFERROR(__xludf.DUMMYFUNCTION("""COMPUTED_VALUE"""),42731.66666666667)</f>
        <v>42731.66667</v>
      </c>
      <c r="B4276" s="1">
        <f>IFERROR(__xludf.DUMMYFUNCTION("""COMPUTED_VALUE"""),84.9)</f>
        <v>84.9</v>
      </c>
      <c r="C4276" s="1">
        <f>IFERROR(__xludf.DUMMYFUNCTION("""COMPUTED_VALUE"""),84.94)</f>
        <v>84.94</v>
      </c>
      <c r="D4276" s="1">
        <f>IFERROR(__xludf.DUMMYFUNCTION("""COMPUTED_VALUE"""),84.42)</f>
        <v>84.42</v>
      </c>
      <c r="E4276" s="1">
        <f>IFERROR(__xludf.DUMMYFUNCTION("""COMPUTED_VALUE"""),84.6)</f>
        <v>84.6</v>
      </c>
      <c r="F4276" s="1">
        <f>IFERROR(__xludf.DUMMYFUNCTION("""COMPUTED_VALUE"""),3782582.0)</f>
        <v>3782582</v>
      </c>
    </row>
    <row r="4277">
      <c r="A4277" s="2">
        <f>IFERROR(__xludf.DUMMYFUNCTION("""COMPUTED_VALUE"""),42732.66666666667)</f>
        <v>42732.66667</v>
      </c>
      <c r="B4277" s="1">
        <f>IFERROR(__xludf.DUMMYFUNCTION("""COMPUTED_VALUE"""),84.4)</f>
        <v>84.4</v>
      </c>
      <c r="C4277" s="1">
        <f>IFERROR(__xludf.DUMMYFUNCTION("""COMPUTED_VALUE"""),84.63)</f>
        <v>84.63</v>
      </c>
      <c r="D4277" s="1">
        <f>IFERROR(__xludf.DUMMYFUNCTION("""COMPUTED_VALUE"""),83.95)</f>
        <v>83.95</v>
      </c>
      <c r="E4277" s="1">
        <f>IFERROR(__xludf.DUMMYFUNCTION("""COMPUTED_VALUE"""),84.07)</f>
        <v>84.07</v>
      </c>
      <c r="F4277" s="1">
        <f>IFERROR(__xludf.DUMMYFUNCTION("""COMPUTED_VALUE"""),4298812.0)</f>
        <v>4298812</v>
      </c>
    </row>
    <row r="4278">
      <c r="A4278" s="2">
        <f>IFERROR(__xludf.DUMMYFUNCTION("""COMPUTED_VALUE"""),42733.66666666667)</f>
        <v>42733.66667</v>
      </c>
      <c r="B4278" s="1">
        <f>IFERROR(__xludf.DUMMYFUNCTION("""COMPUTED_VALUE"""),84.24)</f>
        <v>84.24</v>
      </c>
      <c r="C4278" s="1">
        <f>IFERROR(__xludf.DUMMYFUNCTION("""COMPUTED_VALUE"""),84.49)</f>
        <v>84.49</v>
      </c>
      <c r="D4278" s="1">
        <f>IFERROR(__xludf.DUMMYFUNCTION("""COMPUTED_VALUE"""),84.1)</f>
        <v>84.1</v>
      </c>
      <c r="E4278" s="1">
        <f>IFERROR(__xludf.DUMMYFUNCTION("""COMPUTED_VALUE"""),84.35)</f>
        <v>84.35</v>
      </c>
      <c r="F4278" s="1">
        <f>IFERROR(__xludf.DUMMYFUNCTION("""COMPUTED_VALUE"""),3718298.0)</f>
        <v>3718298</v>
      </c>
    </row>
    <row r="4279">
      <c r="A4279" s="2">
        <f>IFERROR(__xludf.DUMMYFUNCTION("""COMPUTED_VALUE"""),42734.66666666667)</f>
        <v>42734.66667</v>
      </c>
      <c r="B4279" s="1">
        <f>IFERROR(__xludf.DUMMYFUNCTION("""COMPUTED_VALUE"""),84.17)</f>
        <v>84.17</v>
      </c>
      <c r="C4279" s="1">
        <f>IFERROR(__xludf.DUMMYFUNCTION("""COMPUTED_VALUE"""),84.45)</f>
        <v>84.45</v>
      </c>
      <c r="D4279" s="1">
        <f>IFERROR(__xludf.DUMMYFUNCTION("""COMPUTED_VALUE"""),83.92)</f>
        <v>83.92</v>
      </c>
      <c r="E4279" s="1">
        <f>IFERROR(__xludf.DUMMYFUNCTION("""COMPUTED_VALUE"""),84.08)</f>
        <v>84.08</v>
      </c>
      <c r="F4279" s="1">
        <f>IFERROR(__xludf.DUMMYFUNCTION("""COMPUTED_VALUE"""),6209848.0)</f>
        <v>6209848</v>
      </c>
    </row>
    <row r="4280">
      <c r="A4280" s="2">
        <f>IFERROR(__xludf.DUMMYFUNCTION("""COMPUTED_VALUE"""),42738.66666666667)</f>
        <v>42738.66667</v>
      </c>
      <c r="B4280" s="1">
        <f>IFERROR(__xludf.DUMMYFUNCTION("""COMPUTED_VALUE"""),83.88)</f>
        <v>83.88</v>
      </c>
      <c r="C4280" s="1">
        <f>IFERROR(__xludf.DUMMYFUNCTION("""COMPUTED_VALUE"""),84.39)</f>
        <v>84.39</v>
      </c>
      <c r="D4280" s="1">
        <f>IFERROR(__xludf.DUMMYFUNCTION("""COMPUTED_VALUE"""),83.5)</f>
        <v>83.5</v>
      </c>
      <c r="E4280" s="1">
        <f>IFERROR(__xludf.DUMMYFUNCTION("""COMPUTED_VALUE"""),84.2)</f>
        <v>84.2</v>
      </c>
      <c r="F4280" s="1">
        <f>IFERROR(__xludf.DUMMYFUNCTION("""COMPUTED_VALUE"""),8792666.0)</f>
        <v>8792666</v>
      </c>
    </row>
    <row r="4281">
      <c r="A4281" s="2">
        <f>IFERROR(__xludf.DUMMYFUNCTION("""COMPUTED_VALUE"""),42739.66666666667)</f>
        <v>42739.66667</v>
      </c>
      <c r="B4281" s="1">
        <f>IFERROR(__xludf.DUMMYFUNCTION("""COMPUTED_VALUE"""),84.45)</f>
        <v>84.45</v>
      </c>
      <c r="C4281" s="1">
        <f>IFERROR(__xludf.DUMMYFUNCTION("""COMPUTED_VALUE"""),84.6)</f>
        <v>84.6</v>
      </c>
      <c r="D4281" s="1">
        <f>IFERROR(__xludf.DUMMYFUNCTION("""COMPUTED_VALUE"""),84.24)</f>
        <v>84.24</v>
      </c>
      <c r="E4281" s="1">
        <f>IFERROR(__xludf.DUMMYFUNCTION("""COMPUTED_VALUE"""),84.5)</f>
        <v>84.5</v>
      </c>
      <c r="F4281" s="1">
        <f>IFERROR(__xludf.DUMMYFUNCTION("""COMPUTED_VALUE"""),8096650.0)</f>
        <v>8096650</v>
      </c>
    </row>
    <row r="4282">
      <c r="A4282" s="2">
        <f>IFERROR(__xludf.DUMMYFUNCTION("""COMPUTED_VALUE"""),42740.66666666667)</f>
        <v>42740.66667</v>
      </c>
      <c r="B4282" s="1">
        <f>IFERROR(__xludf.DUMMYFUNCTION("""COMPUTED_VALUE"""),84.41)</f>
        <v>84.41</v>
      </c>
      <c r="C4282" s="1">
        <f>IFERROR(__xludf.DUMMYFUNCTION("""COMPUTED_VALUE"""),85.43)</f>
        <v>85.43</v>
      </c>
      <c r="D4282" s="1">
        <f>IFERROR(__xludf.DUMMYFUNCTION("""COMPUTED_VALUE"""),84.38)</f>
        <v>84.38</v>
      </c>
      <c r="E4282" s="1">
        <f>IFERROR(__xludf.DUMMYFUNCTION("""COMPUTED_VALUE"""),85.06)</f>
        <v>85.06</v>
      </c>
      <c r="F4282" s="1">
        <f>IFERROR(__xludf.DUMMYFUNCTION("""COMPUTED_VALUE"""),6852435.0)</f>
        <v>6852435</v>
      </c>
    </row>
    <row r="4283">
      <c r="A4283" s="2">
        <f>IFERROR(__xludf.DUMMYFUNCTION("""COMPUTED_VALUE"""),42741.66666666667)</f>
        <v>42741.66667</v>
      </c>
      <c r="B4283" s="1">
        <f>IFERROR(__xludf.DUMMYFUNCTION("""COMPUTED_VALUE"""),84.94)</f>
        <v>84.94</v>
      </c>
      <c r="C4283" s="1">
        <f>IFERROR(__xludf.DUMMYFUNCTION("""COMPUTED_VALUE"""),85.25)</f>
        <v>85.25</v>
      </c>
      <c r="D4283" s="1">
        <f>IFERROR(__xludf.DUMMYFUNCTION("""COMPUTED_VALUE"""),84.62)</f>
        <v>84.62</v>
      </c>
      <c r="E4283" s="1">
        <f>IFERROR(__xludf.DUMMYFUNCTION("""COMPUTED_VALUE"""),85.03)</f>
        <v>85.03</v>
      </c>
      <c r="F4283" s="1">
        <f>IFERROR(__xludf.DUMMYFUNCTION("""COMPUTED_VALUE"""),4799645.0)</f>
        <v>4799645</v>
      </c>
    </row>
    <row r="4284">
      <c r="A4284" s="2">
        <f>IFERROR(__xludf.DUMMYFUNCTION("""COMPUTED_VALUE"""),42744.66666666667)</f>
        <v>42744.66667</v>
      </c>
      <c r="B4284" s="1">
        <f>IFERROR(__xludf.DUMMYFUNCTION("""COMPUTED_VALUE"""),84.06)</f>
        <v>84.06</v>
      </c>
      <c r="C4284" s="1">
        <f>IFERROR(__xludf.DUMMYFUNCTION("""COMPUTED_VALUE"""),84.66)</f>
        <v>84.66</v>
      </c>
      <c r="D4284" s="1">
        <f>IFERROR(__xludf.DUMMYFUNCTION("""COMPUTED_VALUE"""),83.75)</f>
        <v>83.75</v>
      </c>
      <c r="E4284" s="1">
        <f>IFERROR(__xludf.DUMMYFUNCTION("""COMPUTED_VALUE"""),84.4)</f>
        <v>84.4</v>
      </c>
      <c r="F4284" s="1">
        <f>IFERROR(__xludf.DUMMYFUNCTION("""COMPUTED_VALUE"""),1.1000479E7)</f>
        <v>11000479</v>
      </c>
    </row>
    <row r="4285">
      <c r="A4285" s="2">
        <f>IFERROR(__xludf.DUMMYFUNCTION("""COMPUTED_VALUE"""),42745.66666666667)</f>
        <v>42745.66667</v>
      </c>
      <c r="B4285" s="1">
        <f>IFERROR(__xludf.DUMMYFUNCTION("""COMPUTED_VALUE"""),84.34)</f>
        <v>84.34</v>
      </c>
      <c r="C4285" s="1">
        <f>IFERROR(__xludf.DUMMYFUNCTION("""COMPUTED_VALUE"""),84.43)</f>
        <v>84.43</v>
      </c>
      <c r="D4285" s="1">
        <f>IFERROR(__xludf.DUMMYFUNCTION("""COMPUTED_VALUE"""),83.24)</f>
        <v>83.24</v>
      </c>
      <c r="E4285" s="1">
        <f>IFERROR(__xludf.DUMMYFUNCTION("""COMPUTED_VALUE"""),83.49)</f>
        <v>83.49</v>
      </c>
      <c r="F4285" s="1">
        <f>IFERROR(__xludf.DUMMYFUNCTION("""COMPUTED_VALUE"""),1.0918153E7)</f>
        <v>10918153</v>
      </c>
    </row>
    <row r="4286">
      <c r="A4286" s="2">
        <f>IFERROR(__xludf.DUMMYFUNCTION("""COMPUTED_VALUE"""),42746.66666666667)</f>
        <v>42746.66667</v>
      </c>
      <c r="B4286" s="1">
        <f>IFERROR(__xludf.DUMMYFUNCTION("""COMPUTED_VALUE"""),83.39)</f>
        <v>83.39</v>
      </c>
      <c r="C4286" s="1">
        <f>IFERROR(__xludf.DUMMYFUNCTION("""COMPUTED_VALUE"""),83.75)</f>
        <v>83.75</v>
      </c>
      <c r="D4286" s="1">
        <f>IFERROR(__xludf.DUMMYFUNCTION("""COMPUTED_VALUE"""),83.28)</f>
        <v>83.28</v>
      </c>
      <c r="E4286" s="1">
        <f>IFERROR(__xludf.DUMMYFUNCTION("""COMPUTED_VALUE"""),83.75)</f>
        <v>83.75</v>
      </c>
      <c r="F4286" s="1">
        <f>IFERROR(__xludf.DUMMYFUNCTION("""COMPUTED_VALUE"""),9572186.0)</f>
        <v>9572186</v>
      </c>
    </row>
    <row r="4287">
      <c r="A4287" s="2">
        <f>IFERROR(__xludf.DUMMYFUNCTION("""COMPUTED_VALUE"""),42747.66666666667)</f>
        <v>42747.66667</v>
      </c>
      <c r="B4287" s="1">
        <f>IFERROR(__xludf.DUMMYFUNCTION("""COMPUTED_VALUE"""),83.71)</f>
        <v>83.71</v>
      </c>
      <c r="C4287" s="1">
        <f>IFERROR(__xludf.DUMMYFUNCTION("""COMPUTED_VALUE"""),83.88)</f>
        <v>83.88</v>
      </c>
      <c r="D4287" s="1">
        <f>IFERROR(__xludf.DUMMYFUNCTION("""COMPUTED_VALUE"""),83.37)</f>
        <v>83.37</v>
      </c>
      <c r="E4287" s="1">
        <f>IFERROR(__xludf.DUMMYFUNCTION("""COMPUTED_VALUE"""),83.84)</f>
        <v>83.84</v>
      </c>
      <c r="F4287" s="1">
        <f>IFERROR(__xludf.DUMMYFUNCTION("""COMPUTED_VALUE"""),6545444.0)</f>
        <v>6545444</v>
      </c>
    </row>
    <row r="4288">
      <c r="A4288" s="2">
        <f>IFERROR(__xludf.DUMMYFUNCTION("""COMPUTED_VALUE"""),42748.66666666667)</f>
        <v>42748.66667</v>
      </c>
      <c r="B4288" s="1">
        <f>IFERROR(__xludf.DUMMYFUNCTION("""COMPUTED_VALUE"""),83.85)</f>
        <v>83.85</v>
      </c>
      <c r="C4288" s="1">
        <f>IFERROR(__xludf.DUMMYFUNCTION("""COMPUTED_VALUE"""),84.02)</f>
        <v>84.02</v>
      </c>
      <c r="D4288" s="1">
        <f>IFERROR(__xludf.DUMMYFUNCTION("""COMPUTED_VALUE"""),83.44)</f>
        <v>83.44</v>
      </c>
      <c r="E4288" s="1">
        <f>IFERROR(__xludf.DUMMYFUNCTION("""COMPUTED_VALUE"""),84.01)</f>
        <v>84.01</v>
      </c>
      <c r="F4288" s="1">
        <f>IFERROR(__xludf.DUMMYFUNCTION("""COMPUTED_VALUE"""),6762797.0)</f>
        <v>6762797</v>
      </c>
    </row>
    <row r="4289">
      <c r="A4289" s="2">
        <f>IFERROR(__xludf.DUMMYFUNCTION("""COMPUTED_VALUE"""),42752.66666666667)</f>
        <v>42752.66667</v>
      </c>
      <c r="B4289" s="1">
        <f>IFERROR(__xludf.DUMMYFUNCTION("""COMPUTED_VALUE"""),83.9)</f>
        <v>83.9</v>
      </c>
      <c r="C4289" s="1">
        <f>IFERROR(__xludf.DUMMYFUNCTION("""COMPUTED_VALUE"""),85.58)</f>
        <v>85.58</v>
      </c>
      <c r="D4289" s="1">
        <f>IFERROR(__xludf.DUMMYFUNCTION("""COMPUTED_VALUE"""),83.88)</f>
        <v>83.88</v>
      </c>
      <c r="E4289" s="1">
        <f>IFERROR(__xludf.DUMMYFUNCTION("""COMPUTED_VALUE"""),85.21)</f>
        <v>85.21</v>
      </c>
      <c r="F4289" s="1">
        <f>IFERROR(__xludf.DUMMYFUNCTION("""COMPUTED_VALUE"""),1.3143943E7)</f>
        <v>13143943</v>
      </c>
    </row>
    <row r="4290">
      <c r="A4290" s="2">
        <f>IFERROR(__xludf.DUMMYFUNCTION("""COMPUTED_VALUE"""),42753.66666666667)</f>
        <v>42753.66667</v>
      </c>
      <c r="B4290" s="1">
        <f>IFERROR(__xludf.DUMMYFUNCTION("""COMPUTED_VALUE"""),84.8)</f>
        <v>84.8</v>
      </c>
      <c r="C4290" s="1">
        <f>IFERROR(__xludf.DUMMYFUNCTION("""COMPUTED_VALUE"""),85.3)</f>
        <v>85.3</v>
      </c>
      <c r="D4290" s="1">
        <f>IFERROR(__xludf.DUMMYFUNCTION("""COMPUTED_VALUE"""),84.59)</f>
        <v>84.59</v>
      </c>
      <c r="E4290" s="1">
        <f>IFERROR(__xludf.DUMMYFUNCTION("""COMPUTED_VALUE"""),84.93)</f>
        <v>84.93</v>
      </c>
      <c r="F4290" s="1">
        <f>IFERROR(__xludf.DUMMYFUNCTION("""COMPUTED_VALUE"""),1.0521181E7)</f>
        <v>10521181</v>
      </c>
    </row>
    <row r="4291">
      <c r="A4291" s="2">
        <f>IFERROR(__xludf.DUMMYFUNCTION("""COMPUTED_VALUE"""),42754.66666666667)</f>
        <v>42754.66667</v>
      </c>
      <c r="B4291" s="1">
        <f>IFERROR(__xludf.DUMMYFUNCTION("""COMPUTED_VALUE"""),84.63)</f>
        <v>84.63</v>
      </c>
      <c r="C4291" s="1">
        <f>IFERROR(__xludf.DUMMYFUNCTION("""COMPUTED_VALUE"""),85.0)</f>
        <v>85</v>
      </c>
      <c r="D4291" s="1">
        <f>IFERROR(__xludf.DUMMYFUNCTION("""COMPUTED_VALUE"""),84.28)</f>
        <v>84.28</v>
      </c>
      <c r="E4291" s="1">
        <f>IFERROR(__xludf.DUMMYFUNCTION("""COMPUTED_VALUE"""),84.7)</f>
        <v>84.7</v>
      </c>
      <c r="F4291" s="1">
        <f>IFERROR(__xludf.DUMMYFUNCTION("""COMPUTED_VALUE"""),1.4074119E7)</f>
        <v>14074119</v>
      </c>
    </row>
    <row r="4292">
      <c r="A4292" s="2">
        <f>IFERROR(__xludf.DUMMYFUNCTION("""COMPUTED_VALUE"""),42755.66666666667)</f>
        <v>42755.66667</v>
      </c>
      <c r="B4292" s="1">
        <f>IFERROR(__xludf.DUMMYFUNCTION("""COMPUTED_VALUE"""),86.89)</f>
        <v>86.89</v>
      </c>
      <c r="C4292" s="1">
        <f>IFERROR(__xludf.DUMMYFUNCTION("""COMPUTED_VALUE"""),87.98)</f>
        <v>87.98</v>
      </c>
      <c r="D4292" s="1">
        <f>IFERROR(__xludf.DUMMYFUNCTION("""COMPUTED_VALUE"""),86.42)</f>
        <v>86.42</v>
      </c>
      <c r="E4292" s="1">
        <f>IFERROR(__xludf.DUMMYFUNCTION("""COMPUTED_VALUE"""),87.45)</f>
        <v>87.45</v>
      </c>
      <c r="F4292" s="1">
        <f>IFERROR(__xludf.DUMMYFUNCTION("""COMPUTED_VALUE"""),2.29263E7)</f>
        <v>22926300</v>
      </c>
    </row>
    <row r="4293">
      <c r="A4293" s="2">
        <f>IFERROR(__xludf.DUMMYFUNCTION("""COMPUTED_VALUE"""),42758.66666666667)</f>
        <v>42758.66667</v>
      </c>
      <c r="B4293" s="1">
        <f>IFERROR(__xludf.DUMMYFUNCTION("""COMPUTED_VALUE"""),87.09)</f>
        <v>87.09</v>
      </c>
      <c r="C4293" s="1">
        <f>IFERROR(__xludf.DUMMYFUNCTION("""COMPUTED_VALUE"""),87.35)</f>
        <v>87.35</v>
      </c>
      <c r="D4293" s="1">
        <f>IFERROR(__xludf.DUMMYFUNCTION("""COMPUTED_VALUE"""),86.85)</f>
        <v>86.85</v>
      </c>
      <c r="E4293" s="1">
        <f>IFERROR(__xludf.DUMMYFUNCTION("""COMPUTED_VALUE"""),86.96)</f>
        <v>86.96</v>
      </c>
      <c r="F4293" s="1">
        <f>IFERROR(__xludf.DUMMYFUNCTION("""COMPUTED_VALUE"""),9408129.0)</f>
        <v>9408129</v>
      </c>
    </row>
    <row r="4294">
      <c r="A4294" s="2">
        <f>IFERROR(__xludf.DUMMYFUNCTION("""COMPUTED_VALUE"""),42759.66666666667)</f>
        <v>42759.66667</v>
      </c>
      <c r="B4294" s="1">
        <f>IFERROR(__xludf.DUMMYFUNCTION("""COMPUTED_VALUE"""),87.22)</f>
        <v>87.22</v>
      </c>
      <c r="C4294" s="1">
        <f>IFERROR(__xludf.DUMMYFUNCTION("""COMPUTED_VALUE"""),87.95)</f>
        <v>87.95</v>
      </c>
      <c r="D4294" s="1">
        <f>IFERROR(__xludf.DUMMYFUNCTION("""COMPUTED_VALUE"""),87.22)</f>
        <v>87.22</v>
      </c>
      <c r="E4294" s="1">
        <f>IFERROR(__xludf.DUMMYFUNCTION("""COMPUTED_VALUE"""),87.86)</f>
        <v>87.86</v>
      </c>
      <c r="F4294" s="1">
        <f>IFERROR(__xludf.DUMMYFUNCTION("""COMPUTED_VALUE"""),8704682.0)</f>
        <v>8704682</v>
      </c>
    </row>
    <row r="4295">
      <c r="A4295" s="2">
        <f>IFERROR(__xludf.DUMMYFUNCTION("""COMPUTED_VALUE"""),42760.66666666667)</f>
        <v>42760.66667</v>
      </c>
      <c r="B4295" s="1">
        <f>IFERROR(__xludf.DUMMYFUNCTION("""COMPUTED_VALUE"""),87.84)</f>
        <v>87.84</v>
      </c>
      <c r="C4295" s="1">
        <f>IFERROR(__xludf.DUMMYFUNCTION("""COMPUTED_VALUE"""),87.9)</f>
        <v>87.9</v>
      </c>
      <c r="D4295" s="1">
        <f>IFERROR(__xludf.DUMMYFUNCTION("""COMPUTED_VALUE"""),87.06)</f>
        <v>87.06</v>
      </c>
      <c r="E4295" s="1">
        <f>IFERROR(__xludf.DUMMYFUNCTION("""COMPUTED_VALUE"""),87.16)</f>
        <v>87.16</v>
      </c>
      <c r="F4295" s="1">
        <f>IFERROR(__xludf.DUMMYFUNCTION("""COMPUTED_VALUE"""),8082849.0)</f>
        <v>8082849</v>
      </c>
    </row>
    <row r="4296">
      <c r="A4296" s="2">
        <f>IFERROR(__xludf.DUMMYFUNCTION("""COMPUTED_VALUE"""),42761.66666666667)</f>
        <v>42761.66667</v>
      </c>
      <c r="B4296" s="1">
        <f>IFERROR(__xludf.DUMMYFUNCTION("""COMPUTED_VALUE"""),87.12)</f>
        <v>87.12</v>
      </c>
      <c r="C4296" s="1">
        <f>IFERROR(__xludf.DUMMYFUNCTION("""COMPUTED_VALUE"""),87.23)</f>
        <v>87.23</v>
      </c>
      <c r="D4296" s="1">
        <f>IFERROR(__xludf.DUMMYFUNCTION("""COMPUTED_VALUE"""),86.59)</f>
        <v>86.59</v>
      </c>
      <c r="E4296" s="1">
        <f>IFERROR(__xludf.DUMMYFUNCTION("""COMPUTED_VALUE"""),86.6)</f>
        <v>86.6</v>
      </c>
      <c r="F4296" s="1">
        <f>IFERROR(__xludf.DUMMYFUNCTION("""COMPUTED_VALUE"""),6540385.0)</f>
        <v>6540385</v>
      </c>
    </row>
    <row r="4297">
      <c r="A4297" s="2">
        <f>IFERROR(__xludf.DUMMYFUNCTION("""COMPUTED_VALUE"""),42762.66666666667)</f>
        <v>42762.66667</v>
      </c>
      <c r="B4297" s="1">
        <f>IFERROR(__xludf.DUMMYFUNCTION("""COMPUTED_VALUE"""),86.45)</f>
        <v>86.45</v>
      </c>
      <c r="C4297" s="1">
        <f>IFERROR(__xludf.DUMMYFUNCTION("""COMPUTED_VALUE"""),86.85)</f>
        <v>86.85</v>
      </c>
      <c r="D4297" s="1">
        <f>IFERROR(__xludf.DUMMYFUNCTION("""COMPUTED_VALUE"""),86.02)</f>
        <v>86.02</v>
      </c>
      <c r="E4297" s="1">
        <f>IFERROR(__xludf.DUMMYFUNCTION("""COMPUTED_VALUE"""),86.72)</f>
        <v>86.72</v>
      </c>
      <c r="F4297" s="1">
        <f>IFERROR(__xludf.DUMMYFUNCTION("""COMPUTED_VALUE"""),9332303.0)</f>
        <v>9332303</v>
      </c>
    </row>
    <row r="4298">
      <c r="A4298" s="2">
        <f>IFERROR(__xludf.DUMMYFUNCTION("""COMPUTED_VALUE"""),42765.66666666667)</f>
        <v>42765.66667</v>
      </c>
      <c r="B4298" s="1">
        <f>IFERROR(__xludf.DUMMYFUNCTION("""COMPUTED_VALUE"""),86.78)</f>
        <v>86.78</v>
      </c>
      <c r="C4298" s="1">
        <f>IFERROR(__xludf.DUMMYFUNCTION("""COMPUTED_VALUE"""),86.86)</f>
        <v>86.86</v>
      </c>
      <c r="D4298" s="1">
        <f>IFERROR(__xludf.DUMMYFUNCTION("""COMPUTED_VALUE"""),86.5)</f>
        <v>86.5</v>
      </c>
      <c r="E4298" s="1">
        <f>IFERROR(__xludf.DUMMYFUNCTION("""COMPUTED_VALUE"""),86.75)</f>
        <v>86.75</v>
      </c>
      <c r="F4298" s="1">
        <f>IFERROR(__xludf.DUMMYFUNCTION("""COMPUTED_VALUE"""),7349936.0)</f>
        <v>7349936</v>
      </c>
    </row>
    <row r="4299">
      <c r="A4299" s="2">
        <f>IFERROR(__xludf.DUMMYFUNCTION("""COMPUTED_VALUE"""),42766.66666666667)</f>
        <v>42766.66667</v>
      </c>
      <c r="B4299" s="1">
        <f>IFERROR(__xludf.DUMMYFUNCTION("""COMPUTED_VALUE"""),86.63)</f>
        <v>86.63</v>
      </c>
      <c r="C4299" s="1">
        <f>IFERROR(__xludf.DUMMYFUNCTION("""COMPUTED_VALUE"""),87.66)</f>
        <v>87.66</v>
      </c>
      <c r="D4299" s="1">
        <f>IFERROR(__xludf.DUMMYFUNCTION("""COMPUTED_VALUE"""),86.53)</f>
        <v>86.53</v>
      </c>
      <c r="E4299" s="1">
        <f>IFERROR(__xludf.DUMMYFUNCTION("""COMPUTED_VALUE"""),87.6)</f>
        <v>87.6</v>
      </c>
      <c r="F4299" s="1">
        <f>IFERROR(__xludf.DUMMYFUNCTION("""COMPUTED_VALUE"""),9712432.0)</f>
        <v>9712432</v>
      </c>
    </row>
    <row r="4300">
      <c r="A4300" s="2">
        <f>IFERROR(__xludf.DUMMYFUNCTION("""COMPUTED_VALUE"""),42767.66666666667)</f>
        <v>42767.66667</v>
      </c>
      <c r="B4300" s="1">
        <f>IFERROR(__xludf.DUMMYFUNCTION("""COMPUTED_VALUE"""),87.03)</f>
        <v>87.03</v>
      </c>
      <c r="C4300" s="1">
        <f>IFERROR(__xludf.DUMMYFUNCTION("""COMPUTED_VALUE"""),87.59)</f>
        <v>87.59</v>
      </c>
      <c r="D4300" s="1">
        <f>IFERROR(__xludf.DUMMYFUNCTION("""COMPUTED_VALUE"""),86.75)</f>
        <v>86.75</v>
      </c>
      <c r="E4300" s="1">
        <f>IFERROR(__xludf.DUMMYFUNCTION("""COMPUTED_VALUE"""),87.33)</f>
        <v>87.33</v>
      </c>
      <c r="F4300" s="1">
        <f>IFERROR(__xludf.DUMMYFUNCTION("""COMPUTED_VALUE"""),8291514.0)</f>
        <v>8291514</v>
      </c>
    </row>
    <row r="4301">
      <c r="A4301" s="2">
        <f>IFERROR(__xludf.DUMMYFUNCTION("""COMPUTED_VALUE"""),42768.66666666667)</f>
        <v>42768.66667</v>
      </c>
      <c r="B4301" s="1">
        <f>IFERROR(__xludf.DUMMYFUNCTION("""COMPUTED_VALUE"""),87.61)</f>
        <v>87.61</v>
      </c>
      <c r="C4301" s="1">
        <f>IFERROR(__xludf.DUMMYFUNCTION("""COMPUTED_VALUE"""),88.35)</f>
        <v>88.35</v>
      </c>
      <c r="D4301" s="1">
        <f>IFERROR(__xludf.DUMMYFUNCTION("""COMPUTED_VALUE"""),87.25)</f>
        <v>87.25</v>
      </c>
      <c r="E4301" s="1">
        <f>IFERROR(__xludf.DUMMYFUNCTION("""COMPUTED_VALUE"""),87.76)</f>
        <v>87.76</v>
      </c>
      <c r="F4301" s="1">
        <f>IFERROR(__xludf.DUMMYFUNCTION("""COMPUTED_VALUE"""),8997073.0)</f>
        <v>8997073</v>
      </c>
    </row>
    <row r="4302">
      <c r="A4302" s="2">
        <f>IFERROR(__xludf.DUMMYFUNCTION("""COMPUTED_VALUE"""),42769.66666666667)</f>
        <v>42769.66667</v>
      </c>
      <c r="B4302" s="1">
        <f>IFERROR(__xludf.DUMMYFUNCTION("""COMPUTED_VALUE"""),88.12)</f>
        <v>88.12</v>
      </c>
      <c r="C4302" s="1">
        <f>IFERROR(__xludf.DUMMYFUNCTION("""COMPUTED_VALUE"""),88.17)</f>
        <v>88.17</v>
      </c>
      <c r="D4302" s="1">
        <f>IFERROR(__xludf.DUMMYFUNCTION("""COMPUTED_VALUE"""),87.39)</f>
        <v>87.39</v>
      </c>
      <c r="E4302" s="1">
        <f>IFERROR(__xludf.DUMMYFUNCTION("""COMPUTED_VALUE"""),87.41)</f>
        <v>87.41</v>
      </c>
      <c r="F4302" s="1">
        <f>IFERROR(__xludf.DUMMYFUNCTION("""COMPUTED_VALUE"""),7161948.0)</f>
        <v>7161948</v>
      </c>
    </row>
    <row r="4303">
      <c r="A4303" s="2">
        <f>IFERROR(__xludf.DUMMYFUNCTION("""COMPUTED_VALUE"""),42772.66666666667)</f>
        <v>42772.66667</v>
      </c>
      <c r="B4303" s="1">
        <f>IFERROR(__xludf.DUMMYFUNCTION("""COMPUTED_VALUE"""),87.5)</f>
        <v>87.5</v>
      </c>
      <c r="C4303" s="1">
        <f>IFERROR(__xludf.DUMMYFUNCTION("""COMPUTED_VALUE"""),87.79)</f>
        <v>87.79</v>
      </c>
      <c r="D4303" s="1">
        <f>IFERROR(__xludf.DUMMYFUNCTION("""COMPUTED_VALUE"""),87.13)</f>
        <v>87.13</v>
      </c>
      <c r="E4303" s="1">
        <f>IFERROR(__xludf.DUMMYFUNCTION("""COMPUTED_VALUE"""),87.4)</f>
        <v>87.4</v>
      </c>
      <c r="F4303" s="1">
        <f>IFERROR(__xludf.DUMMYFUNCTION("""COMPUTED_VALUE"""),7482965.0)</f>
        <v>7482965</v>
      </c>
    </row>
    <row r="4304">
      <c r="A4304" s="2">
        <f>IFERROR(__xludf.DUMMYFUNCTION("""COMPUTED_VALUE"""),42773.66666666667)</f>
        <v>42773.66667</v>
      </c>
      <c r="B4304" s="1">
        <f>IFERROR(__xludf.DUMMYFUNCTION("""COMPUTED_VALUE"""),87.64)</f>
        <v>87.64</v>
      </c>
      <c r="C4304" s="1">
        <f>IFERROR(__xludf.DUMMYFUNCTION("""COMPUTED_VALUE"""),88.28)</f>
        <v>88.28</v>
      </c>
      <c r="D4304" s="1">
        <f>IFERROR(__xludf.DUMMYFUNCTION("""COMPUTED_VALUE"""),87.48)</f>
        <v>87.48</v>
      </c>
      <c r="E4304" s="1">
        <f>IFERROR(__xludf.DUMMYFUNCTION("""COMPUTED_VALUE"""),88.01)</f>
        <v>88.01</v>
      </c>
      <c r="F4304" s="1">
        <f>IFERROR(__xludf.DUMMYFUNCTION("""COMPUTED_VALUE"""),6646055.0)</f>
        <v>6646055</v>
      </c>
    </row>
    <row r="4305">
      <c r="A4305" s="2">
        <f>IFERROR(__xludf.DUMMYFUNCTION("""COMPUTED_VALUE"""),42774.66666666667)</f>
        <v>42774.66667</v>
      </c>
      <c r="B4305" s="1">
        <f>IFERROR(__xludf.DUMMYFUNCTION("""COMPUTED_VALUE"""),88.07)</f>
        <v>88.07</v>
      </c>
      <c r="C4305" s="1">
        <f>IFERROR(__xludf.DUMMYFUNCTION("""COMPUTED_VALUE"""),88.34)</f>
        <v>88.34</v>
      </c>
      <c r="D4305" s="1">
        <f>IFERROR(__xludf.DUMMYFUNCTION("""COMPUTED_VALUE"""),87.81)</f>
        <v>87.81</v>
      </c>
      <c r="E4305" s="1">
        <f>IFERROR(__xludf.DUMMYFUNCTION("""COMPUTED_VALUE"""),88.33)</f>
        <v>88.33</v>
      </c>
      <c r="F4305" s="1">
        <f>IFERROR(__xludf.DUMMYFUNCTION("""COMPUTED_VALUE"""),6815753.0)</f>
        <v>6815753</v>
      </c>
    </row>
    <row r="4306">
      <c r="A4306" s="2">
        <f>IFERROR(__xludf.DUMMYFUNCTION("""COMPUTED_VALUE"""),42775.66666666667)</f>
        <v>42775.66667</v>
      </c>
      <c r="B4306" s="1">
        <f>IFERROR(__xludf.DUMMYFUNCTION("""COMPUTED_VALUE"""),88.25)</f>
        <v>88.25</v>
      </c>
      <c r="C4306" s="1">
        <f>IFERROR(__xludf.DUMMYFUNCTION("""COMPUTED_VALUE"""),88.78)</f>
        <v>88.78</v>
      </c>
      <c r="D4306" s="1">
        <f>IFERROR(__xludf.DUMMYFUNCTION("""COMPUTED_VALUE"""),88.03)</f>
        <v>88.03</v>
      </c>
      <c r="E4306" s="1">
        <f>IFERROR(__xludf.DUMMYFUNCTION("""COMPUTED_VALUE"""),88.67)</f>
        <v>88.67</v>
      </c>
      <c r="F4306" s="1">
        <f>IFERROR(__xludf.DUMMYFUNCTION("""COMPUTED_VALUE"""),9914070.0)</f>
        <v>9914070</v>
      </c>
    </row>
    <row r="4307">
      <c r="A4307" s="2">
        <f>IFERROR(__xludf.DUMMYFUNCTION("""COMPUTED_VALUE"""),42776.66666666667)</f>
        <v>42776.66667</v>
      </c>
      <c r="B4307" s="1">
        <f>IFERROR(__xludf.DUMMYFUNCTION("""COMPUTED_VALUE"""),88.56)</f>
        <v>88.56</v>
      </c>
      <c r="C4307" s="1">
        <f>IFERROR(__xludf.DUMMYFUNCTION("""COMPUTED_VALUE"""),88.73)</f>
        <v>88.73</v>
      </c>
      <c r="D4307" s="1">
        <f>IFERROR(__xludf.DUMMYFUNCTION("""COMPUTED_VALUE"""),87.97)</f>
        <v>87.97</v>
      </c>
      <c r="E4307" s="1">
        <f>IFERROR(__xludf.DUMMYFUNCTION("""COMPUTED_VALUE"""),87.97)</f>
        <v>87.97</v>
      </c>
      <c r="F4307" s="1">
        <f>IFERROR(__xludf.DUMMYFUNCTION("""COMPUTED_VALUE"""),1.1057552E7)</f>
        <v>11057552</v>
      </c>
    </row>
    <row r="4308">
      <c r="A4308" s="2">
        <f>IFERROR(__xludf.DUMMYFUNCTION("""COMPUTED_VALUE"""),42779.66666666667)</f>
        <v>42779.66667</v>
      </c>
      <c r="B4308" s="1">
        <f>IFERROR(__xludf.DUMMYFUNCTION("""COMPUTED_VALUE"""),88.04)</f>
        <v>88.04</v>
      </c>
      <c r="C4308" s="1">
        <f>IFERROR(__xludf.DUMMYFUNCTION("""COMPUTED_VALUE"""),88.36)</f>
        <v>88.36</v>
      </c>
      <c r="D4308" s="1">
        <f>IFERROR(__xludf.DUMMYFUNCTION("""COMPUTED_VALUE"""),87.64)</f>
        <v>87.64</v>
      </c>
      <c r="E4308" s="1">
        <f>IFERROR(__xludf.DUMMYFUNCTION("""COMPUTED_VALUE"""),88.31)</f>
        <v>88.31</v>
      </c>
      <c r="F4308" s="1">
        <f>IFERROR(__xludf.DUMMYFUNCTION("""COMPUTED_VALUE"""),6904930.0)</f>
        <v>6904930</v>
      </c>
    </row>
    <row r="4309">
      <c r="A4309" s="2">
        <f>IFERROR(__xludf.DUMMYFUNCTION("""COMPUTED_VALUE"""),42780.66666666667)</f>
        <v>42780.66667</v>
      </c>
      <c r="B4309" s="1">
        <f>IFERROR(__xludf.DUMMYFUNCTION("""COMPUTED_VALUE"""),88.0)</f>
        <v>88</v>
      </c>
      <c r="C4309" s="1">
        <f>IFERROR(__xludf.DUMMYFUNCTION("""COMPUTED_VALUE"""),88.22)</f>
        <v>88.22</v>
      </c>
      <c r="D4309" s="1">
        <f>IFERROR(__xludf.DUMMYFUNCTION("""COMPUTED_VALUE"""),87.23)</f>
        <v>87.23</v>
      </c>
      <c r="E4309" s="1">
        <f>IFERROR(__xludf.DUMMYFUNCTION("""COMPUTED_VALUE"""),87.86)</f>
        <v>87.86</v>
      </c>
      <c r="F4309" s="1">
        <f>IFERROR(__xludf.DUMMYFUNCTION("""COMPUTED_VALUE"""),2.0114191E7)</f>
        <v>20114191</v>
      </c>
    </row>
    <row r="4310">
      <c r="A4310" s="2">
        <f>IFERROR(__xludf.DUMMYFUNCTION("""COMPUTED_VALUE"""),42781.66666666667)</f>
        <v>42781.66667</v>
      </c>
      <c r="B4310" s="1">
        <f>IFERROR(__xludf.DUMMYFUNCTION("""COMPUTED_VALUE"""),89.81)</f>
        <v>89.81</v>
      </c>
      <c r="C4310" s="1">
        <f>IFERROR(__xludf.DUMMYFUNCTION("""COMPUTED_VALUE"""),91.15)</f>
        <v>91.15</v>
      </c>
      <c r="D4310" s="1">
        <f>IFERROR(__xludf.DUMMYFUNCTION("""COMPUTED_VALUE"""),89.81)</f>
        <v>89.81</v>
      </c>
      <c r="E4310" s="1">
        <f>IFERROR(__xludf.DUMMYFUNCTION("""COMPUTED_VALUE"""),91.12)</f>
        <v>91.12</v>
      </c>
      <c r="F4310" s="1">
        <f>IFERROR(__xludf.DUMMYFUNCTION("""COMPUTED_VALUE"""),2.5847297E7)</f>
        <v>25847297</v>
      </c>
    </row>
    <row r="4311">
      <c r="A4311" s="2">
        <f>IFERROR(__xludf.DUMMYFUNCTION("""COMPUTED_VALUE"""),42782.66666666667)</f>
        <v>42782.66667</v>
      </c>
      <c r="B4311" s="1">
        <f>IFERROR(__xludf.DUMMYFUNCTION("""COMPUTED_VALUE"""),90.92)</f>
        <v>90.92</v>
      </c>
      <c r="C4311" s="1">
        <f>IFERROR(__xludf.DUMMYFUNCTION("""COMPUTED_VALUE"""),91.12)</f>
        <v>91.12</v>
      </c>
      <c r="D4311" s="1">
        <f>IFERROR(__xludf.DUMMYFUNCTION("""COMPUTED_VALUE"""),90.54)</f>
        <v>90.54</v>
      </c>
      <c r="E4311" s="1">
        <f>IFERROR(__xludf.DUMMYFUNCTION("""COMPUTED_VALUE"""),90.79)</f>
        <v>90.79</v>
      </c>
      <c r="F4311" s="1">
        <f>IFERROR(__xludf.DUMMYFUNCTION("""COMPUTED_VALUE"""),1.2408473E7)</f>
        <v>12408473</v>
      </c>
    </row>
    <row r="4312">
      <c r="A4312" s="2">
        <f>IFERROR(__xludf.DUMMYFUNCTION("""COMPUTED_VALUE"""),42783.66666666667)</f>
        <v>42783.66667</v>
      </c>
      <c r="B4312" s="1">
        <f>IFERROR(__xludf.DUMMYFUNCTION("""COMPUTED_VALUE"""),90.61)</f>
        <v>90.61</v>
      </c>
      <c r="C4312" s="1">
        <f>IFERROR(__xludf.DUMMYFUNCTION("""COMPUTED_VALUE"""),91.36)</f>
        <v>91.36</v>
      </c>
      <c r="D4312" s="1">
        <f>IFERROR(__xludf.DUMMYFUNCTION("""COMPUTED_VALUE"""),90.45)</f>
        <v>90.45</v>
      </c>
      <c r="E4312" s="1">
        <f>IFERROR(__xludf.DUMMYFUNCTION("""COMPUTED_VALUE"""),91.09)</f>
        <v>91.09</v>
      </c>
      <c r="F4312" s="1">
        <f>IFERROR(__xludf.DUMMYFUNCTION("""COMPUTED_VALUE"""),1.2152228E7)</f>
        <v>12152228</v>
      </c>
    </row>
    <row r="4313">
      <c r="A4313" s="2">
        <f>IFERROR(__xludf.DUMMYFUNCTION("""COMPUTED_VALUE"""),42787.66666666667)</f>
        <v>42787.66667</v>
      </c>
      <c r="B4313" s="1">
        <f>IFERROR(__xludf.DUMMYFUNCTION("""COMPUTED_VALUE"""),90.58)</f>
        <v>90.58</v>
      </c>
      <c r="C4313" s="1">
        <f>IFERROR(__xludf.DUMMYFUNCTION("""COMPUTED_VALUE"""),91.8)</f>
        <v>91.8</v>
      </c>
      <c r="D4313" s="1">
        <f>IFERROR(__xludf.DUMMYFUNCTION("""COMPUTED_VALUE"""),90.58)</f>
        <v>90.58</v>
      </c>
      <c r="E4313" s="1">
        <f>IFERROR(__xludf.DUMMYFUNCTION("""COMPUTED_VALUE"""),91.67)</f>
        <v>91.67</v>
      </c>
      <c r="F4313" s="1">
        <f>IFERROR(__xludf.DUMMYFUNCTION("""COMPUTED_VALUE"""),9018703.0)</f>
        <v>9018703</v>
      </c>
    </row>
    <row r="4314">
      <c r="A4314" s="2">
        <f>IFERROR(__xludf.DUMMYFUNCTION("""COMPUTED_VALUE"""),42788.66666666667)</f>
        <v>42788.66667</v>
      </c>
      <c r="B4314" s="1">
        <f>IFERROR(__xludf.DUMMYFUNCTION("""COMPUTED_VALUE"""),91.45)</f>
        <v>91.45</v>
      </c>
      <c r="C4314" s="1">
        <f>IFERROR(__xludf.DUMMYFUNCTION("""COMPUTED_VALUE"""),91.8)</f>
        <v>91.8</v>
      </c>
      <c r="D4314" s="1">
        <f>IFERROR(__xludf.DUMMYFUNCTION("""COMPUTED_VALUE"""),91.25)</f>
        <v>91.25</v>
      </c>
      <c r="E4314" s="1">
        <f>IFERROR(__xludf.DUMMYFUNCTION("""COMPUTED_VALUE"""),91.44)</f>
        <v>91.44</v>
      </c>
      <c r="F4314" s="1">
        <f>IFERROR(__xludf.DUMMYFUNCTION("""COMPUTED_VALUE"""),6749919.0)</f>
        <v>6749919</v>
      </c>
    </row>
    <row r="4315">
      <c r="A4315" s="2">
        <f>IFERROR(__xludf.DUMMYFUNCTION("""COMPUTED_VALUE"""),42789.66666666667)</f>
        <v>42789.66667</v>
      </c>
      <c r="B4315" s="1">
        <f>IFERROR(__xludf.DUMMYFUNCTION("""COMPUTED_VALUE"""),91.61)</f>
        <v>91.61</v>
      </c>
      <c r="C4315" s="1">
        <f>IFERROR(__xludf.DUMMYFUNCTION("""COMPUTED_VALUE"""),91.8)</f>
        <v>91.8</v>
      </c>
      <c r="D4315" s="1">
        <f>IFERROR(__xludf.DUMMYFUNCTION("""COMPUTED_VALUE"""),90.91)</f>
        <v>90.91</v>
      </c>
      <c r="E4315" s="1">
        <f>IFERROR(__xludf.DUMMYFUNCTION("""COMPUTED_VALUE"""),91.13)</f>
        <v>91.13</v>
      </c>
      <c r="F4315" s="1">
        <f>IFERROR(__xludf.DUMMYFUNCTION("""COMPUTED_VALUE"""),7611638.0)</f>
        <v>7611638</v>
      </c>
    </row>
    <row r="4316">
      <c r="A4316" s="2">
        <f>IFERROR(__xludf.DUMMYFUNCTION("""COMPUTED_VALUE"""),42790.66666666667)</f>
        <v>42790.66667</v>
      </c>
      <c r="B4316" s="1">
        <f>IFERROR(__xludf.DUMMYFUNCTION("""COMPUTED_VALUE"""),90.97)</f>
        <v>90.97</v>
      </c>
      <c r="C4316" s="1">
        <f>IFERROR(__xludf.DUMMYFUNCTION("""COMPUTED_VALUE"""),91.34)</f>
        <v>91.34</v>
      </c>
      <c r="D4316" s="1">
        <f>IFERROR(__xludf.DUMMYFUNCTION("""COMPUTED_VALUE"""),90.67)</f>
        <v>90.67</v>
      </c>
      <c r="E4316" s="1">
        <f>IFERROR(__xludf.DUMMYFUNCTION("""COMPUTED_VALUE"""),91.05)</f>
        <v>91.05</v>
      </c>
      <c r="F4316" s="1">
        <f>IFERROR(__xludf.DUMMYFUNCTION("""COMPUTED_VALUE"""),6643365.0)</f>
        <v>6643365</v>
      </c>
    </row>
    <row r="4317">
      <c r="A4317" s="2">
        <f>IFERROR(__xludf.DUMMYFUNCTION("""COMPUTED_VALUE"""),42793.66666666667)</f>
        <v>42793.66667</v>
      </c>
      <c r="B4317" s="1">
        <f>IFERROR(__xludf.DUMMYFUNCTION("""COMPUTED_VALUE"""),90.53)</f>
        <v>90.53</v>
      </c>
      <c r="C4317" s="1">
        <f>IFERROR(__xludf.DUMMYFUNCTION("""COMPUTED_VALUE"""),90.91)</f>
        <v>90.91</v>
      </c>
      <c r="D4317" s="1">
        <f>IFERROR(__xludf.DUMMYFUNCTION("""COMPUTED_VALUE"""),90.06)</f>
        <v>90.06</v>
      </c>
      <c r="E4317" s="1">
        <f>IFERROR(__xludf.DUMMYFUNCTION("""COMPUTED_VALUE"""),90.89)</f>
        <v>90.89</v>
      </c>
      <c r="F4317" s="1">
        <f>IFERROR(__xludf.DUMMYFUNCTION("""COMPUTED_VALUE"""),1.1840268E7)</f>
        <v>11840268</v>
      </c>
    </row>
    <row r="4318">
      <c r="A4318" s="2">
        <f>IFERROR(__xludf.DUMMYFUNCTION("""COMPUTED_VALUE"""),42794.66666666667)</f>
        <v>42794.66667</v>
      </c>
      <c r="B4318" s="1">
        <f>IFERROR(__xludf.DUMMYFUNCTION("""COMPUTED_VALUE"""),90.9)</f>
        <v>90.9</v>
      </c>
      <c r="C4318" s="1">
        <f>IFERROR(__xludf.DUMMYFUNCTION("""COMPUTED_VALUE"""),91.79)</f>
        <v>91.79</v>
      </c>
      <c r="D4318" s="1">
        <f>IFERROR(__xludf.DUMMYFUNCTION("""COMPUTED_VALUE"""),90.65)</f>
        <v>90.65</v>
      </c>
      <c r="E4318" s="1">
        <f>IFERROR(__xludf.DUMMYFUNCTION("""COMPUTED_VALUE"""),91.07)</f>
        <v>91.07</v>
      </c>
      <c r="F4318" s="1">
        <f>IFERROR(__xludf.DUMMYFUNCTION("""COMPUTED_VALUE"""),1.0535619E7)</f>
        <v>10535619</v>
      </c>
    </row>
    <row r="4319">
      <c r="A4319" s="2">
        <f>IFERROR(__xludf.DUMMYFUNCTION("""COMPUTED_VALUE"""),42795.66666666667)</f>
        <v>42795.66667</v>
      </c>
      <c r="B4319" s="1">
        <f>IFERROR(__xludf.DUMMYFUNCTION("""COMPUTED_VALUE"""),91.05)</f>
        <v>91.05</v>
      </c>
      <c r="C4319" s="1">
        <f>IFERROR(__xludf.DUMMYFUNCTION("""COMPUTED_VALUE"""),91.89)</f>
        <v>91.89</v>
      </c>
      <c r="D4319" s="1">
        <f>IFERROR(__xludf.DUMMYFUNCTION("""COMPUTED_VALUE"""),90.71)</f>
        <v>90.71</v>
      </c>
      <c r="E4319" s="1">
        <f>IFERROR(__xludf.DUMMYFUNCTION("""COMPUTED_VALUE"""),91.66)</f>
        <v>91.66</v>
      </c>
      <c r="F4319" s="1">
        <f>IFERROR(__xludf.DUMMYFUNCTION("""COMPUTED_VALUE"""),8792050.0)</f>
        <v>8792050</v>
      </c>
    </row>
    <row r="4320">
      <c r="A4320" s="2">
        <f>IFERROR(__xludf.DUMMYFUNCTION("""COMPUTED_VALUE"""),42796.66666666667)</f>
        <v>42796.66667</v>
      </c>
      <c r="B4320" s="1">
        <f>IFERROR(__xludf.DUMMYFUNCTION("""COMPUTED_VALUE"""),91.4)</f>
        <v>91.4</v>
      </c>
      <c r="C4320" s="1">
        <f>IFERROR(__xludf.DUMMYFUNCTION("""COMPUTED_VALUE"""),91.59)</f>
        <v>91.59</v>
      </c>
      <c r="D4320" s="1">
        <f>IFERROR(__xludf.DUMMYFUNCTION("""COMPUTED_VALUE"""),90.88)</f>
        <v>90.88</v>
      </c>
      <c r="E4320" s="1">
        <f>IFERROR(__xludf.DUMMYFUNCTION("""COMPUTED_VALUE"""),90.91)</f>
        <v>90.91</v>
      </c>
      <c r="F4320" s="1">
        <f>IFERROR(__xludf.DUMMYFUNCTION("""COMPUTED_VALUE"""),7030935.0)</f>
        <v>7030935</v>
      </c>
    </row>
    <row r="4321">
      <c r="A4321" s="2">
        <f>IFERROR(__xludf.DUMMYFUNCTION("""COMPUTED_VALUE"""),42797.66666666667)</f>
        <v>42797.66667</v>
      </c>
      <c r="B4321" s="1">
        <f>IFERROR(__xludf.DUMMYFUNCTION("""COMPUTED_VALUE"""),90.8)</f>
        <v>90.8</v>
      </c>
      <c r="C4321" s="1">
        <f>IFERROR(__xludf.DUMMYFUNCTION("""COMPUTED_VALUE"""),90.82)</f>
        <v>90.82</v>
      </c>
      <c r="D4321" s="1">
        <f>IFERROR(__xludf.DUMMYFUNCTION("""COMPUTED_VALUE"""),89.89)</f>
        <v>89.89</v>
      </c>
      <c r="E4321" s="1">
        <f>IFERROR(__xludf.DUMMYFUNCTION("""COMPUTED_VALUE"""),90.5)</f>
        <v>90.5</v>
      </c>
      <c r="F4321" s="1">
        <f>IFERROR(__xludf.DUMMYFUNCTION("""COMPUTED_VALUE"""),8341071.0)</f>
        <v>8341071</v>
      </c>
    </row>
    <row r="4322">
      <c r="A4322" s="2">
        <f>IFERROR(__xludf.DUMMYFUNCTION("""COMPUTED_VALUE"""),42800.66666666667)</f>
        <v>42800.66667</v>
      </c>
      <c r="B4322" s="1">
        <f>IFERROR(__xludf.DUMMYFUNCTION("""COMPUTED_VALUE"""),89.89)</f>
        <v>89.89</v>
      </c>
      <c r="C4322" s="1">
        <f>IFERROR(__xludf.DUMMYFUNCTION("""COMPUTED_VALUE"""),90.51)</f>
        <v>90.51</v>
      </c>
      <c r="D4322" s="1">
        <f>IFERROR(__xludf.DUMMYFUNCTION("""COMPUTED_VALUE"""),89.59)</f>
        <v>89.59</v>
      </c>
      <c r="E4322" s="1">
        <f>IFERROR(__xludf.DUMMYFUNCTION("""COMPUTED_VALUE"""),90.37)</f>
        <v>90.37</v>
      </c>
      <c r="F4322" s="1">
        <f>IFERROR(__xludf.DUMMYFUNCTION("""COMPUTED_VALUE"""),9533599.0)</f>
        <v>9533599</v>
      </c>
    </row>
    <row r="4323">
      <c r="A4323" s="2">
        <f>IFERROR(__xludf.DUMMYFUNCTION("""COMPUTED_VALUE"""),42801.66666666667)</f>
        <v>42801.66667</v>
      </c>
      <c r="B4323" s="1">
        <f>IFERROR(__xludf.DUMMYFUNCTION("""COMPUTED_VALUE"""),90.14)</f>
        <v>90.14</v>
      </c>
      <c r="C4323" s="1">
        <f>IFERROR(__xludf.DUMMYFUNCTION("""COMPUTED_VALUE"""),90.49)</f>
        <v>90.49</v>
      </c>
      <c r="D4323" s="1">
        <f>IFERROR(__xludf.DUMMYFUNCTION("""COMPUTED_VALUE"""),90.06)</f>
        <v>90.06</v>
      </c>
      <c r="E4323" s="1">
        <f>IFERROR(__xludf.DUMMYFUNCTION("""COMPUTED_VALUE"""),90.29)</f>
        <v>90.29</v>
      </c>
      <c r="F4323" s="1">
        <f>IFERROR(__xludf.DUMMYFUNCTION("""COMPUTED_VALUE"""),5362951.0)</f>
        <v>5362951</v>
      </c>
    </row>
    <row r="4324">
      <c r="A4324" s="2">
        <f>IFERROR(__xludf.DUMMYFUNCTION("""COMPUTED_VALUE"""),42802.66666666667)</f>
        <v>42802.66667</v>
      </c>
      <c r="B4324" s="1">
        <f>IFERROR(__xludf.DUMMYFUNCTION("""COMPUTED_VALUE"""),90.02)</f>
        <v>90.02</v>
      </c>
      <c r="C4324" s="1">
        <f>IFERROR(__xludf.DUMMYFUNCTION("""COMPUTED_VALUE"""),90.35)</f>
        <v>90.35</v>
      </c>
      <c r="D4324" s="1">
        <f>IFERROR(__xludf.DUMMYFUNCTION("""COMPUTED_VALUE"""),89.76)</f>
        <v>89.76</v>
      </c>
      <c r="E4324" s="1">
        <f>IFERROR(__xludf.DUMMYFUNCTION("""COMPUTED_VALUE"""),90.14)</f>
        <v>90.14</v>
      </c>
      <c r="F4324" s="1">
        <f>IFERROR(__xludf.DUMMYFUNCTION("""COMPUTED_VALUE"""),5512015.0)</f>
        <v>5512015</v>
      </c>
    </row>
    <row r="4325">
      <c r="A4325" s="2">
        <f>IFERROR(__xludf.DUMMYFUNCTION("""COMPUTED_VALUE"""),42803.66666666667)</f>
        <v>42803.66667</v>
      </c>
      <c r="B4325" s="1">
        <f>IFERROR(__xludf.DUMMYFUNCTION("""COMPUTED_VALUE"""),90.14)</f>
        <v>90.14</v>
      </c>
      <c r="C4325" s="1">
        <f>IFERROR(__xludf.DUMMYFUNCTION("""COMPUTED_VALUE"""),90.49)</f>
        <v>90.49</v>
      </c>
      <c r="D4325" s="1">
        <f>IFERROR(__xludf.DUMMYFUNCTION("""COMPUTED_VALUE"""),90.1)</f>
        <v>90.1</v>
      </c>
      <c r="E4325" s="1">
        <f>IFERROR(__xludf.DUMMYFUNCTION("""COMPUTED_VALUE"""),90.34)</f>
        <v>90.34</v>
      </c>
      <c r="F4325" s="1">
        <f>IFERROR(__xludf.DUMMYFUNCTION("""COMPUTED_VALUE"""),5587379.0)</f>
        <v>5587379</v>
      </c>
    </row>
    <row r="4326">
      <c r="A4326" s="2">
        <f>IFERROR(__xludf.DUMMYFUNCTION("""COMPUTED_VALUE"""),42804.66666666667)</f>
        <v>42804.66667</v>
      </c>
      <c r="B4326" s="1">
        <f>IFERROR(__xludf.DUMMYFUNCTION("""COMPUTED_VALUE"""),90.8)</f>
        <v>90.8</v>
      </c>
      <c r="C4326" s="1">
        <f>IFERROR(__xludf.DUMMYFUNCTION("""COMPUTED_VALUE"""),91.16)</f>
        <v>91.16</v>
      </c>
      <c r="D4326" s="1">
        <f>IFERROR(__xludf.DUMMYFUNCTION("""COMPUTED_VALUE"""),90.65)</f>
        <v>90.65</v>
      </c>
      <c r="E4326" s="1">
        <f>IFERROR(__xludf.DUMMYFUNCTION("""COMPUTED_VALUE"""),91.07)</f>
        <v>91.07</v>
      </c>
      <c r="F4326" s="1">
        <f>IFERROR(__xludf.DUMMYFUNCTION("""COMPUTED_VALUE"""),6797742.0)</f>
        <v>6797742</v>
      </c>
    </row>
    <row r="4327">
      <c r="A4327" s="2">
        <f>IFERROR(__xludf.DUMMYFUNCTION("""COMPUTED_VALUE"""),42807.66666666667)</f>
        <v>42807.66667</v>
      </c>
      <c r="B4327" s="1">
        <f>IFERROR(__xludf.DUMMYFUNCTION("""COMPUTED_VALUE"""),91.06)</f>
        <v>91.06</v>
      </c>
      <c r="C4327" s="1">
        <f>IFERROR(__xludf.DUMMYFUNCTION("""COMPUTED_VALUE"""),91.49)</f>
        <v>91.49</v>
      </c>
      <c r="D4327" s="1">
        <f>IFERROR(__xludf.DUMMYFUNCTION("""COMPUTED_VALUE"""),90.85)</f>
        <v>90.85</v>
      </c>
      <c r="E4327" s="1">
        <f>IFERROR(__xludf.DUMMYFUNCTION("""COMPUTED_VALUE"""),91.31)</f>
        <v>91.31</v>
      </c>
      <c r="F4327" s="1">
        <f>IFERROR(__xludf.DUMMYFUNCTION("""COMPUTED_VALUE"""),7321222.0)</f>
        <v>7321222</v>
      </c>
    </row>
    <row r="4328">
      <c r="A4328" s="2">
        <f>IFERROR(__xludf.DUMMYFUNCTION("""COMPUTED_VALUE"""),42808.66666666667)</f>
        <v>42808.66667</v>
      </c>
      <c r="B4328" s="1">
        <f>IFERROR(__xludf.DUMMYFUNCTION("""COMPUTED_VALUE"""),91.26)</f>
        <v>91.26</v>
      </c>
      <c r="C4328" s="1">
        <f>IFERROR(__xludf.DUMMYFUNCTION("""COMPUTED_VALUE"""),91.59)</f>
        <v>91.59</v>
      </c>
      <c r="D4328" s="1">
        <f>IFERROR(__xludf.DUMMYFUNCTION("""COMPUTED_VALUE"""),90.82)</f>
        <v>90.82</v>
      </c>
      <c r="E4328" s="1">
        <f>IFERROR(__xludf.DUMMYFUNCTION("""COMPUTED_VALUE"""),91.0)</f>
        <v>91</v>
      </c>
      <c r="F4328" s="1">
        <f>IFERROR(__xludf.DUMMYFUNCTION("""COMPUTED_VALUE"""),6685938.0)</f>
        <v>6685938</v>
      </c>
    </row>
    <row r="4329">
      <c r="A4329" s="2">
        <f>IFERROR(__xludf.DUMMYFUNCTION("""COMPUTED_VALUE"""),42809.66666666667)</f>
        <v>42809.66667</v>
      </c>
      <c r="B4329" s="1">
        <f>IFERROR(__xludf.DUMMYFUNCTION("""COMPUTED_VALUE"""),91.0)</f>
        <v>91</v>
      </c>
      <c r="C4329" s="1">
        <f>IFERROR(__xludf.DUMMYFUNCTION("""COMPUTED_VALUE"""),91.78)</f>
        <v>91.78</v>
      </c>
      <c r="D4329" s="1">
        <f>IFERROR(__xludf.DUMMYFUNCTION("""COMPUTED_VALUE"""),90.73)</f>
        <v>90.73</v>
      </c>
      <c r="E4329" s="1">
        <f>IFERROR(__xludf.DUMMYFUNCTION("""COMPUTED_VALUE"""),91.4)</f>
        <v>91.4</v>
      </c>
      <c r="F4329" s="1">
        <f>IFERROR(__xludf.DUMMYFUNCTION("""COMPUTED_VALUE"""),7855256.0)</f>
        <v>7855256</v>
      </c>
    </row>
    <row r="4330">
      <c r="A4330" s="2">
        <f>IFERROR(__xludf.DUMMYFUNCTION("""COMPUTED_VALUE"""),42810.66666666667)</f>
        <v>42810.66667</v>
      </c>
      <c r="B4330" s="1">
        <f>IFERROR(__xludf.DUMMYFUNCTION("""COMPUTED_VALUE"""),91.44)</f>
        <v>91.44</v>
      </c>
      <c r="C4330" s="1">
        <f>IFERROR(__xludf.DUMMYFUNCTION("""COMPUTED_VALUE"""),91.72)</f>
        <v>91.72</v>
      </c>
      <c r="D4330" s="1">
        <f>IFERROR(__xludf.DUMMYFUNCTION("""COMPUTED_VALUE"""),91.1)</f>
        <v>91.1</v>
      </c>
      <c r="E4330" s="1">
        <f>IFERROR(__xludf.DUMMYFUNCTION("""COMPUTED_VALUE"""),91.44)</f>
        <v>91.44</v>
      </c>
      <c r="F4330" s="1">
        <f>IFERROR(__xludf.DUMMYFUNCTION("""COMPUTED_VALUE"""),6601208.0)</f>
        <v>6601208</v>
      </c>
    </row>
    <row r="4331">
      <c r="A4331" s="2">
        <f>IFERROR(__xludf.DUMMYFUNCTION("""COMPUTED_VALUE"""),42811.66666666667)</f>
        <v>42811.66667</v>
      </c>
      <c r="B4331" s="1">
        <f>IFERROR(__xludf.DUMMYFUNCTION("""COMPUTED_VALUE"""),91.45)</f>
        <v>91.45</v>
      </c>
      <c r="C4331" s="1">
        <f>IFERROR(__xludf.DUMMYFUNCTION("""COMPUTED_VALUE"""),92.0)</f>
        <v>92</v>
      </c>
      <c r="D4331" s="1">
        <f>IFERROR(__xludf.DUMMYFUNCTION("""COMPUTED_VALUE"""),90.92)</f>
        <v>90.92</v>
      </c>
      <c r="E4331" s="1">
        <f>IFERROR(__xludf.DUMMYFUNCTION("""COMPUTED_VALUE"""),91.0)</f>
        <v>91</v>
      </c>
      <c r="F4331" s="1">
        <f>IFERROR(__xludf.DUMMYFUNCTION("""COMPUTED_VALUE"""),3.7009852E7)</f>
        <v>37009852</v>
      </c>
    </row>
    <row r="4332">
      <c r="A4332" s="2">
        <f>IFERROR(__xludf.DUMMYFUNCTION("""COMPUTED_VALUE"""),42814.66666666667)</f>
        <v>42814.66667</v>
      </c>
      <c r="B4332" s="1">
        <f>IFERROR(__xludf.DUMMYFUNCTION("""COMPUTED_VALUE"""),90.96)</f>
        <v>90.96</v>
      </c>
      <c r="C4332" s="1">
        <f>IFERROR(__xludf.DUMMYFUNCTION("""COMPUTED_VALUE"""),91.41)</f>
        <v>91.41</v>
      </c>
      <c r="D4332" s="1">
        <f>IFERROR(__xludf.DUMMYFUNCTION("""COMPUTED_VALUE"""),90.94)</f>
        <v>90.94</v>
      </c>
      <c r="E4332" s="1">
        <f>IFERROR(__xludf.DUMMYFUNCTION("""COMPUTED_VALUE"""),91.22)</f>
        <v>91.22</v>
      </c>
      <c r="F4332" s="1">
        <f>IFERROR(__xludf.DUMMYFUNCTION("""COMPUTED_VALUE"""),7772903.0)</f>
        <v>7772903</v>
      </c>
    </row>
    <row r="4333">
      <c r="A4333" s="2">
        <f>IFERROR(__xludf.DUMMYFUNCTION("""COMPUTED_VALUE"""),42815.66666666667)</f>
        <v>42815.66667</v>
      </c>
      <c r="B4333" s="1">
        <f>IFERROR(__xludf.DUMMYFUNCTION("""COMPUTED_VALUE"""),91.3)</f>
        <v>91.3</v>
      </c>
      <c r="C4333" s="1">
        <f>IFERROR(__xludf.DUMMYFUNCTION("""COMPUTED_VALUE"""),91.75)</f>
        <v>91.75</v>
      </c>
      <c r="D4333" s="1">
        <f>IFERROR(__xludf.DUMMYFUNCTION("""COMPUTED_VALUE"""),91.03)</f>
        <v>91.03</v>
      </c>
      <c r="E4333" s="1">
        <f>IFERROR(__xludf.DUMMYFUNCTION("""COMPUTED_VALUE"""),91.19)</f>
        <v>91.19</v>
      </c>
      <c r="F4333" s="1">
        <f>IFERROR(__xludf.DUMMYFUNCTION("""COMPUTED_VALUE"""),8210951.0)</f>
        <v>8210951</v>
      </c>
    </row>
    <row r="4334">
      <c r="A4334" s="2">
        <f>IFERROR(__xludf.DUMMYFUNCTION("""COMPUTED_VALUE"""),42816.66666666667)</f>
        <v>42816.66667</v>
      </c>
      <c r="B4334" s="1">
        <f>IFERROR(__xludf.DUMMYFUNCTION("""COMPUTED_VALUE"""),91.31)</f>
        <v>91.31</v>
      </c>
      <c r="C4334" s="1">
        <f>IFERROR(__xludf.DUMMYFUNCTION("""COMPUTED_VALUE"""),91.8)</f>
        <v>91.8</v>
      </c>
      <c r="D4334" s="1">
        <f>IFERROR(__xludf.DUMMYFUNCTION("""COMPUTED_VALUE"""),90.75)</f>
        <v>90.75</v>
      </c>
      <c r="E4334" s="1">
        <f>IFERROR(__xludf.DUMMYFUNCTION("""COMPUTED_VALUE"""),90.99)</f>
        <v>90.99</v>
      </c>
      <c r="F4334" s="1">
        <f>IFERROR(__xludf.DUMMYFUNCTION("""COMPUTED_VALUE"""),7798008.0)</f>
        <v>7798008</v>
      </c>
    </row>
    <row r="4335">
      <c r="A4335" s="2">
        <f>IFERROR(__xludf.DUMMYFUNCTION("""COMPUTED_VALUE"""),42817.66666666667)</f>
        <v>42817.66667</v>
      </c>
      <c r="B4335" s="1">
        <f>IFERROR(__xludf.DUMMYFUNCTION("""COMPUTED_VALUE"""),90.91)</f>
        <v>90.91</v>
      </c>
      <c r="C4335" s="1">
        <f>IFERROR(__xludf.DUMMYFUNCTION("""COMPUTED_VALUE"""),91.46)</f>
        <v>91.46</v>
      </c>
      <c r="D4335" s="1">
        <f>IFERROR(__xludf.DUMMYFUNCTION("""COMPUTED_VALUE"""),90.6)</f>
        <v>90.6</v>
      </c>
      <c r="E4335" s="1">
        <f>IFERROR(__xludf.DUMMYFUNCTION("""COMPUTED_VALUE"""),90.77)</f>
        <v>90.77</v>
      </c>
      <c r="F4335" s="1">
        <f>IFERROR(__xludf.DUMMYFUNCTION("""COMPUTED_VALUE"""),6831401.0)</f>
        <v>6831401</v>
      </c>
    </row>
    <row r="4336">
      <c r="A4336" s="2">
        <f>IFERROR(__xludf.DUMMYFUNCTION("""COMPUTED_VALUE"""),42818.66666666667)</f>
        <v>42818.66667</v>
      </c>
      <c r="B4336" s="1">
        <f>IFERROR(__xludf.DUMMYFUNCTION("""COMPUTED_VALUE"""),90.77)</f>
        <v>90.77</v>
      </c>
      <c r="C4336" s="1">
        <f>IFERROR(__xludf.DUMMYFUNCTION("""COMPUTED_VALUE"""),90.92)</f>
        <v>90.92</v>
      </c>
      <c r="D4336" s="1">
        <f>IFERROR(__xludf.DUMMYFUNCTION("""COMPUTED_VALUE"""),90.21)</f>
        <v>90.21</v>
      </c>
      <c r="E4336" s="1">
        <f>IFERROR(__xludf.DUMMYFUNCTION("""COMPUTED_VALUE"""),90.57)</f>
        <v>90.57</v>
      </c>
      <c r="F4336" s="1">
        <f>IFERROR(__xludf.DUMMYFUNCTION("""COMPUTED_VALUE"""),9251949.0)</f>
        <v>9251949</v>
      </c>
    </row>
    <row r="4337">
      <c r="A4337" s="2">
        <f>IFERROR(__xludf.DUMMYFUNCTION("""COMPUTED_VALUE"""),42821.66666666667)</f>
        <v>42821.66667</v>
      </c>
      <c r="B4337" s="1">
        <f>IFERROR(__xludf.DUMMYFUNCTION("""COMPUTED_VALUE"""),90.45)</f>
        <v>90.45</v>
      </c>
      <c r="C4337" s="1">
        <f>IFERROR(__xludf.DUMMYFUNCTION("""COMPUTED_VALUE"""),90.72)</f>
        <v>90.72</v>
      </c>
      <c r="D4337" s="1">
        <f>IFERROR(__xludf.DUMMYFUNCTION("""COMPUTED_VALUE"""),90.18)</f>
        <v>90.18</v>
      </c>
      <c r="E4337" s="1">
        <f>IFERROR(__xludf.DUMMYFUNCTION("""COMPUTED_VALUE"""),90.49)</f>
        <v>90.49</v>
      </c>
      <c r="F4337" s="1">
        <f>IFERROR(__xludf.DUMMYFUNCTION("""COMPUTED_VALUE"""),1.0071996E7)</f>
        <v>10071996</v>
      </c>
    </row>
    <row r="4338">
      <c r="A4338" s="2">
        <f>IFERROR(__xludf.DUMMYFUNCTION("""COMPUTED_VALUE"""),42822.66666666667)</f>
        <v>42822.66667</v>
      </c>
      <c r="B4338" s="1">
        <f>IFERROR(__xludf.DUMMYFUNCTION("""COMPUTED_VALUE"""),90.17)</f>
        <v>90.17</v>
      </c>
      <c r="C4338" s="1">
        <f>IFERROR(__xludf.DUMMYFUNCTION("""COMPUTED_VALUE"""),91.06)</f>
        <v>91.06</v>
      </c>
      <c r="D4338" s="1">
        <f>IFERROR(__xludf.DUMMYFUNCTION("""COMPUTED_VALUE"""),90.13)</f>
        <v>90.13</v>
      </c>
      <c r="E4338" s="1">
        <f>IFERROR(__xludf.DUMMYFUNCTION("""COMPUTED_VALUE"""),90.76)</f>
        <v>90.76</v>
      </c>
      <c r="F4338" s="1">
        <f>IFERROR(__xludf.DUMMYFUNCTION("""COMPUTED_VALUE"""),1.1855807E7)</f>
        <v>11855807</v>
      </c>
    </row>
    <row r="4339">
      <c r="A4339" s="2">
        <f>IFERROR(__xludf.DUMMYFUNCTION("""COMPUTED_VALUE"""),42823.66666666667)</f>
        <v>42823.66667</v>
      </c>
      <c r="B4339" s="1">
        <f>IFERROR(__xludf.DUMMYFUNCTION("""COMPUTED_VALUE"""),90.56)</f>
        <v>90.56</v>
      </c>
      <c r="C4339" s="1">
        <f>IFERROR(__xludf.DUMMYFUNCTION("""COMPUTED_VALUE"""),90.87)</f>
        <v>90.87</v>
      </c>
      <c r="D4339" s="1">
        <f>IFERROR(__xludf.DUMMYFUNCTION("""COMPUTED_VALUE"""),90.39)</f>
        <v>90.39</v>
      </c>
      <c r="E4339" s="1">
        <f>IFERROR(__xludf.DUMMYFUNCTION("""COMPUTED_VALUE"""),90.6)</f>
        <v>90.6</v>
      </c>
      <c r="F4339" s="1">
        <f>IFERROR(__xludf.DUMMYFUNCTION("""COMPUTED_VALUE"""),4252782.0)</f>
        <v>4252782</v>
      </c>
    </row>
    <row r="4340">
      <c r="A4340" s="2">
        <f>IFERROR(__xludf.DUMMYFUNCTION("""COMPUTED_VALUE"""),42824.66666666667)</f>
        <v>42824.66667</v>
      </c>
      <c r="B4340" s="1">
        <f>IFERROR(__xludf.DUMMYFUNCTION("""COMPUTED_VALUE"""),90.5)</f>
        <v>90.5</v>
      </c>
      <c r="C4340" s="1">
        <f>IFERROR(__xludf.DUMMYFUNCTION("""COMPUTED_VALUE"""),90.57)</f>
        <v>90.57</v>
      </c>
      <c r="D4340" s="1">
        <f>IFERROR(__xludf.DUMMYFUNCTION("""COMPUTED_VALUE"""),90.1)</f>
        <v>90.1</v>
      </c>
      <c r="E4340" s="1">
        <f>IFERROR(__xludf.DUMMYFUNCTION("""COMPUTED_VALUE"""),90.2)</f>
        <v>90.2</v>
      </c>
      <c r="F4340" s="1">
        <f>IFERROR(__xludf.DUMMYFUNCTION("""COMPUTED_VALUE"""),3691926.0)</f>
        <v>3691926</v>
      </c>
    </row>
    <row r="4341">
      <c r="A4341" s="2">
        <f>IFERROR(__xludf.DUMMYFUNCTION("""COMPUTED_VALUE"""),42825.66666666667)</f>
        <v>42825.66667</v>
      </c>
      <c r="B4341" s="1">
        <f>IFERROR(__xludf.DUMMYFUNCTION("""COMPUTED_VALUE"""),90.03)</f>
        <v>90.03</v>
      </c>
      <c r="C4341" s="1">
        <f>IFERROR(__xludf.DUMMYFUNCTION("""COMPUTED_VALUE"""),90.34)</f>
        <v>90.34</v>
      </c>
      <c r="D4341" s="1">
        <f>IFERROR(__xludf.DUMMYFUNCTION("""COMPUTED_VALUE"""),89.84)</f>
        <v>89.84</v>
      </c>
      <c r="E4341" s="1">
        <f>IFERROR(__xludf.DUMMYFUNCTION("""COMPUTED_VALUE"""),89.85)</f>
        <v>89.85</v>
      </c>
      <c r="F4341" s="1">
        <f>IFERROR(__xludf.DUMMYFUNCTION("""COMPUTED_VALUE"""),6942356.0)</f>
        <v>6942356</v>
      </c>
    </row>
    <row r="4342">
      <c r="A4342" s="2">
        <f>IFERROR(__xludf.DUMMYFUNCTION("""COMPUTED_VALUE"""),42828.66666666667)</f>
        <v>42828.66667</v>
      </c>
      <c r="B4342" s="1">
        <f>IFERROR(__xludf.DUMMYFUNCTION("""COMPUTED_VALUE"""),89.86)</f>
        <v>89.86</v>
      </c>
      <c r="C4342" s="1">
        <f>IFERROR(__xludf.DUMMYFUNCTION("""COMPUTED_VALUE"""),90.06)</f>
        <v>90.06</v>
      </c>
      <c r="D4342" s="1">
        <f>IFERROR(__xludf.DUMMYFUNCTION("""COMPUTED_VALUE"""),89.45)</f>
        <v>89.45</v>
      </c>
      <c r="E4342" s="1">
        <f>IFERROR(__xludf.DUMMYFUNCTION("""COMPUTED_VALUE"""),89.68)</f>
        <v>89.68</v>
      </c>
      <c r="F4342" s="1">
        <f>IFERROR(__xludf.DUMMYFUNCTION("""COMPUTED_VALUE"""),6967439.0)</f>
        <v>6967439</v>
      </c>
    </row>
    <row r="4343">
      <c r="A4343" s="2">
        <f>IFERROR(__xludf.DUMMYFUNCTION("""COMPUTED_VALUE"""),42829.66666666667)</f>
        <v>42829.66667</v>
      </c>
      <c r="B4343" s="1">
        <f>IFERROR(__xludf.DUMMYFUNCTION("""COMPUTED_VALUE"""),89.75)</f>
        <v>89.75</v>
      </c>
      <c r="C4343" s="1">
        <f>IFERROR(__xludf.DUMMYFUNCTION("""COMPUTED_VALUE"""),89.96)</f>
        <v>89.96</v>
      </c>
      <c r="D4343" s="1">
        <f>IFERROR(__xludf.DUMMYFUNCTION("""COMPUTED_VALUE"""),89.42)</f>
        <v>89.42</v>
      </c>
      <c r="E4343" s="1">
        <f>IFERROR(__xludf.DUMMYFUNCTION("""COMPUTED_VALUE"""),89.91)</f>
        <v>89.91</v>
      </c>
      <c r="F4343" s="1">
        <f>IFERROR(__xludf.DUMMYFUNCTION("""COMPUTED_VALUE"""),5680697.0)</f>
        <v>5680697</v>
      </c>
    </row>
    <row r="4344">
      <c r="A4344" s="2">
        <f>IFERROR(__xludf.DUMMYFUNCTION("""COMPUTED_VALUE"""),42830.66666666667)</f>
        <v>42830.66667</v>
      </c>
      <c r="B4344" s="1">
        <f>IFERROR(__xludf.DUMMYFUNCTION("""COMPUTED_VALUE"""),90.0)</f>
        <v>90</v>
      </c>
      <c r="C4344" s="1">
        <f>IFERROR(__xludf.DUMMYFUNCTION("""COMPUTED_VALUE"""),90.5)</f>
        <v>90.5</v>
      </c>
      <c r="D4344" s="1">
        <f>IFERROR(__xludf.DUMMYFUNCTION("""COMPUTED_VALUE"""),89.76)</f>
        <v>89.76</v>
      </c>
      <c r="E4344" s="1">
        <f>IFERROR(__xludf.DUMMYFUNCTION("""COMPUTED_VALUE"""),89.97)</f>
        <v>89.97</v>
      </c>
      <c r="F4344" s="1">
        <f>IFERROR(__xludf.DUMMYFUNCTION("""COMPUTED_VALUE"""),6320139.0)</f>
        <v>6320139</v>
      </c>
    </row>
    <row r="4345">
      <c r="A4345" s="2">
        <f>IFERROR(__xludf.DUMMYFUNCTION("""COMPUTED_VALUE"""),42831.66666666667)</f>
        <v>42831.66667</v>
      </c>
      <c r="B4345" s="1">
        <f>IFERROR(__xludf.DUMMYFUNCTION("""COMPUTED_VALUE"""),89.77)</f>
        <v>89.77</v>
      </c>
      <c r="C4345" s="1">
        <f>IFERROR(__xludf.DUMMYFUNCTION("""COMPUTED_VALUE"""),89.81)</f>
        <v>89.81</v>
      </c>
      <c r="D4345" s="1">
        <f>IFERROR(__xludf.DUMMYFUNCTION("""COMPUTED_VALUE"""),89.31)</f>
        <v>89.31</v>
      </c>
      <c r="E4345" s="1">
        <f>IFERROR(__xludf.DUMMYFUNCTION("""COMPUTED_VALUE"""),89.4)</f>
        <v>89.4</v>
      </c>
      <c r="F4345" s="1">
        <f>IFERROR(__xludf.DUMMYFUNCTION("""COMPUTED_VALUE"""),7231496.0)</f>
        <v>7231496</v>
      </c>
    </row>
    <row r="4346">
      <c r="A4346" s="2">
        <f>IFERROR(__xludf.DUMMYFUNCTION("""COMPUTED_VALUE"""),42832.66666666667)</f>
        <v>42832.66667</v>
      </c>
      <c r="B4346" s="1">
        <f>IFERROR(__xludf.DUMMYFUNCTION("""COMPUTED_VALUE"""),89.46)</f>
        <v>89.46</v>
      </c>
      <c r="C4346" s="1">
        <f>IFERROR(__xludf.DUMMYFUNCTION("""COMPUTED_VALUE"""),89.61)</f>
        <v>89.61</v>
      </c>
      <c r="D4346" s="1">
        <f>IFERROR(__xludf.DUMMYFUNCTION("""COMPUTED_VALUE"""),89.18)</f>
        <v>89.18</v>
      </c>
      <c r="E4346" s="1">
        <f>IFERROR(__xludf.DUMMYFUNCTION("""COMPUTED_VALUE"""),89.23)</f>
        <v>89.23</v>
      </c>
      <c r="F4346" s="1">
        <f>IFERROR(__xludf.DUMMYFUNCTION("""COMPUTED_VALUE"""),4739040.0)</f>
        <v>4739040</v>
      </c>
    </row>
    <row r="4347">
      <c r="A4347" s="2">
        <f>IFERROR(__xludf.DUMMYFUNCTION("""COMPUTED_VALUE"""),42835.66666666667)</f>
        <v>42835.66667</v>
      </c>
      <c r="B4347" s="1">
        <f>IFERROR(__xludf.DUMMYFUNCTION("""COMPUTED_VALUE"""),89.13)</f>
        <v>89.13</v>
      </c>
      <c r="C4347" s="1">
        <f>IFERROR(__xludf.DUMMYFUNCTION("""COMPUTED_VALUE"""),89.68)</f>
        <v>89.68</v>
      </c>
      <c r="D4347" s="1">
        <f>IFERROR(__xludf.DUMMYFUNCTION("""COMPUTED_VALUE"""),88.75)</f>
        <v>88.75</v>
      </c>
      <c r="E4347" s="1">
        <f>IFERROR(__xludf.DUMMYFUNCTION("""COMPUTED_VALUE"""),89.49)</f>
        <v>89.49</v>
      </c>
      <c r="F4347" s="1">
        <f>IFERROR(__xludf.DUMMYFUNCTION("""COMPUTED_VALUE"""),5955986.0)</f>
        <v>5955986</v>
      </c>
    </row>
    <row r="4348">
      <c r="A4348" s="2">
        <f>IFERROR(__xludf.DUMMYFUNCTION("""COMPUTED_VALUE"""),42836.66666666667)</f>
        <v>42836.66667</v>
      </c>
      <c r="B4348" s="1">
        <f>IFERROR(__xludf.DUMMYFUNCTION("""COMPUTED_VALUE"""),89.66)</f>
        <v>89.66</v>
      </c>
      <c r="C4348" s="1">
        <f>IFERROR(__xludf.DUMMYFUNCTION("""COMPUTED_VALUE"""),89.82)</f>
        <v>89.82</v>
      </c>
      <c r="D4348" s="1">
        <f>IFERROR(__xludf.DUMMYFUNCTION("""COMPUTED_VALUE"""),89.29)</f>
        <v>89.29</v>
      </c>
      <c r="E4348" s="1">
        <f>IFERROR(__xludf.DUMMYFUNCTION("""COMPUTED_VALUE"""),89.8)</f>
        <v>89.8</v>
      </c>
      <c r="F4348" s="1">
        <f>IFERROR(__xludf.DUMMYFUNCTION("""COMPUTED_VALUE"""),5184691.0)</f>
        <v>5184691</v>
      </c>
    </row>
    <row r="4349">
      <c r="A4349" s="2">
        <f>IFERROR(__xludf.DUMMYFUNCTION("""COMPUTED_VALUE"""),42837.66666666667)</f>
        <v>42837.66667</v>
      </c>
      <c r="B4349" s="1">
        <f>IFERROR(__xludf.DUMMYFUNCTION("""COMPUTED_VALUE"""),89.7)</f>
        <v>89.7</v>
      </c>
      <c r="C4349" s="1">
        <f>IFERROR(__xludf.DUMMYFUNCTION("""COMPUTED_VALUE"""),90.42)</f>
        <v>90.42</v>
      </c>
      <c r="D4349" s="1">
        <f>IFERROR(__xludf.DUMMYFUNCTION("""COMPUTED_VALUE"""),89.56)</f>
        <v>89.56</v>
      </c>
      <c r="E4349" s="1">
        <f>IFERROR(__xludf.DUMMYFUNCTION("""COMPUTED_VALUE"""),90.31)</f>
        <v>90.31</v>
      </c>
      <c r="F4349" s="1">
        <f>IFERROR(__xludf.DUMMYFUNCTION("""COMPUTED_VALUE"""),6286312.0)</f>
        <v>6286312</v>
      </c>
    </row>
    <row r="4350">
      <c r="A4350" s="2">
        <f>IFERROR(__xludf.DUMMYFUNCTION("""COMPUTED_VALUE"""),42838.66666666667)</f>
        <v>42838.66667</v>
      </c>
      <c r="B4350" s="1">
        <f>IFERROR(__xludf.DUMMYFUNCTION("""COMPUTED_VALUE"""),90.05)</f>
        <v>90.05</v>
      </c>
      <c r="C4350" s="1">
        <f>IFERROR(__xludf.DUMMYFUNCTION("""COMPUTED_VALUE"""),90.54)</f>
        <v>90.54</v>
      </c>
      <c r="D4350" s="1">
        <f>IFERROR(__xludf.DUMMYFUNCTION("""COMPUTED_VALUE"""),89.79)</f>
        <v>89.79</v>
      </c>
      <c r="E4350" s="1">
        <f>IFERROR(__xludf.DUMMYFUNCTION("""COMPUTED_VALUE"""),90.03)</f>
        <v>90.03</v>
      </c>
      <c r="F4350" s="1">
        <f>IFERROR(__xludf.DUMMYFUNCTION("""COMPUTED_VALUE"""),5040103.0)</f>
        <v>5040103</v>
      </c>
    </row>
    <row r="4351">
      <c r="A4351" s="2">
        <f>IFERROR(__xludf.DUMMYFUNCTION("""COMPUTED_VALUE"""),42842.66666666667)</f>
        <v>42842.66667</v>
      </c>
      <c r="B4351" s="1">
        <f>IFERROR(__xludf.DUMMYFUNCTION("""COMPUTED_VALUE"""),90.23)</f>
        <v>90.23</v>
      </c>
      <c r="C4351" s="1">
        <f>IFERROR(__xludf.DUMMYFUNCTION("""COMPUTED_VALUE"""),90.59)</f>
        <v>90.59</v>
      </c>
      <c r="D4351" s="1">
        <f>IFERROR(__xludf.DUMMYFUNCTION("""COMPUTED_VALUE"""),90.13)</f>
        <v>90.13</v>
      </c>
      <c r="E4351" s="1">
        <f>IFERROR(__xludf.DUMMYFUNCTION("""COMPUTED_VALUE"""),90.39)</f>
        <v>90.39</v>
      </c>
      <c r="F4351" s="1">
        <f>IFERROR(__xludf.DUMMYFUNCTION("""COMPUTED_VALUE"""),6931678.0)</f>
        <v>6931678</v>
      </c>
    </row>
    <row r="4352">
      <c r="A4352" s="2">
        <f>IFERROR(__xludf.DUMMYFUNCTION("""COMPUTED_VALUE"""),42843.66666666667)</f>
        <v>42843.66667</v>
      </c>
      <c r="B4352" s="1">
        <f>IFERROR(__xludf.DUMMYFUNCTION("""COMPUTED_VALUE"""),90.4)</f>
        <v>90.4</v>
      </c>
      <c r="C4352" s="1">
        <f>IFERROR(__xludf.DUMMYFUNCTION("""COMPUTED_VALUE"""),91.13)</f>
        <v>91.13</v>
      </c>
      <c r="D4352" s="1">
        <f>IFERROR(__xludf.DUMMYFUNCTION("""COMPUTED_VALUE"""),90.34)</f>
        <v>90.34</v>
      </c>
      <c r="E4352" s="1">
        <f>IFERROR(__xludf.DUMMYFUNCTION("""COMPUTED_VALUE"""),90.8)</f>
        <v>90.8</v>
      </c>
      <c r="F4352" s="1">
        <f>IFERROR(__xludf.DUMMYFUNCTION("""COMPUTED_VALUE"""),7087696.0)</f>
        <v>7087696</v>
      </c>
    </row>
    <row r="4353">
      <c r="A4353" s="2">
        <f>IFERROR(__xludf.DUMMYFUNCTION("""COMPUTED_VALUE"""),42844.66666666667)</f>
        <v>42844.66667</v>
      </c>
      <c r="B4353" s="1">
        <f>IFERROR(__xludf.DUMMYFUNCTION("""COMPUTED_VALUE"""),90.1)</f>
        <v>90.1</v>
      </c>
      <c r="C4353" s="1">
        <f>IFERROR(__xludf.DUMMYFUNCTION("""COMPUTED_VALUE"""),90.45)</f>
        <v>90.45</v>
      </c>
      <c r="D4353" s="1">
        <f>IFERROR(__xludf.DUMMYFUNCTION("""COMPUTED_VALUE"""),89.5)</f>
        <v>89.5</v>
      </c>
      <c r="E4353" s="1">
        <f>IFERROR(__xludf.DUMMYFUNCTION("""COMPUTED_VALUE"""),89.6)</f>
        <v>89.6</v>
      </c>
      <c r="F4353" s="1">
        <f>IFERROR(__xludf.DUMMYFUNCTION("""COMPUTED_VALUE"""),6918993.0)</f>
        <v>6918993</v>
      </c>
    </row>
    <row r="4354">
      <c r="A4354" s="2">
        <f>IFERROR(__xludf.DUMMYFUNCTION("""COMPUTED_VALUE"""),42845.66666666667)</f>
        <v>42845.66667</v>
      </c>
      <c r="B4354" s="1">
        <f>IFERROR(__xludf.DUMMYFUNCTION("""COMPUTED_VALUE"""),89.7)</f>
        <v>89.7</v>
      </c>
      <c r="C4354" s="1">
        <f>IFERROR(__xludf.DUMMYFUNCTION("""COMPUTED_VALUE"""),89.7)</f>
        <v>89.7</v>
      </c>
      <c r="D4354" s="1">
        <f>IFERROR(__xludf.DUMMYFUNCTION("""COMPUTED_VALUE"""),89.31)</f>
        <v>89.31</v>
      </c>
      <c r="E4354" s="1">
        <f>IFERROR(__xludf.DUMMYFUNCTION("""COMPUTED_VALUE"""),89.33)</f>
        <v>89.33</v>
      </c>
      <c r="F4354" s="1">
        <f>IFERROR(__xludf.DUMMYFUNCTION("""COMPUTED_VALUE"""),6983481.0)</f>
        <v>6983481</v>
      </c>
    </row>
    <row r="4355">
      <c r="A4355" s="2">
        <f>IFERROR(__xludf.DUMMYFUNCTION("""COMPUTED_VALUE"""),42846.66666666667)</f>
        <v>42846.66667</v>
      </c>
      <c r="B4355" s="1">
        <f>IFERROR(__xludf.DUMMYFUNCTION("""COMPUTED_VALUE"""),89.17)</f>
        <v>89.17</v>
      </c>
      <c r="C4355" s="1">
        <f>IFERROR(__xludf.DUMMYFUNCTION("""COMPUTED_VALUE"""),89.28)</f>
        <v>89.28</v>
      </c>
      <c r="D4355" s="1">
        <f>IFERROR(__xludf.DUMMYFUNCTION("""COMPUTED_VALUE"""),88.61)</f>
        <v>88.61</v>
      </c>
      <c r="E4355" s="1">
        <f>IFERROR(__xludf.DUMMYFUNCTION("""COMPUTED_VALUE"""),88.62)</f>
        <v>88.62</v>
      </c>
      <c r="F4355" s="1">
        <f>IFERROR(__xludf.DUMMYFUNCTION("""COMPUTED_VALUE"""),9061218.0)</f>
        <v>9061218</v>
      </c>
    </row>
    <row r="4356">
      <c r="A4356" s="2">
        <f>IFERROR(__xludf.DUMMYFUNCTION("""COMPUTED_VALUE"""),42849.66666666667)</f>
        <v>42849.66667</v>
      </c>
      <c r="B4356" s="1">
        <f>IFERROR(__xludf.DUMMYFUNCTION("""COMPUTED_VALUE"""),89.12)</f>
        <v>89.12</v>
      </c>
      <c r="C4356" s="1">
        <f>IFERROR(__xludf.DUMMYFUNCTION("""COMPUTED_VALUE"""),89.66)</f>
        <v>89.66</v>
      </c>
      <c r="D4356" s="1">
        <f>IFERROR(__xludf.DUMMYFUNCTION("""COMPUTED_VALUE"""),89.01)</f>
        <v>89.01</v>
      </c>
      <c r="E4356" s="1">
        <f>IFERROR(__xludf.DUMMYFUNCTION("""COMPUTED_VALUE"""),89.55)</f>
        <v>89.55</v>
      </c>
      <c r="F4356" s="1">
        <f>IFERROR(__xludf.DUMMYFUNCTION("""COMPUTED_VALUE"""),8338467.0)</f>
        <v>8338467</v>
      </c>
    </row>
    <row r="4357">
      <c r="A4357" s="2">
        <f>IFERROR(__xludf.DUMMYFUNCTION("""COMPUTED_VALUE"""),42850.66666666667)</f>
        <v>42850.66667</v>
      </c>
      <c r="B4357" s="1">
        <f>IFERROR(__xludf.DUMMYFUNCTION("""COMPUTED_VALUE"""),89.58)</f>
        <v>89.58</v>
      </c>
      <c r="C4357" s="1">
        <f>IFERROR(__xludf.DUMMYFUNCTION("""COMPUTED_VALUE"""),90.25)</f>
        <v>90.25</v>
      </c>
      <c r="D4357" s="1">
        <f>IFERROR(__xludf.DUMMYFUNCTION("""COMPUTED_VALUE"""),89.47)</f>
        <v>89.47</v>
      </c>
      <c r="E4357" s="1">
        <f>IFERROR(__xludf.DUMMYFUNCTION("""COMPUTED_VALUE"""),90.0)</f>
        <v>90</v>
      </c>
      <c r="F4357" s="1">
        <f>IFERROR(__xludf.DUMMYFUNCTION("""COMPUTED_VALUE"""),9088220.0)</f>
        <v>9088220</v>
      </c>
    </row>
    <row r="4358">
      <c r="A4358" s="2">
        <f>IFERROR(__xludf.DUMMYFUNCTION("""COMPUTED_VALUE"""),42851.66666666667)</f>
        <v>42851.66667</v>
      </c>
      <c r="B4358" s="1">
        <f>IFERROR(__xludf.DUMMYFUNCTION("""COMPUTED_VALUE"""),89.85)</f>
        <v>89.85</v>
      </c>
      <c r="C4358" s="1">
        <f>IFERROR(__xludf.DUMMYFUNCTION("""COMPUTED_VALUE"""),90.0)</f>
        <v>90</v>
      </c>
      <c r="D4358" s="1">
        <f>IFERROR(__xludf.DUMMYFUNCTION("""COMPUTED_VALUE"""),87.61)</f>
        <v>87.61</v>
      </c>
      <c r="E4358" s="1">
        <f>IFERROR(__xludf.DUMMYFUNCTION("""COMPUTED_VALUE"""),87.74)</f>
        <v>87.74</v>
      </c>
      <c r="F4358" s="1">
        <f>IFERROR(__xludf.DUMMYFUNCTION("""COMPUTED_VALUE"""),1.1948961E7)</f>
        <v>11948961</v>
      </c>
    </row>
    <row r="4359">
      <c r="A4359" s="2">
        <f>IFERROR(__xludf.DUMMYFUNCTION("""COMPUTED_VALUE"""),42852.66666666667)</f>
        <v>42852.66667</v>
      </c>
      <c r="B4359" s="1">
        <f>IFERROR(__xludf.DUMMYFUNCTION("""COMPUTED_VALUE"""),87.58)</f>
        <v>87.58</v>
      </c>
      <c r="C4359" s="1">
        <f>IFERROR(__xludf.DUMMYFUNCTION("""COMPUTED_VALUE"""),88.24)</f>
        <v>88.24</v>
      </c>
      <c r="D4359" s="1">
        <f>IFERROR(__xludf.DUMMYFUNCTION("""COMPUTED_VALUE"""),87.23)</f>
        <v>87.23</v>
      </c>
      <c r="E4359" s="1">
        <f>IFERROR(__xludf.DUMMYFUNCTION("""COMPUTED_VALUE"""),87.69)</f>
        <v>87.69</v>
      </c>
      <c r="F4359" s="1">
        <f>IFERROR(__xludf.DUMMYFUNCTION("""COMPUTED_VALUE"""),8517322.0)</f>
        <v>8517322</v>
      </c>
    </row>
    <row r="4360">
      <c r="A4360" s="2">
        <f>IFERROR(__xludf.DUMMYFUNCTION("""COMPUTED_VALUE"""),42853.66666666667)</f>
        <v>42853.66667</v>
      </c>
      <c r="B4360" s="1">
        <f>IFERROR(__xludf.DUMMYFUNCTION("""COMPUTED_VALUE"""),87.52)</f>
        <v>87.52</v>
      </c>
      <c r="C4360" s="1">
        <f>IFERROR(__xludf.DUMMYFUNCTION("""COMPUTED_VALUE"""),87.59)</f>
        <v>87.59</v>
      </c>
      <c r="D4360" s="1">
        <f>IFERROR(__xludf.DUMMYFUNCTION("""COMPUTED_VALUE"""),87.15)</f>
        <v>87.15</v>
      </c>
      <c r="E4360" s="1">
        <f>IFERROR(__xludf.DUMMYFUNCTION("""COMPUTED_VALUE"""),87.33)</f>
        <v>87.33</v>
      </c>
      <c r="F4360" s="1">
        <f>IFERROR(__xludf.DUMMYFUNCTION("""COMPUTED_VALUE"""),8295198.0)</f>
        <v>8295198</v>
      </c>
    </row>
    <row r="4361">
      <c r="A4361" s="2">
        <f>IFERROR(__xludf.DUMMYFUNCTION("""COMPUTED_VALUE"""),42856.66666666667)</f>
        <v>42856.66667</v>
      </c>
      <c r="B4361" s="1">
        <f>IFERROR(__xludf.DUMMYFUNCTION("""COMPUTED_VALUE"""),87.38)</f>
        <v>87.38</v>
      </c>
      <c r="C4361" s="1">
        <f>IFERROR(__xludf.DUMMYFUNCTION("""COMPUTED_VALUE"""),87.6)</f>
        <v>87.6</v>
      </c>
      <c r="D4361" s="1">
        <f>IFERROR(__xludf.DUMMYFUNCTION("""COMPUTED_VALUE"""),87.08)</f>
        <v>87.08</v>
      </c>
      <c r="E4361" s="1">
        <f>IFERROR(__xludf.DUMMYFUNCTION("""COMPUTED_VALUE"""),87.09)</f>
        <v>87.09</v>
      </c>
      <c r="F4361" s="1">
        <f>IFERROR(__xludf.DUMMYFUNCTION("""COMPUTED_VALUE"""),4546510.0)</f>
        <v>4546510</v>
      </c>
    </row>
    <row r="4362">
      <c r="A4362" s="2">
        <f>IFERROR(__xludf.DUMMYFUNCTION("""COMPUTED_VALUE"""),42857.66666666667)</f>
        <v>42857.66667</v>
      </c>
      <c r="B4362" s="1">
        <f>IFERROR(__xludf.DUMMYFUNCTION("""COMPUTED_VALUE"""),87.29)</f>
        <v>87.29</v>
      </c>
      <c r="C4362" s="1">
        <f>IFERROR(__xludf.DUMMYFUNCTION("""COMPUTED_VALUE"""),87.29)</f>
        <v>87.29</v>
      </c>
      <c r="D4362" s="1">
        <f>IFERROR(__xludf.DUMMYFUNCTION("""COMPUTED_VALUE"""),86.02)</f>
        <v>86.02</v>
      </c>
      <c r="E4362" s="1">
        <f>IFERROR(__xludf.DUMMYFUNCTION("""COMPUTED_VALUE"""),86.22)</f>
        <v>86.22</v>
      </c>
      <c r="F4362" s="1">
        <f>IFERROR(__xludf.DUMMYFUNCTION("""COMPUTED_VALUE"""),1.3197492E7)</f>
        <v>13197492</v>
      </c>
    </row>
    <row r="4363">
      <c r="A4363" s="2">
        <f>IFERROR(__xludf.DUMMYFUNCTION("""COMPUTED_VALUE"""),42858.66666666667)</f>
        <v>42858.66667</v>
      </c>
      <c r="B4363" s="1">
        <f>IFERROR(__xludf.DUMMYFUNCTION("""COMPUTED_VALUE"""),86.3)</f>
        <v>86.3</v>
      </c>
      <c r="C4363" s="1">
        <f>IFERROR(__xludf.DUMMYFUNCTION("""COMPUTED_VALUE"""),86.63)</f>
        <v>86.63</v>
      </c>
      <c r="D4363" s="1">
        <f>IFERROR(__xludf.DUMMYFUNCTION("""COMPUTED_VALUE"""),85.9)</f>
        <v>85.9</v>
      </c>
      <c r="E4363" s="1">
        <f>IFERROR(__xludf.DUMMYFUNCTION("""COMPUTED_VALUE"""),86.43)</f>
        <v>86.43</v>
      </c>
      <c r="F4363" s="1">
        <f>IFERROR(__xludf.DUMMYFUNCTION("""COMPUTED_VALUE"""),6120941.0)</f>
        <v>6120941</v>
      </c>
    </row>
    <row r="4364">
      <c r="A4364" s="2">
        <f>IFERROR(__xludf.DUMMYFUNCTION("""COMPUTED_VALUE"""),42859.66666666667)</f>
        <v>42859.66667</v>
      </c>
      <c r="B4364" s="1">
        <f>IFERROR(__xludf.DUMMYFUNCTION("""COMPUTED_VALUE"""),86.85)</f>
        <v>86.85</v>
      </c>
      <c r="C4364" s="1">
        <f>IFERROR(__xludf.DUMMYFUNCTION("""COMPUTED_VALUE"""),87.24)</f>
        <v>87.24</v>
      </c>
      <c r="D4364" s="1">
        <f>IFERROR(__xludf.DUMMYFUNCTION("""COMPUTED_VALUE"""),86.3)</f>
        <v>86.3</v>
      </c>
      <c r="E4364" s="1">
        <f>IFERROR(__xludf.DUMMYFUNCTION("""COMPUTED_VALUE"""),86.45)</f>
        <v>86.45</v>
      </c>
      <c r="F4364" s="1">
        <f>IFERROR(__xludf.DUMMYFUNCTION("""COMPUTED_VALUE"""),5986188.0)</f>
        <v>5986188</v>
      </c>
    </row>
    <row r="4365">
      <c r="A4365" s="2">
        <f>IFERROR(__xludf.DUMMYFUNCTION("""COMPUTED_VALUE"""),42860.66666666667)</f>
        <v>42860.66667</v>
      </c>
      <c r="B4365" s="1">
        <f>IFERROR(__xludf.DUMMYFUNCTION("""COMPUTED_VALUE"""),86.54)</f>
        <v>86.54</v>
      </c>
      <c r="C4365" s="1">
        <f>IFERROR(__xludf.DUMMYFUNCTION("""COMPUTED_VALUE"""),86.61)</f>
        <v>86.61</v>
      </c>
      <c r="D4365" s="1">
        <f>IFERROR(__xludf.DUMMYFUNCTION("""COMPUTED_VALUE"""),86.13)</f>
        <v>86.13</v>
      </c>
      <c r="E4365" s="1">
        <f>IFERROR(__xludf.DUMMYFUNCTION("""COMPUTED_VALUE"""),86.5)</f>
        <v>86.5</v>
      </c>
      <c r="F4365" s="1">
        <f>IFERROR(__xludf.DUMMYFUNCTION("""COMPUTED_VALUE"""),4506111.0)</f>
        <v>4506111</v>
      </c>
    </row>
    <row r="4366">
      <c r="A4366" s="2">
        <f>IFERROR(__xludf.DUMMYFUNCTION("""COMPUTED_VALUE"""),42863.66666666667)</f>
        <v>42863.66667</v>
      </c>
      <c r="B4366" s="1">
        <f>IFERROR(__xludf.DUMMYFUNCTION("""COMPUTED_VALUE"""),86.33)</f>
        <v>86.33</v>
      </c>
      <c r="C4366" s="1">
        <f>IFERROR(__xludf.DUMMYFUNCTION("""COMPUTED_VALUE"""),86.62)</f>
        <v>86.62</v>
      </c>
      <c r="D4366" s="1">
        <f>IFERROR(__xludf.DUMMYFUNCTION("""COMPUTED_VALUE"""),86.24)</f>
        <v>86.24</v>
      </c>
      <c r="E4366" s="1">
        <f>IFERROR(__xludf.DUMMYFUNCTION("""COMPUTED_VALUE"""),86.55)</f>
        <v>86.55</v>
      </c>
      <c r="F4366" s="1">
        <f>IFERROR(__xludf.DUMMYFUNCTION("""COMPUTED_VALUE"""),4634461.0)</f>
        <v>4634461</v>
      </c>
    </row>
    <row r="4367">
      <c r="A4367" s="2">
        <f>IFERROR(__xludf.DUMMYFUNCTION("""COMPUTED_VALUE"""),42864.66666666667)</f>
        <v>42864.66667</v>
      </c>
      <c r="B4367" s="1">
        <f>IFERROR(__xludf.DUMMYFUNCTION("""COMPUTED_VALUE"""),86.8)</f>
        <v>86.8</v>
      </c>
      <c r="C4367" s="1">
        <f>IFERROR(__xludf.DUMMYFUNCTION("""COMPUTED_VALUE"""),86.82)</f>
        <v>86.82</v>
      </c>
      <c r="D4367" s="1">
        <f>IFERROR(__xludf.DUMMYFUNCTION("""COMPUTED_VALUE"""),86.22)</f>
        <v>86.22</v>
      </c>
      <c r="E4367" s="1">
        <f>IFERROR(__xludf.DUMMYFUNCTION("""COMPUTED_VALUE"""),86.4)</f>
        <v>86.4</v>
      </c>
      <c r="F4367" s="1">
        <f>IFERROR(__xludf.DUMMYFUNCTION("""COMPUTED_VALUE"""),9577603.0)</f>
        <v>9577603</v>
      </c>
    </row>
    <row r="4368">
      <c r="A4368" s="2">
        <f>IFERROR(__xludf.DUMMYFUNCTION("""COMPUTED_VALUE"""),42865.66666666667)</f>
        <v>42865.66667</v>
      </c>
      <c r="B4368" s="1">
        <f>IFERROR(__xludf.DUMMYFUNCTION("""COMPUTED_VALUE"""),86.48)</f>
        <v>86.48</v>
      </c>
      <c r="C4368" s="1">
        <f>IFERROR(__xludf.DUMMYFUNCTION("""COMPUTED_VALUE"""),86.79)</f>
        <v>86.79</v>
      </c>
      <c r="D4368" s="1">
        <f>IFERROR(__xludf.DUMMYFUNCTION("""COMPUTED_VALUE"""),86.39)</f>
        <v>86.39</v>
      </c>
      <c r="E4368" s="1">
        <f>IFERROR(__xludf.DUMMYFUNCTION("""COMPUTED_VALUE"""),86.49)</f>
        <v>86.49</v>
      </c>
      <c r="F4368" s="1">
        <f>IFERROR(__xludf.DUMMYFUNCTION("""COMPUTED_VALUE"""),6178548.0)</f>
        <v>6178548</v>
      </c>
    </row>
    <row r="4369">
      <c r="A4369" s="2">
        <f>IFERROR(__xludf.DUMMYFUNCTION("""COMPUTED_VALUE"""),42866.66666666667)</f>
        <v>42866.66667</v>
      </c>
      <c r="B4369" s="1">
        <f>IFERROR(__xludf.DUMMYFUNCTION("""COMPUTED_VALUE"""),86.61)</f>
        <v>86.61</v>
      </c>
      <c r="C4369" s="1">
        <f>IFERROR(__xludf.DUMMYFUNCTION("""COMPUTED_VALUE"""),86.63)</f>
        <v>86.63</v>
      </c>
      <c r="D4369" s="1">
        <f>IFERROR(__xludf.DUMMYFUNCTION("""COMPUTED_VALUE"""),85.88)</f>
        <v>85.88</v>
      </c>
      <c r="E4369" s="1">
        <f>IFERROR(__xludf.DUMMYFUNCTION("""COMPUTED_VALUE"""),86.17)</f>
        <v>86.17</v>
      </c>
      <c r="F4369" s="1">
        <f>IFERROR(__xludf.DUMMYFUNCTION("""COMPUTED_VALUE"""),6064723.0)</f>
        <v>6064723</v>
      </c>
    </row>
    <row r="4370">
      <c r="A4370" s="2">
        <f>IFERROR(__xludf.DUMMYFUNCTION("""COMPUTED_VALUE"""),42867.66666666667)</f>
        <v>42867.66667</v>
      </c>
      <c r="B4370" s="1">
        <f>IFERROR(__xludf.DUMMYFUNCTION("""COMPUTED_VALUE"""),86.24)</f>
        <v>86.24</v>
      </c>
      <c r="C4370" s="1">
        <f>IFERROR(__xludf.DUMMYFUNCTION("""COMPUTED_VALUE"""),86.32)</f>
        <v>86.32</v>
      </c>
      <c r="D4370" s="1">
        <f>IFERROR(__xludf.DUMMYFUNCTION("""COMPUTED_VALUE"""),85.92)</f>
        <v>85.92</v>
      </c>
      <c r="E4370" s="1">
        <f>IFERROR(__xludf.DUMMYFUNCTION("""COMPUTED_VALUE"""),86.19)</f>
        <v>86.19</v>
      </c>
      <c r="F4370" s="1">
        <f>IFERROR(__xludf.DUMMYFUNCTION("""COMPUTED_VALUE"""),5892220.0)</f>
        <v>5892220</v>
      </c>
    </row>
    <row r="4371">
      <c r="A4371" s="2">
        <f>IFERROR(__xludf.DUMMYFUNCTION("""COMPUTED_VALUE"""),42870.66666666667)</f>
        <v>42870.66667</v>
      </c>
      <c r="B4371" s="1">
        <f>IFERROR(__xludf.DUMMYFUNCTION("""COMPUTED_VALUE"""),86.65)</f>
        <v>86.65</v>
      </c>
      <c r="C4371" s="1">
        <f>IFERROR(__xludf.DUMMYFUNCTION("""COMPUTED_VALUE"""),86.71)</f>
        <v>86.71</v>
      </c>
      <c r="D4371" s="1">
        <f>IFERROR(__xludf.DUMMYFUNCTION("""COMPUTED_VALUE"""),86.25)</f>
        <v>86.25</v>
      </c>
      <c r="E4371" s="1">
        <f>IFERROR(__xludf.DUMMYFUNCTION("""COMPUTED_VALUE"""),86.33)</f>
        <v>86.33</v>
      </c>
      <c r="F4371" s="1">
        <f>IFERROR(__xludf.DUMMYFUNCTION("""COMPUTED_VALUE"""),5787642.0)</f>
        <v>5787642</v>
      </c>
    </row>
    <row r="4372">
      <c r="A4372" s="2">
        <f>IFERROR(__xludf.DUMMYFUNCTION("""COMPUTED_VALUE"""),42871.66666666667)</f>
        <v>42871.66667</v>
      </c>
      <c r="B4372" s="1">
        <f>IFERROR(__xludf.DUMMYFUNCTION("""COMPUTED_VALUE"""),86.88)</f>
        <v>86.88</v>
      </c>
      <c r="C4372" s="1">
        <f>IFERROR(__xludf.DUMMYFUNCTION("""COMPUTED_VALUE"""),87.0)</f>
        <v>87</v>
      </c>
      <c r="D4372" s="1">
        <f>IFERROR(__xludf.DUMMYFUNCTION("""COMPUTED_VALUE"""),86.19)</f>
        <v>86.19</v>
      </c>
      <c r="E4372" s="1">
        <f>IFERROR(__xludf.DUMMYFUNCTION("""COMPUTED_VALUE"""),86.24)</f>
        <v>86.24</v>
      </c>
      <c r="F4372" s="1">
        <f>IFERROR(__xludf.DUMMYFUNCTION("""COMPUTED_VALUE"""),6554419.0)</f>
        <v>6554419</v>
      </c>
    </row>
    <row r="4373">
      <c r="A4373" s="2">
        <f>IFERROR(__xludf.DUMMYFUNCTION("""COMPUTED_VALUE"""),42872.66666666667)</f>
        <v>42872.66667</v>
      </c>
      <c r="B4373" s="1">
        <f>IFERROR(__xludf.DUMMYFUNCTION("""COMPUTED_VALUE"""),86.22)</f>
        <v>86.22</v>
      </c>
      <c r="C4373" s="1">
        <f>IFERROR(__xludf.DUMMYFUNCTION("""COMPUTED_VALUE"""),86.63)</f>
        <v>86.63</v>
      </c>
      <c r="D4373" s="1">
        <f>IFERROR(__xludf.DUMMYFUNCTION("""COMPUTED_VALUE"""),85.93)</f>
        <v>85.93</v>
      </c>
      <c r="E4373" s="1">
        <f>IFERROR(__xludf.DUMMYFUNCTION("""COMPUTED_VALUE"""),86.26)</f>
        <v>86.26</v>
      </c>
      <c r="F4373" s="1">
        <f>IFERROR(__xludf.DUMMYFUNCTION("""COMPUTED_VALUE"""),7805684.0)</f>
        <v>7805684</v>
      </c>
    </row>
    <row r="4374">
      <c r="A4374" s="2">
        <f>IFERROR(__xludf.DUMMYFUNCTION("""COMPUTED_VALUE"""),42873.66666666667)</f>
        <v>42873.66667</v>
      </c>
      <c r="B4374" s="1">
        <f>IFERROR(__xludf.DUMMYFUNCTION("""COMPUTED_VALUE"""),86.18)</f>
        <v>86.18</v>
      </c>
      <c r="C4374" s="1">
        <f>IFERROR(__xludf.DUMMYFUNCTION("""COMPUTED_VALUE"""),86.22)</f>
        <v>86.22</v>
      </c>
      <c r="D4374" s="1">
        <f>IFERROR(__xludf.DUMMYFUNCTION("""COMPUTED_VALUE"""),85.52)</f>
        <v>85.52</v>
      </c>
      <c r="E4374" s="1">
        <f>IFERROR(__xludf.DUMMYFUNCTION("""COMPUTED_VALUE"""),85.87)</f>
        <v>85.87</v>
      </c>
      <c r="F4374" s="1">
        <f>IFERROR(__xludf.DUMMYFUNCTION("""COMPUTED_VALUE"""),6985567.0)</f>
        <v>6985567</v>
      </c>
    </row>
    <row r="4375">
      <c r="A4375" s="2">
        <f>IFERROR(__xludf.DUMMYFUNCTION("""COMPUTED_VALUE"""),42874.66666666667)</f>
        <v>42874.66667</v>
      </c>
      <c r="B4375" s="1">
        <f>IFERROR(__xludf.DUMMYFUNCTION("""COMPUTED_VALUE"""),86.0)</f>
        <v>86</v>
      </c>
      <c r="C4375" s="1">
        <f>IFERROR(__xludf.DUMMYFUNCTION("""COMPUTED_VALUE"""),86.38)</f>
        <v>86.38</v>
      </c>
      <c r="D4375" s="1">
        <f>IFERROR(__xludf.DUMMYFUNCTION("""COMPUTED_VALUE"""),85.67)</f>
        <v>85.67</v>
      </c>
      <c r="E4375" s="1">
        <f>IFERROR(__xludf.DUMMYFUNCTION("""COMPUTED_VALUE"""),86.24)</f>
        <v>86.24</v>
      </c>
      <c r="F4375" s="1">
        <f>IFERROR(__xludf.DUMMYFUNCTION("""COMPUTED_VALUE"""),7320725.0)</f>
        <v>7320725</v>
      </c>
    </row>
    <row r="4376">
      <c r="A4376" s="2">
        <f>IFERROR(__xludf.DUMMYFUNCTION("""COMPUTED_VALUE"""),42877.66666666667)</f>
        <v>42877.66667</v>
      </c>
      <c r="B4376" s="1">
        <f>IFERROR(__xludf.DUMMYFUNCTION("""COMPUTED_VALUE"""),86.25)</f>
        <v>86.25</v>
      </c>
      <c r="C4376" s="1">
        <f>IFERROR(__xludf.DUMMYFUNCTION("""COMPUTED_VALUE"""),86.4)</f>
        <v>86.4</v>
      </c>
      <c r="D4376" s="1">
        <f>IFERROR(__xludf.DUMMYFUNCTION("""COMPUTED_VALUE"""),86.03)</f>
        <v>86.03</v>
      </c>
      <c r="E4376" s="1">
        <f>IFERROR(__xludf.DUMMYFUNCTION("""COMPUTED_VALUE"""),86.21)</f>
        <v>86.21</v>
      </c>
      <c r="F4376" s="1">
        <f>IFERROR(__xludf.DUMMYFUNCTION("""COMPUTED_VALUE"""),4259951.0)</f>
        <v>4259951</v>
      </c>
    </row>
    <row r="4377">
      <c r="A4377" s="2">
        <f>IFERROR(__xludf.DUMMYFUNCTION("""COMPUTED_VALUE"""),42878.66666666667)</f>
        <v>42878.66667</v>
      </c>
      <c r="B4377" s="1">
        <f>IFERROR(__xludf.DUMMYFUNCTION("""COMPUTED_VALUE"""),86.28)</f>
        <v>86.28</v>
      </c>
      <c r="C4377" s="1">
        <f>IFERROR(__xludf.DUMMYFUNCTION("""COMPUTED_VALUE"""),86.54)</f>
        <v>86.54</v>
      </c>
      <c r="D4377" s="1">
        <f>IFERROR(__xludf.DUMMYFUNCTION("""COMPUTED_VALUE"""),85.98)</f>
        <v>85.98</v>
      </c>
      <c r="E4377" s="1">
        <f>IFERROR(__xludf.DUMMYFUNCTION("""COMPUTED_VALUE"""),86.08)</f>
        <v>86.08</v>
      </c>
      <c r="F4377" s="1">
        <f>IFERROR(__xludf.DUMMYFUNCTION("""COMPUTED_VALUE"""),4394225.0)</f>
        <v>4394225</v>
      </c>
    </row>
    <row r="4378">
      <c r="A4378" s="2">
        <f>IFERROR(__xludf.DUMMYFUNCTION("""COMPUTED_VALUE"""),42879.66666666667)</f>
        <v>42879.66667</v>
      </c>
      <c r="B4378" s="1">
        <f>IFERROR(__xludf.DUMMYFUNCTION("""COMPUTED_VALUE"""),86.45)</f>
        <v>86.45</v>
      </c>
      <c r="C4378" s="1">
        <f>IFERROR(__xludf.DUMMYFUNCTION("""COMPUTED_VALUE"""),86.65)</f>
        <v>86.65</v>
      </c>
      <c r="D4378" s="1">
        <f>IFERROR(__xludf.DUMMYFUNCTION("""COMPUTED_VALUE"""),86.21)</f>
        <v>86.21</v>
      </c>
      <c r="E4378" s="1">
        <f>IFERROR(__xludf.DUMMYFUNCTION("""COMPUTED_VALUE"""),86.5)</f>
        <v>86.5</v>
      </c>
      <c r="F4378" s="1">
        <f>IFERROR(__xludf.DUMMYFUNCTION("""COMPUTED_VALUE"""),4902470.0)</f>
        <v>4902470</v>
      </c>
    </row>
    <row r="4379">
      <c r="A4379" s="2">
        <f>IFERROR(__xludf.DUMMYFUNCTION("""COMPUTED_VALUE"""),42880.66666666667)</f>
        <v>42880.66667</v>
      </c>
      <c r="B4379" s="1">
        <f>IFERROR(__xludf.DUMMYFUNCTION("""COMPUTED_VALUE"""),86.58)</f>
        <v>86.58</v>
      </c>
      <c r="C4379" s="1">
        <f>IFERROR(__xludf.DUMMYFUNCTION("""COMPUTED_VALUE"""),86.98)</f>
        <v>86.98</v>
      </c>
      <c r="D4379" s="1">
        <f>IFERROR(__xludf.DUMMYFUNCTION("""COMPUTED_VALUE"""),86.55)</f>
        <v>86.55</v>
      </c>
      <c r="E4379" s="1">
        <f>IFERROR(__xludf.DUMMYFUNCTION("""COMPUTED_VALUE"""),86.86)</f>
        <v>86.86</v>
      </c>
      <c r="F4379" s="1">
        <f>IFERROR(__xludf.DUMMYFUNCTION("""COMPUTED_VALUE"""),4367910.0)</f>
        <v>4367910</v>
      </c>
    </row>
    <row r="4380">
      <c r="A4380" s="2">
        <f>IFERROR(__xludf.DUMMYFUNCTION("""COMPUTED_VALUE"""),42881.66666666667)</f>
        <v>42881.66667</v>
      </c>
      <c r="B4380" s="1">
        <f>IFERROR(__xludf.DUMMYFUNCTION("""COMPUTED_VALUE"""),86.93)</f>
        <v>86.93</v>
      </c>
      <c r="C4380" s="1">
        <f>IFERROR(__xludf.DUMMYFUNCTION("""COMPUTED_VALUE"""),87.38)</f>
        <v>87.38</v>
      </c>
      <c r="D4380" s="1">
        <f>IFERROR(__xludf.DUMMYFUNCTION("""COMPUTED_VALUE"""),86.82)</f>
        <v>86.82</v>
      </c>
      <c r="E4380" s="1">
        <f>IFERROR(__xludf.DUMMYFUNCTION("""COMPUTED_VALUE"""),87.25)</f>
        <v>87.25</v>
      </c>
      <c r="F4380" s="1">
        <f>IFERROR(__xludf.DUMMYFUNCTION("""COMPUTED_VALUE"""),4336621.0)</f>
        <v>4336621</v>
      </c>
    </row>
    <row r="4381">
      <c r="A4381" s="2">
        <f>IFERROR(__xludf.DUMMYFUNCTION("""COMPUTED_VALUE"""),42885.66666666667)</f>
        <v>42885.66667</v>
      </c>
      <c r="B4381" s="1">
        <f>IFERROR(__xludf.DUMMYFUNCTION("""COMPUTED_VALUE"""),87.25)</f>
        <v>87.25</v>
      </c>
      <c r="C4381" s="1">
        <f>IFERROR(__xludf.DUMMYFUNCTION("""COMPUTED_VALUE"""),87.61)</f>
        <v>87.61</v>
      </c>
      <c r="D4381" s="1">
        <f>IFERROR(__xludf.DUMMYFUNCTION("""COMPUTED_VALUE"""),87.1)</f>
        <v>87.1</v>
      </c>
      <c r="E4381" s="1">
        <f>IFERROR(__xludf.DUMMYFUNCTION("""COMPUTED_VALUE"""),87.4)</f>
        <v>87.4</v>
      </c>
      <c r="F4381" s="1">
        <f>IFERROR(__xludf.DUMMYFUNCTION("""COMPUTED_VALUE"""),4594403.0)</f>
        <v>4594403</v>
      </c>
    </row>
    <row r="4382">
      <c r="A4382" s="2">
        <f>IFERROR(__xludf.DUMMYFUNCTION("""COMPUTED_VALUE"""),42886.66666666667)</f>
        <v>42886.66667</v>
      </c>
      <c r="B4382" s="1">
        <f>IFERROR(__xludf.DUMMYFUNCTION("""COMPUTED_VALUE"""),87.67)</f>
        <v>87.67</v>
      </c>
      <c r="C4382" s="1">
        <f>IFERROR(__xludf.DUMMYFUNCTION("""COMPUTED_VALUE"""),88.35)</f>
        <v>88.35</v>
      </c>
      <c r="D4382" s="1">
        <f>IFERROR(__xludf.DUMMYFUNCTION("""COMPUTED_VALUE"""),87.45)</f>
        <v>87.45</v>
      </c>
      <c r="E4382" s="1">
        <f>IFERROR(__xludf.DUMMYFUNCTION("""COMPUTED_VALUE"""),88.09)</f>
        <v>88.09</v>
      </c>
      <c r="F4382" s="1">
        <f>IFERROR(__xludf.DUMMYFUNCTION("""COMPUTED_VALUE"""),1.0146605E7)</f>
        <v>10146605</v>
      </c>
    </row>
    <row r="4383">
      <c r="A4383" s="2">
        <f>IFERROR(__xludf.DUMMYFUNCTION("""COMPUTED_VALUE"""),42887.66666666667)</f>
        <v>42887.66667</v>
      </c>
      <c r="B4383" s="1">
        <f>IFERROR(__xludf.DUMMYFUNCTION("""COMPUTED_VALUE"""),88.02)</f>
        <v>88.02</v>
      </c>
      <c r="C4383" s="1">
        <f>IFERROR(__xludf.DUMMYFUNCTION("""COMPUTED_VALUE"""),88.14)</f>
        <v>88.14</v>
      </c>
      <c r="D4383" s="1">
        <f>IFERROR(__xludf.DUMMYFUNCTION("""COMPUTED_VALUE"""),87.37)</f>
        <v>87.37</v>
      </c>
      <c r="E4383" s="1">
        <f>IFERROR(__xludf.DUMMYFUNCTION("""COMPUTED_VALUE"""),88.13)</f>
        <v>88.13</v>
      </c>
      <c r="F4383" s="1">
        <f>IFERROR(__xludf.DUMMYFUNCTION("""COMPUTED_VALUE"""),6251292.0)</f>
        <v>6251292</v>
      </c>
    </row>
    <row r="4384">
      <c r="A4384" s="2">
        <f>IFERROR(__xludf.DUMMYFUNCTION("""COMPUTED_VALUE"""),42888.66666666667)</f>
        <v>42888.66667</v>
      </c>
      <c r="B4384" s="1">
        <f>IFERROR(__xludf.DUMMYFUNCTION("""COMPUTED_VALUE"""),88.4)</f>
        <v>88.4</v>
      </c>
      <c r="C4384" s="1">
        <f>IFERROR(__xludf.DUMMYFUNCTION("""COMPUTED_VALUE"""),88.68)</f>
        <v>88.68</v>
      </c>
      <c r="D4384" s="1">
        <f>IFERROR(__xludf.DUMMYFUNCTION("""COMPUTED_VALUE"""),88.01)</f>
        <v>88.01</v>
      </c>
      <c r="E4384" s="1">
        <f>IFERROR(__xludf.DUMMYFUNCTION("""COMPUTED_VALUE"""),88.59)</f>
        <v>88.59</v>
      </c>
      <c r="F4384" s="1">
        <f>IFERROR(__xludf.DUMMYFUNCTION("""COMPUTED_VALUE"""),6136425.0)</f>
        <v>6136425</v>
      </c>
    </row>
    <row r="4385">
      <c r="A4385" s="2">
        <f>IFERROR(__xludf.DUMMYFUNCTION("""COMPUTED_VALUE"""),42891.66666666667)</f>
        <v>42891.66667</v>
      </c>
      <c r="B4385" s="1">
        <f>IFERROR(__xludf.DUMMYFUNCTION("""COMPUTED_VALUE"""),88.3)</f>
        <v>88.3</v>
      </c>
      <c r="C4385" s="1">
        <f>IFERROR(__xludf.DUMMYFUNCTION("""COMPUTED_VALUE"""),88.76)</f>
        <v>88.76</v>
      </c>
      <c r="D4385" s="1">
        <f>IFERROR(__xludf.DUMMYFUNCTION("""COMPUTED_VALUE"""),88.0)</f>
        <v>88</v>
      </c>
      <c r="E4385" s="1">
        <f>IFERROR(__xludf.DUMMYFUNCTION("""COMPUTED_VALUE"""),88.74)</f>
        <v>88.74</v>
      </c>
      <c r="F4385" s="1">
        <f>IFERROR(__xludf.DUMMYFUNCTION("""COMPUTED_VALUE"""),4115288.0)</f>
        <v>4115288</v>
      </c>
    </row>
    <row r="4386">
      <c r="A4386" s="2">
        <f>IFERROR(__xludf.DUMMYFUNCTION("""COMPUTED_VALUE"""),42892.66666666667)</f>
        <v>42892.66667</v>
      </c>
      <c r="B4386" s="1">
        <f>IFERROR(__xludf.DUMMYFUNCTION("""COMPUTED_VALUE"""),88.76)</f>
        <v>88.76</v>
      </c>
      <c r="C4386" s="1">
        <f>IFERROR(__xludf.DUMMYFUNCTION("""COMPUTED_VALUE"""),88.97)</f>
        <v>88.97</v>
      </c>
      <c r="D4386" s="1">
        <f>IFERROR(__xludf.DUMMYFUNCTION("""COMPUTED_VALUE"""),88.45)</f>
        <v>88.45</v>
      </c>
      <c r="E4386" s="1">
        <f>IFERROR(__xludf.DUMMYFUNCTION("""COMPUTED_VALUE"""),88.8)</f>
        <v>88.8</v>
      </c>
      <c r="F4386" s="1">
        <f>IFERROR(__xludf.DUMMYFUNCTION("""COMPUTED_VALUE"""),6503039.0)</f>
        <v>6503039</v>
      </c>
    </row>
    <row r="4387">
      <c r="A4387" s="2">
        <f>IFERROR(__xludf.DUMMYFUNCTION("""COMPUTED_VALUE"""),42893.66666666667)</f>
        <v>42893.66667</v>
      </c>
      <c r="B4387" s="1">
        <f>IFERROR(__xludf.DUMMYFUNCTION("""COMPUTED_VALUE"""),88.68)</f>
        <v>88.68</v>
      </c>
      <c r="C4387" s="1">
        <f>IFERROR(__xludf.DUMMYFUNCTION("""COMPUTED_VALUE"""),88.89)</f>
        <v>88.89</v>
      </c>
      <c r="D4387" s="1">
        <f>IFERROR(__xludf.DUMMYFUNCTION("""COMPUTED_VALUE"""),88.4)</f>
        <v>88.4</v>
      </c>
      <c r="E4387" s="1">
        <f>IFERROR(__xludf.DUMMYFUNCTION("""COMPUTED_VALUE"""),88.77)</f>
        <v>88.77</v>
      </c>
      <c r="F4387" s="1">
        <f>IFERROR(__xludf.DUMMYFUNCTION("""COMPUTED_VALUE"""),4781587.0)</f>
        <v>4781587</v>
      </c>
    </row>
    <row r="4388">
      <c r="A4388" s="2">
        <f>IFERROR(__xludf.DUMMYFUNCTION("""COMPUTED_VALUE"""),42894.66666666667)</f>
        <v>42894.66667</v>
      </c>
      <c r="B4388" s="1">
        <f>IFERROR(__xludf.DUMMYFUNCTION("""COMPUTED_VALUE"""),88.58)</f>
        <v>88.58</v>
      </c>
      <c r="C4388" s="1">
        <f>IFERROR(__xludf.DUMMYFUNCTION("""COMPUTED_VALUE"""),88.8)</f>
        <v>88.8</v>
      </c>
      <c r="D4388" s="1">
        <f>IFERROR(__xludf.DUMMYFUNCTION("""COMPUTED_VALUE"""),87.36)</f>
        <v>87.36</v>
      </c>
      <c r="E4388" s="1">
        <f>IFERROR(__xludf.DUMMYFUNCTION("""COMPUTED_VALUE"""),87.85)</f>
        <v>87.85</v>
      </c>
      <c r="F4388" s="1">
        <f>IFERROR(__xludf.DUMMYFUNCTION("""COMPUTED_VALUE"""),7712062.0)</f>
        <v>7712062</v>
      </c>
    </row>
    <row r="4389">
      <c r="A4389" s="2">
        <f>IFERROR(__xludf.DUMMYFUNCTION("""COMPUTED_VALUE"""),42895.66666666667)</f>
        <v>42895.66667</v>
      </c>
      <c r="B4389" s="1">
        <f>IFERROR(__xludf.DUMMYFUNCTION("""COMPUTED_VALUE"""),87.85)</f>
        <v>87.85</v>
      </c>
      <c r="C4389" s="1">
        <f>IFERROR(__xludf.DUMMYFUNCTION("""COMPUTED_VALUE"""),88.21)</f>
        <v>88.21</v>
      </c>
      <c r="D4389" s="1">
        <f>IFERROR(__xludf.DUMMYFUNCTION("""COMPUTED_VALUE"""),87.55)</f>
        <v>87.55</v>
      </c>
      <c r="E4389" s="1">
        <f>IFERROR(__xludf.DUMMYFUNCTION("""COMPUTED_VALUE"""),88.16)</f>
        <v>88.16</v>
      </c>
      <c r="F4389" s="1">
        <f>IFERROR(__xludf.DUMMYFUNCTION("""COMPUTED_VALUE"""),9696915.0)</f>
        <v>9696915</v>
      </c>
    </row>
    <row r="4390">
      <c r="A4390" s="2">
        <f>IFERROR(__xludf.DUMMYFUNCTION("""COMPUTED_VALUE"""),42898.66666666667)</f>
        <v>42898.66667</v>
      </c>
      <c r="B4390" s="1">
        <f>IFERROR(__xludf.DUMMYFUNCTION("""COMPUTED_VALUE"""),88.28)</f>
        <v>88.28</v>
      </c>
      <c r="C4390" s="1">
        <f>IFERROR(__xludf.DUMMYFUNCTION("""COMPUTED_VALUE"""),88.66)</f>
        <v>88.66</v>
      </c>
      <c r="D4390" s="1">
        <f>IFERROR(__xludf.DUMMYFUNCTION("""COMPUTED_VALUE"""),88.09)</f>
        <v>88.09</v>
      </c>
      <c r="E4390" s="1">
        <f>IFERROR(__xludf.DUMMYFUNCTION("""COMPUTED_VALUE"""),88.24)</f>
        <v>88.24</v>
      </c>
      <c r="F4390" s="1">
        <f>IFERROR(__xludf.DUMMYFUNCTION("""COMPUTED_VALUE"""),7867634.0)</f>
        <v>7867634</v>
      </c>
    </row>
    <row r="4391">
      <c r="A4391" s="2">
        <f>IFERROR(__xludf.DUMMYFUNCTION("""COMPUTED_VALUE"""),42899.66666666667)</f>
        <v>42899.66667</v>
      </c>
      <c r="B4391" s="1">
        <f>IFERROR(__xludf.DUMMYFUNCTION("""COMPUTED_VALUE"""),88.36)</f>
        <v>88.36</v>
      </c>
      <c r="C4391" s="1">
        <f>IFERROR(__xludf.DUMMYFUNCTION("""COMPUTED_VALUE"""),88.4)</f>
        <v>88.4</v>
      </c>
      <c r="D4391" s="1">
        <f>IFERROR(__xludf.DUMMYFUNCTION("""COMPUTED_VALUE"""),87.77)</f>
        <v>87.77</v>
      </c>
      <c r="E4391" s="1">
        <f>IFERROR(__xludf.DUMMYFUNCTION("""COMPUTED_VALUE"""),88.06)</f>
        <v>88.06</v>
      </c>
      <c r="F4391" s="1">
        <f>IFERROR(__xludf.DUMMYFUNCTION("""COMPUTED_VALUE"""),6418161.0)</f>
        <v>6418161</v>
      </c>
    </row>
    <row r="4392">
      <c r="A4392" s="2">
        <f>IFERROR(__xludf.DUMMYFUNCTION("""COMPUTED_VALUE"""),42900.66666666667)</f>
        <v>42900.66667</v>
      </c>
      <c r="B4392" s="1">
        <f>IFERROR(__xludf.DUMMYFUNCTION("""COMPUTED_VALUE"""),88.49)</f>
        <v>88.49</v>
      </c>
      <c r="C4392" s="1">
        <f>IFERROR(__xludf.DUMMYFUNCTION("""COMPUTED_VALUE"""),88.75)</f>
        <v>88.75</v>
      </c>
      <c r="D4392" s="1">
        <f>IFERROR(__xludf.DUMMYFUNCTION("""COMPUTED_VALUE"""),88.06)</f>
        <v>88.06</v>
      </c>
      <c r="E4392" s="1">
        <f>IFERROR(__xludf.DUMMYFUNCTION("""COMPUTED_VALUE"""),88.44)</f>
        <v>88.44</v>
      </c>
      <c r="F4392" s="1">
        <f>IFERROR(__xludf.DUMMYFUNCTION("""COMPUTED_VALUE"""),6183875.0)</f>
        <v>6183875</v>
      </c>
    </row>
    <row r="4393">
      <c r="A4393" s="2">
        <f>IFERROR(__xludf.DUMMYFUNCTION("""COMPUTED_VALUE"""),42901.66666666667)</f>
        <v>42901.66667</v>
      </c>
      <c r="B4393" s="1">
        <f>IFERROR(__xludf.DUMMYFUNCTION("""COMPUTED_VALUE"""),88.23)</f>
        <v>88.23</v>
      </c>
      <c r="C4393" s="1">
        <f>IFERROR(__xludf.DUMMYFUNCTION("""COMPUTED_VALUE"""),89.62)</f>
        <v>89.62</v>
      </c>
      <c r="D4393" s="1">
        <f>IFERROR(__xludf.DUMMYFUNCTION("""COMPUTED_VALUE"""),88.23)</f>
        <v>88.23</v>
      </c>
      <c r="E4393" s="1">
        <f>IFERROR(__xludf.DUMMYFUNCTION("""COMPUTED_VALUE"""),89.38)</f>
        <v>89.38</v>
      </c>
      <c r="F4393" s="1">
        <f>IFERROR(__xludf.DUMMYFUNCTION("""COMPUTED_VALUE"""),7047171.0)</f>
        <v>7047171</v>
      </c>
    </row>
    <row r="4394">
      <c r="A4394" s="2">
        <f>IFERROR(__xludf.DUMMYFUNCTION("""COMPUTED_VALUE"""),42902.66666666667)</f>
        <v>42902.66667</v>
      </c>
      <c r="B4394" s="1">
        <f>IFERROR(__xludf.DUMMYFUNCTION("""COMPUTED_VALUE"""),89.72)</f>
        <v>89.72</v>
      </c>
      <c r="C4394" s="1">
        <f>IFERROR(__xludf.DUMMYFUNCTION("""COMPUTED_VALUE"""),89.77)</f>
        <v>89.77</v>
      </c>
      <c r="D4394" s="1">
        <f>IFERROR(__xludf.DUMMYFUNCTION("""COMPUTED_VALUE"""),88.81)</f>
        <v>88.81</v>
      </c>
      <c r="E4394" s="1">
        <f>IFERROR(__xludf.DUMMYFUNCTION("""COMPUTED_VALUE"""),89.66)</f>
        <v>89.66</v>
      </c>
      <c r="F4394" s="1">
        <f>IFERROR(__xludf.DUMMYFUNCTION("""COMPUTED_VALUE"""),1.3855018E7)</f>
        <v>13855018</v>
      </c>
    </row>
    <row r="4395">
      <c r="A4395" s="2">
        <f>IFERROR(__xludf.DUMMYFUNCTION("""COMPUTED_VALUE"""),42905.66666666667)</f>
        <v>42905.66667</v>
      </c>
      <c r="B4395" s="1">
        <f>IFERROR(__xludf.DUMMYFUNCTION("""COMPUTED_VALUE"""),89.6)</f>
        <v>89.6</v>
      </c>
      <c r="C4395" s="1">
        <f>IFERROR(__xludf.DUMMYFUNCTION("""COMPUTED_VALUE"""),89.86)</f>
        <v>89.86</v>
      </c>
      <c r="D4395" s="1">
        <f>IFERROR(__xludf.DUMMYFUNCTION("""COMPUTED_VALUE"""),89.2)</f>
        <v>89.2</v>
      </c>
      <c r="E4395" s="1">
        <f>IFERROR(__xludf.DUMMYFUNCTION("""COMPUTED_VALUE"""),89.86)</f>
        <v>89.86</v>
      </c>
      <c r="F4395" s="1">
        <f>IFERROR(__xludf.DUMMYFUNCTION("""COMPUTED_VALUE"""),5246246.0)</f>
        <v>5246246</v>
      </c>
    </row>
    <row r="4396">
      <c r="A4396" s="2">
        <f>IFERROR(__xludf.DUMMYFUNCTION("""COMPUTED_VALUE"""),42906.66666666667)</f>
        <v>42906.66667</v>
      </c>
      <c r="B4396" s="1">
        <f>IFERROR(__xludf.DUMMYFUNCTION("""COMPUTED_VALUE"""),89.77)</f>
        <v>89.77</v>
      </c>
      <c r="C4396" s="1">
        <f>IFERROR(__xludf.DUMMYFUNCTION("""COMPUTED_VALUE"""),90.21)</f>
        <v>90.21</v>
      </c>
      <c r="D4396" s="1">
        <f>IFERROR(__xludf.DUMMYFUNCTION("""COMPUTED_VALUE"""),89.61)</f>
        <v>89.61</v>
      </c>
      <c r="E4396" s="1">
        <f>IFERROR(__xludf.DUMMYFUNCTION("""COMPUTED_VALUE"""),89.63)</f>
        <v>89.63</v>
      </c>
      <c r="F4396" s="1">
        <f>IFERROR(__xludf.DUMMYFUNCTION("""COMPUTED_VALUE"""),5674212.0)</f>
        <v>5674212</v>
      </c>
    </row>
    <row r="4397">
      <c r="A4397" s="2">
        <f>IFERROR(__xludf.DUMMYFUNCTION("""COMPUTED_VALUE"""),42907.66666666667)</f>
        <v>42907.66667</v>
      </c>
      <c r="B4397" s="1">
        <f>IFERROR(__xludf.DUMMYFUNCTION("""COMPUTED_VALUE"""),89.62)</f>
        <v>89.62</v>
      </c>
      <c r="C4397" s="1">
        <f>IFERROR(__xludf.DUMMYFUNCTION("""COMPUTED_VALUE"""),89.95)</f>
        <v>89.95</v>
      </c>
      <c r="D4397" s="1">
        <f>IFERROR(__xludf.DUMMYFUNCTION("""COMPUTED_VALUE"""),89.29)</f>
        <v>89.29</v>
      </c>
      <c r="E4397" s="1">
        <f>IFERROR(__xludf.DUMMYFUNCTION("""COMPUTED_VALUE"""),89.4)</f>
        <v>89.4</v>
      </c>
      <c r="F4397" s="1">
        <f>IFERROR(__xludf.DUMMYFUNCTION("""COMPUTED_VALUE"""),4164338.0)</f>
        <v>4164338</v>
      </c>
    </row>
    <row r="4398">
      <c r="A4398" s="2">
        <f>IFERROR(__xludf.DUMMYFUNCTION("""COMPUTED_VALUE"""),42908.66666666667)</f>
        <v>42908.66667</v>
      </c>
      <c r="B4398" s="1">
        <f>IFERROR(__xludf.DUMMYFUNCTION("""COMPUTED_VALUE"""),89.27)</f>
        <v>89.27</v>
      </c>
      <c r="C4398" s="1">
        <f>IFERROR(__xludf.DUMMYFUNCTION("""COMPUTED_VALUE"""),89.41)</f>
        <v>89.41</v>
      </c>
      <c r="D4398" s="1">
        <f>IFERROR(__xludf.DUMMYFUNCTION("""COMPUTED_VALUE"""),88.9)</f>
        <v>88.9</v>
      </c>
      <c r="E4398" s="1">
        <f>IFERROR(__xludf.DUMMYFUNCTION("""COMPUTED_VALUE"""),89.03)</f>
        <v>89.03</v>
      </c>
      <c r="F4398" s="1">
        <f>IFERROR(__xludf.DUMMYFUNCTION("""COMPUTED_VALUE"""),4536714.0)</f>
        <v>4536714</v>
      </c>
    </row>
    <row r="4399">
      <c r="A4399" s="2">
        <f>IFERROR(__xludf.DUMMYFUNCTION("""COMPUTED_VALUE"""),42909.66666666667)</f>
        <v>42909.66667</v>
      </c>
      <c r="B4399" s="1">
        <f>IFERROR(__xludf.DUMMYFUNCTION("""COMPUTED_VALUE"""),89.03)</f>
        <v>89.03</v>
      </c>
      <c r="C4399" s="1">
        <f>IFERROR(__xludf.DUMMYFUNCTION("""COMPUTED_VALUE"""),89.8)</f>
        <v>89.8</v>
      </c>
      <c r="D4399" s="1">
        <f>IFERROR(__xludf.DUMMYFUNCTION("""COMPUTED_VALUE"""),88.9)</f>
        <v>88.9</v>
      </c>
      <c r="E4399" s="1">
        <f>IFERROR(__xludf.DUMMYFUNCTION("""COMPUTED_VALUE"""),89.42)</f>
        <v>89.42</v>
      </c>
      <c r="F4399" s="1">
        <f>IFERROR(__xludf.DUMMYFUNCTION("""COMPUTED_VALUE"""),8782097.0)</f>
        <v>8782097</v>
      </c>
    </row>
    <row r="4400">
      <c r="A4400" s="2">
        <f>IFERROR(__xludf.DUMMYFUNCTION("""COMPUTED_VALUE"""),42912.66666666667)</f>
        <v>42912.66667</v>
      </c>
      <c r="B4400" s="1">
        <f>IFERROR(__xludf.DUMMYFUNCTION("""COMPUTED_VALUE"""),89.63)</f>
        <v>89.63</v>
      </c>
      <c r="C4400" s="1">
        <f>IFERROR(__xludf.DUMMYFUNCTION("""COMPUTED_VALUE"""),89.68)</f>
        <v>89.68</v>
      </c>
      <c r="D4400" s="1">
        <f>IFERROR(__xludf.DUMMYFUNCTION("""COMPUTED_VALUE"""),89.27)</f>
        <v>89.27</v>
      </c>
      <c r="E4400" s="1">
        <f>IFERROR(__xludf.DUMMYFUNCTION("""COMPUTED_VALUE"""),89.36)</f>
        <v>89.36</v>
      </c>
      <c r="F4400" s="1">
        <f>IFERROR(__xludf.DUMMYFUNCTION("""COMPUTED_VALUE"""),4373314.0)</f>
        <v>4373314</v>
      </c>
    </row>
    <row r="4401">
      <c r="A4401" s="2">
        <f>IFERROR(__xludf.DUMMYFUNCTION("""COMPUTED_VALUE"""),42913.66666666667)</f>
        <v>42913.66667</v>
      </c>
      <c r="B4401" s="1">
        <f>IFERROR(__xludf.DUMMYFUNCTION("""COMPUTED_VALUE"""),89.18)</f>
        <v>89.18</v>
      </c>
      <c r="C4401" s="1">
        <f>IFERROR(__xludf.DUMMYFUNCTION("""COMPUTED_VALUE"""),89.3)</f>
        <v>89.3</v>
      </c>
      <c r="D4401" s="1">
        <f>IFERROR(__xludf.DUMMYFUNCTION("""COMPUTED_VALUE"""),88.61)</f>
        <v>88.61</v>
      </c>
      <c r="E4401" s="1">
        <f>IFERROR(__xludf.DUMMYFUNCTION("""COMPUTED_VALUE"""),88.61)</f>
        <v>88.61</v>
      </c>
      <c r="F4401" s="1">
        <f>IFERROR(__xludf.DUMMYFUNCTION("""COMPUTED_VALUE"""),5180366.0)</f>
        <v>5180366</v>
      </c>
    </row>
    <row r="4402">
      <c r="A4402" s="2">
        <f>IFERROR(__xludf.DUMMYFUNCTION("""COMPUTED_VALUE"""),42914.66666666667)</f>
        <v>42914.66667</v>
      </c>
      <c r="B4402" s="1">
        <f>IFERROR(__xludf.DUMMYFUNCTION("""COMPUTED_VALUE"""),89.08)</f>
        <v>89.08</v>
      </c>
      <c r="C4402" s="1">
        <f>IFERROR(__xludf.DUMMYFUNCTION("""COMPUTED_VALUE"""),89.21)</f>
        <v>89.21</v>
      </c>
      <c r="D4402" s="1">
        <f>IFERROR(__xludf.DUMMYFUNCTION("""COMPUTED_VALUE"""),88.26)</f>
        <v>88.26</v>
      </c>
      <c r="E4402" s="1">
        <f>IFERROR(__xludf.DUMMYFUNCTION("""COMPUTED_VALUE"""),88.37)</f>
        <v>88.37</v>
      </c>
      <c r="F4402" s="1">
        <f>IFERROR(__xludf.DUMMYFUNCTION("""COMPUTED_VALUE"""),4874990.0)</f>
        <v>4874990</v>
      </c>
    </row>
    <row r="4403">
      <c r="A4403" s="2">
        <f>IFERROR(__xludf.DUMMYFUNCTION("""COMPUTED_VALUE"""),42915.66666666667)</f>
        <v>42915.66667</v>
      </c>
      <c r="B4403" s="1">
        <f>IFERROR(__xludf.DUMMYFUNCTION("""COMPUTED_VALUE"""),88.02)</f>
        <v>88.02</v>
      </c>
      <c r="C4403" s="1">
        <f>IFERROR(__xludf.DUMMYFUNCTION("""COMPUTED_VALUE"""),88.22)</f>
        <v>88.22</v>
      </c>
      <c r="D4403" s="1">
        <f>IFERROR(__xludf.DUMMYFUNCTION("""COMPUTED_VALUE"""),86.93)</f>
        <v>86.93</v>
      </c>
      <c r="E4403" s="1">
        <f>IFERROR(__xludf.DUMMYFUNCTION("""COMPUTED_VALUE"""),86.99)</f>
        <v>86.99</v>
      </c>
      <c r="F4403" s="1">
        <f>IFERROR(__xludf.DUMMYFUNCTION("""COMPUTED_VALUE"""),8123516.0)</f>
        <v>8123516</v>
      </c>
    </row>
    <row r="4404">
      <c r="A4404" s="2">
        <f>IFERROR(__xludf.DUMMYFUNCTION("""COMPUTED_VALUE"""),42916.66666666667)</f>
        <v>42916.66667</v>
      </c>
      <c r="B4404" s="1">
        <f>IFERROR(__xludf.DUMMYFUNCTION("""COMPUTED_VALUE"""),87.05)</f>
        <v>87.05</v>
      </c>
      <c r="C4404" s="1">
        <f>IFERROR(__xludf.DUMMYFUNCTION("""COMPUTED_VALUE"""),87.47)</f>
        <v>87.47</v>
      </c>
      <c r="D4404" s="1">
        <f>IFERROR(__xludf.DUMMYFUNCTION("""COMPUTED_VALUE"""),87.0)</f>
        <v>87</v>
      </c>
      <c r="E4404" s="1">
        <f>IFERROR(__xludf.DUMMYFUNCTION("""COMPUTED_VALUE"""),87.15)</f>
        <v>87.15</v>
      </c>
      <c r="F4404" s="1">
        <f>IFERROR(__xludf.DUMMYFUNCTION("""COMPUTED_VALUE"""),6070254.0)</f>
        <v>6070254</v>
      </c>
    </row>
    <row r="4405">
      <c r="A4405" s="2">
        <f>IFERROR(__xludf.DUMMYFUNCTION("""COMPUTED_VALUE"""),42919.66666666667)</f>
        <v>42919.66667</v>
      </c>
      <c r="B4405" s="1">
        <f>IFERROR(__xludf.DUMMYFUNCTION("""COMPUTED_VALUE"""),87.4)</f>
        <v>87.4</v>
      </c>
      <c r="C4405" s="1">
        <f>IFERROR(__xludf.DUMMYFUNCTION("""COMPUTED_VALUE"""),88.0)</f>
        <v>88</v>
      </c>
      <c r="D4405" s="1">
        <f>IFERROR(__xludf.DUMMYFUNCTION("""COMPUTED_VALUE"""),87.18)</f>
        <v>87.18</v>
      </c>
      <c r="E4405" s="1">
        <f>IFERROR(__xludf.DUMMYFUNCTION("""COMPUTED_VALUE"""),87.74)</f>
        <v>87.74</v>
      </c>
      <c r="F4405" s="1">
        <f>IFERROR(__xludf.DUMMYFUNCTION("""COMPUTED_VALUE"""),3607447.0)</f>
        <v>3607447</v>
      </c>
    </row>
    <row r="4406">
      <c r="A4406" s="2">
        <f>IFERROR(__xludf.DUMMYFUNCTION("""COMPUTED_VALUE"""),42921.66666666667)</f>
        <v>42921.66667</v>
      </c>
      <c r="B4406" s="1">
        <f>IFERROR(__xludf.DUMMYFUNCTION("""COMPUTED_VALUE"""),87.86)</f>
        <v>87.86</v>
      </c>
      <c r="C4406" s="1">
        <f>IFERROR(__xludf.DUMMYFUNCTION("""COMPUTED_VALUE"""),88.0)</f>
        <v>88</v>
      </c>
      <c r="D4406" s="1">
        <f>IFERROR(__xludf.DUMMYFUNCTION("""COMPUTED_VALUE"""),87.49)</f>
        <v>87.49</v>
      </c>
      <c r="E4406" s="1">
        <f>IFERROR(__xludf.DUMMYFUNCTION("""COMPUTED_VALUE"""),87.67)</f>
        <v>87.67</v>
      </c>
      <c r="F4406" s="1">
        <f>IFERROR(__xludf.DUMMYFUNCTION("""COMPUTED_VALUE"""),4974319.0)</f>
        <v>4974319</v>
      </c>
    </row>
    <row r="4407">
      <c r="A4407" s="2">
        <f>IFERROR(__xludf.DUMMYFUNCTION("""COMPUTED_VALUE"""),42922.66666666667)</f>
        <v>42922.66667</v>
      </c>
      <c r="B4407" s="1">
        <f>IFERROR(__xludf.DUMMYFUNCTION("""COMPUTED_VALUE"""),87.65)</f>
        <v>87.65</v>
      </c>
      <c r="C4407" s="1">
        <f>IFERROR(__xludf.DUMMYFUNCTION("""COMPUTED_VALUE"""),87.95)</f>
        <v>87.95</v>
      </c>
      <c r="D4407" s="1">
        <f>IFERROR(__xludf.DUMMYFUNCTION("""COMPUTED_VALUE"""),87.36)</f>
        <v>87.36</v>
      </c>
      <c r="E4407" s="1">
        <f>IFERROR(__xludf.DUMMYFUNCTION("""COMPUTED_VALUE"""),87.37)</f>
        <v>87.37</v>
      </c>
      <c r="F4407" s="1">
        <f>IFERROR(__xludf.DUMMYFUNCTION("""COMPUTED_VALUE"""),6038851.0)</f>
        <v>6038851</v>
      </c>
    </row>
    <row r="4408">
      <c r="A4408" s="2">
        <f>IFERROR(__xludf.DUMMYFUNCTION("""COMPUTED_VALUE"""),42923.66666666667)</f>
        <v>42923.66667</v>
      </c>
      <c r="B4408" s="1">
        <f>IFERROR(__xludf.DUMMYFUNCTION("""COMPUTED_VALUE"""),87.69)</f>
        <v>87.69</v>
      </c>
      <c r="C4408" s="1">
        <f>IFERROR(__xludf.DUMMYFUNCTION("""COMPUTED_VALUE"""),87.82)</f>
        <v>87.82</v>
      </c>
      <c r="D4408" s="1">
        <f>IFERROR(__xludf.DUMMYFUNCTION("""COMPUTED_VALUE"""),87.28)</f>
        <v>87.28</v>
      </c>
      <c r="E4408" s="1">
        <f>IFERROR(__xludf.DUMMYFUNCTION("""COMPUTED_VALUE"""),87.65)</f>
        <v>87.65</v>
      </c>
      <c r="F4408" s="1">
        <f>IFERROR(__xludf.DUMMYFUNCTION("""COMPUTED_VALUE"""),5142197.0)</f>
        <v>5142197</v>
      </c>
    </row>
    <row r="4409">
      <c r="A4409" s="2">
        <f>IFERROR(__xludf.DUMMYFUNCTION("""COMPUTED_VALUE"""),42926.66666666667)</f>
        <v>42926.66667</v>
      </c>
      <c r="B4409" s="1">
        <f>IFERROR(__xludf.DUMMYFUNCTION("""COMPUTED_VALUE"""),87.63)</f>
        <v>87.63</v>
      </c>
      <c r="C4409" s="1">
        <f>IFERROR(__xludf.DUMMYFUNCTION("""COMPUTED_VALUE"""),87.87)</f>
        <v>87.87</v>
      </c>
      <c r="D4409" s="1">
        <f>IFERROR(__xludf.DUMMYFUNCTION("""COMPUTED_VALUE"""),86.89)</f>
        <v>86.89</v>
      </c>
      <c r="E4409" s="1">
        <f>IFERROR(__xludf.DUMMYFUNCTION("""COMPUTED_VALUE"""),87.09)</f>
        <v>87.09</v>
      </c>
      <c r="F4409" s="1">
        <f>IFERROR(__xludf.DUMMYFUNCTION("""COMPUTED_VALUE"""),5356317.0)</f>
        <v>5356317</v>
      </c>
    </row>
    <row r="4410">
      <c r="A4410" s="2">
        <f>IFERROR(__xludf.DUMMYFUNCTION("""COMPUTED_VALUE"""),42927.66666666667)</f>
        <v>42927.66667</v>
      </c>
      <c r="B4410" s="1">
        <f>IFERROR(__xludf.DUMMYFUNCTION("""COMPUTED_VALUE"""),87.23)</f>
        <v>87.23</v>
      </c>
      <c r="C4410" s="1">
        <f>IFERROR(__xludf.DUMMYFUNCTION("""COMPUTED_VALUE"""),87.45)</f>
        <v>87.45</v>
      </c>
      <c r="D4410" s="1">
        <f>IFERROR(__xludf.DUMMYFUNCTION("""COMPUTED_VALUE"""),86.31)</f>
        <v>86.31</v>
      </c>
      <c r="E4410" s="1">
        <f>IFERROR(__xludf.DUMMYFUNCTION("""COMPUTED_VALUE"""),86.77)</f>
        <v>86.77</v>
      </c>
      <c r="F4410" s="1">
        <f>IFERROR(__xludf.DUMMYFUNCTION("""COMPUTED_VALUE"""),5838563.0)</f>
        <v>5838563</v>
      </c>
    </row>
    <row r="4411">
      <c r="A4411" s="2">
        <f>IFERROR(__xludf.DUMMYFUNCTION("""COMPUTED_VALUE"""),42928.66666666667)</f>
        <v>42928.66667</v>
      </c>
      <c r="B4411" s="1">
        <f>IFERROR(__xludf.DUMMYFUNCTION("""COMPUTED_VALUE"""),87.24)</f>
        <v>87.24</v>
      </c>
      <c r="C4411" s="1">
        <f>IFERROR(__xludf.DUMMYFUNCTION("""COMPUTED_VALUE"""),87.47)</f>
        <v>87.47</v>
      </c>
      <c r="D4411" s="1">
        <f>IFERROR(__xludf.DUMMYFUNCTION("""COMPUTED_VALUE"""),86.83)</f>
        <v>86.83</v>
      </c>
      <c r="E4411" s="1">
        <f>IFERROR(__xludf.DUMMYFUNCTION("""COMPUTED_VALUE"""),86.96)</f>
        <v>86.96</v>
      </c>
      <c r="F4411" s="1">
        <f>IFERROR(__xludf.DUMMYFUNCTION("""COMPUTED_VALUE"""),4374139.0)</f>
        <v>4374139</v>
      </c>
    </row>
    <row r="4412">
      <c r="A4412" s="2">
        <f>IFERROR(__xludf.DUMMYFUNCTION("""COMPUTED_VALUE"""),42929.66666666667)</f>
        <v>42929.66667</v>
      </c>
      <c r="B4412" s="1">
        <f>IFERROR(__xludf.DUMMYFUNCTION("""COMPUTED_VALUE"""),86.77)</f>
        <v>86.77</v>
      </c>
      <c r="C4412" s="1">
        <f>IFERROR(__xludf.DUMMYFUNCTION("""COMPUTED_VALUE"""),87.05)</f>
        <v>87.05</v>
      </c>
      <c r="D4412" s="1">
        <f>IFERROR(__xludf.DUMMYFUNCTION("""COMPUTED_VALUE"""),86.5)</f>
        <v>86.5</v>
      </c>
      <c r="E4412" s="1">
        <f>IFERROR(__xludf.DUMMYFUNCTION("""COMPUTED_VALUE"""),86.7)</f>
        <v>86.7</v>
      </c>
      <c r="F4412" s="1">
        <f>IFERROR(__xludf.DUMMYFUNCTION("""COMPUTED_VALUE"""),5448311.0)</f>
        <v>5448311</v>
      </c>
    </row>
    <row r="4413">
      <c r="A4413" s="2">
        <f>IFERROR(__xludf.DUMMYFUNCTION("""COMPUTED_VALUE"""),42930.66666666667)</f>
        <v>42930.66667</v>
      </c>
      <c r="B4413" s="1">
        <f>IFERROR(__xludf.DUMMYFUNCTION("""COMPUTED_VALUE"""),86.96)</f>
        <v>86.96</v>
      </c>
      <c r="C4413" s="1">
        <f>IFERROR(__xludf.DUMMYFUNCTION("""COMPUTED_VALUE"""),87.29)</f>
        <v>87.29</v>
      </c>
      <c r="D4413" s="1">
        <f>IFERROR(__xludf.DUMMYFUNCTION("""COMPUTED_VALUE"""),86.73)</f>
        <v>86.73</v>
      </c>
      <c r="E4413" s="1">
        <f>IFERROR(__xludf.DUMMYFUNCTION("""COMPUTED_VALUE"""),87.1)</f>
        <v>87.1</v>
      </c>
      <c r="F4413" s="1">
        <f>IFERROR(__xludf.DUMMYFUNCTION("""COMPUTED_VALUE"""),4577701.0)</f>
        <v>4577701</v>
      </c>
    </row>
    <row r="4414">
      <c r="A4414" s="2">
        <f>IFERROR(__xludf.DUMMYFUNCTION("""COMPUTED_VALUE"""),42933.66666666667)</f>
        <v>42933.66667</v>
      </c>
      <c r="B4414" s="1">
        <f>IFERROR(__xludf.DUMMYFUNCTION("""COMPUTED_VALUE"""),87.07)</f>
        <v>87.07</v>
      </c>
      <c r="C4414" s="1">
        <f>IFERROR(__xludf.DUMMYFUNCTION("""COMPUTED_VALUE"""),87.91)</f>
        <v>87.91</v>
      </c>
      <c r="D4414" s="1">
        <f>IFERROR(__xludf.DUMMYFUNCTION("""COMPUTED_VALUE"""),86.74)</f>
        <v>86.74</v>
      </c>
      <c r="E4414" s="1">
        <f>IFERROR(__xludf.DUMMYFUNCTION("""COMPUTED_VALUE"""),87.55)</f>
        <v>87.55</v>
      </c>
      <c r="F4414" s="1">
        <f>IFERROR(__xludf.DUMMYFUNCTION("""COMPUTED_VALUE"""),5227421.0)</f>
        <v>5227421</v>
      </c>
    </row>
    <row r="4415">
      <c r="A4415" s="2">
        <f>IFERROR(__xludf.DUMMYFUNCTION("""COMPUTED_VALUE"""),42934.66666666667)</f>
        <v>42934.66667</v>
      </c>
      <c r="B4415" s="1">
        <f>IFERROR(__xludf.DUMMYFUNCTION("""COMPUTED_VALUE"""),87.61)</f>
        <v>87.61</v>
      </c>
      <c r="C4415" s="1">
        <f>IFERROR(__xludf.DUMMYFUNCTION("""COMPUTED_VALUE"""),88.76)</f>
        <v>88.76</v>
      </c>
      <c r="D4415" s="1">
        <f>IFERROR(__xludf.DUMMYFUNCTION("""COMPUTED_VALUE"""),87.46)</f>
        <v>87.46</v>
      </c>
      <c r="E4415" s="1">
        <f>IFERROR(__xludf.DUMMYFUNCTION("""COMPUTED_VALUE"""),88.64)</f>
        <v>88.64</v>
      </c>
      <c r="F4415" s="1">
        <f>IFERROR(__xludf.DUMMYFUNCTION("""COMPUTED_VALUE"""),7490698.0)</f>
        <v>7490698</v>
      </c>
    </row>
    <row r="4416">
      <c r="A4416" s="2">
        <f>IFERROR(__xludf.DUMMYFUNCTION("""COMPUTED_VALUE"""),42935.66666666667)</f>
        <v>42935.66667</v>
      </c>
      <c r="B4416" s="1">
        <f>IFERROR(__xludf.DUMMYFUNCTION("""COMPUTED_VALUE"""),87.87)</f>
        <v>87.87</v>
      </c>
      <c r="C4416" s="1">
        <f>IFERROR(__xludf.DUMMYFUNCTION("""COMPUTED_VALUE"""),88.41)</f>
        <v>88.41</v>
      </c>
      <c r="D4416" s="1">
        <f>IFERROR(__xludf.DUMMYFUNCTION("""COMPUTED_VALUE"""),87.6)</f>
        <v>87.6</v>
      </c>
      <c r="E4416" s="1">
        <f>IFERROR(__xludf.DUMMYFUNCTION("""COMPUTED_VALUE"""),88.35)</f>
        <v>88.35</v>
      </c>
      <c r="F4416" s="1">
        <f>IFERROR(__xludf.DUMMYFUNCTION("""COMPUTED_VALUE"""),6008396.0)</f>
        <v>6008396</v>
      </c>
    </row>
    <row r="4417">
      <c r="A4417" s="2">
        <f>IFERROR(__xludf.DUMMYFUNCTION("""COMPUTED_VALUE"""),42936.66666666667)</f>
        <v>42936.66667</v>
      </c>
      <c r="B4417" s="1">
        <f>IFERROR(__xludf.DUMMYFUNCTION("""COMPUTED_VALUE"""),88.32)</f>
        <v>88.32</v>
      </c>
      <c r="C4417" s="1">
        <f>IFERROR(__xludf.DUMMYFUNCTION("""COMPUTED_VALUE"""),89.31)</f>
        <v>89.31</v>
      </c>
      <c r="D4417" s="1">
        <f>IFERROR(__xludf.DUMMYFUNCTION("""COMPUTED_VALUE"""),88.31)</f>
        <v>88.31</v>
      </c>
      <c r="E4417" s="1">
        <f>IFERROR(__xludf.DUMMYFUNCTION("""COMPUTED_VALUE"""),88.6)</f>
        <v>88.6</v>
      </c>
      <c r="F4417" s="1">
        <f>IFERROR(__xludf.DUMMYFUNCTION("""COMPUTED_VALUE"""),7285004.0)</f>
        <v>7285004</v>
      </c>
    </row>
    <row r="4418">
      <c r="A4418" s="2">
        <f>IFERROR(__xludf.DUMMYFUNCTION("""COMPUTED_VALUE"""),42937.66666666667)</f>
        <v>42937.66667</v>
      </c>
      <c r="B4418" s="1">
        <f>IFERROR(__xludf.DUMMYFUNCTION("""COMPUTED_VALUE"""),88.16)</f>
        <v>88.16</v>
      </c>
      <c r="C4418" s="1">
        <f>IFERROR(__xludf.DUMMYFUNCTION("""COMPUTED_VALUE"""),88.68)</f>
        <v>88.68</v>
      </c>
      <c r="D4418" s="1">
        <f>IFERROR(__xludf.DUMMYFUNCTION("""COMPUTED_VALUE"""),87.81)</f>
        <v>87.81</v>
      </c>
      <c r="E4418" s="1">
        <f>IFERROR(__xludf.DUMMYFUNCTION("""COMPUTED_VALUE"""),88.61)</f>
        <v>88.61</v>
      </c>
      <c r="F4418" s="1">
        <f>IFERROR(__xludf.DUMMYFUNCTION("""COMPUTED_VALUE"""),5714842.0)</f>
        <v>5714842</v>
      </c>
    </row>
    <row r="4419">
      <c r="A4419" s="2">
        <f>IFERROR(__xludf.DUMMYFUNCTION("""COMPUTED_VALUE"""),42940.66666666667)</f>
        <v>42940.66667</v>
      </c>
      <c r="B4419" s="1">
        <f>IFERROR(__xludf.DUMMYFUNCTION("""COMPUTED_VALUE"""),88.55)</f>
        <v>88.55</v>
      </c>
      <c r="C4419" s="1">
        <f>IFERROR(__xludf.DUMMYFUNCTION("""COMPUTED_VALUE"""),88.6)</f>
        <v>88.6</v>
      </c>
      <c r="D4419" s="1">
        <f>IFERROR(__xludf.DUMMYFUNCTION("""COMPUTED_VALUE"""),87.97)</f>
        <v>87.97</v>
      </c>
      <c r="E4419" s="1">
        <f>IFERROR(__xludf.DUMMYFUNCTION("""COMPUTED_VALUE"""),88.18)</f>
        <v>88.18</v>
      </c>
      <c r="F4419" s="1">
        <f>IFERROR(__xludf.DUMMYFUNCTION("""COMPUTED_VALUE"""),6201969.0)</f>
        <v>6201969</v>
      </c>
    </row>
    <row r="4420">
      <c r="A4420" s="2">
        <f>IFERROR(__xludf.DUMMYFUNCTION("""COMPUTED_VALUE"""),42941.66666666667)</f>
        <v>42941.66667</v>
      </c>
      <c r="B4420" s="1">
        <f>IFERROR(__xludf.DUMMYFUNCTION("""COMPUTED_VALUE"""),88.67)</f>
        <v>88.67</v>
      </c>
      <c r="C4420" s="1">
        <f>IFERROR(__xludf.DUMMYFUNCTION("""COMPUTED_VALUE"""),89.2)</f>
        <v>89.2</v>
      </c>
      <c r="D4420" s="1">
        <f>IFERROR(__xludf.DUMMYFUNCTION("""COMPUTED_VALUE"""),88.54)</f>
        <v>88.54</v>
      </c>
      <c r="E4420" s="1">
        <f>IFERROR(__xludf.DUMMYFUNCTION("""COMPUTED_VALUE"""),89.14)</f>
        <v>89.14</v>
      </c>
      <c r="F4420" s="1">
        <f>IFERROR(__xludf.DUMMYFUNCTION("""COMPUTED_VALUE"""),6766682.0)</f>
        <v>6766682</v>
      </c>
    </row>
    <row r="4421">
      <c r="A4421" s="2">
        <f>IFERROR(__xludf.DUMMYFUNCTION("""COMPUTED_VALUE"""),42942.66666666667)</f>
        <v>42942.66667</v>
      </c>
      <c r="B4421" s="1">
        <f>IFERROR(__xludf.DUMMYFUNCTION("""COMPUTED_VALUE"""),89.0)</f>
        <v>89</v>
      </c>
      <c r="C4421" s="1">
        <f>IFERROR(__xludf.DUMMYFUNCTION("""COMPUTED_VALUE"""),89.42)</f>
        <v>89.42</v>
      </c>
      <c r="D4421" s="1">
        <f>IFERROR(__xludf.DUMMYFUNCTION("""COMPUTED_VALUE"""),88.87)</f>
        <v>88.87</v>
      </c>
      <c r="E4421" s="1">
        <f>IFERROR(__xludf.DUMMYFUNCTION("""COMPUTED_VALUE"""),89.3)</f>
        <v>89.3</v>
      </c>
      <c r="F4421" s="1">
        <f>IFERROR(__xludf.DUMMYFUNCTION("""COMPUTED_VALUE"""),6986523.0)</f>
        <v>6986523</v>
      </c>
    </row>
    <row r="4422">
      <c r="A4422" s="2">
        <f>IFERROR(__xludf.DUMMYFUNCTION("""COMPUTED_VALUE"""),42943.66666666667)</f>
        <v>42943.66667</v>
      </c>
      <c r="B4422" s="1">
        <f>IFERROR(__xludf.DUMMYFUNCTION("""COMPUTED_VALUE"""),90.29)</f>
        <v>90.29</v>
      </c>
      <c r="C4422" s="1">
        <f>IFERROR(__xludf.DUMMYFUNCTION("""COMPUTED_VALUE"""),90.75)</f>
        <v>90.75</v>
      </c>
      <c r="D4422" s="1">
        <f>IFERROR(__xludf.DUMMYFUNCTION("""COMPUTED_VALUE"""),89.0)</f>
        <v>89</v>
      </c>
      <c r="E4422" s="1">
        <f>IFERROR(__xludf.DUMMYFUNCTION("""COMPUTED_VALUE"""),90.68)</f>
        <v>90.68</v>
      </c>
      <c r="F4422" s="1">
        <f>IFERROR(__xludf.DUMMYFUNCTION("""COMPUTED_VALUE"""),1.1088932E7)</f>
        <v>11088932</v>
      </c>
    </row>
    <row r="4423">
      <c r="A4423" s="2">
        <f>IFERROR(__xludf.DUMMYFUNCTION("""COMPUTED_VALUE"""),42944.66666666667)</f>
        <v>42944.66667</v>
      </c>
      <c r="B4423" s="1">
        <f>IFERROR(__xludf.DUMMYFUNCTION("""COMPUTED_VALUE"""),90.56)</f>
        <v>90.56</v>
      </c>
      <c r="C4423" s="1">
        <f>IFERROR(__xludf.DUMMYFUNCTION("""COMPUTED_VALUE"""),91.0)</f>
        <v>91</v>
      </c>
      <c r="D4423" s="1">
        <f>IFERROR(__xludf.DUMMYFUNCTION("""COMPUTED_VALUE"""),89.96)</f>
        <v>89.96</v>
      </c>
      <c r="E4423" s="1">
        <f>IFERROR(__xludf.DUMMYFUNCTION("""COMPUTED_VALUE"""),90.21)</f>
        <v>90.21</v>
      </c>
      <c r="F4423" s="1">
        <f>IFERROR(__xludf.DUMMYFUNCTION("""COMPUTED_VALUE"""),6137234.0)</f>
        <v>6137234</v>
      </c>
    </row>
    <row r="4424">
      <c r="A4424" s="2">
        <f>IFERROR(__xludf.DUMMYFUNCTION("""COMPUTED_VALUE"""),42947.66666666667)</f>
        <v>42947.66667</v>
      </c>
      <c r="B4424" s="1">
        <f>IFERROR(__xludf.DUMMYFUNCTION("""COMPUTED_VALUE"""),90.21)</f>
        <v>90.21</v>
      </c>
      <c r="C4424" s="1">
        <f>IFERROR(__xludf.DUMMYFUNCTION("""COMPUTED_VALUE"""),91.07)</f>
        <v>91.07</v>
      </c>
      <c r="D4424" s="1">
        <f>IFERROR(__xludf.DUMMYFUNCTION("""COMPUTED_VALUE"""),90.21)</f>
        <v>90.21</v>
      </c>
      <c r="E4424" s="1">
        <f>IFERROR(__xludf.DUMMYFUNCTION("""COMPUTED_VALUE"""),90.82)</f>
        <v>90.82</v>
      </c>
      <c r="F4424" s="1">
        <f>IFERROR(__xludf.DUMMYFUNCTION("""COMPUTED_VALUE"""),7835659.0)</f>
        <v>7835659</v>
      </c>
    </row>
    <row r="4425">
      <c r="A4425" s="2">
        <f>IFERROR(__xludf.DUMMYFUNCTION("""COMPUTED_VALUE"""),42948.66666666667)</f>
        <v>42948.66667</v>
      </c>
      <c r="B4425" s="1">
        <f>IFERROR(__xludf.DUMMYFUNCTION("""COMPUTED_VALUE"""),91.03)</f>
        <v>91.03</v>
      </c>
      <c r="C4425" s="1">
        <f>IFERROR(__xludf.DUMMYFUNCTION("""COMPUTED_VALUE"""),91.73)</f>
        <v>91.73</v>
      </c>
      <c r="D4425" s="1">
        <f>IFERROR(__xludf.DUMMYFUNCTION("""COMPUTED_VALUE"""),90.72)</f>
        <v>90.72</v>
      </c>
      <c r="E4425" s="1">
        <f>IFERROR(__xludf.DUMMYFUNCTION("""COMPUTED_VALUE"""),91.1)</f>
        <v>91.1</v>
      </c>
      <c r="F4425" s="1">
        <f>IFERROR(__xludf.DUMMYFUNCTION("""COMPUTED_VALUE"""),8235170.0)</f>
        <v>8235170</v>
      </c>
    </row>
    <row r="4426">
      <c r="A4426" s="2">
        <f>IFERROR(__xludf.DUMMYFUNCTION("""COMPUTED_VALUE"""),42949.66666666667)</f>
        <v>42949.66667</v>
      </c>
      <c r="B4426" s="1">
        <f>IFERROR(__xludf.DUMMYFUNCTION("""COMPUTED_VALUE"""),90.97)</f>
        <v>90.97</v>
      </c>
      <c r="C4426" s="1">
        <f>IFERROR(__xludf.DUMMYFUNCTION("""COMPUTED_VALUE"""),91.3)</f>
        <v>91.3</v>
      </c>
      <c r="D4426" s="1">
        <f>IFERROR(__xludf.DUMMYFUNCTION("""COMPUTED_VALUE"""),90.53)</f>
        <v>90.53</v>
      </c>
      <c r="E4426" s="1">
        <f>IFERROR(__xludf.DUMMYFUNCTION("""COMPUTED_VALUE"""),91.04)</f>
        <v>91.04</v>
      </c>
      <c r="F4426" s="1">
        <f>IFERROR(__xludf.DUMMYFUNCTION("""COMPUTED_VALUE"""),7166932.0)</f>
        <v>7166932</v>
      </c>
    </row>
    <row r="4427">
      <c r="A4427" s="2">
        <f>IFERROR(__xludf.DUMMYFUNCTION("""COMPUTED_VALUE"""),42950.66666666667)</f>
        <v>42950.66667</v>
      </c>
      <c r="B4427" s="1">
        <f>IFERROR(__xludf.DUMMYFUNCTION("""COMPUTED_VALUE"""),90.86)</f>
        <v>90.86</v>
      </c>
      <c r="C4427" s="1">
        <f>IFERROR(__xludf.DUMMYFUNCTION("""COMPUTED_VALUE"""),91.75)</f>
        <v>91.75</v>
      </c>
      <c r="D4427" s="1">
        <f>IFERROR(__xludf.DUMMYFUNCTION("""COMPUTED_VALUE"""),90.82)</f>
        <v>90.82</v>
      </c>
      <c r="E4427" s="1">
        <f>IFERROR(__xludf.DUMMYFUNCTION("""COMPUTED_VALUE"""),90.86)</f>
        <v>90.86</v>
      </c>
      <c r="F4427" s="1">
        <f>IFERROR(__xludf.DUMMYFUNCTION("""COMPUTED_VALUE"""),6413176.0)</f>
        <v>6413176</v>
      </c>
    </row>
    <row r="4428">
      <c r="A4428" s="2">
        <f>IFERROR(__xludf.DUMMYFUNCTION("""COMPUTED_VALUE"""),42951.66666666667)</f>
        <v>42951.66667</v>
      </c>
      <c r="B4428" s="1">
        <f>IFERROR(__xludf.DUMMYFUNCTION("""COMPUTED_VALUE"""),90.69)</f>
        <v>90.69</v>
      </c>
      <c r="C4428" s="1">
        <f>IFERROR(__xludf.DUMMYFUNCTION("""COMPUTED_VALUE"""),91.08)</f>
        <v>91.08</v>
      </c>
      <c r="D4428" s="1">
        <f>IFERROR(__xludf.DUMMYFUNCTION("""COMPUTED_VALUE"""),90.53)</f>
        <v>90.53</v>
      </c>
      <c r="E4428" s="1">
        <f>IFERROR(__xludf.DUMMYFUNCTION("""COMPUTED_VALUE"""),90.67)</f>
        <v>90.67</v>
      </c>
      <c r="F4428" s="1">
        <f>IFERROR(__xludf.DUMMYFUNCTION("""COMPUTED_VALUE"""),5824439.0)</f>
        <v>5824439</v>
      </c>
    </row>
    <row r="4429">
      <c r="A4429" s="2">
        <f>IFERROR(__xludf.DUMMYFUNCTION("""COMPUTED_VALUE"""),42954.66666666667)</f>
        <v>42954.66667</v>
      </c>
      <c r="B4429" s="1">
        <f>IFERROR(__xludf.DUMMYFUNCTION("""COMPUTED_VALUE"""),90.67)</f>
        <v>90.67</v>
      </c>
      <c r="C4429" s="1">
        <f>IFERROR(__xludf.DUMMYFUNCTION("""COMPUTED_VALUE"""),91.56)</f>
        <v>91.56</v>
      </c>
      <c r="D4429" s="1">
        <f>IFERROR(__xludf.DUMMYFUNCTION("""COMPUTED_VALUE"""),90.52)</f>
        <v>90.52</v>
      </c>
      <c r="E4429" s="1">
        <f>IFERROR(__xludf.DUMMYFUNCTION("""COMPUTED_VALUE"""),91.44)</f>
        <v>91.44</v>
      </c>
      <c r="F4429" s="1">
        <f>IFERROR(__xludf.DUMMYFUNCTION("""COMPUTED_VALUE"""),5011271.0)</f>
        <v>5011271</v>
      </c>
    </row>
    <row r="4430">
      <c r="A4430" s="2">
        <f>IFERROR(__xludf.DUMMYFUNCTION("""COMPUTED_VALUE"""),42955.66666666667)</f>
        <v>42955.66667</v>
      </c>
      <c r="B4430" s="1">
        <f>IFERROR(__xludf.DUMMYFUNCTION("""COMPUTED_VALUE"""),91.4)</f>
        <v>91.4</v>
      </c>
      <c r="C4430" s="1">
        <f>IFERROR(__xludf.DUMMYFUNCTION("""COMPUTED_VALUE"""),91.94)</f>
        <v>91.94</v>
      </c>
      <c r="D4430" s="1">
        <f>IFERROR(__xludf.DUMMYFUNCTION("""COMPUTED_VALUE"""),91.23)</f>
        <v>91.23</v>
      </c>
      <c r="E4430" s="1">
        <f>IFERROR(__xludf.DUMMYFUNCTION("""COMPUTED_VALUE"""),91.58)</f>
        <v>91.58</v>
      </c>
      <c r="F4430" s="1">
        <f>IFERROR(__xludf.DUMMYFUNCTION("""COMPUTED_VALUE"""),5600378.0)</f>
        <v>5600378</v>
      </c>
    </row>
    <row r="4431">
      <c r="A4431" s="2">
        <f>IFERROR(__xludf.DUMMYFUNCTION("""COMPUTED_VALUE"""),42956.66666666667)</f>
        <v>42956.66667</v>
      </c>
      <c r="B4431" s="1">
        <f>IFERROR(__xludf.DUMMYFUNCTION("""COMPUTED_VALUE"""),91.52)</f>
        <v>91.52</v>
      </c>
      <c r="C4431" s="1">
        <f>IFERROR(__xludf.DUMMYFUNCTION("""COMPUTED_VALUE"""),91.94)</f>
        <v>91.94</v>
      </c>
      <c r="D4431" s="1">
        <f>IFERROR(__xludf.DUMMYFUNCTION("""COMPUTED_VALUE"""),91.52)</f>
        <v>91.52</v>
      </c>
      <c r="E4431" s="1">
        <f>IFERROR(__xludf.DUMMYFUNCTION("""COMPUTED_VALUE"""),91.92)</f>
        <v>91.92</v>
      </c>
      <c r="F4431" s="1">
        <f>IFERROR(__xludf.DUMMYFUNCTION("""COMPUTED_VALUE"""),5572843.0)</f>
        <v>5572843</v>
      </c>
    </row>
    <row r="4432">
      <c r="A4432" s="2">
        <f>IFERROR(__xludf.DUMMYFUNCTION("""COMPUTED_VALUE"""),42957.66666666667)</f>
        <v>42957.66667</v>
      </c>
      <c r="B4432" s="1">
        <f>IFERROR(__xludf.DUMMYFUNCTION("""COMPUTED_VALUE"""),91.86)</f>
        <v>91.86</v>
      </c>
      <c r="C4432" s="1">
        <f>IFERROR(__xludf.DUMMYFUNCTION("""COMPUTED_VALUE"""),92.0)</f>
        <v>92</v>
      </c>
      <c r="D4432" s="1">
        <f>IFERROR(__xludf.DUMMYFUNCTION("""COMPUTED_VALUE"""),91.69)</f>
        <v>91.69</v>
      </c>
      <c r="E4432" s="1">
        <f>IFERROR(__xludf.DUMMYFUNCTION("""COMPUTED_VALUE"""),91.74)</f>
        <v>91.74</v>
      </c>
      <c r="F4432" s="1">
        <f>IFERROR(__xludf.DUMMYFUNCTION("""COMPUTED_VALUE"""),6338248.0)</f>
        <v>6338248</v>
      </c>
    </row>
    <row r="4433">
      <c r="A4433" s="2">
        <f>IFERROR(__xludf.DUMMYFUNCTION("""COMPUTED_VALUE"""),42958.66666666667)</f>
        <v>42958.66667</v>
      </c>
      <c r="B4433" s="1">
        <f>IFERROR(__xludf.DUMMYFUNCTION("""COMPUTED_VALUE"""),91.94)</f>
        <v>91.94</v>
      </c>
      <c r="C4433" s="1">
        <f>IFERROR(__xludf.DUMMYFUNCTION("""COMPUTED_VALUE"""),92.08)</f>
        <v>92.08</v>
      </c>
      <c r="D4433" s="1">
        <f>IFERROR(__xludf.DUMMYFUNCTION("""COMPUTED_VALUE"""),91.29)</f>
        <v>91.29</v>
      </c>
      <c r="E4433" s="1">
        <f>IFERROR(__xludf.DUMMYFUNCTION("""COMPUTED_VALUE"""),91.34)</f>
        <v>91.34</v>
      </c>
      <c r="F4433" s="1">
        <f>IFERROR(__xludf.DUMMYFUNCTION("""COMPUTED_VALUE"""),7094238.0)</f>
        <v>7094238</v>
      </c>
    </row>
    <row r="4434">
      <c r="A4434" s="2">
        <f>IFERROR(__xludf.DUMMYFUNCTION("""COMPUTED_VALUE"""),42961.66666666667)</f>
        <v>42961.66667</v>
      </c>
      <c r="B4434" s="1">
        <f>IFERROR(__xludf.DUMMYFUNCTION("""COMPUTED_VALUE"""),91.54)</f>
        <v>91.54</v>
      </c>
      <c r="C4434" s="1">
        <f>IFERROR(__xludf.DUMMYFUNCTION("""COMPUTED_VALUE"""),91.95)</f>
        <v>91.95</v>
      </c>
      <c r="D4434" s="1">
        <f>IFERROR(__xludf.DUMMYFUNCTION("""COMPUTED_VALUE"""),91.25)</f>
        <v>91.25</v>
      </c>
      <c r="E4434" s="1">
        <f>IFERROR(__xludf.DUMMYFUNCTION("""COMPUTED_VALUE"""),91.65)</f>
        <v>91.65</v>
      </c>
      <c r="F4434" s="1">
        <f>IFERROR(__xludf.DUMMYFUNCTION("""COMPUTED_VALUE"""),5398382.0)</f>
        <v>5398382</v>
      </c>
    </row>
    <row r="4435">
      <c r="A4435" s="2">
        <f>IFERROR(__xludf.DUMMYFUNCTION("""COMPUTED_VALUE"""),42962.66666666667)</f>
        <v>42962.66667</v>
      </c>
      <c r="B4435" s="1">
        <f>IFERROR(__xludf.DUMMYFUNCTION("""COMPUTED_VALUE"""),91.91)</f>
        <v>91.91</v>
      </c>
      <c r="C4435" s="1">
        <f>IFERROR(__xludf.DUMMYFUNCTION("""COMPUTED_VALUE"""),92.36)</f>
        <v>92.36</v>
      </c>
      <c r="D4435" s="1">
        <f>IFERROR(__xludf.DUMMYFUNCTION("""COMPUTED_VALUE"""),91.88)</f>
        <v>91.88</v>
      </c>
      <c r="E4435" s="1">
        <f>IFERROR(__xludf.DUMMYFUNCTION("""COMPUTED_VALUE"""),92.2)</f>
        <v>92.2</v>
      </c>
      <c r="F4435" s="1">
        <f>IFERROR(__xludf.DUMMYFUNCTION("""COMPUTED_VALUE"""),5293433.0)</f>
        <v>5293433</v>
      </c>
    </row>
    <row r="4436">
      <c r="A4436" s="2">
        <f>IFERROR(__xludf.DUMMYFUNCTION("""COMPUTED_VALUE"""),42963.66666666667)</f>
        <v>42963.66667</v>
      </c>
      <c r="B4436" s="1">
        <f>IFERROR(__xludf.DUMMYFUNCTION("""COMPUTED_VALUE"""),92.29)</f>
        <v>92.29</v>
      </c>
      <c r="C4436" s="1">
        <f>IFERROR(__xludf.DUMMYFUNCTION("""COMPUTED_VALUE"""),92.95)</f>
        <v>92.95</v>
      </c>
      <c r="D4436" s="1">
        <f>IFERROR(__xludf.DUMMYFUNCTION("""COMPUTED_VALUE"""),92.19)</f>
        <v>92.19</v>
      </c>
      <c r="E4436" s="1">
        <f>IFERROR(__xludf.DUMMYFUNCTION("""COMPUTED_VALUE"""),92.44)</f>
        <v>92.44</v>
      </c>
      <c r="F4436" s="1">
        <f>IFERROR(__xludf.DUMMYFUNCTION("""COMPUTED_VALUE"""),7965478.0)</f>
        <v>7965478</v>
      </c>
    </row>
    <row r="4437">
      <c r="A4437" s="2">
        <f>IFERROR(__xludf.DUMMYFUNCTION("""COMPUTED_VALUE"""),42964.66666666667)</f>
        <v>42964.66667</v>
      </c>
      <c r="B4437" s="1">
        <f>IFERROR(__xludf.DUMMYFUNCTION("""COMPUTED_VALUE"""),92.4)</f>
        <v>92.4</v>
      </c>
      <c r="C4437" s="1">
        <f>IFERROR(__xludf.DUMMYFUNCTION("""COMPUTED_VALUE"""),92.67)</f>
        <v>92.67</v>
      </c>
      <c r="D4437" s="1">
        <f>IFERROR(__xludf.DUMMYFUNCTION("""COMPUTED_VALUE"""),92.07)</f>
        <v>92.07</v>
      </c>
      <c r="E4437" s="1">
        <f>IFERROR(__xludf.DUMMYFUNCTION("""COMPUTED_VALUE"""),92.07)</f>
        <v>92.07</v>
      </c>
      <c r="F4437" s="1">
        <f>IFERROR(__xludf.DUMMYFUNCTION("""COMPUTED_VALUE"""),5711411.0)</f>
        <v>5711411</v>
      </c>
    </row>
    <row r="4438">
      <c r="A4438" s="2">
        <f>IFERROR(__xludf.DUMMYFUNCTION("""COMPUTED_VALUE"""),42965.66666666667)</f>
        <v>42965.66667</v>
      </c>
      <c r="B4438" s="1">
        <f>IFERROR(__xludf.DUMMYFUNCTION("""COMPUTED_VALUE"""),91.98)</f>
        <v>91.98</v>
      </c>
      <c r="C4438" s="1">
        <f>IFERROR(__xludf.DUMMYFUNCTION("""COMPUTED_VALUE"""),92.78)</f>
        <v>92.78</v>
      </c>
      <c r="D4438" s="1">
        <f>IFERROR(__xludf.DUMMYFUNCTION("""COMPUTED_VALUE"""),91.85)</f>
        <v>91.85</v>
      </c>
      <c r="E4438" s="1">
        <f>IFERROR(__xludf.DUMMYFUNCTION("""COMPUTED_VALUE"""),92.47)</f>
        <v>92.47</v>
      </c>
      <c r="F4438" s="1">
        <f>IFERROR(__xludf.DUMMYFUNCTION("""COMPUTED_VALUE"""),6815002.0)</f>
        <v>6815002</v>
      </c>
    </row>
    <row r="4439">
      <c r="A4439" s="2">
        <f>IFERROR(__xludf.DUMMYFUNCTION("""COMPUTED_VALUE"""),42968.66666666667)</f>
        <v>42968.66667</v>
      </c>
      <c r="B4439" s="1">
        <f>IFERROR(__xludf.DUMMYFUNCTION("""COMPUTED_VALUE"""),92.38)</f>
        <v>92.38</v>
      </c>
      <c r="C4439" s="1">
        <f>IFERROR(__xludf.DUMMYFUNCTION("""COMPUTED_VALUE"""),92.96)</f>
        <v>92.96</v>
      </c>
      <c r="D4439" s="1">
        <f>IFERROR(__xludf.DUMMYFUNCTION("""COMPUTED_VALUE"""),92.36)</f>
        <v>92.36</v>
      </c>
      <c r="E4439" s="1">
        <f>IFERROR(__xludf.DUMMYFUNCTION("""COMPUTED_VALUE"""),92.86)</f>
        <v>92.86</v>
      </c>
      <c r="F4439" s="1">
        <f>IFERROR(__xludf.DUMMYFUNCTION("""COMPUTED_VALUE"""),4334267.0)</f>
        <v>4334267</v>
      </c>
    </row>
    <row r="4440">
      <c r="A4440" s="2">
        <f>IFERROR(__xludf.DUMMYFUNCTION("""COMPUTED_VALUE"""),42969.66666666667)</f>
        <v>42969.66667</v>
      </c>
      <c r="B4440" s="1">
        <f>IFERROR(__xludf.DUMMYFUNCTION("""COMPUTED_VALUE"""),92.91)</f>
        <v>92.91</v>
      </c>
      <c r="C4440" s="1">
        <f>IFERROR(__xludf.DUMMYFUNCTION("""COMPUTED_VALUE"""),92.96)</f>
        <v>92.96</v>
      </c>
      <c r="D4440" s="1">
        <f>IFERROR(__xludf.DUMMYFUNCTION("""COMPUTED_VALUE"""),92.59)</f>
        <v>92.59</v>
      </c>
      <c r="E4440" s="1">
        <f>IFERROR(__xludf.DUMMYFUNCTION("""COMPUTED_VALUE"""),92.79)</f>
        <v>92.79</v>
      </c>
      <c r="F4440" s="1">
        <f>IFERROR(__xludf.DUMMYFUNCTION("""COMPUTED_VALUE"""),4731427.0)</f>
        <v>4731427</v>
      </c>
    </row>
    <row r="4441">
      <c r="A4441" s="2">
        <f>IFERROR(__xludf.DUMMYFUNCTION("""COMPUTED_VALUE"""),42970.66666666667)</f>
        <v>42970.66667</v>
      </c>
      <c r="B4441" s="1">
        <f>IFERROR(__xludf.DUMMYFUNCTION("""COMPUTED_VALUE"""),92.5)</f>
        <v>92.5</v>
      </c>
      <c r="C4441" s="1">
        <f>IFERROR(__xludf.DUMMYFUNCTION("""COMPUTED_VALUE"""),92.66)</f>
        <v>92.66</v>
      </c>
      <c r="D4441" s="1">
        <f>IFERROR(__xludf.DUMMYFUNCTION("""COMPUTED_VALUE"""),92.28)</f>
        <v>92.28</v>
      </c>
      <c r="E4441" s="1">
        <f>IFERROR(__xludf.DUMMYFUNCTION("""COMPUTED_VALUE"""),92.44)</f>
        <v>92.44</v>
      </c>
      <c r="F4441" s="1">
        <f>IFERROR(__xludf.DUMMYFUNCTION("""COMPUTED_VALUE"""),3656155.0)</f>
        <v>3656155</v>
      </c>
    </row>
    <row r="4442">
      <c r="A4442" s="2">
        <f>IFERROR(__xludf.DUMMYFUNCTION("""COMPUTED_VALUE"""),42971.66666666667)</f>
        <v>42971.66667</v>
      </c>
      <c r="B4442" s="1">
        <f>IFERROR(__xludf.DUMMYFUNCTION("""COMPUTED_VALUE"""),92.44)</f>
        <v>92.44</v>
      </c>
      <c r="C4442" s="1">
        <f>IFERROR(__xludf.DUMMYFUNCTION("""COMPUTED_VALUE"""),92.57)</f>
        <v>92.57</v>
      </c>
      <c r="D4442" s="1">
        <f>IFERROR(__xludf.DUMMYFUNCTION("""COMPUTED_VALUE"""),92.04)</f>
        <v>92.04</v>
      </c>
      <c r="E4442" s="1">
        <f>IFERROR(__xludf.DUMMYFUNCTION("""COMPUTED_VALUE"""),92.27)</f>
        <v>92.27</v>
      </c>
      <c r="F4442" s="1">
        <f>IFERROR(__xludf.DUMMYFUNCTION("""COMPUTED_VALUE"""),5173694.0)</f>
        <v>5173694</v>
      </c>
    </row>
    <row r="4443">
      <c r="A4443" s="2">
        <f>IFERROR(__xludf.DUMMYFUNCTION("""COMPUTED_VALUE"""),42972.66666666667)</f>
        <v>42972.66667</v>
      </c>
      <c r="B4443" s="1">
        <f>IFERROR(__xludf.DUMMYFUNCTION("""COMPUTED_VALUE"""),92.65)</f>
        <v>92.65</v>
      </c>
      <c r="C4443" s="1">
        <f>IFERROR(__xludf.DUMMYFUNCTION("""COMPUTED_VALUE"""),92.86)</f>
        <v>92.86</v>
      </c>
      <c r="D4443" s="1">
        <f>IFERROR(__xludf.DUMMYFUNCTION("""COMPUTED_VALUE"""),92.41)</f>
        <v>92.41</v>
      </c>
      <c r="E4443" s="1">
        <f>IFERROR(__xludf.DUMMYFUNCTION("""COMPUTED_VALUE"""),92.51)</f>
        <v>92.51</v>
      </c>
      <c r="F4443" s="1">
        <f>IFERROR(__xludf.DUMMYFUNCTION("""COMPUTED_VALUE"""),4932908.0)</f>
        <v>4932908</v>
      </c>
    </row>
    <row r="4444">
      <c r="A4444" s="2">
        <f>IFERROR(__xludf.DUMMYFUNCTION("""COMPUTED_VALUE"""),42975.66666666667)</f>
        <v>42975.66667</v>
      </c>
      <c r="B4444" s="1">
        <f>IFERROR(__xludf.DUMMYFUNCTION("""COMPUTED_VALUE"""),92.52)</f>
        <v>92.52</v>
      </c>
      <c r="C4444" s="1">
        <f>IFERROR(__xludf.DUMMYFUNCTION("""COMPUTED_VALUE"""),92.71)</f>
        <v>92.71</v>
      </c>
      <c r="D4444" s="1">
        <f>IFERROR(__xludf.DUMMYFUNCTION("""COMPUTED_VALUE"""),91.98)</f>
        <v>91.98</v>
      </c>
      <c r="E4444" s="1">
        <f>IFERROR(__xludf.DUMMYFUNCTION("""COMPUTED_VALUE"""),92.47)</f>
        <v>92.47</v>
      </c>
      <c r="F4444" s="1">
        <f>IFERROR(__xludf.DUMMYFUNCTION("""COMPUTED_VALUE"""),5386538.0)</f>
        <v>5386538</v>
      </c>
    </row>
    <row r="4445">
      <c r="A4445" s="2">
        <f>IFERROR(__xludf.DUMMYFUNCTION("""COMPUTED_VALUE"""),42976.66666666667)</f>
        <v>42976.66667</v>
      </c>
      <c r="B4445" s="1">
        <f>IFERROR(__xludf.DUMMYFUNCTION("""COMPUTED_VALUE"""),92.48)</f>
        <v>92.48</v>
      </c>
      <c r="C4445" s="1">
        <f>IFERROR(__xludf.DUMMYFUNCTION("""COMPUTED_VALUE"""),92.69)</f>
        <v>92.69</v>
      </c>
      <c r="D4445" s="1">
        <f>IFERROR(__xludf.DUMMYFUNCTION("""COMPUTED_VALUE"""),92.24)</f>
        <v>92.24</v>
      </c>
      <c r="E4445" s="1">
        <f>IFERROR(__xludf.DUMMYFUNCTION("""COMPUTED_VALUE"""),92.32)</f>
        <v>92.32</v>
      </c>
      <c r="F4445" s="1">
        <f>IFERROR(__xludf.DUMMYFUNCTION("""COMPUTED_VALUE"""),3676277.0)</f>
        <v>3676277</v>
      </c>
    </row>
    <row r="4446">
      <c r="A4446" s="2">
        <f>IFERROR(__xludf.DUMMYFUNCTION("""COMPUTED_VALUE"""),42977.66666666667)</f>
        <v>42977.66667</v>
      </c>
      <c r="B4446" s="1">
        <f>IFERROR(__xludf.DUMMYFUNCTION("""COMPUTED_VALUE"""),92.08)</f>
        <v>92.08</v>
      </c>
      <c r="C4446" s="1">
        <f>IFERROR(__xludf.DUMMYFUNCTION("""COMPUTED_VALUE"""),92.08)</f>
        <v>92.08</v>
      </c>
      <c r="D4446" s="1">
        <f>IFERROR(__xludf.DUMMYFUNCTION("""COMPUTED_VALUE"""),91.66)</f>
        <v>91.66</v>
      </c>
      <c r="E4446" s="1">
        <f>IFERROR(__xludf.DUMMYFUNCTION("""COMPUTED_VALUE"""),91.87)</f>
        <v>91.87</v>
      </c>
      <c r="F4446" s="1">
        <f>IFERROR(__xludf.DUMMYFUNCTION("""COMPUTED_VALUE"""),4709595.0)</f>
        <v>4709595</v>
      </c>
    </row>
    <row r="4447">
      <c r="A4447" s="2">
        <f>IFERROR(__xludf.DUMMYFUNCTION("""COMPUTED_VALUE"""),42978.66666666667)</f>
        <v>42978.66667</v>
      </c>
      <c r="B4447" s="1">
        <f>IFERROR(__xludf.DUMMYFUNCTION("""COMPUTED_VALUE"""),91.89)</f>
        <v>91.89</v>
      </c>
      <c r="C4447" s="1">
        <f>IFERROR(__xludf.DUMMYFUNCTION("""COMPUTED_VALUE"""),92.39)</f>
        <v>92.39</v>
      </c>
      <c r="D4447" s="1">
        <f>IFERROR(__xludf.DUMMYFUNCTION("""COMPUTED_VALUE"""),91.84)</f>
        <v>91.84</v>
      </c>
      <c r="E4447" s="1">
        <f>IFERROR(__xludf.DUMMYFUNCTION("""COMPUTED_VALUE"""),92.27)</f>
        <v>92.27</v>
      </c>
      <c r="F4447" s="1">
        <f>IFERROR(__xludf.DUMMYFUNCTION("""COMPUTED_VALUE"""),5864440.0)</f>
        <v>5864440</v>
      </c>
    </row>
    <row r="4448">
      <c r="A4448" s="2">
        <f>IFERROR(__xludf.DUMMYFUNCTION("""COMPUTED_VALUE"""),42979.66666666667)</f>
        <v>42979.66667</v>
      </c>
      <c r="B4448" s="1">
        <f>IFERROR(__xludf.DUMMYFUNCTION("""COMPUTED_VALUE"""),92.42)</f>
        <v>92.42</v>
      </c>
      <c r="C4448" s="1">
        <f>IFERROR(__xludf.DUMMYFUNCTION("""COMPUTED_VALUE"""),92.66)</f>
        <v>92.66</v>
      </c>
      <c r="D4448" s="1">
        <f>IFERROR(__xludf.DUMMYFUNCTION("""COMPUTED_VALUE"""),92.26)</f>
        <v>92.26</v>
      </c>
      <c r="E4448" s="1">
        <f>IFERROR(__xludf.DUMMYFUNCTION("""COMPUTED_VALUE"""),92.53)</f>
        <v>92.53</v>
      </c>
      <c r="F4448" s="1">
        <f>IFERROR(__xludf.DUMMYFUNCTION("""COMPUTED_VALUE"""),4960633.0)</f>
        <v>4960633</v>
      </c>
    </row>
    <row r="4449">
      <c r="A4449" s="2">
        <f>IFERROR(__xludf.DUMMYFUNCTION("""COMPUTED_VALUE"""),42983.66666666667)</f>
        <v>42983.66667</v>
      </c>
      <c r="B4449" s="1">
        <f>IFERROR(__xludf.DUMMYFUNCTION("""COMPUTED_VALUE"""),92.18)</f>
        <v>92.18</v>
      </c>
      <c r="C4449" s="1">
        <f>IFERROR(__xludf.DUMMYFUNCTION("""COMPUTED_VALUE"""),92.74)</f>
        <v>92.74</v>
      </c>
      <c r="D4449" s="1">
        <f>IFERROR(__xludf.DUMMYFUNCTION("""COMPUTED_VALUE"""),92.04)</f>
        <v>92.04</v>
      </c>
      <c r="E4449" s="1">
        <f>IFERROR(__xludf.DUMMYFUNCTION("""COMPUTED_VALUE"""),92.72)</f>
        <v>92.72</v>
      </c>
      <c r="F4449" s="1">
        <f>IFERROR(__xludf.DUMMYFUNCTION("""COMPUTED_VALUE"""),6532090.0)</f>
        <v>6532090</v>
      </c>
    </row>
    <row r="4450">
      <c r="A4450" s="2">
        <f>IFERROR(__xludf.DUMMYFUNCTION("""COMPUTED_VALUE"""),42984.66666666667)</f>
        <v>42984.66667</v>
      </c>
      <c r="B4450" s="1">
        <f>IFERROR(__xludf.DUMMYFUNCTION("""COMPUTED_VALUE"""),92.79)</f>
        <v>92.79</v>
      </c>
      <c r="C4450" s="1">
        <f>IFERROR(__xludf.DUMMYFUNCTION("""COMPUTED_VALUE"""),92.91)</f>
        <v>92.91</v>
      </c>
      <c r="D4450" s="1">
        <f>IFERROR(__xludf.DUMMYFUNCTION("""COMPUTED_VALUE"""),92.36)</f>
        <v>92.36</v>
      </c>
      <c r="E4450" s="1">
        <f>IFERROR(__xludf.DUMMYFUNCTION("""COMPUTED_VALUE"""),92.72)</f>
        <v>92.72</v>
      </c>
      <c r="F4450" s="1">
        <f>IFERROR(__xludf.DUMMYFUNCTION("""COMPUTED_VALUE"""),6747154.0)</f>
        <v>6747154</v>
      </c>
    </row>
    <row r="4451">
      <c r="A4451" s="2">
        <f>IFERROR(__xludf.DUMMYFUNCTION("""COMPUTED_VALUE"""),42985.66666666667)</f>
        <v>42985.66667</v>
      </c>
      <c r="B4451" s="1">
        <f>IFERROR(__xludf.DUMMYFUNCTION("""COMPUTED_VALUE"""),92.74)</f>
        <v>92.74</v>
      </c>
      <c r="C4451" s="1">
        <f>IFERROR(__xludf.DUMMYFUNCTION("""COMPUTED_VALUE"""),93.36)</f>
        <v>93.36</v>
      </c>
      <c r="D4451" s="1">
        <f>IFERROR(__xludf.DUMMYFUNCTION("""COMPUTED_VALUE"""),92.33)</f>
        <v>92.33</v>
      </c>
      <c r="E4451" s="1">
        <f>IFERROR(__xludf.DUMMYFUNCTION("""COMPUTED_VALUE"""),92.97)</f>
        <v>92.97</v>
      </c>
      <c r="F4451" s="1">
        <f>IFERROR(__xludf.DUMMYFUNCTION("""COMPUTED_VALUE"""),7735387.0)</f>
        <v>7735387</v>
      </c>
    </row>
    <row r="4452">
      <c r="A4452" s="2">
        <f>IFERROR(__xludf.DUMMYFUNCTION("""COMPUTED_VALUE"""),42986.66666666667)</f>
        <v>42986.66667</v>
      </c>
      <c r="B4452" s="1">
        <f>IFERROR(__xludf.DUMMYFUNCTION("""COMPUTED_VALUE"""),92.76)</f>
        <v>92.76</v>
      </c>
      <c r="C4452" s="1">
        <f>IFERROR(__xludf.DUMMYFUNCTION("""COMPUTED_VALUE"""),93.15)</f>
        <v>93.15</v>
      </c>
      <c r="D4452" s="1">
        <f>IFERROR(__xludf.DUMMYFUNCTION("""COMPUTED_VALUE"""),92.51)</f>
        <v>92.51</v>
      </c>
      <c r="E4452" s="1">
        <f>IFERROR(__xludf.DUMMYFUNCTION("""COMPUTED_VALUE"""),92.84)</f>
        <v>92.84</v>
      </c>
      <c r="F4452" s="1">
        <f>IFERROR(__xludf.DUMMYFUNCTION("""COMPUTED_VALUE"""),6070073.0)</f>
        <v>6070073</v>
      </c>
    </row>
    <row r="4453">
      <c r="A4453" s="2">
        <f>IFERROR(__xludf.DUMMYFUNCTION("""COMPUTED_VALUE"""),42989.66666666667)</f>
        <v>42989.66667</v>
      </c>
      <c r="B4453" s="1">
        <f>IFERROR(__xludf.DUMMYFUNCTION("""COMPUTED_VALUE"""),93.09)</f>
        <v>93.09</v>
      </c>
      <c r="C4453" s="1">
        <f>IFERROR(__xludf.DUMMYFUNCTION("""COMPUTED_VALUE"""),94.19)</f>
        <v>94.19</v>
      </c>
      <c r="D4453" s="1">
        <f>IFERROR(__xludf.DUMMYFUNCTION("""COMPUTED_VALUE"""),92.9)</f>
        <v>92.9</v>
      </c>
      <c r="E4453" s="1">
        <f>IFERROR(__xludf.DUMMYFUNCTION("""COMPUTED_VALUE"""),93.99)</f>
        <v>93.99</v>
      </c>
      <c r="F4453" s="1">
        <f>IFERROR(__xludf.DUMMYFUNCTION("""COMPUTED_VALUE"""),1.0177007E7)</f>
        <v>10177007</v>
      </c>
    </row>
    <row r="4454">
      <c r="A4454" s="2">
        <f>IFERROR(__xludf.DUMMYFUNCTION("""COMPUTED_VALUE"""),42990.66666666667)</f>
        <v>42990.66667</v>
      </c>
      <c r="B4454" s="1">
        <f>IFERROR(__xludf.DUMMYFUNCTION("""COMPUTED_VALUE"""),93.72)</f>
        <v>93.72</v>
      </c>
      <c r="C4454" s="1">
        <f>IFERROR(__xludf.DUMMYFUNCTION("""COMPUTED_VALUE"""),93.98)</f>
        <v>93.98</v>
      </c>
      <c r="D4454" s="1">
        <f>IFERROR(__xludf.DUMMYFUNCTION("""COMPUTED_VALUE"""),93.21)</f>
        <v>93.21</v>
      </c>
      <c r="E4454" s="1">
        <f>IFERROR(__xludf.DUMMYFUNCTION("""COMPUTED_VALUE"""),93.51)</f>
        <v>93.51</v>
      </c>
      <c r="F4454" s="1">
        <f>IFERROR(__xludf.DUMMYFUNCTION("""COMPUTED_VALUE"""),5804047.0)</f>
        <v>5804047</v>
      </c>
    </row>
    <row r="4455">
      <c r="A4455" s="2">
        <f>IFERROR(__xludf.DUMMYFUNCTION("""COMPUTED_VALUE"""),42991.66666666667)</f>
        <v>42991.66667</v>
      </c>
      <c r="B4455" s="1">
        <f>IFERROR(__xludf.DUMMYFUNCTION("""COMPUTED_VALUE"""),93.5)</f>
        <v>93.5</v>
      </c>
      <c r="C4455" s="1">
        <f>IFERROR(__xludf.DUMMYFUNCTION("""COMPUTED_VALUE"""),93.77)</f>
        <v>93.77</v>
      </c>
      <c r="D4455" s="1">
        <f>IFERROR(__xludf.DUMMYFUNCTION("""COMPUTED_VALUE"""),93.45)</f>
        <v>93.45</v>
      </c>
      <c r="E4455" s="1">
        <f>IFERROR(__xludf.DUMMYFUNCTION("""COMPUTED_VALUE"""),93.55)</f>
        <v>93.55</v>
      </c>
      <c r="F4455" s="1">
        <f>IFERROR(__xludf.DUMMYFUNCTION("""COMPUTED_VALUE"""),5369277.0)</f>
        <v>5369277</v>
      </c>
    </row>
    <row r="4456">
      <c r="A4456" s="2">
        <f>IFERROR(__xludf.DUMMYFUNCTION("""COMPUTED_VALUE"""),42992.66666666667)</f>
        <v>42992.66667</v>
      </c>
      <c r="B4456" s="1">
        <f>IFERROR(__xludf.DUMMYFUNCTION("""COMPUTED_VALUE"""),93.23)</f>
        <v>93.23</v>
      </c>
      <c r="C4456" s="1">
        <f>IFERROR(__xludf.DUMMYFUNCTION("""COMPUTED_VALUE"""),93.65)</f>
        <v>93.65</v>
      </c>
      <c r="D4456" s="1">
        <f>IFERROR(__xludf.DUMMYFUNCTION("""COMPUTED_VALUE"""),93.18)</f>
        <v>93.18</v>
      </c>
      <c r="E4456" s="1">
        <f>IFERROR(__xludf.DUMMYFUNCTION("""COMPUTED_VALUE"""),93.55)</f>
        <v>93.55</v>
      </c>
      <c r="F4456" s="1">
        <f>IFERROR(__xludf.DUMMYFUNCTION("""COMPUTED_VALUE"""),5492335.0)</f>
        <v>5492335</v>
      </c>
    </row>
    <row r="4457">
      <c r="A4457" s="2">
        <f>IFERROR(__xludf.DUMMYFUNCTION("""COMPUTED_VALUE"""),42993.66666666667)</f>
        <v>42993.66667</v>
      </c>
      <c r="B4457" s="1">
        <f>IFERROR(__xludf.DUMMYFUNCTION("""COMPUTED_VALUE"""),93.82)</f>
        <v>93.82</v>
      </c>
      <c r="C4457" s="1">
        <f>IFERROR(__xludf.DUMMYFUNCTION("""COMPUTED_VALUE"""),93.82)</f>
        <v>93.82</v>
      </c>
      <c r="D4457" s="1">
        <f>IFERROR(__xludf.DUMMYFUNCTION("""COMPUTED_VALUE"""),92.82)</f>
        <v>92.82</v>
      </c>
      <c r="E4457" s="1">
        <f>IFERROR(__xludf.DUMMYFUNCTION("""COMPUTED_VALUE"""),93.27)</f>
        <v>93.27</v>
      </c>
      <c r="F4457" s="1">
        <f>IFERROR(__xludf.DUMMYFUNCTION("""COMPUTED_VALUE"""),1.2428828E7)</f>
        <v>12428828</v>
      </c>
    </row>
    <row r="4458">
      <c r="A4458" s="2">
        <f>IFERROR(__xludf.DUMMYFUNCTION("""COMPUTED_VALUE"""),42996.66666666667)</f>
        <v>42996.66667</v>
      </c>
      <c r="B4458" s="1">
        <f>IFERROR(__xludf.DUMMYFUNCTION("""COMPUTED_VALUE"""),93.17)</f>
        <v>93.17</v>
      </c>
      <c r="C4458" s="1">
        <f>IFERROR(__xludf.DUMMYFUNCTION("""COMPUTED_VALUE"""),93.5)</f>
        <v>93.5</v>
      </c>
      <c r="D4458" s="1">
        <f>IFERROR(__xludf.DUMMYFUNCTION("""COMPUTED_VALUE"""),92.86)</f>
        <v>92.86</v>
      </c>
      <c r="E4458" s="1">
        <f>IFERROR(__xludf.DUMMYFUNCTION("""COMPUTED_VALUE"""),93.15)</f>
        <v>93.15</v>
      </c>
      <c r="F4458" s="1">
        <f>IFERROR(__xludf.DUMMYFUNCTION("""COMPUTED_VALUE"""),6177488.0)</f>
        <v>6177488</v>
      </c>
    </row>
    <row r="4459">
      <c r="A4459" s="2">
        <f>IFERROR(__xludf.DUMMYFUNCTION("""COMPUTED_VALUE"""),42997.66666666667)</f>
        <v>42997.66667</v>
      </c>
      <c r="B4459" s="1">
        <f>IFERROR(__xludf.DUMMYFUNCTION("""COMPUTED_VALUE"""),93.34)</f>
        <v>93.34</v>
      </c>
      <c r="C4459" s="1">
        <f>IFERROR(__xludf.DUMMYFUNCTION("""COMPUTED_VALUE"""),94.45)</f>
        <v>94.45</v>
      </c>
      <c r="D4459" s="1">
        <f>IFERROR(__xludf.DUMMYFUNCTION("""COMPUTED_VALUE"""),93.34)</f>
        <v>93.34</v>
      </c>
      <c r="E4459" s="1">
        <f>IFERROR(__xludf.DUMMYFUNCTION("""COMPUTED_VALUE"""),94.17)</f>
        <v>94.17</v>
      </c>
      <c r="F4459" s="1">
        <f>IFERROR(__xludf.DUMMYFUNCTION("""COMPUTED_VALUE"""),6587152.0)</f>
        <v>6587152</v>
      </c>
    </row>
    <row r="4460">
      <c r="A4460" s="2">
        <f>IFERROR(__xludf.DUMMYFUNCTION("""COMPUTED_VALUE"""),42998.66666666667)</f>
        <v>42998.66667</v>
      </c>
      <c r="B4460" s="1">
        <f>IFERROR(__xludf.DUMMYFUNCTION("""COMPUTED_VALUE"""),94.17)</f>
        <v>94.17</v>
      </c>
      <c r="C4460" s="1">
        <f>IFERROR(__xludf.DUMMYFUNCTION("""COMPUTED_VALUE"""),94.67)</f>
        <v>94.67</v>
      </c>
      <c r="D4460" s="1">
        <f>IFERROR(__xludf.DUMMYFUNCTION("""COMPUTED_VALUE"""),93.83)</f>
        <v>93.83</v>
      </c>
      <c r="E4460" s="1">
        <f>IFERROR(__xludf.DUMMYFUNCTION("""COMPUTED_VALUE"""),94.4)</f>
        <v>94.4</v>
      </c>
      <c r="F4460" s="1">
        <f>IFERROR(__xludf.DUMMYFUNCTION("""COMPUTED_VALUE"""),5939516.0)</f>
        <v>5939516</v>
      </c>
    </row>
    <row r="4461">
      <c r="A4461" s="2">
        <f>IFERROR(__xludf.DUMMYFUNCTION("""COMPUTED_VALUE"""),42999.66666666667)</f>
        <v>42999.66667</v>
      </c>
      <c r="B4461" s="1">
        <f>IFERROR(__xludf.DUMMYFUNCTION("""COMPUTED_VALUE"""),94.15)</f>
        <v>94.15</v>
      </c>
      <c r="C4461" s="1">
        <f>IFERROR(__xludf.DUMMYFUNCTION("""COMPUTED_VALUE"""),94.5)</f>
        <v>94.5</v>
      </c>
      <c r="D4461" s="1">
        <f>IFERROR(__xludf.DUMMYFUNCTION("""COMPUTED_VALUE"""),92.45)</f>
        <v>92.45</v>
      </c>
      <c r="E4461" s="1">
        <f>IFERROR(__xludf.DUMMYFUNCTION("""COMPUTED_VALUE"""),92.64)</f>
        <v>92.64</v>
      </c>
      <c r="F4461" s="1">
        <f>IFERROR(__xludf.DUMMYFUNCTION("""COMPUTED_VALUE"""),9376655.0)</f>
        <v>9376655</v>
      </c>
    </row>
    <row r="4462">
      <c r="A4462" s="2">
        <f>IFERROR(__xludf.DUMMYFUNCTION("""COMPUTED_VALUE"""),43000.66666666667)</f>
        <v>43000.66667</v>
      </c>
      <c r="B4462" s="1">
        <f>IFERROR(__xludf.DUMMYFUNCTION("""COMPUTED_VALUE"""),92.55)</f>
        <v>92.55</v>
      </c>
      <c r="C4462" s="1">
        <f>IFERROR(__xludf.DUMMYFUNCTION("""COMPUTED_VALUE"""),93.0)</f>
        <v>93</v>
      </c>
      <c r="D4462" s="1">
        <f>IFERROR(__xludf.DUMMYFUNCTION("""COMPUTED_VALUE"""),92.08)</f>
        <v>92.08</v>
      </c>
      <c r="E4462" s="1">
        <f>IFERROR(__xludf.DUMMYFUNCTION("""COMPUTED_VALUE"""),92.24)</f>
        <v>92.24</v>
      </c>
      <c r="F4462" s="1">
        <f>IFERROR(__xludf.DUMMYFUNCTION("""COMPUTED_VALUE"""),6837699.0)</f>
        <v>6837699</v>
      </c>
    </row>
    <row r="4463">
      <c r="A4463" s="2">
        <f>IFERROR(__xludf.DUMMYFUNCTION("""COMPUTED_VALUE"""),43003.66666666667)</f>
        <v>43003.66667</v>
      </c>
      <c r="B4463" s="1">
        <f>IFERROR(__xludf.DUMMYFUNCTION("""COMPUTED_VALUE"""),92.43)</f>
        <v>92.43</v>
      </c>
      <c r="C4463" s="1">
        <f>IFERROR(__xludf.DUMMYFUNCTION("""COMPUTED_VALUE"""),93.09)</f>
        <v>93.09</v>
      </c>
      <c r="D4463" s="1">
        <f>IFERROR(__xludf.DUMMYFUNCTION("""COMPUTED_VALUE"""),92.33)</f>
        <v>92.33</v>
      </c>
      <c r="E4463" s="1">
        <f>IFERROR(__xludf.DUMMYFUNCTION("""COMPUTED_VALUE"""),92.72)</f>
        <v>92.72</v>
      </c>
      <c r="F4463" s="1">
        <f>IFERROR(__xludf.DUMMYFUNCTION("""COMPUTED_VALUE"""),6436162.0)</f>
        <v>6436162</v>
      </c>
    </row>
    <row r="4464">
      <c r="A4464" s="2">
        <f>IFERROR(__xludf.DUMMYFUNCTION("""COMPUTED_VALUE"""),43004.66666666667)</f>
        <v>43004.66667</v>
      </c>
      <c r="B4464" s="1">
        <f>IFERROR(__xludf.DUMMYFUNCTION("""COMPUTED_VALUE"""),92.82)</f>
        <v>92.82</v>
      </c>
      <c r="C4464" s="1">
        <f>IFERROR(__xludf.DUMMYFUNCTION("""COMPUTED_VALUE"""),92.85)</f>
        <v>92.85</v>
      </c>
      <c r="D4464" s="1">
        <f>IFERROR(__xludf.DUMMYFUNCTION("""COMPUTED_VALUE"""),92.2)</f>
        <v>92.2</v>
      </c>
      <c r="E4464" s="1">
        <f>IFERROR(__xludf.DUMMYFUNCTION("""COMPUTED_VALUE"""),92.65)</f>
        <v>92.65</v>
      </c>
      <c r="F4464" s="1">
        <f>IFERROR(__xludf.DUMMYFUNCTION("""COMPUTED_VALUE"""),4885203.0)</f>
        <v>4885203</v>
      </c>
    </row>
    <row r="4465">
      <c r="A4465" s="2">
        <f>IFERROR(__xludf.DUMMYFUNCTION("""COMPUTED_VALUE"""),43005.66666666667)</f>
        <v>43005.66667</v>
      </c>
      <c r="B4465" s="1">
        <f>IFERROR(__xludf.DUMMYFUNCTION("""COMPUTED_VALUE"""),92.52)</f>
        <v>92.52</v>
      </c>
      <c r="C4465" s="1">
        <f>IFERROR(__xludf.DUMMYFUNCTION("""COMPUTED_VALUE"""),92.52)</f>
        <v>92.52</v>
      </c>
      <c r="D4465" s="1">
        <f>IFERROR(__xludf.DUMMYFUNCTION("""COMPUTED_VALUE"""),90.34)</f>
        <v>90.34</v>
      </c>
      <c r="E4465" s="1">
        <f>IFERROR(__xludf.DUMMYFUNCTION("""COMPUTED_VALUE"""),90.87)</f>
        <v>90.87</v>
      </c>
      <c r="F4465" s="1">
        <f>IFERROR(__xludf.DUMMYFUNCTION("""COMPUTED_VALUE"""),9631240.0)</f>
        <v>9631240</v>
      </c>
    </row>
    <row r="4466">
      <c r="A4466" s="2">
        <f>IFERROR(__xludf.DUMMYFUNCTION("""COMPUTED_VALUE"""),43006.66666666667)</f>
        <v>43006.66667</v>
      </c>
      <c r="B4466" s="1">
        <f>IFERROR(__xludf.DUMMYFUNCTION("""COMPUTED_VALUE"""),90.86)</f>
        <v>90.86</v>
      </c>
      <c r="C4466" s="1">
        <f>IFERROR(__xludf.DUMMYFUNCTION("""COMPUTED_VALUE"""),91.12)</f>
        <v>91.12</v>
      </c>
      <c r="D4466" s="1">
        <f>IFERROR(__xludf.DUMMYFUNCTION("""COMPUTED_VALUE"""),90.63)</f>
        <v>90.63</v>
      </c>
      <c r="E4466" s="1">
        <f>IFERROR(__xludf.DUMMYFUNCTION("""COMPUTED_VALUE"""),90.89)</f>
        <v>90.89</v>
      </c>
      <c r="F4466" s="1">
        <f>IFERROR(__xludf.DUMMYFUNCTION("""COMPUTED_VALUE"""),4999771.0)</f>
        <v>4999771</v>
      </c>
    </row>
    <row r="4467">
      <c r="A4467" s="2">
        <f>IFERROR(__xludf.DUMMYFUNCTION("""COMPUTED_VALUE"""),43007.66666666667)</f>
        <v>43007.66667</v>
      </c>
      <c r="B4467" s="1">
        <f>IFERROR(__xludf.DUMMYFUNCTION("""COMPUTED_VALUE"""),90.97)</f>
        <v>90.97</v>
      </c>
      <c r="C4467" s="1">
        <f>IFERROR(__xludf.DUMMYFUNCTION("""COMPUTED_VALUE"""),91.43)</f>
        <v>91.43</v>
      </c>
      <c r="D4467" s="1">
        <f>IFERROR(__xludf.DUMMYFUNCTION("""COMPUTED_VALUE"""),90.7)</f>
        <v>90.7</v>
      </c>
      <c r="E4467" s="1">
        <f>IFERROR(__xludf.DUMMYFUNCTION("""COMPUTED_VALUE"""),90.98)</f>
        <v>90.98</v>
      </c>
      <c r="F4467" s="1">
        <f>IFERROR(__xludf.DUMMYFUNCTION("""COMPUTED_VALUE"""),6634464.0)</f>
        <v>6634464</v>
      </c>
    </row>
    <row r="4468">
      <c r="A4468" s="2">
        <f>IFERROR(__xludf.DUMMYFUNCTION("""COMPUTED_VALUE"""),43010.66666666667)</f>
        <v>43010.66667</v>
      </c>
      <c r="B4468" s="1">
        <f>IFERROR(__xludf.DUMMYFUNCTION("""COMPUTED_VALUE"""),91.26)</f>
        <v>91.26</v>
      </c>
      <c r="C4468" s="1">
        <f>IFERROR(__xludf.DUMMYFUNCTION("""COMPUTED_VALUE"""),92.4)</f>
        <v>92.4</v>
      </c>
      <c r="D4468" s="1">
        <f>IFERROR(__xludf.DUMMYFUNCTION("""COMPUTED_VALUE"""),91.24)</f>
        <v>91.24</v>
      </c>
      <c r="E4468" s="1">
        <f>IFERROR(__xludf.DUMMYFUNCTION("""COMPUTED_VALUE"""),91.77)</f>
        <v>91.77</v>
      </c>
      <c r="F4468" s="1">
        <f>IFERROR(__xludf.DUMMYFUNCTION("""COMPUTED_VALUE"""),7302440.0)</f>
        <v>7302440</v>
      </c>
    </row>
    <row r="4469">
      <c r="A4469" s="2">
        <f>IFERROR(__xludf.DUMMYFUNCTION("""COMPUTED_VALUE"""),43011.66666666667)</f>
        <v>43011.66667</v>
      </c>
      <c r="B4469" s="1">
        <f>IFERROR(__xludf.DUMMYFUNCTION("""COMPUTED_VALUE"""),91.96)</f>
        <v>91.96</v>
      </c>
      <c r="C4469" s="1">
        <f>IFERROR(__xludf.DUMMYFUNCTION("""COMPUTED_VALUE"""),92.34)</f>
        <v>92.34</v>
      </c>
      <c r="D4469" s="1">
        <f>IFERROR(__xludf.DUMMYFUNCTION("""COMPUTED_VALUE"""),91.56)</f>
        <v>91.56</v>
      </c>
      <c r="E4469" s="1">
        <f>IFERROR(__xludf.DUMMYFUNCTION("""COMPUTED_VALUE"""),92.12)</f>
        <v>92.12</v>
      </c>
      <c r="F4469" s="1">
        <f>IFERROR(__xludf.DUMMYFUNCTION("""COMPUTED_VALUE"""),5909908.0)</f>
        <v>5909908</v>
      </c>
    </row>
    <row r="4470">
      <c r="A4470" s="2">
        <f>IFERROR(__xludf.DUMMYFUNCTION("""COMPUTED_VALUE"""),43012.66666666667)</f>
        <v>43012.66667</v>
      </c>
      <c r="B4470" s="1">
        <f>IFERROR(__xludf.DUMMYFUNCTION("""COMPUTED_VALUE"""),92.12)</f>
        <v>92.12</v>
      </c>
      <c r="C4470" s="1">
        <f>IFERROR(__xludf.DUMMYFUNCTION("""COMPUTED_VALUE"""),92.8)</f>
        <v>92.8</v>
      </c>
      <c r="D4470" s="1">
        <f>IFERROR(__xludf.DUMMYFUNCTION("""COMPUTED_VALUE"""),92.02)</f>
        <v>92.02</v>
      </c>
      <c r="E4470" s="1">
        <f>IFERROR(__xludf.DUMMYFUNCTION("""COMPUTED_VALUE"""),92.42)</f>
        <v>92.42</v>
      </c>
      <c r="F4470" s="1">
        <f>IFERROR(__xludf.DUMMYFUNCTION("""COMPUTED_VALUE"""),6140711.0)</f>
        <v>6140711</v>
      </c>
    </row>
    <row r="4471">
      <c r="A4471" s="2">
        <f>IFERROR(__xludf.DUMMYFUNCTION("""COMPUTED_VALUE"""),43013.66666666667)</f>
        <v>43013.66667</v>
      </c>
      <c r="B4471" s="1">
        <f>IFERROR(__xludf.DUMMYFUNCTION("""COMPUTED_VALUE"""),92.49)</f>
        <v>92.49</v>
      </c>
      <c r="C4471" s="1">
        <f>IFERROR(__xludf.DUMMYFUNCTION("""COMPUTED_VALUE"""),92.65)</f>
        <v>92.65</v>
      </c>
      <c r="D4471" s="1">
        <f>IFERROR(__xludf.DUMMYFUNCTION("""COMPUTED_VALUE"""),91.94)</f>
        <v>91.94</v>
      </c>
      <c r="E4471" s="1">
        <f>IFERROR(__xludf.DUMMYFUNCTION("""COMPUTED_VALUE"""),92.03)</f>
        <v>92.03</v>
      </c>
      <c r="F4471" s="1">
        <f>IFERROR(__xludf.DUMMYFUNCTION("""COMPUTED_VALUE"""),6912709.0)</f>
        <v>6912709</v>
      </c>
    </row>
    <row r="4472">
      <c r="A4472" s="2">
        <f>IFERROR(__xludf.DUMMYFUNCTION("""COMPUTED_VALUE"""),43014.66666666667)</f>
        <v>43014.66667</v>
      </c>
      <c r="B4472" s="1">
        <f>IFERROR(__xludf.DUMMYFUNCTION("""COMPUTED_VALUE"""),92.0)</f>
        <v>92</v>
      </c>
      <c r="C4472" s="1">
        <f>IFERROR(__xludf.DUMMYFUNCTION("""COMPUTED_VALUE"""),92.35)</f>
        <v>92.35</v>
      </c>
      <c r="D4472" s="1">
        <f>IFERROR(__xludf.DUMMYFUNCTION("""COMPUTED_VALUE"""),91.88)</f>
        <v>91.88</v>
      </c>
      <c r="E4472" s="1">
        <f>IFERROR(__xludf.DUMMYFUNCTION("""COMPUTED_VALUE"""),92.33)</f>
        <v>92.33</v>
      </c>
      <c r="F4472" s="1">
        <f>IFERROR(__xludf.DUMMYFUNCTION("""COMPUTED_VALUE"""),5241902.0)</f>
        <v>5241902</v>
      </c>
    </row>
    <row r="4473">
      <c r="A4473" s="2">
        <f>IFERROR(__xludf.DUMMYFUNCTION("""COMPUTED_VALUE"""),43017.66666666667)</f>
        <v>43017.66667</v>
      </c>
      <c r="B4473" s="1">
        <f>IFERROR(__xludf.DUMMYFUNCTION("""COMPUTED_VALUE"""),92.18)</f>
        <v>92.18</v>
      </c>
      <c r="C4473" s="1">
        <f>IFERROR(__xludf.DUMMYFUNCTION("""COMPUTED_VALUE"""),92.62)</f>
        <v>92.62</v>
      </c>
      <c r="D4473" s="1">
        <f>IFERROR(__xludf.DUMMYFUNCTION("""COMPUTED_VALUE"""),91.93)</f>
        <v>91.93</v>
      </c>
      <c r="E4473" s="1">
        <f>IFERROR(__xludf.DUMMYFUNCTION("""COMPUTED_VALUE"""),92.12)</f>
        <v>92.12</v>
      </c>
      <c r="F4473" s="1">
        <f>IFERROR(__xludf.DUMMYFUNCTION("""COMPUTED_VALUE"""),5148962.0)</f>
        <v>5148962</v>
      </c>
    </row>
    <row r="4474">
      <c r="A4474" s="2">
        <f>IFERROR(__xludf.DUMMYFUNCTION("""COMPUTED_VALUE"""),43018.66666666667)</f>
        <v>43018.66667</v>
      </c>
      <c r="B4474" s="1">
        <f>IFERROR(__xludf.DUMMYFUNCTION("""COMPUTED_VALUE"""),92.37)</f>
        <v>92.37</v>
      </c>
      <c r="C4474" s="1">
        <f>IFERROR(__xludf.DUMMYFUNCTION("""COMPUTED_VALUE"""),93.04)</f>
        <v>93.04</v>
      </c>
      <c r="D4474" s="1">
        <f>IFERROR(__xludf.DUMMYFUNCTION("""COMPUTED_VALUE"""),89.86)</f>
        <v>89.86</v>
      </c>
      <c r="E4474" s="1">
        <f>IFERROR(__xludf.DUMMYFUNCTION("""COMPUTED_VALUE"""),91.62)</f>
        <v>91.62</v>
      </c>
      <c r="F4474" s="1">
        <f>IFERROR(__xludf.DUMMYFUNCTION("""COMPUTED_VALUE"""),1.7125589E7)</f>
        <v>17125589</v>
      </c>
    </row>
    <row r="4475">
      <c r="A4475" s="2">
        <f>IFERROR(__xludf.DUMMYFUNCTION("""COMPUTED_VALUE"""),43019.66666666667)</f>
        <v>43019.66667</v>
      </c>
      <c r="B4475" s="1">
        <f>IFERROR(__xludf.DUMMYFUNCTION("""COMPUTED_VALUE"""),91.09)</f>
        <v>91.09</v>
      </c>
      <c r="C4475" s="1">
        <f>IFERROR(__xludf.DUMMYFUNCTION("""COMPUTED_VALUE"""),91.73)</f>
        <v>91.73</v>
      </c>
      <c r="D4475" s="1">
        <f>IFERROR(__xludf.DUMMYFUNCTION("""COMPUTED_VALUE"""),91.07)</f>
        <v>91.07</v>
      </c>
      <c r="E4475" s="1">
        <f>IFERROR(__xludf.DUMMYFUNCTION("""COMPUTED_VALUE"""),91.46)</f>
        <v>91.46</v>
      </c>
      <c r="F4475" s="1">
        <f>IFERROR(__xludf.DUMMYFUNCTION("""COMPUTED_VALUE"""),7115398.0)</f>
        <v>7115398</v>
      </c>
    </row>
    <row r="4476">
      <c r="A4476" s="2">
        <f>IFERROR(__xludf.DUMMYFUNCTION("""COMPUTED_VALUE"""),43020.66666666667)</f>
        <v>43020.66667</v>
      </c>
      <c r="B4476" s="1">
        <f>IFERROR(__xludf.DUMMYFUNCTION("""COMPUTED_VALUE"""),91.41)</f>
        <v>91.41</v>
      </c>
      <c r="C4476" s="1">
        <f>IFERROR(__xludf.DUMMYFUNCTION("""COMPUTED_VALUE"""),92.31)</f>
        <v>92.31</v>
      </c>
      <c r="D4476" s="1">
        <f>IFERROR(__xludf.DUMMYFUNCTION("""COMPUTED_VALUE"""),91.39)</f>
        <v>91.39</v>
      </c>
      <c r="E4476" s="1">
        <f>IFERROR(__xludf.DUMMYFUNCTION("""COMPUTED_VALUE"""),92.15)</f>
        <v>92.15</v>
      </c>
      <c r="F4476" s="1">
        <f>IFERROR(__xludf.DUMMYFUNCTION("""COMPUTED_VALUE"""),5984905.0)</f>
        <v>5984905</v>
      </c>
    </row>
    <row r="4477">
      <c r="A4477" s="2">
        <f>IFERROR(__xludf.DUMMYFUNCTION("""COMPUTED_VALUE"""),43021.66666666667)</f>
        <v>43021.66667</v>
      </c>
      <c r="B4477" s="1">
        <f>IFERROR(__xludf.DUMMYFUNCTION("""COMPUTED_VALUE"""),92.7)</f>
        <v>92.7</v>
      </c>
      <c r="C4477" s="1">
        <f>IFERROR(__xludf.DUMMYFUNCTION("""COMPUTED_VALUE"""),93.51)</f>
        <v>93.51</v>
      </c>
      <c r="D4477" s="1">
        <f>IFERROR(__xludf.DUMMYFUNCTION("""COMPUTED_VALUE"""),92.59)</f>
        <v>92.59</v>
      </c>
      <c r="E4477" s="1">
        <f>IFERROR(__xludf.DUMMYFUNCTION("""COMPUTED_VALUE"""),93.04)</f>
        <v>93.04</v>
      </c>
      <c r="F4477" s="1">
        <f>IFERROR(__xludf.DUMMYFUNCTION("""COMPUTED_VALUE"""),6956656.0)</f>
        <v>6956656</v>
      </c>
    </row>
    <row r="4478">
      <c r="A4478" s="2">
        <f>IFERROR(__xludf.DUMMYFUNCTION("""COMPUTED_VALUE"""),43024.66666666667)</f>
        <v>43024.66667</v>
      </c>
      <c r="B4478" s="1">
        <f>IFERROR(__xludf.DUMMYFUNCTION("""COMPUTED_VALUE"""),92.97)</f>
        <v>92.97</v>
      </c>
      <c r="C4478" s="1">
        <f>IFERROR(__xludf.DUMMYFUNCTION("""COMPUTED_VALUE"""),93.37)</f>
        <v>93.37</v>
      </c>
      <c r="D4478" s="1">
        <f>IFERROR(__xludf.DUMMYFUNCTION("""COMPUTED_VALUE"""),92.71)</f>
        <v>92.71</v>
      </c>
      <c r="E4478" s="1">
        <f>IFERROR(__xludf.DUMMYFUNCTION("""COMPUTED_VALUE"""),93.14)</f>
        <v>93.14</v>
      </c>
      <c r="F4478" s="1">
        <f>IFERROR(__xludf.DUMMYFUNCTION("""COMPUTED_VALUE"""),4159101.0)</f>
        <v>4159101</v>
      </c>
    </row>
    <row r="4479">
      <c r="A4479" s="2">
        <f>IFERROR(__xludf.DUMMYFUNCTION("""COMPUTED_VALUE"""),43025.66666666667)</f>
        <v>43025.66667</v>
      </c>
      <c r="B4479" s="1">
        <f>IFERROR(__xludf.DUMMYFUNCTION("""COMPUTED_VALUE"""),93.04)</f>
        <v>93.04</v>
      </c>
      <c r="C4479" s="1">
        <f>IFERROR(__xludf.DUMMYFUNCTION("""COMPUTED_VALUE"""),93.09)</f>
        <v>93.09</v>
      </c>
      <c r="D4479" s="1">
        <f>IFERROR(__xludf.DUMMYFUNCTION("""COMPUTED_VALUE"""),92.4)</f>
        <v>92.4</v>
      </c>
      <c r="E4479" s="1">
        <f>IFERROR(__xludf.DUMMYFUNCTION("""COMPUTED_VALUE"""),92.8)</f>
        <v>92.8</v>
      </c>
      <c r="F4479" s="1">
        <f>IFERROR(__xludf.DUMMYFUNCTION("""COMPUTED_VALUE"""),5316062.0)</f>
        <v>5316062</v>
      </c>
    </row>
    <row r="4480">
      <c r="A4480" s="2">
        <f>IFERROR(__xludf.DUMMYFUNCTION("""COMPUTED_VALUE"""),43026.66666666667)</f>
        <v>43026.66667</v>
      </c>
      <c r="B4480" s="1">
        <f>IFERROR(__xludf.DUMMYFUNCTION("""COMPUTED_VALUE"""),92.78)</f>
        <v>92.78</v>
      </c>
      <c r="C4480" s="1">
        <f>IFERROR(__xludf.DUMMYFUNCTION("""COMPUTED_VALUE"""),92.95)</f>
        <v>92.95</v>
      </c>
      <c r="D4480" s="1">
        <f>IFERROR(__xludf.DUMMYFUNCTION("""COMPUTED_VALUE"""),92.01)</f>
        <v>92.01</v>
      </c>
      <c r="E4480" s="1">
        <f>IFERROR(__xludf.DUMMYFUNCTION("""COMPUTED_VALUE"""),92.77)</f>
        <v>92.77</v>
      </c>
      <c r="F4480" s="1">
        <f>IFERROR(__xludf.DUMMYFUNCTION("""COMPUTED_VALUE"""),7399662.0)</f>
        <v>7399662</v>
      </c>
    </row>
    <row r="4481">
      <c r="A4481" s="2">
        <f>IFERROR(__xludf.DUMMYFUNCTION("""COMPUTED_VALUE"""),43027.66666666667)</f>
        <v>43027.66667</v>
      </c>
      <c r="B4481" s="1">
        <f>IFERROR(__xludf.DUMMYFUNCTION("""COMPUTED_VALUE"""),91.7)</f>
        <v>91.7</v>
      </c>
      <c r="C4481" s="1">
        <f>IFERROR(__xludf.DUMMYFUNCTION("""COMPUTED_VALUE"""),91.99)</f>
        <v>91.99</v>
      </c>
      <c r="D4481" s="1">
        <f>IFERROR(__xludf.DUMMYFUNCTION("""COMPUTED_VALUE"""),91.14)</f>
        <v>91.14</v>
      </c>
      <c r="E4481" s="1">
        <f>IFERROR(__xludf.DUMMYFUNCTION("""COMPUTED_VALUE"""),91.59)</f>
        <v>91.59</v>
      </c>
      <c r="F4481" s="1">
        <f>IFERROR(__xludf.DUMMYFUNCTION("""COMPUTED_VALUE"""),8584972.0)</f>
        <v>8584972</v>
      </c>
    </row>
    <row r="4482">
      <c r="A4482" s="2">
        <f>IFERROR(__xludf.DUMMYFUNCTION("""COMPUTED_VALUE"""),43028.66666666667)</f>
        <v>43028.66667</v>
      </c>
      <c r="B4482" s="1">
        <f>IFERROR(__xludf.DUMMYFUNCTION("""COMPUTED_VALUE"""),89.72)</f>
        <v>89.72</v>
      </c>
      <c r="C4482" s="1">
        <f>IFERROR(__xludf.DUMMYFUNCTION("""COMPUTED_VALUE"""),89.96)</f>
        <v>89.96</v>
      </c>
      <c r="D4482" s="1">
        <f>IFERROR(__xludf.DUMMYFUNCTION("""COMPUTED_VALUE"""),87.59)</f>
        <v>87.59</v>
      </c>
      <c r="E4482" s="1">
        <f>IFERROR(__xludf.DUMMYFUNCTION("""COMPUTED_VALUE"""),88.25)</f>
        <v>88.25</v>
      </c>
      <c r="F4482" s="1">
        <f>IFERROR(__xludf.DUMMYFUNCTION("""COMPUTED_VALUE"""),1.99978E7)</f>
        <v>19997800</v>
      </c>
    </row>
    <row r="4483">
      <c r="A4483" s="2">
        <f>IFERROR(__xludf.DUMMYFUNCTION("""COMPUTED_VALUE"""),43031.66666666667)</f>
        <v>43031.66667</v>
      </c>
      <c r="B4483" s="1">
        <f>IFERROR(__xludf.DUMMYFUNCTION("""COMPUTED_VALUE"""),88.63)</f>
        <v>88.63</v>
      </c>
      <c r="C4483" s="1">
        <f>IFERROR(__xludf.DUMMYFUNCTION("""COMPUTED_VALUE"""),88.86)</f>
        <v>88.86</v>
      </c>
      <c r="D4483" s="1">
        <f>IFERROR(__xludf.DUMMYFUNCTION("""COMPUTED_VALUE"""),86.87)</f>
        <v>86.87</v>
      </c>
      <c r="E4483" s="1">
        <f>IFERROR(__xludf.DUMMYFUNCTION("""COMPUTED_VALUE"""),87.3)</f>
        <v>87.3</v>
      </c>
      <c r="F4483" s="1">
        <f>IFERROR(__xludf.DUMMYFUNCTION("""COMPUTED_VALUE"""),1.3358194E7)</f>
        <v>13358194</v>
      </c>
    </row>
    <row r="4484">
      <c r="A4484" s="2">
        <f>IFERROR(__xludf.DUMMYFUNCTION("""COMPUTED_VALUE"""),43032.66666666667)</f>
        <v>43032.66667</v>
      </c>
      <c r="B4484" s="1">
        <f>IFERROR(__xludf.DUMMYFUNCTION("""COMPUTED_VALUE"""),87.37)</f>
        <v>87.37</v>
      </c>
      <c r="C4484" s="1">
        <f>IFERROR(__xludf.DUMMYFUNCTION("""COMPUTED_VALUE"""),87.42)</f>
        <v>87.42</v>
      </c>
      <c r="D4484" s="1">
        <f>IFERROR(__xludf.DUMMYFUNCTION("""COMPUTED_VALUE"""),86.78)</f>
        <v>86.78</v>
      </c>
      <c r="E4484" s="1">
        <f>IFERROR(__xludf.DUMMYFUNCTION("""COMPUTED_VALUE"""),86.98)</f>
        <v>86.98</v>
      </c>
      <c r="F4484" s="1">
        <f>IFERROR(__xludf.DUMMYFUNCTION("""COMPUTED_VALUE"""),1.1519038E7)</f>
        <v>11519038</v>
      </c>
    </row>
    <row r="4485">
      <c r="A4485" s="2">
        <f>IFERROR(__xludf.DUMMYFUNCTION("""COMPUTED_VALUE"""),43033.66666666667)</f>
        <v>43033.66667</v>
      </c>
      <c r="B4485" s="1">
        <f>IFERROR(__xludf.DUMMYFUNCTION("""COMPUTED_VALUE"""),86.9)</f>
        <v>86.9</v>
      </c>
      <c r="C4485" s="1">
        <f>IFERROR(__xludf.DUMMYFUNCTION("""COMPUTED_VALUE"""),87.11)</f>
        <v>87.11</v>
      </c>
      <c r="D4485" s="1">
        <f>IFERROR(__xludf.DUMMYFUNCTION("""COMPUTED_VALUE"""),86.28)</f>
        <v>86.28</v>
      </c>
      <c r="E4485" s="1">
        <f>IFERROR(__xludf.DUMMYFUNCTION("""COMPUTED_VALUE"""),86.86)</f>
        <v>86.86</v>
      </c>
      <c r="F4485" s="1">
        <f>IFERROR(__xludf.DUMMYFUNCTION("""COMPUTED_VALUE"""),9024251.0)</f>
        <v>9024251</v>
      </c>
    </row>
    <row r="4486">
      <c r="A4486" s="2">
        <f>IFERROR(__xludf.DUMMYFUNCTION("""COMPUTED_VALUE"""),43034.66666666667)</f>
        <v>43034.66667</v>
      </c>
      <c r="B4486" s="1">
        <f>IFERROR(__xludf.DUMMYFUNCTION("""COMPUTED_VALUE"""),87.19)</f>
        <v>87.19</v>
      </c>
      <c r="C4486" s="1">
        <f>IFERROR(__xludf.DUMMYFUNCTION("""COMPUTED_VALUE"""),87.77)</f>
        <v>87.77</v>
      </c>
      <c r="D4486" s="1">
        <f>IFERROR(__xludf.DUMMYFUNCTION("""COMPUTED_VALUE"""),87.1)</f>
        <v>87.1</v>
      </c>
      <c r="E4486" s="1">
        <f>IFERROR(__xludf.DUMMYFUNCTION("""COMPUTED_VALUE"""),87.5)</f>
        <v>87.5</v>
      </c>
      <c r="F4486" s="1">
        <f>IFERROR(__xludf.DUMMYFUNCTION("""COMPUTED_VALUE"""),6233848.0)</f>
        <v>6233848</v>
      </c>
    </row>
    <row r="4487">
      <c r="A4487" s="2">
        <f>IFERROR(__xludf.DUMMYFUNCTION("""COMPUTED_VALUE"""),43035.66666666667)</f>
        <v>43035.66667</v>
      </c>
      <c r="B4487" s="1">
        <f>IFERROR(__xludf.DUMMYFUNCTION("""COMPUTED_VALUE"""),87.53)</f>
        <v>87.53</v>
      </c>
      <c r="C4487" s="1">
        <f>IFERROR(__xludf.DUMMYFUNCTION("""COMPUTED_VALUE"""),87.53)</f>
        <v>87.53</v>
      </c>
      <c r="D4487" s="1">
        <f>IFERROR(__xludf.DUMMYFUNCTION("""COMPUTED_VALUE"""),86.45)</f>
        <v>86.45</v>
      </c>
      <c r="E4487" s="1">
        <f>IFERROR(__xludf.DUMMYFUNCTION("""COMPUTED_VALUE"""),87.04)</f>
        <v>87.04</v>
      </c>
      <c r="F4487" s="1">
        <f>IFERROR(__xludf.DUMMYFUNCTION("""COMPUTED_VALUE"""),7433806.0)</f>
        <v>7433806</v>
      </c>
    </row>
    <row r="4488">
      <c r="A4488" s="2">
        <f>IFERROR(__xludf.DUMMYFUNCTION("""COMPUTED_VALUE"""),43038.66666666667)</f>
        <v>43038.66667</v>
      </c>
      <c r="B4488" s="1">
        <f>IFERROR(__xludf.DUMMYFUNCTION("""COMPUTED_VALUE"""),86.91)</f>
        <v>86.91</v>
      </c>
      <c r="C4488" s="1">
        <f>IFERROR(__xludf.DUMMYFUNCTION("""COMPUTED_VALUE"""),87.08)</f>
        <v>87.08</v>
      </c>
      <c r="D4488" s="1">
        <f>IFERROR(__xludf.DUMMYFUNCTION("""COMPUTED_VALUE"""),86.16)</f>
        <v>86.16</v>
      </c>
      <c r="E4488" s="1">
        <f>IFERROR(__xludf.DUMMYFUNCTION("""COMPUTED_VALUE"""),86.27)</f>
        <v>86.27</v>
      </c>
      <c r="F4488" s="1">
        <f>IFERROR(__xludf.DUMMYFUNCTION("""COMPUTED_VALUE"""),5387086.0)</f>
        <v>5387086</v>
      </c>
    </row>
    <row r="4489">
      <c r="A4489" s="2">
        <f>IFERROR(__xludf.DUMMYFUNCTION("""COMPUTED_VALUE"""),43039.66666666667)</f>
        <v>43039.66667</v>
      </c>
      <c r="B4489" s="1">
        <f>IFERROR(__xludf.DUMMYFUNCTION("""COMPUTED_VALUE"""),86.49)</f>
        <v>86.49</v>
      </c>
      <c r="C4489" s="1">
        <f>IFERROR(__xludf.DUMMYFUNCTION("""COMPUTED_VALUE"""),86.5)</f>
        <v>86.5</v>
      </c>
      <c r="D4489" s="1">
        <f>IFERROR(__xludf.DUMMYFUNCTION("""COMPUTED_VALUE"""),85.72)</f>
        <v>85.72</v>
      </c>
      <c r="E4489" s="1">
        <f>IFERROR(__xludf.DUMMYFUNCTION("""COMPUTED_VALUE"""),86.34)</f>
        <v>86.34</v>
      </c>
      <c r="F4489" s="1">
        <f>IFERROR(__xludf.DUMMYFUNCTION("""COMPUTED_VALUE"""),7118956.0)</f>
        <v>7118956</v>
      </c>
    </row>
    <row r="4490">
      <c r="A4490" s="2">
        <f>IFERROR(__xludf.DUMMYFUNCTION("""COMPUTED_VALUE"""),43040.66666666667)</f>
        <v>43040.66667</v>
      </c>
      <c r="B4490" s="1">
        <f>IFERROR(__xludf.DUMMYFUNCTION("""COMPUTED_VALUE"""),86.33)</f>
        <v>86.33</v>
      </c>
      <c r="C4490" s="1">
        <f>IFERROR(__xludf.DUMMYFUNCTION("""COMPUTED_VALUE"""),87.14)</f>
        <v>87.14</v>
      </c>
      <c r="D4490" s="1">
        <f>IFERROR(__xludf.DUMMYFUNCTION("""COMPUTED_VALUE"""),86.11)</f>
        <v>86.11</v>
      </c>
      <c r="E4490" s="1">
        <f>IFERROR(__xludf.DUMMYFUNCTION("""COMPUTED_VALUE"""),86.89)</f>
        <v>86.89</v>
      </c>
      <c r="F4490" s="1">
        <f>IFERROR(__xludf.DUMMYFUNCTION("""COMPUTED_VALUE"""),4884052.0)</f>
        <v>4884052</v>
      </c>
    </row>
    <row r="4491">
      <c r="A4491" s="2">
        <f>IFERROR(__xludf.DUMMYFUNCTION("""COMPUTED_VALUE"""),43041.66666666667)</f>
        <v>43041.66667</v>
      </c>
      <c r="B4491" s="1">
        <f>IFERROR(__xludf.DUMMYFUNCTION("""COMPUTED_VALUE"""),86.78)</f>
        <v>86.78</v>
      </c>
      <c r="C4491" s="1">
        <f>IFERROR(__xludf.DUMMYFUNCTION("""COMPUTED_VALUE"""),87.04)</f>
        <v>87.04</v>
      </c>
      <c r="D4491" s="1">
        <f>IFERROR(__xludf.DUMMYFUNCTION("""COMPUTED_VALUE"""),86.23)</f>
        <v>86.23</v>
      </c>
      <c r="E4491" s="1">
        <f>IFERROR(__xludf.DUMMYFUNCTION("""COMPUTED_VALUE"""),86.51)</f>
        <v>86.51</v>
      </c>
      <c r="F4491" s="1">
        <f>IFERROR(__xludf.DUMMYFUNCTION("""COMPUTED_VALUE"""),5021175.0)</f>
        <v>5021175</v>
      </c>
    </row>
    <row r="4492">
      <c r="A4492" s="2">
        <f>IFERROR(__xludf.DUMMYFUNCTION("""COMPUTED_VALUE"""),43042.66666666667)</f>
        <v>43042.66667</v>
      </c>
      <c r="B4492" s="1">
        <f>IFERROR(__xludf.DUMMYFUNCTION("""COMPUTED_VALUE"""),86.78)</f>
        <v>86.78</v>
      </c>
      <c r="C4492" s="1">
        <f>IFERROR(__xludf.DUMMYFUNCTION("""COMPUTED_VALUE"""),87.16)</f>
        <v>87.16</v>
      </c>
      <c r="D4492" s="1">
        <f>IFERROR(__xludf.DUMMYFUNCTION("""COMPUTED_VALUE"""),86.46)</f>
        <v>86.46</v>
      </c>
      <c r="E4492" s="1">
        <f>IFERROR(__xludf.DUMMYFUNCTION("""COMPUTED_VALUE"""),86.58)</f>
        <v>86.58</v>
      </c>
      <c r="F4492" s="1">
        <f>IFERROR(__xludf.DUMMYFUNCTION("""COMPUTED_VALUE"""),5106470.0)</f>
        <v>5106470</v>
      </c>
    </row>
    <row r="4493">
      <c r="A4493" s="2">
        <f>IFERROR(__xludf.DUMMYFUNCTION("""COMPUTED_VALUE"""),43045.66666666667)</f>
        <v>43045.66667</v>
      </c>
      <c r="B4493" s="1">
        <f>IFERROR(__xludf.DUMMYFUNCTION("""COMPUTED_VALUE"""),86.55)</f>
        <v>86.55</v>
      </c>
      <c r="C4493" s="1">
        <f>IFERROR(__xludf.DUMMYFUNCTION("""COMPUTED_VALUE"""),86.64)</f>
        <v>86.64</v>
      </c>
      <c r="D4493" s="1">
        <f>IFERROR(__xludf.DUMMYFUNCTION("""COMPUTED_VALUE"""),86.03)</f>
        <v>86.03</v>
      </c>
      <c r="E4493" s="1">
        <f>IFERROR(__xludf.DUMMYFUNCTION("""COMPUTED_VALUE"""),86.05)</f>
        <v>86.05</v>
      </c>
      <c r="F4493" s="1">
        <f>IFERROR(__xludf.DUMMYFUNCTION("""COMPUTED_VALUE"""),5186719.0)</f>
        <v>5186719</v>
      </c>
    </row>
    <row r="4494">
      <c r="A4494" s="2">
        <f>IFERROR(__xludf.DUMMYFUNCTION("""COMPUTED_VALUE"""),43046.66666666667)</f>
        <v>43046.66667</v>
      </c>
      <c r="B4494" s="1">
        <f>IFERROR(__xludf.DUMMYFUNCTION("""COMPUTED_VALUE"""),86.04)</f>
        <v>86.04</v>
      </c>
      <c r="C4494" s="1">
        <f>IFERROR(__xludf.DUMMYFUNCTION("""COMPUTED_VALUE"""),87.0)</f>
        <v>87</v>
      </c>
      <c r="D4494" s="1">
        <f>IFERROR(__xludf.DUMMYFUNCTION("""COMPUTED_VALUE"""),85.42)</f>
        <v>85.42</v>
      </c>
      <c r="E4494" s="1">
        <f>IFERROR(__xludf.DUMMYFUNCTION("""COMPUTED_VALUE"""),86.98)</f>
        <v>86.98</v>
      </c>
      <c r="F4494" s="1">
        <f>IFERROR(__xludf.DUMMYFUNCTION("""COMPUTED_VALUE"""),6875128.0)</f>
        <v>6875128</v>
      </c>
    </row>
    <row r="4495">
      <c r="A4495" s="2">
        <f>IFERROR(__xludf.DUMMYFUNCTION("""COMPUTED_VALUE"""),43047.66666666667)</f>
        <v>43047.66667</v>
      </c>
      <c r="B4495" s="1">
        <f>IFERROR(__xludf.DUMMYFUNCTION("""COMPUTED_VALUE"""),86.99)</f>
        <v>86.99</v>
      </c>
      <c r="C4495" s="1">
        <f>IFERROR(__xludf.DUMMYFUNCTION("""COMPUTED_VALUE"""),87.6)</f>
        <v>87.6</v>
      </c>
      <c r="D4495" s="1">
        <f>IFERROR(__xludf.DUMMYFUNCTION("""COMPUTED_VALUE"""),86.8)</f>
        <v>86.8</v>
      </c>
      <c r="E4495" s="1">
        <f>IFERROR(__xludf.DUMMYFUNCTION("""COMPUTED_VALUE"""),87.58)</f>
        <v>87.58</v>
      </c>
      <c r="F4495" s="1">
        <f>IFERROR(__xludf.DUMMYFUNCTION("""COMPUTED_VALUE"""),6909955.0)</f>
        <v>6909955</v>
      </c>
    </row>
    <row r="4496">
      <c r="A4496" s="2">
        <f>IFERROR(__xludf.DUMMYFUNCTION("""COMPUTED_VALUE"""),43048.66666666667)</f>
        <v>43048.66667</v>
      </c>
      <c r="B4496" s="1">
        <f>IFERROR(__xludf.DUMMYFUNCTION("""COMPUTED_VALUE"""),87.35)</f>
        <v>87.35</v>
      </c>
      <c r="C4496" s="1">
        <f>IFERROR(__xludf.DUMMYFUNCTION("""COMPUTED_VALUE"""),88.17)</f>
        <v>88.17</v>
      </c>
      <c r="D4496" s="1">
        <f>IFERROR(__xludf.DUMMYFUNCTION("""COMPUTED_VALUE"""),87.3)</f>
        <v>87.3</v>
      </c>
      <c r="E4496" s="1">
        <f>IFERROR(__xludf.DUMMYFUNCTION("""COMPUTED_VALUE"""),87.78)</f>
        <v>87.78</v>
      </c>
      <c r="F4496" s="1">
        <f>IFERROR(__xludf.DUMMYFUNCTION("""COMPUTED_VALUE"""),5279995.0)</f>
        <v>5279995</v>
      </c>
    </row>
    <row r="4497">
      <c r="A4497" s="2">
        <f>IFERROR(__xludf.DUMMYFUNCTION("""COMPUTED_VALUE"""),43049.66666666667)</f>
        <v>43049.66667</v>
      </c>
      <c r="B4497" s="1">
        <f>IFERROR(__xludf.DUMMYFUNCTION("""COMPUTED_VALUE"""),87.99)</f>
        <v>87.99</v>
      </c>
      <c r="C4497" s="1">
        <f>IFERROR(__xludf.DUMMYFUNCTION("""COMPUTED_VALUE"""),88.39)</f>
        <v>88.39</v>
      </c>
      <c r="D4497" s="1">
        <f>IFERROR(__xludf.DUMMYFUNCTION("""COMPUTED_VALUE"""),87.78)</f>
        <v>87.78</v>
      </c>
      <c r="E4497" s="1">
        <f>IFERROR(__xludf.DUMMYFUNCTION("""COMPUTED_VALUE"""),88.16)</f>
        <v>88.16</v>
      </c>
      <c r="F4497" s="1">
        <f>IFERROR(__xludf.DUMMYFUNCTION("""COMPUTED_VALUE"""),7227298.0)</f>
        <v>7227298</v>
      </c>
    </row>
    <row r="4498">
      <c r="A4498" s="2">
        <f>IFERROR(__xludf.DUMMYFUNCTION("""COMPUTED_VALUE"""),43052.66666666667)</f>
        <v>43052.66667</v>
      </c>
      <c r="B4498" s="1">
        <f>IFERROR(__xludf.DUMMYFUNCTION("""COMPUTED_VALUE"""),88.67)</f>
        <v>88.67</v>
      </c>
      <c r="C4498" s="1">
        <f>IFERROR(__xludf.DUMMYFUNCTION("""COMPUTED_VALUE"""),89.41)</f>
        <v>89.41</v>
      </c>
      <c r="D4498" s="1">
        <f>IFERROR(__xludf.DUMMYFUNCTION("""COMPUTED_VALUE"""),88.63)</f>
        <v>88.63</v>
      </c>
      <c r="E4498" s="1">
        <f>IFERROR(__xludf.DUMMYFUNCTION("""COMPUTED_VALUE"""),89.0)</f>
        <v>89</v>
      </c>
      <c r="F4498" s="1">
        <f>IFERROR(__xludf.DUMMYFUNCTION("""COMPUTED_VALUE"""),6873475.0)</f>
        <v>6873475</v>
      </c>
    </row>
    <row r="4499">
      <c r="A4499" s="2">
        <f>IFERROR(__xludf.DUMMYFUNCTION("""COMPUTED_VALUE"""),43053.66666666667)</f>
        <v>43053.66667</v>
      </c>
      <c r="B4499" s="1">
        <f>IFERROR(__xludf.DUMMYFUNCTION("""COMPUTED_VALUE"""),88.74)</f>
        <v>88.74</v>
      </c>
      <c r="C4499" s="1">
        <f>IFERROR(__xludf.DUMMYFUNCTION("""COMPUTED_VALUE"""),89.05)</f>
        <v>89.05</v>
      </c>
      <c r="D4499" s="1">
        <f>IFERROR(__xludf.DUMMYFUNCTION("""COMPUTED_VALUE"""),88.47)</f>
        <v>88.47</v>
      </c>
      <c r="E4499" s="1">
        <f>IFERROR(__xludf.DUMMYFUNCTION("""COMPUTED_VALUE"""),88.87)</f>
        <v>88.87</v>
      </c>
      <c r="F4499" s="1">
        <f>IFERROR(__xludf.DUMMYFUNCTION("""COMPUTED_VALUE"""),5035525.0)</f>
        <v>5035525</v>
      </c>
    </row>
    <row r="4500">
      <c r="A4500" s="2">
        <f>IFERROR(__xludf.DUMMYFUNCTION("""COMPUTED_VALUE"""),43054.66666666667)</f>
        <v>43054.66667</v>
      </c>
      <c r="B4500" s="1">
        <f>IFERROR(__xludf.DUMMYFUNCTION("""COMPUTED_VALUE"""),88.73)</f>
        <v>88.73</v>
      </c>
      <c r="C4500" s="1">
        <f>IFERROR(__xludf.DUMMYFUNCTION("""COMPUTED_VALUE"""),88.94)</f>
        <v>88.94</v>
      </c>
      <c r="D4500" s="1">
        <f>IFERROR(__xludf.DUMMYFUNCTION("""COMPUTED_VALUE"""),88.0)</f>
        <v>88</v>
      </c>
      <c r="E4500" s="1">
        <f>IFERROR(__xludf.DUMMYFUNCTION("""COMPUTED_VALUE"""),88.23)</f>
        <v>88.23</v>
      </c>
      <c r="F4500" s="1">
        <f>IFERROR(__xludf.DUMMYFUNCTION("""COMPUTED_VALUE"""),6688123.0)</f>
        <v>6688123</v>
      </c>
    </row>
    <row r="4501">
      <c r="A4501" s="2">
        <f>IFERROR(__xludf.DUMMYFUNCTION("""COMPUTED_VALUE"""),43055.66666666667)</f>
        <v>43055.66667</v>
      </c>
      <c r="B4501" s="1">
        <f>IFERROR(__xludf.DUMMYFUNCTION("""COMPUTED_VALUE"""),89.84)</f>
        <v>89.84</v>
      </c>
      <c r="C4501" s="1">
        <f>IFERROR(__xludf.DUMMYFUNCTION("""COMPUTED_VALUE"""),89.9)</f>
        <v>89.9</v>
      </c>
      <c r="D4501" s="1">
        <f>IFERROR(__xludf.DUMMYFUNCTION("""COMPUTED_VALUE"""),88.77)</f>
        <v>88.77</v>
      </c>
      <c r="E4501" s="1">
        <f>IFERROR(__xludf.DUMMYFUNCTION("""COMPUTED_VALUE"""),89.25)</f>
        <v>89.25</v>
      </c>
      <c r="F4501" s="1">
        <f>IFERROR(__xludf.DUMMYFUNCTION("""COMPUTED_VALUE"""),7205106.0)</f>
        <v>7205106</v>
      </c>
    </row>
    <row r="4502">
      <c r="A4502" s="2">
        <f>IFERROR(__xludf.DUMMYFUNCTION("""COMPUTED_VALUE"""),43056.66666666667)</f>
        <v>43056.66667</v>
      </c>
      <c r="B4502" s="1">
        <f>IFERROR(__xludf.DUMMYFUNCTION("""COMPUTED_VALUE"""),88.95)</f>
        <v>88.95</v>
      </c>
      <c r="C4502" s="1">
        <f>IFERROR(__xludf.DUMMYFUNCTION("""COMPUTED_VALUE"""),89.09)</f>
        <v>89.09</v>
      </c>
      <c r="D4502" s="1">
        <f>IFERROR(__xludf.DUMMYFUNCTION("""COMPUTED_VALUE"""),88.08)</f>
        <v>88.08</v>
      </c>
      <c r="E4502" s="1">
        <f>IFERROR(__xludf.DUMMYFUNCTION("""COMPUTED_VALUE"""),88.43)</f>
        <v>88.43</v>
      </c>
      <c r="F4502" s="1">
        <f>IFERROR(__xludf.DUMMYFUNCTION("""COMPUTED_VALUE"""),5941753.0)</f>
        <v>5941753</v>
      </c>
    </row>
    <row r="4503">
      <c r="A4503" s="2">
        <f>IFERROR(__xludf.DUMMYFUNCTION("""COMPUTED_VALUE"""),43059.66666666667)</f>
        <v>43059.66667</v>
      </c>
      <c r="B4503" s="1">
        <f>IFERROR(__xludf.DUMMYFUNCTION("""COMPUTED_VALUE"""),88.43)</f>
        <v>88.43</v>
      </c>
      <c r="C4503" s="1">
        <f>IFERROR(__xludf.DUMMYFUNCTION("""COMPUTED_VALUE"""),88.56)</f>
        <v>88.56</v>
      </c>
      <c r="D4503" s="1">
        <f>IFERROR(__xludf.DUMMYFUNCTION("""COMPUTED_VALUE"""),87.71)</f>
        <v>87.71</v>
      </c>
      <c r="E4503" s="1">
        <f>IFERROR(__xludf.DUMMYFUNCTION("""COMPUTED_VALUE"""),88.27)</f>
        <v>88.27</v>
      </c>
      <c r="F4503" s="1">
        <f>IFERROR(__xludf.DUMMYFUNCTION("""COMPUTED_VALUE"""),4926181.0)</f>
        <v>4926181</v>
      </c>
    </row>
    <row r="4504">
      <c r="A4504" s="2">
        <f>IFERROR(__xludf.DUMMYFUNCTION("""COMPUTED_VALUE"""),43060.66666666667)</f>
        <v>43060.66667</v>
      </c>
      <c r="B4504" s="1">
        <f>IFERROR(__xludf.DUMMYFUNCTION("""COMPUTED_VALUE"""),88.18)</f>
        <v>88.18</v>
      </c>
      <c r="C4504" s="1">
        <f>IFERROR(__xludf.DUMMYFUNCTION("""COMPUTED_VALUE"""),89.21)</f>
        <v>89.21</v>
      </c>
      <c r="D4504" s="1">
        <f>IFERROR(__xludf.DUMMYFUNCTION("""COMPUTED_VALUE"""),88.02)</f>
        <v>88.02</v>
      </c>
      <c r="E4504" s="1">
        <f>IFERROR(__xludf.DUMMYFUNCTION("""COMPUTED_VALUE"""),88.72)</f>
        <v>88.72</v>
      </c>
      <c r="F4504" s="1">
        <f>IFERROR(__xludf.DUMMYFUNCTION("""COMPUTED_VALUE"""),6196431.0)</f>
        <v>6196431</v>
      </c>
    </row>
    <row r="4505">
      <c r="A4505" s="2">
        <f>IFERROR(__xludf.DUMMYFUNCTION("""COMPUTED_VALUE"""),43061.66666666667)</f>
        <v>43061.66667</v>
      </c>
      <c r="B4505" s="1">
        <f>IFERROR(__xludf.DUMMYFUNCTION("""COMPUTED_VALUE"""),88.5)</f>
        <v>88.5</v>
      </c>
      <c r="C4505" s="1">
        <f>IFERROR(__xludf.DUMMYFUNCTION("""COMPUTED_VALUE"""),88.91)</f>
        <v>88.91</v>
      </c>
      <c r="D4505" s="1">
        <f>IFERROR(__xludf.DUMMYFUNCTION("""COMPUTED_VALUE"""),88.06)</f>
        <v>88.06</v>
      </c>
      <c r="E4505" s="1">
        <f>IFERROR(__xludf.DUMMYFUNCTION("""COMPUTED_VALUE"""),88.33)</f>
        <v>88.33</v>
      </c>
      <c r="F4505" s="1">
        <f>IFERROR(__xludf.DUMMYFUNCTION("""COMPUTED_VALUE"""),6006917.0)</f>
        <v>6006917</v>
      </c>
    </row>
    <row r="4506">
      <c r="A4506" s="2">
        <f>IFERROR(__xludf.DUMMYFUNCTION("""COMPUTED_VALUE"""),43063.54166666667)</f>
        <v>43063.54167</v>
      </c>
      <c r="B4506" s="1">
        <f>IFERROR(__xludf.DUMMYFUNCTION("""COMPUTED_VALUE"""),88.59)</f>
        <v>88.59</v>
      </c>
      <c r="C4506" s="1">
        <f>IFERROR(__xludf.DUMMYFUNCTION("""COMPUTED_VALUE"""),88.96)</f>
        <v>88.96</v>
      </c>
      <c r="D4506" s="1">
        <f>IFERROR(__xludf.DUMMYFUNCTION("""COMPUTED_VALUE"""),88.42)</f>
        <v>88.42</v>
      </c>
      <c r="E4506" s="1">
        <f>IFERROR(__xludf.DUMMYFUNCTION("""COMPUTED_VALUE"""),88.45)</f>
        <v>88.45</v>
      </c>
      <c r="F4506" s="1">
        <f>IFERROR(__xludf.DUMMYFUNCTION("""COMPUTED_VALUE"""),2196665.0)</f>
        <v>2196665</v>
      </c>
    </row>
    <row r="4507">
      <c r="A4507" s="2">
        <f>IFERROR(__xludf.DUMMYFUNCTION("""COMPUTED_VALUE"""),43066.66666666667)</f>
        <v>43066.66667</v>
      </c>
      <c r="B4507" s="1">
        <f>IFERROR(__xludf.DUMMYFUNCTION("""COMPUTED_VALUE"""),88.33)</f>
        <v>88.33</v>
      </c>
      <c r="C4507" s="1">
        <f>IFERROR(__xludf.DUMMYFUNCTION("""COMPUTED_VALUE"""),89.1)</f>
        <v>89.1</v>
      </c>
      <c r="D4507" s="1">
        <f>IFERROR(__xludf.DUMMYFUNCTION("""COMPUTED_VALUE"""),88.15)</f>
        <v>88.15</v>
      </c>
      <c r="E4507" s="1">
        <f>IFERROR(__xludf.DUMMYFUNCTION("""COMPUTED_VALUE"""),88.96)</f>
        <v>88.96</v>
      </c>
      <c r="F4507" s="1">
        <f>IFERROR(__xludf.DUMMYFUNCTION("""COMPUTED_VALUE"""),6199673.0)</f>
        <v>6199673</v>
      </c>
    </row>
    <row r="4508">
      <c r="A4508" s="2">
        <f>IFERROR(__xludf.DUMMYFUNCTION("""COMPUTED_VALUE"""),43067.66666666667)</f>
        <v>43067.66667</v>
      </c>
      <c r="B4508" s="1">
        <f>IFERROR(__xludf.DUMMYFUNCTION("""COMPUTED_VALUE"""),89.48)</f>
        <v>89.48</v>
      </c>
      <c r="C4508" s="1">
        <f>IFERROR(__xludf.DUMMYFUNCTION("""COMPUTED_VALUE"""),89.52)</f>
        <v>89.52</v>
      </c>
      <c r="D4508" s="1">
        <f>IFERROR(__xludf.DUMMYFUNCTION("""COMPUTED_VALUE"""),88.91)</f>
        <v>88.91</v>
      </c>
      <c r="E4508" s="1">
        <f>IFERROR(__xludf.DUMMYFUNCTION("""COMPUTED_VALUE"""),89.4)</f>
        <v>89.4</v>
      </c>
      <c r="F4508" s="1">
        <f>IFERROR(__xludf.DUMMYFUNCTION("""COMPUTED_VALUE"""),4841259.0)</f>
        <v>4841259</v>
      </c>
    </row>
    <row r="4509">
      <c r="A4509" s="2">
        <f>IFERROR(__xludf.DUMMYFUNCTION("""COMPUTED_VALUE"""),43068.66666666667)</f>
        <v>43068.66667</v>
      </c>
      <c r="B4509" s="1">
        <f>IFERROR(__xludf.DUMMYFUNCTION("""COMPUTED_VALUE"""),89.4)</f>
        <v>89.4</v>
      </c>
      <c r="C4509" s="1">
        <f>IFERROR(__xludf.DUMMYFUNCTION("""COMPUTED_VALUE"""),89.81)</f>
        <v>89.81</v>
      </c>
      <c r="D4509" s="1">
        <f>IFERROR(__xludf.DUMMYFUNCTION("""COMPUTED_VALUE"""),89.03)</f>
        <v>89.03</v>
      </c>
      <c r="E4509" s="1">
        <f>IFERROR(__xludf.DUMMYFUNCTION("""COMPUTED_VALUE"""),89.38)</f>
        <v>89.38</v>
      </c>
      <c r="F4509" s="1">
        <f>IFERROR(__xludf.DUMMYFUNCTION("""COMPUTED_VALUE"""),5158905.0)</f>
        <v>5158905</v>
      </c>
    </row>
    <row r="4510">
      <c r="A4510" s="2">
        <f>IFERROR(__xludf.DUMMYFUNCTION("""COMPUTED_VALUE"""),43069.66666666667)</f>
        <v>43069.66667</v>
      </c>
      <c r="B4510" s="1">
        <f>IFERROR(__xludf.DUMMYFUNCTION("""COMPUTED_VALUE"""),89.35)</f>
        <v>89.35</v>
      </c>
      <c r="C4510" s="1">
        <f>IFERROR(__xludf.DUMMYFUNCTION("""COMPUTED_VALUE"""),90.37)</f>
        <v>90.37</v>
      </c>
      <c r="D4510" s="1">
        <f>IFERROR(__xludf.DUMMYFUNCTION("""COMPUTED_VALUE"""),89.21)</f>
        <v>89.21</v>
      </c>
      <c r="E4510" s="1">
        <f>IFERROR(__xludf.DUMMYFUNCTION("""COMPUTED_VALUE"""),89.99)</f>
        <v>89.99</v>
      </c>
      <c r="F4510" s="1">
        <f>IFERROR(__xludf.DUMMYFUNCTION("""COMPUTED_VALUE"""),9789941.0)</f>
        <v>9789941</v>
      </c>
    </row>
    <row r="4511">
      <c r="A4511" s="2">
        <f>IFERROR(__xludf.DUMMYFUNCTION("""COMPUTED_VALUE"""),43070.66666666667)</f>
        <v>43070.66667</v>
      </c>
      <c r="B4511" s="1">
        <f>IFERROR(__xludf.DUMMYFUNCTION("""COMPUTED_VALUE"""),90.18)</f>
        <v>90.18</v>
      </c>
      <c r="C4511" s="1">
        <f>IFERROR(__xludf.DUMMYFUNCTION("""COMPUTED_VALUE"""),90.53)</f>
        <v>90.53</v>
      </c>
      <c r="D4511" s="1">
        <f>IFERROR(__xludf.DUMMYFUNCTION("""COMPUTED_VALUE"""),89.12)</f>
        <v>89.12</v>
      </c>
      <c r="E4511" s="1">
        <f>IFERROR(__xludf.DUMMYFUNCTION("""COMPUTED_VALUE"""),90.36)</f>
        <v>90.36</v>
      </c>
      <c r="F4511" s="1">
        <f>IFERROR(__xludf.DUMMYFUNCTION("""COMPUTED_VALUE"""),7953239.0)</f>
        <v>7953239</v>
      </c>
    </row>
    <row r="4512">
      <c r="A4512" s="2">
        <f>IFERROR(__xludf.DUMMYFUNCTION("""COMPUTED_VALUE"""),43073.66666666667)</f>
        <v>43073.66667</v>
      </c>
      <c r="B4512" s="1">
        <f>IFERROR(__xludf.DUMMYFUNCTION("""COMPUTED_VALUE"""),90.17)</f>
        <v>90.17</v>
      </c>
      <c r="C4512" s="1">
        <f>IFERROR(__xludf.DUMMYFUNCTION("""COMPUTED_VALUE"""),91.91)</f>
        <v>91.91</v>
      </c>
      <c r="D4512" s="1">
        <f>IFERROR(__xludf.DUMMYFUNCTION("""COMPUTED_VALUE"""),89.83)</f>
        <v>89.83</v>
      </c>
      <c r="E4512" s="1">
        <f>IFERROR(__xludf.DUMMYFUNCTION("""COMPUTED_VALUE"""),91.41)</f>
        <v>91.41</v>
      </c>
      <c r="F4512" s="1">
        <f>IFERROR(__xludf.DUMMYFUNCTION("""COMPUTED_VALUE"""),9003702.0)</f>
        <v>9003702</v>
      </c>
    </row>
    <row r="4513">
      <c r="A4513" s="2">
        <f>IFERROR(__xludf.DUMMYFUNCTION("""COMPUTED_VALUE"""),43074.66666666667)</f>
        <v>43074.66667</v>
      </c>
      <c r="B4513" s="1">
        <f>IFERROR(__xludf.DUMMYFUNCTION("""COMPUTED_VALUE"""),91.52)</f>
        <v>91.52</v>
      </c>
      <c r="C4513" s="1">
        <f>IFERROR(__xludf.DUMMYFUNCTION("""COMPUTED_VALUE"""),91.84)</f>
        <v>91.84</v>
      </c>
      <c r="D4513" s="1">
        <f>IFERROR(__xludf.DUMMYFUNCTION("""COMPUTED_VALUE"""),91.07)</f>
        <v>91.07</v>
      </c>
      <c r="E4513" s="1">
        <f>IFERROR(__xludf.DUMMYFUNCTION("""COMPUTED_VALUE"""),91.4)</f>
        <v>91.4</v>
      </c>
      <c r="F4513" s="1">
        <f>IFERROR(__xludf.DUMMYFUNCTION("""COMPUTED_VALUE"""),8683018.0)</f>
        <v>8683018</v>
      </c>
    </row>
    <row r="4514">
      <c r="A4514" s="2">
        <f>IFERROR(__xludf.DUMMYFUNCTION("""COMPUTED_VALUE"""),43075.66666666667)</f>
        <v>43075.66667</v>
      </c>
      <c r="B4514" s="1">
        <f>IFERROR(__xludf.DUMMYFUNCTION("""COMPUTED_VALUE"""),91.5)</f>
        <v>91.5</v>
      </c>
      <c r="C4514" s="1">
        <f>IFERROR(__xludf.DUMMYFUNCTION("""COMPUTED_VALUE"""),91.78)</f>
        <v>91.78</v>
      </c>
      <c r="D4514" s="1">
        <f>IFERROR(__xludf.DUMMYFUNCTION("""COMPUTED_VALUE"""),91.07)</f>
        <v>91.07</v>
      </c>
      <c r="E4514" s="1">
        <f>IFERROR(__xludf.DUMMYFUNCTION("""COMPUTED_VALUE"""),91.25)</f>
        <v>91.25</v>
      </c>
      <c r="F4514" s="1">
        <f>IFERROR(__xludf.DUMMYFUNCTION("""COMPUTED_VALUE"""),6737358.0)</f>
        <v>6737358</v>
      </c>
    </row>
    <row r="4515">
      <c r="A4515" s="2">
        <f>IFERROR(__xludf.DUMMYFUNCTION("""COMPUTED_VALUE"""),43076.66666666667)</f>
        <v>43076.66667</v>
      </c>
      <c r="B4515" s="1">
        <f>IFERROR(__xludf.DUMMYFUNCTION("""COMPUTED_VALUE"""),91.05)</f>
        <v>91.05</v>
      </c>
      <c r="C4515" s="1">
        <f>IFERROR(__xludf.DUMMYFUNCTION("""COMPUTED_VALUE"""),91.07)</f>
        <v>91.07</v>
      </c>
      <c r="D4515" s="1">
        <f>IFERROR(__xludf.DUMMYFUNCTION("""COMPUTED_VALUE"""),89.89)</f>
        <v>89.89</v>
      </c>
      <c r="E4515" s="1">
        <f>IFERROR(__xludf.DUMMYFUNCTION("""COMPUTED_VALUE"""),90.1)</f>
        <v>90.1</v>
      </c>
      <c r="F4515" s="1">
        <f>IFERROR(__xludf.DUMMYFUNCTION("""COMPUTED_VALUE"""),7274135.0)</f>
        <v>7274135</v>
      </c>
    </row>
    <row r="4516">
      <c r="A4516" s="2">
        <f>IFERROR(__xludf.DUMMYFUNCTION("""COMPUTED_VALUE"""),43077.66666666667)</f>
        <v>43077.66667</v>
      </c>
      <c r="B4516" s="1">
        <f>IFERROR(__xludf.DUMMYFUNCTION("""COMPUTED_VALUE"""),90.02)</f>
        <v>90.02</v>
      </c>
      <c r="C4516" s="1">
        <f>IFERROR(__xludf.DUMMYFUNCTION("""COMPUTED_VALUE"""),90.37)</f>
        <v>90.37</v>
      </c>
      <c r="D4516" s="1">
        <f>IFERROR(__xludf.DUMMYFUNCTION("""COMPUTED_VALUE"""),89.58)</f>
        <v>89.58</v>
      </c>
      <c r="E4516" s="1">
        <f>IFERROR(__xludf.DUMMYFUNCTION("""COMPUTED_VALUE"""),90.37)</f>
        <v>90.37</v>
      </c>
      <c r="F4516" s="1">
        <f>IFERROR(__xludf.DUMMYFUNCTION("""COMPUTED_VALUE"""),5883357.0)</f>
        <v>5883357</v>
      </c>
    </row>
    <row r="4517">
      <c r="A4517" s="2">
        <f>IFERROR(__xludf.DUMMYFUNCTION("""COMPUTED_VALUE"""),43080.66666666667)</f>
        <v>43080.66667</v>
      </c>
      <c r="B4517" s="1">
        <f>IFERROR(__xludf.DUMMYFUNCTION("""COMPUTED_VALUE"""),90.23)</f>
        <v>90.23</v>
      </c>
      <c r="C4517" s="1">
        <f>IFERROR(__xludf.DUMMYFUNCTION("""COMPUTED_VALUE"""),90.33)</f>
        <v>90.33</v>
      </c>
      <c r="D4517" s="1">
        <f>IFERROR(__xludf.DUMMYFUNCTION("""COMPUTED_VALUE"""),89.75)</f>
        <v>89.75</v>
      </c>
      <c r="E4517" s="1">
        <f>IFERROR(__xludf.DUMMYFUNCTION("""COMPUTED_VALUE"""),90.23)</f>
        <v>90.23</v>
      </c>
      <c r="F4517" s="1">
        <f>IFERROR(__xludf.DUMMYFUNCTION("""COMPUTED_VALUE"""),4855962.0)</f>
        <v>4855962</v>
      </c>
    </row>
    <row r="4518">
      <c r="A4518" s="2">
        <f>IFERROR(__xludf.DUMMYFUNCTION("""COMPUTED_VALUE"""),43081.66666666667)</f>
        <v>43081.66667</v>
      </c>
      <c r="B4518" s="1">
        <f>IFERROR(__xludf.DUMMYFUNCTION("""COMPUTED_VALUE"""),90.45)</f>
        <v>90.45</v>
      </c>
      <c r="C4518" s="1">
        <f>IFERROR(__xludf.DUMMYFUNCTION("""COMPUTED_VALUE"""),90.51)</f>
        <v>90.51</v>
      </c>
      <c r="D4518" s="1">
        <f>IFERROR(__xludf.DUMMYFUNCTION("""COMPUTED_VALUE"""),89.82)</f>
        <v>89.82</v>
      </c>
      <c r="E4518" s="1">
        <f>IFERROR(__xludf.DUMMYFUNCTION("""COMPUTED_VALUE"""),89.85)</f>
        <v>89.85</v>
      </c>
      <c r="F4518" s="1">
        <f>IFERROR(__xludf.DUMMYFUNCTION("""COMPUTED_VALUE"""),6558871.0)</f>
        <v>6558871</v>
      </c>
    </row>
    <row r="4519">
      <c r="A4519" s="2">
        <f>IFERROR(__xludf.DUMMYFUNCTION("""COMPUTED_VALUE"""),43082.66666666667)</f>
        <v>43082.66667</v>
      </c>
      <c r="B4519" s="1">
        <f>IFERROR(__xludf.DUMMYFUNCTION("""COMPUTED_VALUE"""),90.02)</f>
        <v>90.02</v>
      </c>
      <c r="C4519" s="1">
        <f>IFERROR(__xludf.DUMMYFUNCTION("""COMPUTED_VALUE"""),91.41)</f>
        <v>91.41</v>
      </c>
      <c r="D4519" s="1">
        <f>IFERROR(__xludf.DUMMYFUNCTION("""COMPUTED_VALUE"""),89.97)</f>
        <v>89.97</v>
      </c>
      <c r="E4519" s="1">
        <f>IFERROR(__xludf.DUMMYFUNCTION("""COMPUTED_VALUE"""),90.88)</f>
        <v>90.88</v>
      </c>
      <c r="F4519" s="1">
        <f>IFERROR(__xludf.DUMMYFUNCTION("""COMPUTED_VALUE"""),7141017.0)</f>
        <v>7141017</v>
      </c>
    </row>
    <row r="4520">
      <c r="A4520" s="2">
        <f>IFERROR(__xludf.DUMMYFUNCTION("""COMPUTED_VALUE"""),43083.66666666667)</f>
        <v>43083.66667</v>
      </c>
      <c r="B4520" s="1">
        <f>IFERROR(__xludf.DUMMYFUNCTION("""COMPUTED_VALUE"""),90.94)</f>
        <v>90.94</v>
      </c>
      <c r="C4520" s="1">
        <f>IFERROR(__xludf.DUMMYFUNCTION("""COMPUTED_VALUE"""),91.43)</f>
        <v>91.43</v>
      </c>
      <c r="D4520" s="1">
        <f>IFERROR(__xludf.DUMMYFUNCTION("""COMPUTED_VALUE"""),90.9)</f>
        <v>90.9</v>
      </c>
      <c r="E4520" s="1">
        <f>IFERROR(__xludf.DUMMYFUNCTION("""COMPUTED_VALUE"""),91.0)</f>
        <v>91</v>
      </c>
      <c r="F4520" s="1">
        <f>IFERROR(__xludf.DUMMYFUNCTION("""COMPUTED_VALUE"""),5853524.0)</f>
        <v>5853524</v>
      </c>
    </row>
    <row r="4521">
      <c r="A4521" s="2">
        <f>IFERROR(__xludf.DUMMYFUNCTION("""COMPUTED_VALUE"""),43084.66666666667)</f>
        <v>43084.66667</v>
      </c>
      <c r="B4521" s="1">
        <f>IFERROR(__xludf.DUMMYFUNCTION("""COMPUTED_VALUE"""),91.57)</f>
        <v>91.57</v>
      </c>
      <c r="C4521" s="1">
        <f>IFERROR(__xludf.DUMMYFUNCTION("""COMPUTED_VALUE"""),92.27)</f>
        <v>92.27</v>
      </c>
      <c r="D4521" s="1">
        <f>IFERROR(__xludf.DUMMYFUNCTION("""COMPUTED_VALUE"""),91.48)</f>
        <v>91.48</v>
      </c>
      <c r="E4521" s="1">
        <f>IFERROR(__xludf.DUMMYFUNCTION("""COMPUTED_VALUE"""),91.89)</f>
        <v>91.89</v>
      </c>
      <c r="F4521" s="1">
        <f>IFERROR(__xludf.DUMMYFUNCTION("""COMPUTED_VALUE"""),1.5924045E7)</f>
        <v>15924045</v>
      </c>
    </row>
    <row r="4522">
      <c r="A4522" s="2">
        <f>IFERROR(__xludf.DUMMYFUNCTION("""COMPUTED_VALUE"""),43087.66666666667)</f>
        <v>43087.66667</v>
      </c>
      <c r="B4522" s="1">
        <f>IFERROR(__xludf.DUMMYFUNCTION("""COMPUTED_VALUE"""),91.98)</f>
        <v>91.98</v>
      </c>
      <c r="C4522" s="1">
        <f>IFERROR(__xludf.DUMMYFUNCTION("""COMPUTED_VALUE"""),93.14)</f>
        <v>93.14</v>
      </c>
      <c r="D4522" s="1">
        <f>IFERROR(__xludf.DUMMYFUNCTION("""COMPUTED_VALUE"""),91.81)</f>
        <v>91.81</v>
      </c>
      <c r="E4522" s="1">
        <f>IFERROR(__xludf.DUMMYFUNCTION("""COMPUTED_VALUE"""),91.88)</f>
        <v>91.88</v>
      </c>
      <c r="F4522" s="1">
        <f>IFERROR(__xludf.DUMMYFUNCTION("""COMPUTED_VALUE"""),7405735.0)</f>
        <v>7405735</v>
      </c>
    </row>
    <row r="4523">
      <c r="A4523" s="2">
        <f>IFERROR(__xludf.DUMMYFUNCTION("""COMPUTED_VALUE"""),43088.66666666667)</f>
        <v>43088.66667</v>
      </c>
      <c r="B4523" s="1">
        <f>IFERROR(__xludf.DUMMYFUNCTION("""COMPUTED_VALUE"""),92.0)</f>
        <v>92</v>
      </c>
      <c r="C4523" s="1">
        <f>IFERROR(__xludf.DUMMYFUNCTION("""COMPUTED_VALUE"""),92.13)</f>
        <v>92.13</v>
      </c>
      <c r="D4523" s="1">
        <f>IFERROR(__xludf.DUMMYFUNCTION("""COMPUTED_VALUE"""),91.58)</f>
        <v>91.58</v>
      </c>
      <c r="E4523" s="1">
        <f>IFERROR(__xludf.DUMMYFUNCTION("""COMPUTED_VALUE"""),91.68)</f>
        <v>91.68</v>
      </c>
      <c r="F4523" s="1">
        <f>IFERROR(__xludf.DUMMYFUNCTION("""COMPUTED_VALUE"""),5644362.0)</f>
        <v>5644362</v>
      </c>
    </row>
    <row r="4524">
      <c r="A4524" s="2">
        <f>IFERROR(__xludf.DUMMYFUNCTION("""COMPUTED_VALUE"""),43089.66666666667)</f>
        <v>43089.66667</v>
      </c>
      <c r="B4524" s="1">
        <f>IFERROR(__xludf.DUMMYFUNCTION("""COMPUTED_VALUE"""),91.8)</f>
        <v>91.8</v>
      </c>
      <c r="C4524" s="1">
        <f>IFERROR(__xludf.DUMMYFUNCTION("""COMPUTED_VALUE"""),91.97)</f>
        <v>91.97</v>
      </c>
      <c r="D4524" s="1">
        <f>IFERROR(__xludf.DUMMYFUNCTION("""COMPUTED_VALUE"""),91.35)</f>
        <v>91.35</v>
      </c>
      <c r="E4524" s="1">
        <f>IFERROR(__xludf.DUMMYFUNCTION("""COMPUTED_VALUE"""),91.53)</f>
        <v>91.53</v>
      </c>
      <c r="F4524" s="1">
        <f>IFERROR(__xludf.DUMMYFUNCTION("""COMPUTED_VALUE"""),6938546.0)</f>
        <v>6938546</v>
      </c>
    </row>
    <row r="4525">
      <c r="A4525" s="2">
        <f>IFERROR(__xludf.DUMMYFUNCTION("""COMPUTED_VALUE"""),43090.66666666667)</f>
        <v>43090.66667</v>
      </c>
      <c r="B4525" s="1">
        <f>IFERROR(__xludf.DUMMYFUNCTION("""COMPUTED_VALUE"""),91.66)</f>
        <v>91.66</v>
      </c>
      <c r="C4525" s="1">
        <f>IFERROR(__xludf.DUMMYFUNCTION("""COMPUTED_VALUE"""),92.08)</f>
        <v>92.08</v>
      </c>
      <c r="D4525" s="1">
        <f>IFERROR(__xludf.DUMMYFUNCTION("""COMPUTED_VALUE"""),91.53)</f>
        <v>91.53</v>
      </c>
      <c r="E4525" s="1">
        <f>IFERROR(__xludf.DUMMYFUNCTION("""COMPUTED_VALUE"""),91.67)</f>
        <v>91.67</v>
      </c>
      <c r="F4525" s="1">
        <f>IFERROR(__xludf.DUMMYFUNCTION("""COMPUTED_VALUE"""),4860406.0)</f>
        <v>4860406</v>
      </c>
    </row>
    <row r="4526">
      <c r="A4526" s="2">
        <f>IFERROR(__xludf.DUMMYFUNCTION("""COMPUTED_VALUE"""),43091.66666666667)</f>
        <v>43091.66667</v>
      </c>
      <c r="B4526" s="1">
        <f>IFERROR(__xludf.DUMMYFUNCTION("""COMPUTED_VALUE"""),91.88)</f>
        <v>91.88</v>
      </c>
      <c r="C4526" s="1">
        <f>IFERROR(__xludf.DUMMYFUNCTION("""COMPUTED_VALUE"""),92.43)</f>
        <v>92.43</v>
      </c>
      <c r="D4526" s="1">
        <f>IFERROR(__xludf.DUMMYFUNCTION("""COMPUTED_VALUE"""),91.72)</f>
        <v>91.72</v>
      </c>
      <c r="E4526" s="1">
        <f>IFERROR(__xludf.DUMMYFUNCTION("""COMPUTED_VALUE"""),92.13)</f>
        <v>92.13</v>
      </c>
      <c r="F4526" s="1">
        <f>IFERROR(__xludf.DUMMYFUNCTION("""COMPUTED_VALUE"""),4919406.0)</f>
        <v>4919406</v>
      </c>
    </row>
    <row r="4527">
      <c r="A4527" s="2">
        <f>IFERROR(__xludf.DUMMYFUNCTION("""COMPUTED_VALUE"""),43095.66666666667)</f>
        <v>43095.66667</v>
      </c>
      <c r="B4527" s="1">
        <f>IFERROR(__xludf.DUMMYFUNCTION("""COMPUTED_VALUE"""),92.35)</f>
        <v>92.35</v>
      </c>
      <c r="C4527" s="1">
        <f>IFERROR(__xludf.DUMMYFUNCTION("""COMPUTED_VALUE"""),92.77)</f>
        <v>92.77</v>
      </c>
      <c r="D4527" s="1">
        <f>IFERROR(__xludf.DUMMYFUNCTION("""COMPUTED_VALUE"""),92.15)</f>
        <v>92.15</v>
      </c>
      <c r="E4527" s="1">
        <f>IFERROR(__xludf.DUMMYFUNCTION("""COMPUTED_VALUE"""),92.48)</f>
        <v>92.48</v>
      </c>
      <c r="F4527" s="1">
        <f>IFERROR(__xludf.DUMMYFUNCTION("""COMPUTED_VALUE"""),3431941.0)</f>
        <v>3431941</v>
      </c>
    </row>
    <row r="4528">
      <c r="A4528" s="2">
        <f>IFERROR(__xludf.DUMMYFUNCTION("""COMPUTED_VALUE"""),43096.66666666667)</f>
        <v>43096.66667</v>
      </c>
      <c r="B4528" s="1">
        <f>IFERROR(__xludf.DUMMYFUNCTION("""COMPUTED_VALUE"""),92.49)</f>
        <v>92.49</v>
      </c>
      <c r="C4528" s="1">
        <f>IFERROR(__xludf.DUMMYFUNCTION("""COMPUTED_VALUE"""),92.75)</f>
        <v>92.75</v>
      </c>
      <c r="D4528" s="1">
        <f>IFERROR(__xludf.DUMMYFUNCTION("""COMPUTED_VALUE"""),91.93)</f>
        <v>91.93</v>
      </c>
      <c r="E4528" s="1">
        <f>IFERROR(__xludf.DUMMYFUNCTION("""COMPUTED_VALUE"""),92.1)</f>
        <v>92.1</v>
      </c>
      <c r="F4528" s="1">
        <f>IFERROR(__xludf.DUMMYFUNCTION("""COMPUTED_VALUE"""),4276664.0)</f>
        <v>4276664</v>
      </c>
    </row>
    <row r="4529">
      <c r="A4529" s="2">
        <f>IFERROR(__xludf.DUMMYFUNCTION("""COMPUTED_VALUE"""),43097.66666666667)</f>
        <v>43097.66667</v>
      </c>
      <c r="B4529" s="1">
        <f>IFERROR(__xludf.DUMMYFUNCTION("""COMPUTED_VALUE"""),92.3)</f>
        <v>92.3</v>
      </c>
      <c r="C4529" s="1">
        <f>IFERROR(__xludf.DUMMYFUNCTION("""COMPUTED_VALUE"""),92.54)</f>
        <v>92.54</v>
      </c>
      <c r="D4529" s="1">
        <f>IFERROR(__xludf.DUMMYFUNCTION("""COMPUTED_VALUE"""),91.91)</f>
        <v>91.91</v>
      </c>
      <c r="E4529" s="1">
        <f>IFERROR(__xludf.DUMMYFUNCTION("""COMPUTED_VALUE"""),92.07)</f>
        <v>92.07</v>
      </c>
      <c r="F4529" s="1">
        <f>IFERROR(__xludf.DUMMYFUNCTION("""COMPUTED_VALUE"""),3005356.0)</f>
        <v>3005356</v>
      </c>
    </row>
    <row r="4530">
      <c r="A4530" s="2">
        <f>IFERROR(__xludf.DUMMYFUNCTION("""COMPUTED_VALUE"""),43098.66666666667)</f>
        <v>43098.66667</v>
      </c>
      <c r="B4530" s="1">
        <f>IFERROR(__xludf.DUMMYFUNCTION("""COMPUTED_VALUE"""),92.24)</f>
        <v>92.24</v>
      </c>
      <c r="C4530" s="1">
        <f>IFERROR(__xludf.DUMMYFUNCTION("""COMPUTED_VALUE"""),92.46)</f>
        <v>92.46</v>
      </c>
      <c r="D4530" s="1">
        <f>IFERROR(__xludf.DUMMYFUNCTION("""COMPUTED_VALUE"""),91.88)</f>
        <v>91.88</v>
      </c>
      <c r="E4530" s="1">
        <f>IFERROR(__xludf.DUMMYFUNCTION("""COMPUTED_VALUE"""),91.88)</f>
        <v>91.88</v>
      </c>
      <c r="F4530" s="1">
        <f>IFERROR(__xludf.DUMMYFUNCTION("""COMPUTED_VALUE"""),4346675.0)</f>
        <v>4346675</v>
      </c>
    </row>
    <row r="4531">
      <c r="A4531" s="2">
        <f>IFERROR(__xludf.DUMMYFUNCTION("""COMPUTED_VALUE"""),43102.66666666667)</f>
        <v>43102.66667</v>
      </c>
      <c r="B4531" s="1">
        <f>IFERROR(__xludf.DUMMYFUNCTION("""COMPUTED_VALUE"""),91.92)</f>
        <v>91.92</v>
      </c>
      <c r="C4531" s="1">
        <f>IFERROR(__xludf.DUMMYFUNCTION("""COMPUTED_VALUE"""),91.93)</f>
        <v>91.93</v>
      </c>
      <c r="D4531" s="1">
        <f>IFERROR(__xludf.DUMMYFUNCTION("""COMPUTED_VALUE"""),90.55)</f>
        <v>90.55</v>
      </c>
      <c r="E4531" s="1">
        <f>IFERROR(__xludf.DUMMYFUNCTION("""COMPUTED_VALUE"""),90.65)</f>
        <v>90.65</v>
      </c>
      <c r="F4531" s="1">
        <f>IFERROR(__xludf.DUMMYFUNCTION("""COMPUTED_VALUE"""),7558858.0)</f>
        <v>7558858</v>
      </c>
    </row>
    <row r="4532">
      <c r="A4532" s="2">
        <f>IFERROR(__xludf.DUMMYFUNCTION("""COMPUTED_VALUE"""),43103.66666666667)</f>
        <v>43103.66667</v>
      </c>
      <c r="B4532" s="1">
        <f>IFERROR(__xludf.DUMMYFUNCTION("""COMPUTED_VALUE"""),90.73)</f>
        <v>90.73</v>
      </c>
      <c r="C4532" s="1">
        <f>IFERROR(__xludf.DUMMYFUNCTION("""COMPUTED_VALUE"""),91.09)</f>
        <v>91.09</v>
      </c>
      <c r="D4532" s="1">
        <f>IFERROR(__xludf.DUMMYFUNCTION("""COMPUTED_VALUE"""),90.52)</f>
        <v>90.52</v>
      </c>
      <c r="E4532" s="1">
        <f>IFERROR(__xludf.DUMMYFUNCTION("""COMPUTED_VALUE"""),90.54)</f>
        <v>90.54</v>
      </c>
      <c r="F4532" s="1">
        <f>IFERROR(__xludf.DUMMYFUNCTION("""COMPUTED_VALUE"""),5863605.0)</f>
        <v>5863605</v>
      </c>
    </row>
    <row r="4533">
      <c r="A4533" s="2">
        <f>IFERROR(__xludf.DUMMYFUNCTION("""COMPUTED_VALUE"""),43104.66666666667)</f>
        <v>43104.66667</v>
      </c>
      <c r="B4533" s="1">
        <f>IFERROR(__xludf.DUMMYFUNCTION("""COMPUTED_VALUE"""),90.83)</f>
        <v>90.83</v>
      </c>
      <c r="C4533" s="1">
        <f>IFERROR(__xludf.DUMMYFUNCTION("""COMPUTED_VALUE"""),91.77)</f>
        <v>91.77</v>
      </c>
      <c r="D4533" s="1">
        <f>IFERROR(__xludf.DUMMYFUNCTION("""COMPUTED_VALUE"""),90.61)</f>
        <v>90.61</v>
      </c>
      <c r="E4533" s="1">
        <f>IFERROR(__xludf.DUMMYFUNCTION("""COMPUTED_VALUE"""),91.18)</f>
        <v>91.18</v>
      </c>
      <c r="F4533" s="1">
        <f>IFERROR(__xludf.DUMMYFUNCTION("""COMPUTED_VALUE"""),6322500.0)</f>
        <v>6322500</v>
      </c>
    </row>
    <row r="4534">
      <c r="A4534" s="2">
        <f>IFERROR(__xludf.DUMMYFUNCTION("""COMPUTED_VALUE"""),43105.66666666667)</f>
        <v>43105.66667</v>
      </c>
      <c r="B4534" s="1">
        <f>IFERROR(__xludf.DUMMYFUNCTION("""COMPUTED_VALUE"""),91.27)</f>
        <v>91.27</v>
      </c>
      <c r="C4534" s="1">
        <f>IFERROR(__xludf.DUMMYFUNCTION("""COMPUTED_VALUE"""),91.3)</f>
        <v>91.3</v>
      </c>
      <c r="D4534" s="1">
        <f>IFERROR(__xludf.DUMMYFUNCTION("""COMPUTED_VALUE"""),90.57)</f>
        <v>90.57</v>
      </c>
      <c r="E4534" s="1">
        <f>IFERROR(__xludf.DUMMYFUNCTION("""COMPUTED_VALUE"""),91.24)</f>
        <v>91.24</v>
      </c>
      <c r="F4534" s="1">
        <f>IFERROR(__xludf.DUMMYFUNCTION("""COMPUTED_VALUE"""),5949697.0)</f>
        <v>5949697</v>
      </c>
    </row>
    <row r="4535">
      <c r="A4535" s="2">
        <f>IFERROR(__xludf.DUMMYFUNCTION("""COMPUTED_VALUE"""),43108.66666666667)</f>
        <v>43108.66667</v>
      </c>
      <c r="B4535" s="1">
        <f>IFERROR(__xludf.DUMMYFUNCTION("""COMPUTED_VALUE"""),90.93)</f>
        <v>90.93</v>
      </c>
      <c r="C4535" s="1">
        <f>IFERROR(__xludf.DUMMYFUNCTION("""COMPUTED_VALUE"""),91.77)</f>
        <v>91.77</v>
      </c>
      <c r="D4535" s="1">
        <f>IFERROR(__xludf.DUMMYFUNCTION("""COMPUTED_VALUE"""),90.93)</f>
        <v>90.93</v>
      </c>
      <c r="E4535" s="1">
        <f>IFERROR(__xludf.DUMMYFUNCTION("""COMPUTED_VALUE"""),91.72)</f>
        <v>91.72</v>
      </c>
      <c r="F4535" s="1">
        <f>IFERROR(__xludf.DUMMYFUNCTION("""COMPUTED_VALUE"""),4860680.0)</f>
        <v>4860680</v>
      </c>
    </row>
    <row r="4536">
      <c r="A4536" s="2">
        <f>IFERROR(__xludf.DUMMYFUNCTION("""COMPUTED_VALUE"""),43109.66666666667)</f>
        <v>43109.66667</v>
      </c>
      <c r="B4536" s="1">
        <f>IFERROR(__xludf.DUMMYFUNCTION("""COMPUTED_VALUE"""),91.47)</f>
        <v>91.47</v>
      </c>
      <c r="C4536" s="1">
        <f>IFERROR(__xludf.DUMMYFUNCTION("""COMPUTED_VALUE"""),91.65)</f>
        <v>91.65</v>
      </c>
      <c r="D4536" s="1">
        <f>IFERROR(__xludf.DUMMYFUNCTION("""COMPUTED_VALUE"""),91.01)</f>
        <v>91.01</v>
      </c>
      <c r="E4536" s="1">
        <f>IFERROR(__xludf.DUMMYFUNCTION("""COMPUTED_VALUE"""),91.05)</f>
        <v>91.05</v>
      </c>
      <c r="F4536" s="1">
        <f>IFERROR(__xludf.DUMMYFUNCTION("""COMPUTED_VALUE"""),6630066.0)</f>
        <v>6630066</v>
      </c>
    </row>
    <row r="4537">
      <c r="A4537" s="2">
        <f>IFERROR(__xludf.DUMMYFUNCTION("""COMPUTED_VALUE"""),43110.66666666667)</f>
        <v>43110.66667</v>
      </c>
      <c r="B4537" s="1">
        <f>IFERROR(__xludf.DUMMYFUNCTION("""COMPUTED_VALUE"""),90.91)</f>
        <v>90.91</v>
      </c>
      <c r="C4537" s="1">
        <f>IFERROR(__xludf.DUMMYFUNCTION("""COMPUTED_VALUE"""),90.91)</f>
        <v>90.91</v>
      </c>
      <c r="D4537" s="1">
        <f>IFERROR(__xludf.DUMMYFUNCTION("""COMPUTED_VALUE"""),90.01)</f>
        <v>90.01</v>
      </c>
      <c r="E4537" s="1">
        <f>IFERROR(__xludf.DUMMYFUNCTION("""COMPUTED_VALUE"""),90.47)</f>
        <v>90.47</v>
      </c>
      <c r="F4537" s="1">
        <f>IFERROR(__xludf.DUMMYFUNCTION("""COMPUTED_VALUE"""),6564736.0)</f>
        <v>6564736</v>
      </c>
    </row>
    <row r="4538">
      <c r="A4538" s="2">
        <f>IFERROR(__xludf.DUMMYFUNCTION("""COMPUTED_VALUE"""),43111.66666666667)</f>
        <v>43111.66667</v>
      </c>
      <c r="B4538" s="1">
        <f>IFERROR(__xludf.DUMMYFUNCTION("""COMPUTED_VALUE"""),90.4)</f>
        <v>90.4</v>
      </c>
      <c r="C4538" s="1">
        <f>IFERROR(__xludf.DUMMYFUNCTION("""COMPUTED_VALUE"""),90.52)</f>
        <v>90.52</v>
      </c>
      <c r="D4538" s="1">
        <f>IFERROR(__xludf.DUMMYFUNCTION("""COMPUTED_VALUE"""),89.92)</f>
        <v>89.92</v>
      </c>
      <c r="E4538" s="1">
        <f>IFERROR(__xludf.DUMMYFUNCTION("""COMPUTED_VALUE"""),90.15)</f>
        <v>90.15</v>
      </c>
      <c r="F4538" s="1">
        <f>IFERROR(__xludf.DUMMYFUNCTION("""COMPUTED_VALUE"""),5469665.0)</f>
        <v>5469665</v>
      </c>
    </row>
    <row r="4539">
      <c r="A4539" s="2">
        <f>IFERROR(__xludf.DUMMYFUNCTION("""COMPUTED_VALUE"""),43112.66666666667)</f>
        <v>43112.66667</v>
      </c>
      <c r="B4539" s="1">
        <f>IFERROR(__xludf.DUMMYFUNCTION("""COMPUTED_VALUE"""),90.05)</f>
        <v>90.05</v>
      </c>
      <c r="C4539" s="1">
        <f>IFERROR(__xludf.DUMMYFUNCTION("""COMPUTED_VALUE"""),90.34)</f>
        <v>90.34</v>
      </c>
      <c r="D4539" s="1">
        <f>IFERROR(__xludf.DUMMYFUNCTION("""COMPUTED_VALUE"""),89.35)</f>
        <v>89.35</v>
      </c>
      <c r="E4539" s="1">
        <f>IFERROR(__xludf.DUMMYFUNCTION("""COMPUTED_VALUE"""),89.61)</f>
        <v>89.61</v>
      </c>
      <c r="F4539" s="1">
        <f>IFERROR(__xludf.DUMMYFUNCTION("""COMPUTED_VALUE"""),8111047.0)</f>
        <v>8111047</v>
      </c>
    </row>
    <row r="4540">
      <c r="A4540" s="2">
        <f>IFERROR(__xludf.DUMMYFUNCTION("""COMPUTED_VALUE"""),43116.66666666667)</f>
        <v>43116.66667</v>
      </c>
      <c r="B4540" s="1">
        <f>IFERROR(__xludf.DUMMYFUNCTION("""COMPUTED_VALUE"""),90.14)</f>
        <v>90.14</v>
      </c>
      <c r="C4540" s="1">
        <f>IFERROR(__xludf.DUMMYFUNCTION("""COMPUTED_VALUE"""),90.77)</f>
        <v>90.77</v>
      </c>
      <c r="D4540" s="1">
        <f>IFERROR(__xludf.DUMMYFUNCTION("""COMPUTED_VALUE"""),89.64)</f>
        <v>89.64</v>
      </c>
      <c r="E4540" s="1">
        <f>IFERROR(__xludf.DUMMYFUNCTION("""COMPUTED_VALUE"""),90.22)</f>
        <v>90.22</v>
      </c>
      <c r="F4540" s="1">
        <f>IFERROR(__xludf.DUMMYFUNCTION("""COMPUTED_VALUE"""),9465330.0)</f>
        <v>9465330</v>
      </c>
    </row>
    <row r="4541">
      <c r="A4541" s="2">
        <f>IFERROR(__xludf.DUMMYFUNCTION("""COMPUTED_VALUE"""),43117.66666666667)</f>
        <v>43117.66667</v>
      </c>
      <c r="B4541" s="1">
        <f>IFERROR(__xludf.DUMMYFUNCTION("""COMPUTED_VALUE"""),90.56)</f>
        <v>90.56</v>
      </c>
      <c r="C4541" s="1">
        <f>IFERROR(__xludf.DUMMYFUNCTION("""COMPUTED_VALUE"""),91.73)</f>
        <v>91.73</v>
      </c>
      <c r="D4541" s="1">
        <f>IFERROR(__xludf.DUMMYFUNCTION("""COMPUTED_VALUE"""),90.43)</f>
        <v>90.43</v>
      </c>
      <c r="E4541" s="1">
        <f>IFERROR(__xludf.DUMMYFUNCTION("""COMPUTED_VALUE"""),91.2)</f>
        <v>91.2</v>
      </c>
      <c r="F4541" s="1">
        <f>IFERROR(__xludf.DUMMYFUNCTION("""COMPUTED_VALUE"""),8345528.0)</f>
        <v>8345528</v>
      </c>
    </row>
    <row r="4542">
      <c r="A4542" s="2">
        <f>IFERROR(__xludf.DUMMYFUNCTION("""COMPUTED_VALUE"""),43118.66666666667)</f>
        <v>43118.66667</v>
      </c>
      <c r="B4542" s="1">
        <f>IFERROR(__xludf.DUMMYFUNCTION("""COMPUTED_VALUE"""),90.24)</f>
        <v>90.24</v>
      </c>
      <c r="C4542" s="1">
        <f>IFERROR(__xludf.DUMMYFUNCTION("""COMPUTED_VALUE"""),90.65)</f>
        <v>90.65</v>
      </c>
      <c r="D4542" s="1">
        <f>IFERROR(__xludf.DUMMYFUNCTION("""COMPUTED_VALUE"""),89.67)</f>
        <v>89.67</v>
      </c>
      <c r="E4542" s="1">
        <f>IFERROR(__xludf.DUMMYFUNCTION("""COMPUTED_VALUE"""),90.18)</f>
        <v>90.18</v>
      </c>
      <c r="F4542" s="1">
        <f>IFERROR(__xludf.DUMMYFUNCTION("""COMPUTED_VALUE"""),7699760.0)</f>
        <v>7699760</v>
      </c>
    </row>
    <row r="4543">
      <c r="A4543" s="2">
        <f>IFERROR(__xludf.DUMMYFUNCTION("""COMPUTED_VALUE"""),43119.66666666667)</f>
        <v>43119.66667</v>
      </c>
      <c r="B4543" s="1">
        <f>IFERROR(__xludf.DUMMYFUNCTION("""COMPUTED_VALUE"""),90.28)</f>
        <v>90.28</v>
      </c>
      <c r="C4543" s="1">
        <f>IFERROR(__xludf.DUMMYFUNCTION("""COMPUTED_VALUE"""),91.26)</f>
        <v>91.26</v>
      </c>
      <c r="D4543" s="1">
        <f>IFERROR(__xludf.DUMMYFUNCTION("""COMPUTED_VALUE"""),90.24)</f>
        <v>90.24</v>
      </c>
      <c r="E4543" s="1">
        <f>IFERROR(__xludf.DUMMYFUNCTION("""COMPUTED_VALUE"""),91.07)</f>
        <v>91.07</v>
      </c>
      <c r="F4543" s="1">
        <f>IFERROR(__xludf.DUMMYFUNCTION("""COMPUTED_VALUE"""),9364027.0)</f>
        <v>9364027</v>
      </c>
    </row>
    <row r="4544">
      <c r="A4544" s="2">
        <f>IFERROR(__xludf.DUMMYFUNCTION("""COMPUTED_VALUE"""),43122.66666666667)</f>
        <v>43122.66667</v>
      </c>
      <c r="B4544" s="1">
        <f>IFERROR(__xludf.DUMMYFUNCTION("""COMPUTED_VALUE"""),90.88)</f>
        <v>90.88</v>
      </c>
      <c r="C4544" s="1">
        <f>IFERROR(__xludf.DUMMYFUNCTION("""COMPUTED_VALUE"""),91.92)</f>
        <v>91.92</v>
      </c>
      <c r="D4544" s="1">
        <f>IFERROR(__xludf.DUMMYFUNCTION("""COMPUTED_VALUE"""),90.77)</f>
        <v>90.77</v>
      </c>
      <c r="E4544" s="1">
        <f>IFERROR(__xludf.DUMMYFUNCTION("""COMPUTED_VALUE"""),91.89)</f>
        <v>91.89</v>
      </c>
      <c r="F4544" s="1">
        <f>IFERROR(__xludf.DUMMYFUNCTION("""COMPUTED_VALUE"""),8657987.0)</f>
        <v>8657987</v>
      </c>
    </row>
    <row r="4545">
      <c r="A4545" s="2">
        <f>IFERROR(__xludf.DUMMYFUNCTION("""COMPUTED_VALUE"""),43123.66666666667)</f>
        <v>43123.66667</v>
      </c>
      <c r="B4545" s="1">
        <f>IFERROR(__xludf.DUMMYFUNCTION("""COMPUTED_VALUE"""),89.82)</f>
        <v>89.82</v>
      </c>
      <c r="C4545" s="1">
        <f>IFERROR(__xludf.DUMMYFUNCTION("""COMPUTED_VALUE"""),90.21)</f>
        <v>90.21</v>
      </c>
      <c r="D4545" s="1">
        <f>IFERROR(__xludf.DUMMYFUNCTION("""COMPUTED_VALUE"""),88.6)</f>
        <v>88.6</v>
      </c>
      <c r="E4545" s="1">
        <f>IFERROR(__xludf.DUMMYFUNCTION("""COMPUTED_VALUE"""),89.05)</f>
        <v>89.05</v>
      </c>
      <c r="F4545" s="1">
        <f>IFERROR(__xludf.DUMMYFUNCTION("""COMPUTED_VALUE"""),1.8756274E7)</f>
        <v>18756274</v>
      </c>
    </row>
    <row r="4546">
      <c r="A4546" s="2">
        <f>IFERROR(__xludf.DUMMYFUNCTION("""COMPUTED_VALUE"""),43124.66666666667)</f>
        <v>43124.66667</v>
      </c>
      <c r="B4546" s="1">
        <f>IFERROR(__xludf.DUMMYFUNCTION("""COMPUTED_VALUE"""),89.06)</f>
        <v>89.06</v>
      </c>
      <c r="C4546" s="1">
        <f>IFERROR(__xludf.DUMMYFUNCTION("""COMPUTED_VALUE"""),89.16)</f>
        <v>89.16</v>
      </c>
      <c r="D4546" s="1">
        <f>IFERROR(__xludf.DUMMYFUNCTION("""COMPUTED_VALUE"""),87.7)</f>
        <v>87.7</v>
      </c>
      <c r="E4546" s="1">
        <f>IFERROR(__xludf.DUMMYFUNCTION("""COMPUTED_VALUE"""),88.31)</f>
        <v>88.31</v>
      </c>
      <c r="F4546" s="1">
        <f>IFERROR(__xludf.DUMMYFUNCTION("""COMPUTED_VALUE"""),1.5141949E7)</f>
        <v>15141949</v>
      </c>
    </row>
    <row r="4547">
      <c r="A4547" s="2">
        <f>IFERROR(__xludf.DUMMYFUNCTION("""COMPUTED_VALUE"""),43125.66666666667)</f>
        <v>43125.66667</v>
      </c>
      <c r="B4547" s="1">
        <f>IFERROR(__xludf.DUMMYFUNCTION("""COMPUTED_VALUE"""),88.68)</f>
        <v>88.68</v>
      </c>
      <c r="C4547" s="1">
        <f>IFERROR(__xludf.DUMMYFUNCTION("""COMPUTED_VALUE"""),89.05)</f>
        <v>89.05</v>
      </c>
      <c r="D4547" s="1">
        <f>IFERROR(__xludf.DUMMYFUNCTION("""COMPUTED_VALUE"""),88.01)</f>
        <v>88.01</v>
      </c>
      <c r="E4547" s="1">
        <f>IFERROR(__xludf.DUMMYFUNCTION("""COMPUTED_VALUE"""),88.34)</f>
        <v>88.34</v>
      </c>
      <c r="F4547" s="1">
        <f>IFERROR(__xludf.DUMMYFUNCTION("""COMPUTED_VALUE"""),1.1264371E7)</f>
        <v>11264371</v>
      </c>
    </row>
    <row r="4548">
      <c r="A4548" s="2">
        <f>IFERROR(__xludf.DUMMYFUNCTION("""COMPUTED_VALUE"""),43126.66666666667)</f>
        <v>43126.66667</v>
      </c>
      <c r="B4548" s="1">
        <f>IFERROR(__xludf.DUMMYFUNCTION("""COMPUTED_VALUE"""),88.17)</f>
        <v>88.17</v>
      </c>
      <c r="C4548" s="1">
        <f>IFERROR(__xludf.DUMMYFUNCTION("""COMPUTED_VALUE"""),88.17)</f>
        <v>88.17</v>
      </c>
      <c r="D4548" s="1">
        <f>IFERROR(__xludf.DUMMYFUNCTION("""COMPUTED_VALUE"""),87.23)</f>
        <v>87.23</v>
      </c>
      <c r="E4548" s="1">
        <f>IFERROR(__xludf.DUMMYFUNCTION("""COMPUTED_VALUE"""),87.73)</f>
        <v>87.73</v>
      </c>
      <c r="F4548" s="1">
        <f>IFERROR(__xludf.DUMMYFUNCTION("""COMPUTED_VALUE"""),1.1503083E7)</f>
        <v>11503083</v>
      </c>
    </row>
    <row r="4549">
      <c r="A4549" s="2">
        <f>IFERROR(__xludf.DUMMYFUNCTION("""COMPUTED_VALUE"""),43129.66666666667)</f>
        <v>43129.66667</v>
      </c>
      <c r="B4549" s="1">
        <f>IFERROR(__xludf.DUMMYFUNCTION("""COMPUTED_VALUE"""),87.69)</f>
        <v>87.69</v>
      </c>
      <c r="C4549" s="1">
        <f>IFERROR(__xludf.DUMMYFUNCTION("""COMPUTED_VALUE"""),87.74)</f>
        <v>87.74</v>
      </c>
      <c r="D4549" s="1">
        <f>IFERROR(__xludf.DUMMYFUNCTION("""COMPUTED_VALUE"""),86.69)</f>
        <v>86.69</v>
      </c>
      <c r="E4549" s="1">
        <f>IFERROR(__xludf.DUMMYFUNCTION("""COMPUTED_VALUE"""),86.86)</f>
        <v>86.86</v>
      </c>
      <c r="F4549" s="1">
        <f>IFERROR(__xludf.DUMMYFUNCTION("""COMPUTED_VALUE"""),1.1685762E7)</f>
        <v>11685762</v>
      </c>
    </row>
    <row r="4550">
      <c r="A4550" s="2">
        <f>IFERROR(__xludf.DUMMYFUNCTION("""COMPUTED_VALUE"""),43130.66666666667)</f>
        <v>43130.66667</v>
      </c>
      <c r="B4550" s="1">
        <f>IFERROR(__xludf.DUMMYFUNCTION("""COMPUTED_VALUE"""),86.82)</f>
        <v>86.82</v>
      </c>
      <c r="C4550" s="1">
        <f>IFERROR(__xludf.DUMMYFUNCTION("""COMPUTED_VALUE"""),87.44)</f>
        <v>87.44</v>
      </c>
      <c r="D4550" s="1">
        <f>IFERROR(__xludf.DUMMYFUNCTION("""COMPUTED_VALUE"""),86.63)</f>
        <v>86.63</v>
      </c>
      <c r="E4550" s="1">
        <f>IFERROR(__xludf.DUMMYFUNCTION("""COMPUTED_VALUE"""),86.95)</f>
        <v>86.95</v>
      </c>
      <c r="F4550" s="1">
        <f>IFERROR(__xludf.DUMMYFUNCTION("""COMPUTED_VALUE"""),9662856.0)</f>
        <v>9662856</v>
      </c>
    </row>
    <row r="4551">
      <c r="A4551" s="2">
        <f>IFERROR(__xludf.DUMMYFUNCTION("""COMPUTED_VALUE"""),43131.66666666667)</f>
        <v>43131.66667</v>
      </c>
      <c r="B4551" s="1">
        <f>IFERROR(__xludf.DUMMYFUNCTION("""COMPUTED_VALUE"""),86.81)</f>
        <v>86.81</v>
      </c>
      <c r="C4551" s="1">
        <f>IFERROR(__xludf.DUMMYFUNCTION("""COMPUTED_VALUE"""),87.41)</f>
        <v>87.41</v>
      </c>
      <c r="D4551" s="1">
        <f>IFERROR(__xludf.DUMMYFUNCTION("""COMPUTED_VALUE"""),86.08)</f>
        <v>86.08</v>
      </c>
      <c r="E4551" s="1">
        <f>IFERROR(__xludf.DUMMYFUNCTION("""COMPUTED_VALUE"""),86.34)</f>
        <v>86.34</v>
      </c>
      <c r="F4551" s="1">
        <f>IFERROR(__xludf.DUMMYFUNCTION("""COMPUTED_VALUE"""),1.1798093E7)</f>
        <v>11798093</v>
      </c>
    </row>
    <row r="4552">
      <c r="A4552" s="2">
        <f>IFERROR(__xludf.DUMMYFUNCTION("""COMPUTED_VALUE"""),43132.66666666667)</f>
        <v>43132.66667</v>
      </c>
      <c r="B4552" s="1">
        <f>IFERROR(__xludf.DUMMYFUNCTION("""COMPUTED_VALUE"""),86.15)</f>
        <v>86.15</v>
      </c>
      <c r="C4552" s="1">
        <f>IFERROR(__xludf.DUMMYFUNCTION("""COMPUTED_VALUE"""),86.5)</f>
        <v>86.5</v>
      </c>
      <c r="D4552" s="1">
        <f>IFERROR(__xludf.DUMMYFUNCTION("""COMPUTED_VALUE"""),85.56)</f>
        <v>85.56</v>
      </c>
      <c r="E4552" s="1">
        <f>IFERROR(__xludf.DUMMYFUNCTION("""COMPUTED_VALUE"""),85.85)</f>
        <v>85.85</v>
      </c>
      <c r="F4552" s="1">
        <f>IFERROR(__xludf.DUMMYFUNCTION("""COMPUTED_VALUE"""),8606301.0)</f>
        <v>8606301</v>
      </c>
    </row>
    <row r="4553">
      <c r="A4553" s="2">
        <f>IFERROR(__xludf.DUMMYFUNCTION("""COMPUTED_VALUE"""),43133.66666666667)</f>
        <v>43133.66667</v>
      </c>
      <c r="B4553" s="1">
        <f>IFERROR(__xludf.DUMMYFUNCTION("""COMPUTED_VALUE"""),85.56)</f>
        <v>85.56</v>
      </c>
      <c r="C4553" s="1">
        <f>IFERROR(__xludf.DUMMYFUNCTION("""COMPUTED_VALUE"""),85.61)</f>
        <v>85.61</v>
      </c>
      <c r="D4553" s="1">
        <f>IFERROR(__xludf.DUMMYFUNCTION("""COMPUTED_VALUE"""),84.21)</f>
        <v>84.21</v>
      </c>
      <c r="E4553" s="1">
        <f>IFERROR(__xludf.DUMMYFUNCTION("""COMPUTED_VALUE"""),84.25)</f>
        <v>84.25</v>
      </c>
      <c r="F4553" s="1">
        <f>IFERROR(__xludf.DUMMYFUNCTION("""COMPUTED_VALUE"""),1.2846332E7)</f>
        <v>12846332</v>
      </c>
    </row>
    <row r="4554">
      <c r="A4554" s="2">
        <f>IFERROR(__xludf.DUMMYFUNCTION("""COMPUTED_VALUE"""),43136.66666666667)</f>
        <v>43136.66667</v>
      </c>
      <c r="B4554" s="1">
        <f>IFERROR(__xludf.DUMMYFUNCTION("""COMPUTED_VALUE"""),83.99)</f>
        <v>83.99</v>
      </c>
      <c r="C4554" s="1">
        <f>IFERROR(__xludf.DUMMYFUNCTION("""COMPUTED_VALUE"""),84.37)</f>
        <v>84.37</v>
      </c>
      <c r="D4554" s="1">
        <f>IFERROR(__xludf.DUMMYFUNCTION("""COMPUTED_VALUE"""),80.1)</f>
        <v>80.1</v>
      </c>
      <c r="E4554" s="1">
        <f>IFERROR(__xludf.DUMMYFUNCTION("""COMPUTED_VALUE"""),81.06)</f>
        <v>81.06</v>
      </c>
      <c r="F4554" s="1">
        <f>IFERROR(__xludf.DUMMYFUNCTION("""COMPUTED_VALUE"""),1.7462165E7)</f>
        <v>17462165</v>
      </c>
    </row>
    <row r="4555">
      <c r="A4555" s="2">
        <f>IFERROR(__xludf.DUMMYFUNCTION("""COMPUTED_VALUE"""),43137.66666666667)</f>
        <v>43137.66667</v>
      </c>
      <c r="B4555" s="1">
        <f>IFERROR(__xludf.DUMMYFUNCTION("""COMPUTED_VALUE"""),80.53)</f>
        <v>80.53</v>
      </c>
      <c r="C4555" s="1">
        <f>IFERROR(__xludf.DUMMYFUNCTION("""COMPUTED_VALUE"""),82.45)</f>
        <v>82.45</v>
      </c>
      <c r="D4555" s="1">
        <f>IFERROR(__xludf.DUMMYFUNCTION("""COMPUTED_VALUE"""),80.12)</f>
        <v>80.12</v>
      </c>
      <c r="E4555" s="1">
        <f>IFERROR(__xludf.DUMMYFUNCTION("""COMPUTED_VALUE"""),82.38)</f>
        <v>82.38</v>
      </c>
      <c r="F4555" s="1">
        <f>IFERROR(__xludf.DUMMYFUNCTION("""COMPUTED_VALUE"""),1.9955546E7)</f>
        <v>19955546</v>
      </c>
    </row>
    <row r="4556">
      <c r="A4556" s="2">
        <f>IFERROR(__xludf.DUMMYFUNCTION("""COMPUTED_VALUE"""),43138.66666666667)</f>
        <v>43138.66667</v>
      </c>
      <c r="B4556" s="1">
        <f>IFERROR(__xludf.DUMMYFUNCTION("""COMPUTED_VALUE"""),82.3)</f>
        <v>82.3</v>
      </c>
      <c r="C4556" s="1">
        <f>IFERROR(__xludf.DUMMYFUNCTION("""COMPUTED_VALUE"""),83.39)</f>
        <v>83.39</v>
      </c>
      <c r="D4556" s="1">
        <f>IFERROR(__xludf.DUMMYFUNCTION("""COMPUTED_VALUE"""),81.82)</f>
        <v>81.82</v>
      </c>
      <c r="E4556" s="1">
        <f>IFERROR(__xludf.DUMMYFUNCTION("""COMPUTED_VALUE"""),81.84)</f>
        <v>81.84</v>
      </c>
      <c r="F4556" s="1">
        <f>IFERROR(__xludf.DUMMYFUNCTION("""COMPUTED_VALUE"""),1.1851841E7)</f>
        <v>11851841</v>
      </c>
    </row>
    <row r="4557">
      <c r="A4557" s="2">
        <f>IFERROR(__xludf.DUMMYFUNCTION("""COMPUTED_VALUE"""),43139.66666666667)</f>
        <v>43139.66667</v>
      </c>
      <c r="B4557" s="1">
        <f>IFERROR(__xludf.DUMMYFUNCTION("""COMPUTED_VALUE"""),82.03)</f>
        <v>82.03</v>
      </c>
      <c r="C4557" s="1">
        <f>IFERROR(__xludf.DUMMYFUNCTION("""COMPUTED_VALUE"""),82.22)</f>
        <v>82.22</v>
      </c>
      <c r="D4557" s="1">
        <f>IFERROR(__xludf.DUMMYFUNCTION("""COMPUTED_VALUE"""),80.15)</f>
        <v>80.15</v>
      </c>
      <c r="E4557" s="1">
        <f>IFERROR(__xludf.DUMMYFUNCTION("""COMPUTED_VALUE"""),80.22)</f>
        <v>80.22</v>
      </c>
      <c r="F4557" s="1">
        <f>IFERROR(__xludf.DUMMYFUNCTION("""COMPUTED_VALUE"""),1.4596066E7)</f>
        <v>14596066</v>
      </c>
    </row>
    <row r="4558">
      <c r="A4558" s="2">
        <f>IFERROR(__xludf.DUMMYFUNCTION("""COMPUTED_VALUE"""),43140.66666666667)</f>
        <v>43140.66667</v>
      </c>
      <c r="B4558" s="1">
        <f>IFERROR(__xludf.DUMMYFUNCTION("""COMPUTED_VALUE"""),80.98)</f>
        <v>80.98</v>
      </c>
      <c r="C4558" s="1">
        <f>IFERROR(__xludf.DUMMYFUNCTION("""COMPUTED_VALUE"""),81.03)</f>
        <v>81.03</v>
      </c>
      <c r="D4558" s="1">
        <f>IFERROR(__xludf.DUMMYFUNCTION("""COMPUTED_VALUE"""),78.59)</f>
        <v>78.59</v>
      </c>
      <c r="E4558" s="1">
        <f>IFERROR(__xludf.DUMMYFUNCTION("""COMPUTED_VALUE"""),79.92)</f>
        <v>79.92</v>
      </c>
      <c r="F4558" s="1">
        <f>IFERROR(__xludf.DUMMYFUNCTION("""COMPUTED_VALUE"""),1.8838829E7)</f>
        <v>18838829</v>
      </c>
    </row>
    <row r="4559">
      <c r="A4559" s="2">
        <f>IFERROR(__xludf.DUMMYFUNCTION("""COMPUTED_VALUE"""),43143.66666666667)</f>
        <v>43143.66667</v>
      </c>
      <c r="B4559" s="1">
        <f>IFERROR(__xludf.DUMMYFUNCTION("""COMPUTED_VALUE"""),80.61)</f>
        <v>80.61</v>
      </c>
      <c r="C4559" s="1">
        <f>IFERROR(__xludf.DUMMYFUNCTION("""COMPUTED_VALUE"""),81.67)</f>
        <v>81.67</v>
      </c>
      <c r="D4559" s="1">
        <f>IFERROR(__xludf.DUMMYFUNCTION("""COMPUTED_VALUE"""),80.58)</f>
        <v>80.58</v>
      </c>
      <c r="E4559" s="1">
        <f>IFERROR(__xludf.DUMMYFUNCTION("""COMPUTED_VALUE"""),81.33)</f>
        <v>81.33</v>
      </c>
      <c r="F4559" s="1">
        <f>IFERROR(__xludf.DUMMYFUNCTION("""COMPUTED_VALUE"""),1.0769039E7)</f>
        <v>10769039</v>
      </c>
    </row>
    <row r="4560">
      <c r="A4560" s="2">
        <f>IFERROR(__xludf.DUMMYFUNCTION("""COMPUTED_VALUE"""),43144.66666666667)</f>
        <v>43144.66667</v>
      </c>
      <c r="B4560" s="1">
        <f>IFERROR(__xludf.DUMMYFUNCTION("""COMPUTED_VALUE"""),81.15)</f>
        <v>81.15</v>
      </c>
      <c r="C4560" s="1">
        <f>IFERROR(__xludf.DUMMYFUNCTION("""COMPUTED_VALUE"""),81.83)</f>
        <v>81.83</v>
      </c>
      <c r="D4560" s="1">
        <f>IFERROR(__xludf.DUMMYFUNCTION("""COMPUTED_VALUE"""),80.91)</f>
        <v>80.91</v>
      </c>
      <c r="E4560" s="1">
        <f>IFERROR(__xludf.DUMMYFUNCTION("""COMPUTED_VALUE"""),81.5)</f>
        <v>81.5</v>
      </c>
      <c r="F4560" s="1">
        <f>IFERROR(__xludf.DUMMYFUNCTION("""COMPUTED_VALUE"""),9278654.0)</f>
        <v>9278654</v>
      </c>
    </row>
    <row r="4561">
      <c r="A4561" s="2">
        <f>IFERROR(__xludf.DUMMYFUNCTION("""COMPUTED_VALUE"""),43145.66666666667)</f>
        <v>43145.66667</v>
      </c>
      <c r="B4561" s="1">
        <f>IFERROR(__xludf.DUMMYFUNCTION("""COMPUTED_VALUE"""),81.06)</f>
        <v>81.06</v>
      </c>
      <c r="C4561" s="1">
        <f>IFERROR(__xludf.DUMMYFUNCTION("""COMPUTED_VALUE"""),81.26)</f>
        <v>81.26</v>
      </c>
      <c r="D4561" s="1">
        <f>IFERROR(__xludf.DUMMYFUNCTION("""COMPUTED_VALUE"""),80.27)</f>
        <v>80.27</v>
      </c>
      <c r="E4561" s="1">
        <f>IFERROR(__xludf.DUMMYFUNCTION("""COMPUTED_VALUE"""),80.68)</f>
        <v>80.68</v>
      </c>
      <c r="F4561" s="1">
        <f>IFERROR(__xludf.DUMMYFUNCTION("""COMPUTED_VALUE"""),9412000.0)</f>
        <v>9412000</v>
      </c>
    </row>
    <row r="4562">
      <c r="A4562" s="2">
        <f>IFERROR(__xludf.DUMMYFUNCTION("""COMPUTED_VALUE"""),43146.66666666667)</f>
        <v>43146.66667</v>
      </c>
      <c r="B4562" s="1">
        <f>IFERROR(__xludf.DUMMYFUNCTION("""COMPUTED_VALUE"""),80.97)</f>
        <v>80.97</v>
      </c>
      <c r="C4562" s="1">
        <f>IFERROR(__xludf.DUMMYFUNCTION("""COMPUTED_VALUE"""),82.41)</f>
        <v>82.41</v>
      </c>
      <c r="D4562" s="1">
        <f>IFERROR(__xludf.DUMMYFUNCTION("""COMPUTED_VALUE"""),80.5)</f>
        <v>80.5</v>
      </c>
      <c r="E4562" s="1">
        <f>IFERROR(__xludf.DUMMYFUNCTION("""COMPUTED_VALUE"""),82.41)</f>
        <v>82.41</v>
      </c>
      <c r="F4562" s="1">
        <f>IFERROR(__xludf.DUMMYFUNCTION("""COMPUTED_VALUE"""),8910695.0)</f>
        <v>8910695</v>
      </c>
    </row>
    <row r="4563">
      <c r="A4563" s="2">
        <f>IFERROR(__xludf.DUMMYFUNCTION("""COMPUTED_VALUE"""),43147.66666666667)</f>
        <v>43147.66667</v>
      </c>
      <c r="B4563" s="1">
        <f>IFERROR(__xludf.DUMMYFUNCTION("""COMPUTED_VALUE"""),82.21)</f>
        <v>82.21</v>
      </c>
      <c r="C4563" s="1">
        <f>IFERROR(__xludf.DUMMYFUNCTION("""COMPUTED_VALUE"""),83.25)</f>
        <v>83.25</v>
      </c>
      <c r="D4563" s="1">
        <f>IFERROR(__xludf.DUMMYFUNCTION("""COMPUTED_VALUE"""),82.13)</f>
        <v>82.13</v>
      </c>
      <c r="E4563" s="1">
        <f>IFERROR(__xludf.DUMMYFUNCTION("""COMPUTED_VALUE"""),82.6)</f>
        <v>82.6</v>
      </c>
      <c r="F4563" s="1">
        <f>IFERROR(__xludf.DUMMYFUNCTION("""COMPUTED_VALUE"""),1.037171E7)</f>
        <v>10371710</v>
      </c>
    </row>
    <row r="4564">
      <c r="A4564" s="2">
        <f>IFERROR(__xludf.DUMMYFUNCTION("""COMPUTED_VALUE"""),43151.66666666667)</f>
        <v>43151.66667</v>
      </c>
      <c r="B4564" s="1">
        <f>IFERROR(__xludf.DUMMYFUNCTION("""COMPUTED_VALUE"""),82.19)</f>
        <v>82.19</v>
      </c>
      <c r="C4564" s="1">
        <f>IFERROR(__xludf.DUMMYFUNCTION("""COMPUTED_VALUE"""),82.22)</f>
        <v>82.22</v>
      </c>
      <c r="D4564" s="1">
        <f>IFERROR(__xludf.DUMMYFUNCTION("""COMPUTED_VALUE"""),81.07)</f>
        <v>81.07</v>
      </c>
      <c r="E4564" s="1">
        <f>IFERROR(__xludf.DUMMYFUNCTION("""COMPUTED_VALUE"""),81.34)</f>
        <v>81.34</v>
      </c>
      <c r="F4564" s="1">
        <f>IFERROR(__xludf.DUMMYFUNCTION("""COMPUTED_VALUE"""),7087719.0)</f>
        <v>7087719</v>
      </c>
    </row>
    <row r="4565">
      <c r="A4565" s="2">
        <f>IFERROR(__xludf.DUMMYFUNCTION("""COMPUTED_VALUE"""),43152.66666666667)</f>
        <v>43152.66667</v>
      </c>
      <c r="B4565" s="1">
        <f>IFERROR(__xludf.DUMMYFUNCTION("""COMPUTED_VALUE"""),81.31)</f>
        <v>81.31</v>
      </c>
      <c r="C4565" s="1">
        <f>IFERROR(__xludf.DUMMYFUNCTION("""COMPUTED_VALUE"""),81.81)</f>
        <v>81.81</v>
      </c>
      <c r="D4565" s="1">
        <f>IFERROR(__xludf.DUMMYFUNCTION("""COMPUTED_VALUE"""),80.19)</f>
        <v>80.19</v>
      </c>
      <c r="E4565" s="1">
        <f>IFERROR(__xludf.DUMMYFUNCTION("""COMPUTED_VALUE"""),80.24)</f>
        <v>80.24</v>
      </c>
      <c r="F4565" s="1">
        <f>IFERROR(__xludf.DUMMYFUNCTION("""COMPUTED_VALUE"""),9134548.0)</f>
        <v>9134548</v>
      </c>
    </row>
    <row r="4566">
      <c r="A4566" s="2">
        <f>IFERROR(__xludf.DUMMYFUNCTION("""COMPUTED_VALUE"""),43153.66666666667)</f>
        <v>43153.66667</v>
      </c>
      <c r="B4566" s="1">
        <f>IFERROR(__xludf.DUMMYFUNCTION("""COMPUTED_VALUE"""),80.47)</f>
        <v>80.47</v>
      </c>
      <c r="C4566" s="1">
        <f>IFERROR(__xludf.DUMMYFUNCTION("""COMPUTED_VALUE"""),81.28)</f>
        <v>81.28</v>
      </c>
      <c r="D4566" s="1">
        <f>IFERROR(__xludf.DUMMYFUNCTION("""COMPUTED_VALUE"""),80.17)</f>
        <v>80.17</v>
      </c>
      <c r="E4566" s="1">
        <f>IFERROR(__xludf.DUMMYFUNCTION("""COMPUTED_VALUE"""),80.84)</f>
        <v>80.84</v>
      </c>
      <c r="F4566" s="1">
        <f>IFERROR(__xludf.DUMMYFUNCTION("""COMPUTED_VALUE"""),1.027769E7)</f>
        <v>10277690</v>
      </c>
    </row>
    <row r="4567">
      <c r="A4567" s="2">
        <f>IFERROR(__xludf.DUMMYFUNCTION("""COMPUTED_VALUE"""),43154.66666666667)</f>
        <v>43154.66667</v>
      </c>
      <c r="B4567" s="1">
        <f>IFERROR(__xludf.DUMMYFUNCTION("""COMPUTED_VALUE"""),81.01)</f>
        <v>81.01</v>
      </c>
      <c r="C4567" s="1">
        <f>IFERROR(__xludf.DUMMYFUNCTION("""COMPUTED_VALUE"""),81.12)</f>
        <v>81.12</v>
      </c>
      <c r="D4567" s="1">
        <f>IFERROR(__xludf.DUMMYFUNCTION("""COMPUTED_VALUE"""),80.48)</f>
        <v>80.48</v>
      </c>
      <c r="E4567" s="1">
        <f>IFERROR(__xludf.DUMMYFUNCTION("""COMPUTED_VALUE"""),81.05)</f>
        <v>81.05</v>
      </c>
      <c r="F4567" s="1">
        <f>IFERROR(__xludf.DUMMYFUNCTION("""COMPUTED_VALUE"""),1.0321844E7)</f>
        <v>10321844</v>
      </c>
    </row>
    <row r="4568">
      <c r="A4568" s="2">
        <f>IFERROR(__xludf.DUMMYFUNCTION("""COMPUTED_VALUE"""),43157.66666666667)</f>
        <v>43157.66667</v>
      </c>
      <c r="B4568" s="1">
        <f>IFERROR(__xludf.DUMMYFUNCTION("""COMPUTED_VALUE"""),81.45)</f>
        <v>81.45</v>
      </c>
      <c r="C4568" s="1">
        <f>IFERROR(__xludf.DUMMYFUNCTION("""COMPUTED_VALUE"""),81.69)</f>
        <v>81.69</v>
      </c>
      <c r="D4568" s="1">
        <f>IFERROR(__xludf.DUMMYFUNCTION("""COMPUTED_VALUE"""),81.05)</f>
        <v>81.05</v>
      </c>
      <c r="E4568" s="1">
        <f>IFERROR(__xludf.DUMMYFUNCTION("""COMPUTED_VALUE"""),81.63)</f>
        <v>81.63</v>
      </c>
      <c r="F4568" s="1">
        <f>IFERROR(__xludf.DUMMYFUNCTION("""COMPUTED_VALUE"""),9422196.0)</f>
        <v>9422196</v>
      </c>
    </row>
    <row r="4569">
      <c r="A4569" s="2">
        <f>IFERROR(__xludf.DUMMYFUNCTION("""COMPUTED_VALUE"""),43158.66666666667)</f>
        <v>43158.66667</v>
      </c>
      <c r="B4569" s="1">
        <f>IFERROR(__xludf.DUMMYFUNCTION("""COMPUTED_VALUE"""),81.89)</f>
        <v>81.89</v>
      </c>
      <c r="C4569" s="1">
        <f>IFERROR(__xludf.DUMMYFUNCTION("""COMPUTED_VALUE"""),82.0)</f>
        <v>82</v>
      </c>
      <c r="D4569" s="1">
        <f>IFERROR(__xludf.DUMMYFUNCTION("""COMPUTED_VALUE"""),80.51)</f>
        <v>80.51</v>
      </c>
      <c r="E4569" s="1">
        <f>IFERROR(__xludf.DUMMYFUNCTION("""COMPUTED_VALUE"""),80.54)</f>
        <v>80.54</v>
      </c>
      <c r="F4569" s="1">
        <f>IFERROR(__xludf.DUMMYFUNCTION("""COMPUTED_VALUE"""),8919599.0)</f>
        <v>8919599</v>
      </c>
    </row>
    <row r="4570">
      <c r="A4570" s="2">
        <f>IFERROR(__xludf.DUMMYFUNCTION("""COMPUTED_VALUE"""),43159.66666666667)</f>
        <v>43159.66667</v>
      </c>
      <c r="B4570" s="1">
        <f>IFERROR(__xludf.DUMMYFUNCTION("""COMPUTED_VALUE"""),80.68)</f>
        <v>80.68</v>
      </c>
      <c r="C4570" s="1">
        <f>IFERROR(__xludf.DUMMYFUNCTION("""COMPUTED_VALUE"""),80.79)</f>
        <v>80.79</v>
      </c>
      <c r="D4570" s="1">
        <f>IFERROR(__xludf.DUMMYFUNCTION("""COMPUTED_VALUE"""),78.5)</f>
        <v>78.5</v>
      </c>
      <c r="E4570" s="1">
        <f>IFERROR(__xludf.DUMMYFUNCTION("""COMPUTED_VALUE"""),78.52)</f>
        <v>78.52</v>
      </c>
      <c r="F4570" s="1">
        <f>IFERROR(__xludf.DUMMYFUNCTION("""COMPUTED_VALUE"""),1.6861972E7)</f>
        <v>16861972</v>
      </c>
    </row>
    <row r="4571">
      <c r="A4571" s="2">
        <f>IFERROR(__xludf.DUMMYFUNCTION("""COMPUTED_VALUE"""),43160.66666666667)</f>
        <v>43160.66667</v>
      </c>
      <c r="B4571" s="1">
        <f>IFERROR(__xludf.DUMMYFUNCTION("""COMPUTED_VALUE"""),78.4)</f>
        <v>78.4</v>
      </c>
      <c r="C4571" s="1">
        <f>IFERROR(__xludf.DUMMYFUNCTION("""COMPUTED_VALUE"""),79.28)</f>
        <v>79.28</v>
      </c>
      <c r="D4571" s="1">
        <f>IFERROR(__xludf.DUMMYFUNCTION("""COMPUTED_VALUE"""),77.9)</f>
        <v>77.9</v>
      </c>
      <c r="E4571" s="1">
        <f>IFERROR(__xludf.DUMMYFUNCTION("""COMPUTED_VALUE"""),78.7)</f>
        <v>78.7</v>
      </c>
      <c r="F4571" s="1">
        <f>IFERROR(__xludf.DUMMYFUNCTION("""COMPUTED_VALUE"""),1.3504231E7)</f>
        <v>13504231</v>
      </c>
    </row>
    <row r="4572">
      <c r="A4572" s="2">
        <f>IFERROR(__xludf.DUMMYFUNCTION("""COMPUTED_VALUE"""),43161.66666666667)</f>
        <v>43161.66667</v>
      </c>
      <c r="B4572" s="1">
        <f>IFERROR(__xludf.DUMMYFUNCTION("""COMPUTED_VALUE"""),78.48)</f>
        <v>78.48</v>
      </c>
      <c r="C4572" s="1">
        <f>IFERROR(__xludf.DUMMYFUNCTION("""COMPUTED_VALUE"""),79.66)</f>
        <v>79.66</v>
      </c>
      <c r="D4572" s="1">
        <f>IFERROR(__xludf.DUMMYFUNCTION("""COMPUTED_VALUE"""),78.42)</f>
        <v>78.42</v>
      </c>
      <c r="E4572" s="1">
        <f>IFERROR(__xludf.DUMMYFUNCTION("""COMPUTED_VALUE"""),79.5)</f>
        <v>79.5</v>
      </c>
      <c r="F4572" s="1">
        <f>IFERROR(__xludf.DUMMYFUNCTION("""COMPUTED_VALUE"""),9317663.0)</f>
        <v>9317663</v>
      </c>
    </row>
    <row r="4573">
      <c r="A4573" s="2">
        <f>IFERROR(__xludf.DUMMYFUNCTION("""COMPUTED_VALUE"""),43164.66666666667)</f>
        <v>43164.66667</v>
      </c>
      <c r="B4573" s="1">
        <f>IFERROR(__xludf.DUMMYFUNCTION("""COMPUTED_VALUE"""),79.28)</f>
        <v>79.28</v>
      </c>
      <c r="C4573" s="1">
        <f>IFERROR(__xludf.DUMMYFUNCTION("""COMPUTED_VALUE"""),80.39)</f>
        <v>80.39</v>
      </c>
      <c r="D4573" s="1">
        <f>IFERROR(__xludf.DUMMYFUNCTION("""COMPUTED_VALUE"""),79.15)</f>
        <v>79.15</v>
      </c>
      <c r="E4573" s="1">
        <f>IFERROR(__xludf.DUMMYFUNCTION("""COMPUTED_VALUE"""),80.29)</f>
        <v>80.29</v>
      </c>
      <c r="F4573" s="1">
        <f>IFERROR(__xludf.DUMMYFUNCTION("""COMPUTED_VALUE"""),8177044.0)</f>
        <v>8177044</v>
      </c>
    </row>
    <row r="4574">
      <c r="A4574" s="2">
        <f>IFERROR(__xludf.DUMMYFUNCTION("""COMPUTED_VALUE"""),43165.66666666667)</f>
        <v>43165.66667</v>
      </c>
      <c r="B4574" s="1">
        <f>IFERROR(__xludf.DUMMYFUNCTION("""COMPUTED_VALUE"""),80.41)</f>
        <v>80.41</v>
      </c>
      <c r="C4574" s="1">
        <f>IFERROR(__xludf.DUMMYFUNCTION("""COMPUTED_VALUE"""),80.42)</f>
        <v>80.42</v>
      </c>
      <c r="D4574" s="1">
        <f>IFERROR(__xludf.DUMMYFUNCTION("""COMPUTED_VALUE"""),79.37)</f>
        <v>79.37</v>
      </c>
      <c r="E4574" s="1">
        <f>IFERROR(__xludf.DUMMYFUNCTION("""COMPUTED_VALUE"""),80.02)</f>
        <v>80.02</v>
      </c>
      <c r="F4574" s="1">
        <f>IFERROR(__xludf.DUMMYFUNCTION("""COMPUTED_VALUE"""),9085315.0)</f>
        <v>9085315</v>
      </c>
    </row>
    <row r="4575">
      <c r="A4575" s="2">
        <f>IFERROR(__xludf.DUMMYFUNCTION("""COMPUTED_VALUE"""),43166.66666666667)</f>
        <v>43166.66667</v>
      </c>
      <c r="B4575" s="1">
        <f>IFERROR(__xludf.DUMMYFUNCTION("""COMPUTED_VALUE"""),79.53)</f>
        <v>79.53</v>
      </c>
      <c r="C4575" s="1">
        <f>IFERROR(__xludf.DUMMYFUNCTION("""COMPUTED_VALUE"""),79.64)</f>
        <v>79.64</v>
      </c>
      <c r="D4575" s="1">
        <f>IFERROR(__xludf.DUMMYFUNCTION("""COMPUTED_VALUE"""),78.9)</f>
        <v>78.9</v>
      </c>
      <c r="E4575" s="1">
        <f>IFERROR(__xludf.DUMMYFUNCTION("""COMPUTED_VALUE"""),79.16)</f>
        <v>79.16</v>
      </c>
      <c r="F4575" s="1">
        <f>IFERROR(__xludf.DUMMYFUNCTION("""COMPUTED_VALUE"""),9089498.0)</f>
        <v>9089498</v>
      </c>
    </row>
    <row r="4576">
      <c r="A4576" s="2">
        <f>IFERROR(__xludf.DUMMYFUNCTION("""COMPUTED_VALUE"""),43167.66666666667)</f>
        <v>43167.66667</v>
      </c>
      <c r="B4576" s="1">
        <f>IFERROR(__xludf.DUMMYFUNCTION("""COMPUTED_VALUE"""),79.17)</f>
        <v>79.17</v>
      </c>
      <c r="C4576" s="1">
        <f>IFERROR(__xludf.DUMMYFUNCTION("""COMPUTED_VALUE"""),79.99)</f>
        <v>79.99</v>
      </c>
      <c r="D4576" s="1">
        <f>IFERROR(__xludf.DUMMYFUNCTION("""COMPUTED_VALUE"""),79.02)</f>
        <v>79.02</v>
      </c>
      <c r="E4576" s="1">
        <f>IFERROR(__xludf.DUMMYFUNCTION("""COMPUTED_VALUE"""),79.97)</f>
        <v>79.97</v>
      </c>
      <c r="F4576" s="1">
        <f>IFERROR(__xludf.DUMMYFUNCTION("""COMPUTED_VALUE"""),7951693.0)</f>
        <v>7951693</v>
      </c>
    </row>
    <row r="4577">
      <c r="A4577" s="2">
        <f>IFERROR(__xludf.DUMMYFUNCTION("""COMPUTED_VALUE"""),43168.66666666667)</f>
        <v>43168.66667</v>
      </c>
      <c r="B4577" s="1">
        <f>IFERROR(__xludf.DUMMYFUNCTION("""COMPUTED_VALUE"""),80.18)</f>
        <v>80.18</v>
      </c>
      <c r="C4577" s="1">
        <f>IFERROR(__xludf.DUMMYFUNCTION("""COMPUTED_VALUE"""),80.75)</f>
        <v>80.75</v>
      </c>
      <c r="D4577" s="1">
        <f>IFERROR(__xludf.DUMMYFUNCTION("""COMPUTED_VALUE"""),79.9)</f>
        <v>79.9</v>
      </c>
      <c r="E4577" s="1">
        <f>IFERROR(__xludf.DUMMYFUNCTION("""COMPUTED_VALUE"""),80.29)</f>
        <v>80.29</v>
      </c>
      <c r="F4577" s="1">
        <f>IFERROR(__xludf.DUMMYFUNCTION("""COMPUTED_VALUE"""),7662230.0)</f>
        <v>7662230</v>
      </c>
    </row>
    <row r="4578">
      <c r="A4578" s="2">
        <f>IFERROR(__xludf.DUMMYFUNCTION("""COMPUTED_VALUE"""),43171.66666666667)</f>
        <v>43171.66667</v>
      </c>
      <c r="B4578" s="1">
        <f>IFERROR(__xludf.DUMMYFUNCTION("""COMPUTED_VALUE"""),80.23)</f>
        <v>80.23</v>
      </c>
      <c r="C4578" s="1">
        <f>IFERROR(__xludf.DUMMYFUNCTION("""COMPUTED_VALUE"""),80.62)</f>
        <v>80.62</v>
      </c>
      <c r="D4578" s="1">
        <f>IFERROR(__xludf.DUMMYFUNCTION("""COMPUTED_VALUE"""),79.76)</f>
        <v>79.76</v>
      </c>
      <c r="E4578" s="1">
        <f>IFERROR(__xludf.DUMMYFUNCTION("""COMPUTED_VALUE"""),79.86)</f>
        <v>79.86</v>
      </c>
      <c r="F4578" s="1">
        <f>IFERROR(__xludf.DUMMYFUNCTION("""COMPUTED_VALUE"""),7182018.0)</f>
        <v>7182018</v>
      </c>
    </row>
    <row r="4579">
      <c r="A4579" s="2">
        <f>IFERROR(__xludf.DUMMYFUNCTION("""COMPUTED_VALUE"""),43172.66666666667)</f>
        <v>43172.66667</v>
      </c>
      <c r="B4579" s="1">
        <f>IFERROR(__xludf.DUMMYFUNCTION("""COMPUTED_VALUE"""),80.0)</f>
        <v>80</v>
      </c>
      <c r="C4579" s="1">
        <f>IFERROR(__xludf.DUMMYFUNCTION("""COMPUTED_VALUE"""),80.19)</f>
        <v>80.19</v>
      </c>
      <c r="D4579" s="1">
        <f>IFERROR(__xludf.DUMMYFUNCTION("""COMPUTED_VALUE"""),79.36)</f>
        <v>79.36</v>
      </c>
      <c r="E4579" s="1">
        <f>IFERROR(__xludf.DUMMYFUNCTION("""COMPUTED_VALUE"""),79.72)</f>
        <v>79.72</v>
      </c>
      <c r="F4579" s="1">
        <f>IFERROR(__xludf.DUMMYFUNCTION("""COMPUTED_VALUE"""),9620196.0)</f>
        <v>9620196</v>
      </c>
    </row>
    <row r="4580">
      <c r="A4580" s="2">
        <f>IFERROR(__xludf.DUMMYFUNCTION("""COMPUTED_VALUE"""),43173.66666666667)</f>
        <v>43173.66667</v>
      </c>
      <c r="B4580" s="1">
        <f>IFERROR(__xludf.DUMMYFUNCTION("""COMPUTED_VALUE"""),79.69)</f>
        <v>79.69</v>
      </c>
      <c r="C4580" s="1">
        <f>IFERROR(__xludf.DUMMYFUNCTION("""COMPUTED_VALUE"""),79.84)</f>
        <v>79.84</v>
      </c>
      <c r="D4580" s="1">
        <f>IFERROR(__xludf.DUMMYFUNCTION("""COMPUTED_VALUE"""),78.86)</f>
        <v>78.86</v>
      </c>
      <c r="E4580" s="1">
        <f>IFERROR(__xludf.DUMMYFUNCTION("""COMPUTED_VALUE"""),79.0)</f>
        <v>79</v>
      </c>
      <c r="F4580" s="1">
        <f>IFERROR(__xludf.DUMMYFUNCTION("""COMPUTED_VALUE"""),8898116.0)</f>
        <v>8898116</v>
      </c>
    </row>
    <row r="4581">
      <c r="A4581" s="2">
        <f>IFERROR(__xludf.DUMMYFUNCTION("""COMPUTED_VALUE"""),43174.66666666667)</f>
        <v>43174.66667</v>
      </c>
      <c r="B4581" s="1">
        <f>IFERROR(__xludf.DUMMYFUNCTION("""COMPUTED_VALUE"""),79.09)</f>
        <v>79.09</v>
      </c>
      <c r="C4581" s="1">
        <f>IFERROR(__xludf.DUMMYFUNCTION("""COMPUTED_VALUE"""),79.14)</f>
        <v>79.14</v>
      </c>
      <c r="D4581" s="1">
        <f>IFERROR(__xludf.DUMMYFUNCTION("""COMPUTED_VALUE"""),78.54)</f>
        <v>78.54</v>
      </c>
      <c r="E4581" s="1">
        <f>IFERROR(__xludf.DUMMYFUNCTION("""COMPUTED_VALUE"""),78.67)</f>
        <v>78.67</v>
      </c>
      <c r="F4581" s="1">
        <f>IFERROR(__xludf.DUMMYFUNCTION("""COMPUTED_VALUE"""),6996927.0)</f>
        <v>6996927</v>
      </c>
    </row>
    <row r="4582">
      <c r="A4582" s="2">
        <f>IFERROR(__xludf.DUMMYFUNCTION("""COMPUTED_VALUE"""),43175.66666666667)</f>
        <v>43175.66667</v>
      </c>
      <c r="B4582" s="1">
        <f>IFERROR(__xludf.DUMMYFUNCTION("""COMPUTED_VALUE"""),78.93)</f>
        <v>78.93</v>
      </c>
      <c r="C4582" s="1">
        <f>IFERROR(__xludf.DUMMYFUNCTION("""COMPUTED_VALUE"""),79.39)</f>
        <v>79.39</v>
      </c>
      <c r="D4582" s="1">
        <f>IFERROR(__xludf.DUMMYFUNCTION("""COMPUTED_VALUE"""),78.84)</f>
        <v>78.84</v>
      </c>
      <c r="E4582" s="1">
        <f>IFERROR(__xludf.DUMMYFUNCTION("""COMPUTED_VALUE"""),78.97)</f>
        <v>78.97</v>
      </c>
      <c r="F4582" s="1">
        <f>IFERROR(__xludf.DUMMYFUNCTION("""COMPUTED_VALUE"""),1.7715447E7)</f>
        <v>17715447</v>
      </c>
    </row>
    <row r="4583">
      <c r="A4583" s="2">
        <f>IFERROR(__xludf.DUMMYFUNCTION("""COMPUTED_VALUE"""),43178.66666666667)</f>
        <v>43178.66667</v>
      </c>
      <c r="B4583" s="1">
        <f>IFERROR(__xludf.DUMMYFUNCTION("""COMPUTED_VALUE"""),78.97)</f>
        <v>78.97</v>
      </c>
      <c r="C4583" s="1">
        <f>IFERROR(__xludf.DUMMYFUNCTION("""COMPUTED_VALUE"""),79.57)</f>
        <v>79.57</v>
      </c>
      <c r="D4583" s="1">
        <f>IFERROR(__xludf.DUMMYFUNCTION("""COMPUTED_VALUE"""),78.27)</f>
        <v>78.27</v>
      </c>
      <c r="E4583" s="1">
        <f>IFERROR(__xludf.DUMMYFUNCTION("""COMPUTED_VALUE"""),78.66)</f>
        <v>78.66</v>
      </c>
      <c r="F4583" s="1">
        <f>IFERROR(__xludf.DUMMYFUNCTION("""COMPUTED_VALUE"""),8368229.0)</f>
        <v>8368229</v>
      </c>
    </row>
    <row r="4584">
      <c r="A4584" s="2">
        <f>IFERROR(__xludf.DUMMYFUNCTION("""COMPUTED_VALUE"""),43179.66666666667)</f>
        <v>43179.66667</v>
      </c>
      <c r="B4584" s="1">
        <f>IFERROR(__xludf.DUMMYFUNCTION("""COMPUTED_VALUE"""),78.74)</f>
        <v>78.74</v>
      </c>
      <c r="C4584" s="1">
        <f>IFERROR(__xludf.DUMMYFUNCTION("""COMPUTED_VALUE"""),79.1)</f>
        <v>79.1</v>
      </c>
      <c r="D4584" s="1">
        <f>IFERROR(__xludf.DUMMYFUNCTION("""COMPUTED_VALUE"""),77.96)</f>
        <v>77.96</v>
      </c>
      <c r="E4584" s="1">
        <f>IFERROR(__xludf.DUMMYFUNCTION("""COMPUTED_VALUE"""),78.31)</f>
        <v>78.31</v>
      </c>
      <c r="F4584" s="1">
        <f>IFERROR(__xludf.DUMMYFUNCTION("""COMPUTED_VALUE"""),8465499.0)</f>
        <v>8465499</v>
      </c>
    </row>
    <row r="4585">
      <c r="A4585" s="2">
        <f>IFERROR(__xludf.DUMMYFUNCTION("""COMPUTED_VALUE"""),43180.66666666667)</f>
        <v>43180.66667</v>
      </c>
      <c r="B4585" s="1">
        <f>IFERROR(__xludf.DUMMYFUNCTION("""COMPUTED_VALUE"""),78.05)</f>
        <v>78.05</v>
      </c>
      <c r="C4585" s="1">
        <f>IFERROR(__xludf.DUMMYFUNCTION("""COMPUTED_VALUE"""),78.24)</f>
        <v>78.24</v>
      </c>
      <c r="D4585" s="1">
        <f>IFERROR(__xludf.DUMMYFUNCTION("""COMPUTED_VALUE"""),76.88)</f>
        <v>76.88</v>
      </c>
      <c r="E4585" s="1">
        <f>IFERROR(__xludf.DUMMYFUNCTION("""COMPUTED_VALUE"""),77.04)</f>
        <v>77.04</v>
      </c>
      <c r="F4585" s="1">
        <f>IFERROR(__xludf.DUMMYFUNCTION("""COMPUTED_VALUE"""),9822849.0)</f>
        <v>9822849</v>
      </c>
    </row>
    <row r="4586">
      <c r="A4586" s="2">
        <f>IFERROR(__xludf.DUMMYFUNCTION("""COMPUTED_VALUE"""),43181.66666666667)</f>
        <v>43181.66667</v>
      </c>
      <c r="B4586" s="1">
        <f>IFERROR(__xludf.DUMMYFUNCTION("""COMPUTED_VALUE"""),76.83)</f>
        <v>76.83</v>
      </c>
      <c r="C4586" s="1">
        <f>IFERROR(__xludf.DUMMYFUNCTION("""COMPUTED_VALUE"""),77.52)</f>
        <v>77.52</v>
      </c>
      <c r="D4586" s="1">
        <f>IFERROR(__xludf.DUMMYFUNCTION("""COMPUTED_VALUE"""),76.37)</f>
        <v>76.37</v>
      </c>
      <c r="E4586" s="1">
        <f>IFERROR(__xludf.DUMMYFUNCTION("""COMPUTED_VALUE"""),76.41)</f>
        <v>76.41</v>
      </c>
      <c r="F4586" s="1">
        <f>IFERROR(__xludf.DUMMYFUNCTION("""COMPUTED_VALUE"""),1.0481577E7)</f>
        <v>10481577</v>
      </c>
    </row>
    <row r="4587">
      <c r="A4587" s="2">
        <f>IFERROR(__xludf.DUMMYFUNCTION("""COMPUTED_VALUE"""),43182.66666666667)</f>
        <v>43182.66667</v>
      </c>
      <c r="B4587" s="1">
        <f>IFERROR(__xludf.DUMMYFUNCTION("""COMPUTED_VALUE"""),76.79)</f>
        <v>76.79</v>
      </c>
      <c r="C4587" s="1">
        <f>IFERROR(__xludf.DUMMYFUNCTION("""COMPUTED_VALUE"""),77.18)</f>
        <v>77.18</v>
      </c>
      <c r="D4587" s="1">
        <f>IFERROR(__xludf.DUMMYFUNCTION("""COMPUTED_VALUE"""),75.81)</f>
        <v>75.81</v>
      </c>
      <c r="E4587" s="1">
        <f>IFERROR(__xludf.DUMMYFUNCTION("""COMPUTED_VALUE"""),75.91)</f>
        <v>75.91</v>
      </c>
      <c r="F4587" s="1">
        <f>IFERROR(__xludf.DUMMYFUNCTION("""COMPUTED_VALUE"""),1.1728334E7)</f>
        <v>11728334</v>
      </c>
    </row>
    <row r="4588">
      <c r="A4588" s="2">
        <f>IFERROR(__xludf.DUMMYFUNCTION("""COMPUTED_VALUE"""),43185.66666666667)</f>
        <v>43185.66667</v>
      </c>
      <c r="B4588" s="1">
        <f>IFERROR(__xludf.DUMMYFUNCTION("""COMPUTED_VALUE"""),76.57)</f>
        <v>76.57</v>
      </c>
      <c r="C4588" s="1">
        <f>IFERROR(__xludf.DUMMYFUNCTION("""COMPUTED_VALUE"""),76.87)</f>
        <v>76.87</v>
      </c>
      <c r="D4588" s="1">
        <f>IFERROR(__xludf.DUMMYFUNCTION("""COMPUTED_VALUE"""),76.02)</f>
        <v>76.02</v>
      </c>
      <c r="E4588" s="1">
        <f>IFERROR(__xludf.DUMMYFUNCTION("""COMPUTED_VALUE"""),76.41)</f>
        <v>76.41</v>
      </c>
      <c r="F4588" s="1">
        <f>IFERROR(__xludf.DUMMYFUNCTION("""COMPUTED_VALUE"""),1.2936967E7)</f>
        <v>12936967</v>
      </c>
    </row>
    <row r="4589">
      <c r="A4589" s="2">
        <f>IFERROR(__xludf.DUMMYFUNCTION("""COMPUTED_VALUE"""),43186.66666666667)</f>
        <v>43186.66667</v>
      </c>
      <c r="B4589" s="1">
        <f>IFERROR(__xludf.DUMMYFUNCTION("""COMPUTED_VALUE"""),76.53)</f>
        <v>76.53</v>
      </c>
      <c r="C4589" s="1">
        <f>IFERROR(__xludf.DUMMYFUNCTION("""COMPUTED_VALUE"""),78.44)</f>
        <v>78.44</v>
      </c>
      <c r="D4589" s="1">
        <f>IFERROR(__xludf.DUMMYFUNCTION("""COMPUTED_VALUE"""),76.3)</f>
        <v>76.3</v>
      </c>
      <c r="E4589" s="1">
        <f>IFERROR(__xludf.DUMMYFUNCTION("""COMPUTED_VALUE"""),77.79)</f>
        <v>77.79</v>
      </c>
      <c r="F4589" s="1">
        <f>IFERROR(__xludf.DUMMYFUNCTION("""COMPUTED_VALUE"""),1.1288202E7)</f>
        <v>11288202</v>
      </c>
    </row>
    <row r="4590">
      <c r="A4590" s="2">
        <f>IFERROR(__xludf.DUMMYFUNCTION("""COMPUTED_VALUE"""),43187.66666666667)</f>
        <v>43187.66667</v>
      </c>
      <c r="B4590" s="1">
        <f>IFERROR(__xludf.DUMMYFUNCTION("""COMPUTED_VALUE"""),77.95)</f>
        <v>77.95</v>
      </c>
      <c r="C4590" s="1">
        <f>IFERROR(__xludf.DUMMYFUNCTION("""COMPUTED_VALUE"""),79.14)</f>
        <v>79.14</v>
      </c>
      <c r="D4590" s="1">
        <f>IFERROR(__xludf.DUMMYFUNCTION("""COMPUTED_VALUE"""),77.95)</f>
        <v>77.95</v>
      </c>
      <c r="E4590" s="1">
        <f>IFERROR(__xludf.DUMMYFUNCTION("""COMPUTED_VALUE"""),78.84)</f>
        <v>78.84</v>
      </c>
      <c r="F4590" s="1">
        <f>IFERROR(__xludf.DUMMYFUNCTION("""COMPUTED_VALUE"""),1.2857821E7)</f>
        <v>12857821</v>
      </c>
    </row>
    <row r="4591">
      <c r="A4591" s="2">
        <f>IFERROR(__xludf.DUMMYFUNCTION("""COMPUTED_VALUE"""),43188.66666666667)</f>
        <v>43188.66667</v>
      </c>
      <c r="B4591" s="1">
        <f>IFERROR(__xludf.DUMMYFUNCTION("""COMPUTED_VALUE"""),79.43)</f>
        <v>79.43</v>
      </c>
      <c r="C4591" s="1">
        <f>IFERROR(__xludf.DUMMYFUNCTION("""COMPUTED_VALUE"""),80.49)</f>
        <v>80.49</v>
      </c>
      <c r="D4591" s="1">
        <f>IFERROR(__xludf.DUMMYFUNCTION("""COMPUTED_VALUE"""),79.18)</f>
        <v>79.18</v>
      </c>
      <c r="E4591" s="1">
        <f>IFERROR(__xludf.DUMMYFUNCTION("""COMPUTED_VALUE"""),79.28)</f>
        <v>79.28</v>
      </c>
      <c r="F4591" s="1">
        <f>IFERROR(__xludf.DUMMYFUNCTION("""COMPUTED_VALUE"""),1.0036424E7)</f>
        <v>10036424</v>
      </c>
    </row>
    <row r="4592">
      <c r="A4592" s="2">
        <f>IFERROR(__xludf.DUMMYFUNCTION("""COMPUTED_VALUE"""),43192.66666666667)</f>
        <v>43192.66667</v>
      </c>
      <c r="B4592" s="1">
        <f>IFERROR(__xludf.DUMMYFUNCTION("""COMPUTED_VALUE"""),79.26)</f>
        <v>79.26</v>
      </c>
      <c r="C4592" s="1">
        <f>IFERROR(__xludf.DUMMYFUNCTION("""COMPUTED_VALUE"""),79.37)</f>
        <v>79.37</v>
      </c>
      <c r="D4592" s="1">
        <f>IFERROR(__xludf.DUMMYFUNCTION("""COMPUTED_VALUE"""),77.06)</f>
        <v>77.06</v>
      </c>
      <c r="E4592" s="1">
        <f>IFERROR(__xludf.DUMMYFUNCTION("""COMPUTED_VALUE"""),77.4)</f>
        <v>77.4</v>
      </c>
      <c r="F4592" s="1">
        <f>IFERROR(__xludf.DUMMYFUNCTION("""COMPUTED_VALUE"""),1.2017213E7)</f>
        <v>12017213</v>
      </c>
    </row>
    <row r="4593">
      <c r="A4593" s="2">
        <f>IFERROR(__xludf.DUMMYFUNCTION("""COMPUTED_VALUE"""),43193.66666666667)</f>
        <v>43193.66667</v>
      </c>
      <c r="B4593" s="1">
        <f>IFERROR(__xludf.DUMMYFUNCTION("""COMPUTED_VALUE"""),77.56)</f>
        <v>77.56</v>
      </c>
      <c r="C4593" s="1">
        <f>IFERROR(__xludf.DUMMYFUNCTION("""COMPUTED_VALUE"""),78.8)</f>
        <v>78.8</v>
      </c>
      <c r="D4593" s="1">
        <f>IFERROR(__xludf.DUMMYFUNCTION("""COMPUTED_VALUE"""),77.18)</f>
        <v>77.18</v>
      </c>
      <c r="E4593" s="1">
        <f>IFERROR(__xludf.DUMMYFUNCTION("""COMPUTED_VALUE"""),78.46)</f>
        <v>78.46</v>
      </c>
      <c r="F4593" s="1">
        <f>IFERROR(__xludf.DUMMYFUNCTION("""COMPUTED_VALUE"""),1.193311E7)</f>
        <v>11933110</v>
      </c>
    </row>
    <row r="4594">
      <c r="A4594" s="2">
        <f>IFERROR(__xludf.DUMMYFUNCTION("""COMPUTED_VALUE"""),43194.66666666667)</f>
        <v>43194.66667</v>
      </c>
      <c r="B4594" s="1">
        <f>IFERROR(__xludf.DUMMYFUNCTION("""COMPUTED_VALUE"""),77.82)</f>
        <v>77.82</v>
      </c>
      <c r="C4594" s="1">
        <f>IFERROR(__xludf.DUMMYFUNCTION("""COMPUTED_VALUE"""),79.52)</f>
        <v>79.52</v>
      </c>
      <c r="D4594" s="1">
        <f>IFERROR(__xludf.DUMMYFUNCTION("""COMPUTED_VALUE"""),77.59)</f>
        <v>77.59</v>
      </c>
      <c r="E4594" s="1">
        <f>IFERROR(__xludf.DUMMYFUNCTION("""COMPUTED_VALUE"""),79.05)</f>
        <v>79.05</v>
      </c>
      <c r="F4594" s="1">
        <f>IFERROR(__xludf.DUMMYFUNCTION("""COMPUTED_VALUE"""),9030792.0)</f>
        <v>9030792</v>
      </c>
    </row>
    <row r="4595">
      <c r="A4595" s="2">
        <f>IFERROR(__xludf.DUMMYFUNCTION("""COMPUTED_VALUE"""),43195.66666666667)</f>
        <v>43195.66667</v>
      </c>
      <c r="B4595" s="1">
        <f>IFERROR(__xludf.DUMMYFUNCTION("""COMPUTED_VALUE"""),79.09)</f>
        <v>79.09</v>
      </c>
      <c r="C4595" s="1">
        <f>IFERROR(__xludf.DUMMYFUNCTION("""COMPUTED_VALUE"""),79.32)</f>
        <v>79.32</v>
      </c>
      <c r="D4595" s="1">
        <f>IFERROR(__xludf.DUMMYFUNCTION("""COMPUTED_VALUE"""),78.51)</f>
        <v>78.51</v>
      </c>
      <c r="E4595" s="1">
        <f>IFERROR(__xludf.DUMMYFUNCTION("""COMPUTED_VALUE"""),78.8)</f>
        <v>78.8</v>
      </c>
      <c r="F4595" s="1">
        <f>IFERROR(__xludf.DUMMYFUNCTION("""COMPUTED_VALUE"""),7864699.0)</f>
        <v>7864699</v>
      </c>
    </row>
    <row r="4596">
      <c r="A4596" s="2">
        <f>IFERROR(__xludf.DUMMYFUNCTION("""COMPUTED_VALUE"""),43196.66666666667)</f>
        <v>43196.66667</v>
      </c>
      <c r="B4596" s="1">
        <f>IFERROR(__xludf.DUMMYFUNCTION("""COMPUTED_VALUE"""),78.37)</f>
        <v>78.37</v>
      </c>
      <c r="C4596" s="1">
        <f>IFERROR(__xludf.DUMMYFUNCTION("""COMPUTED_VALUE"""),79.36)</f>
        <v>79.36</v>
      </c>
      <c r="D4596" s="1">
        <f>IFERROR(__xludf.DUMMYFUNCTION("""COMPUTED_VALUE"""),77.9)</f>
        <v>77.9</v>
      </c>
      <c r="E4596" s="1">
        <f>IFERROR(__xludf.DUMMYFUNCTION("""COMPUTED_VALUE"""),78.43)</f>
        <v>78.43</v>
      </c>
      <c r="F4596" s="1">
        <f>IFERROR(__xludf.DUMMYFUNCTION("""COMPUTED_VALUE"""),8300813.0)</f>
        <v>8300813</v>
      </c>
    </row>
    <row r="4597">
      <c r="A4597" s="2">
        <f>IFERROR(__xludf.DUMMYFUNCTION("""COMPUTED_VALUE"""),43199.66666666667)</f>
        <v>43199.66667</v>
      </c>
      <c r="B4597" s="1">
        <f>IFERROR(__xludf.DUMMYFUNCTION("""COMPUTED_VALUE"""),78.8)</f>
        <v>78.8</v>
      </c>
      <c r="C4597" s="1">
        <f>IFERROR(__xludf.DUMMYFUNCTION("""COMPUTED_VALUE"""),78.85)</f>
        <v>78.85</v>
      </c>
      <c r="D4597" s="1">
        <f>IFERROR(__xludf.DUMMYFUNCTION("""COMPUTED_VALUE"""),77.57)</f>
        <v>77.57</v>
      </c>
      <c r="E4597" s="1">
        <f>IFERROR(__xludf.DUMMYFUNCTION("""COMPUTED_VALUE"""),78.16)</f>
        <v>78.16</v>
      </c>
      <c r="F4597" s="1">
        <f>IFERROR(__xludf.DUMMYFUNCTION("""COMPUTED_VALUE"""),9031222.0)</f>
        <v>9031222</v>
      </c>
    </row>
    <row r="4598">
      <c r="A4598" s="2">
        <f>IFERROR(__xludf.DUMMYFUNCTION("""COMPUTED_VALUE"""),43200.66666666667)</f>
        <v>43200.66667</v>
      </c>
      <c r="B4598" s="1">
        <f>IFERROR(__xludf.DUMMYFUNCTION("""COMPUTED_VALUE"""),78.71)</f>
        <v>78.71</v>
      </c>
      <c r="C4598" s="1">
        <f>IFERROR(__xludf.DUMMYFUNCTION("""COMPUTED_VALUE"""),78.84)</f>
        <v>78.84</v>
      </c>
      <c r="D4598" s="1">
        <f>IFERROR(__xludf.DUMMYFUNCTION("""COMPUTED_VALUE"""),77.94)</f>
        <v>77.94</v>
      </c>
      <c r="E4598" s="1">
        <f>IFERROR(__xludf.DUMMYFUNCTION("""COMPUTED_VALUE"""),78.37)</f>
        <v>78.37</v>
      </c>
      <c r="F4598" s="1">
        <f>IFERROR(__xludf.DUMMYFUNCTION("""COMPUTED_VALUE"""),7821824.0)</f>
        <v>7821824</v>
      </c>
    </row>
    <row r="4599">
      <c r="A4599" s="2">
        <f>IFERROR(__xludf.DUMMYFUNCTION("""COMPUTED_VALUE"""),43201.66666666667)</f>
        <v>43201.66667</v>
      </c>
      <c r="B4599" s="1">
        <f>IFERROR(__xludf.DUMMYFUNCTION("""COMPUTED_VALUE"""),78.19)</f>
        <v>78.19</v>
      </c>
      <c r="C4599" s="1">
        <f>IFERROR(__xludf.DUMMYFUNCTION("""COMPUTED_VALUE"""),78.69)</f>
        <v>78.69</v>
      </c>
      <c r="D4599" s="1">
        <f>IFERROR(__xludf.DUMMYFUNCTION("""COMPUTED_VALUE"""),78.04)</f>
        <v>78.04</v>
      </c>
      <c r="E4599" s="1">
        <f>IFERROR(__xludf.DUMMYFUNCTION("""COMPUTED_VALUE"""),78.27)</f>
        <v>78.27</v>
      </c>
      <c r="F4599" s="1">
        <f>IFERROR(__xludf.DUMMYFUNCTION("""COMPUTED_VALUE"""),7143494.0)</f>
        <v>7143494</v>
      </c>
    </row>
    <row r="4600">
      <c r="A4600" s="2">
        <f>IFERROR(__xludf.DUMMYFUNCTION("""COMPUTED_VALUE"""),43202.66666666667)</f>
        <v>43202.66667</v>
      </c>
      <c r="B4600" s="1">
        <f>IFERROR(__xludf.DUMMYFUNCTION("""COMPUTED_VALUE"""),78.64)</f>
        <v>78.64</v>
      </c>
      <c r="C4600" s="1">
        <f>IFERROR(__xludf.DUMMYFUNCTION("""COMPUTED_VALUE"""),78.7)</f>
        <v>78.7</v>
      </c>
      <c r="D4600" s="1">
        <f>IFERROR(__xludf.DUMMYFUNCTION("""COMPUTED_VALUE"""),77.79)</f>
        <v>77.79</v>
      </c>
      <c r="E4600" s="1">
        <f>IFERROR(__xludf.DUMMYFUNCTION("""COMPUTED_VALUE"""),77.79)</f>
        <v>77.79</v>
      </c>
      <c r="F4600" s="1">
        <f>IFERROR(__xludf.DUMMYFUNCTION("""COMPUTED_VALUE"""),8282297.0)</f>
        <v>8282297</v>
      </c>
    </row>
    <row r="4601">
      <c r="A4601" s="2">
        <f>IFERROR(__xludf.DUMMYFUNCTION("""COMPUTED_VALUE"""),43203.66666666667)</f>
        <v>43203.66667</v>
      </c>
      <c r="B4601" s="1">
        <f>IFERROR(__xludf.DUMMYFUNCTION("""COMPUTED_VALUE"""),78.06)</f>
        <v>78.06</v>
      </c>
      <c r="C4601" s="1">
        <f>IFERROR(__xludf.DUMMYFUNCTION("""COMPUTED_VALUE"""),78.44)</f>
        <v>78.44</v>
      </c>
      <c r="D4601" s="1">
        <f>IFERROR(__xludf.DUMMYFUNCTION("""COMPUTED_VALUE"""),77.72)</f>
        <v>77.72</v>
      </c>
      <c r="E4601" s="1">
        <f>IFERROR(__xludf.DUMMYFUNCTION("""COMPUTED_VALUE"""),78.37)</f>
        <v>78.37</v>
      </c>
      <c r="F4601" s="1">
        <f>IFERROR(__xludf.DUMMYFUNCTION("""COMPUTED_VALUE"""),6198488.0)</f>
        <v>6198488</v>
      </c>
    </row>
    <row r="4602">
      <c r="A4602" s="2">
        <f>IFERROR(__xludf.DUMMYFUNCTION("""COMPUTED_VALUE"""),43206.66666666667)</f>
        <v>43206.66667</v>
      </c>
      <c r="B4602" s="1">
        <f>IFERROR(__xludf.DUMMYFUNCTION("""COMPUTED_VALUE"""),78.56)</f>
        <v>78.56</v>
      </c>
      <c r="C4602" s="1">
        <f>IFERROR(__xludf.DUMMYFUNCTION("""COMPUTED_VALUE"""),78.86)</f>
        <v>78.86</v>
      </c>
      <c r="D4602" s="1">
        <f>IFERROR(__xludf.DUMMYFUNCTION("""COMPUTED_VALUE"""),78.04)</f>
        <v>78.04</v>
      </c>
      <c r="E4602" s="1">
        <f>IFERROR(__xludf.DUMMYFUNCTION("""COMPUTED_VALUE"""),78.61)</f>
        <v>78.61</v>
      </c>
      <c r="F4602" s="1">
        <f>IFERROR(__xludf.DUMMYFUNCTION("""COMPUTED_VALUE"""),5962236.0)</f>
        <v>5962236</v>
      </c>
    </row>
    <row r="4603">
      <c r="A4603" s="2">
        <f>IFERROR(__xludf.DUMMYFUNCTION("""COMPUTED_VALUE"""),43207.66666666667)</f>
        <v>43207.66667</v>
      </c>
      <c r="B4603" s="1">
        <f>IFERROR(__xludf.DUMMYFUNCTION("""COMPUTED_VALUE"""),78.93)</f>
        <v>78.93</v>
      </c>
      <c r="C4603" s="1">
        <f>IFERROR(__xludf.DUMMYFUNCTION("""COMPUTED_VALUE"""),78.94)</f>
        <v>78.94</v>
      </c>
      <c r="D4603" s="1">
        <f>IFERROR(__xludf.DUMMYFUNCTION("""COMPUTED_VALUE"""),78.1)</f>
        <v>78.1</v>
      </c>
      <c r="E4603" s="1">
        <f>IFERROR(__xludf.DUMMYFUNCTION("""COMPUTED_VALUE"""),78.43)</f>
        <v>78.43</v>
      </c>
      <c r="F4603" s="1">
        <f>IFERROR(__xludf.DUMMYFUNCTION("""COMPUTED_VALUE"""),6492357.0)</f>
        <v>6492357</v>
      </c>
    </row>
    <row r="4604">
      <c r="A4604" s="2">
        <f>IFERROR(__xludf.DUMMYFUNCTION("""COMPUTED_VALUE"""),43208.66666666667)</f>
        <v>43208.66667</v>
      </c>
      <c r="B4604" s="1">
        <f>IFERROR(__xludf.DUMMYFUNCTION("""COMPUTED_VALUE"""),78.58)</f>
        <v>78.58</v>
      </c>
      <c r="C4604" s="1">
        <f>IFERROR(__xludf.DUMMYFUNCTION("""COMPUTED_VALUE"""),78.68)</f>
        <v>78.68</v>
      </c>
      <c r="D4604" s="1">
        <f>IFERROR(__xludf.DUMMYFUNCTION("""COMPUTED_VALUE"""),78.02)</f>
        <v>78.02</v>
      </c>
      <c r="E4604" s="1">
        <f>IFERROR(__xludf.DUMMYFUNCTION("""COMPUTED_VALUE"""),78.2)</f>
        <v>78.2</v>
      </c>
      <c r="F4604" s="1">
        <f>IFERROR(__xludf.DUMMYFUNCTION("""COMPUTED_VALUE"""),7349372.0)</f>
        <v>7349372</v>
      </c>
    </row>
    <row r="4605">
      <c r="A4605" s="2">
        <f>IFERROR(__xludf.DUMMYFUNCTION("""COMPUTED_VALUE"""),43209.66666666667)</f>
        <v>43209.66667</v>
      </c>
      <c r="B4605" s="1">
        <f>IFERROR(__xludf.DUMMYFUNCTION("""COMPUTED_VALUE"""),75.39)</f>
        <v>75.39</v>
      </c>
      <c r="C4605" s="1">
        <f>IFERROR(__xludf.DUMMYFUNCTION("""COMPUTED_VALUE"""),75.72)</f>
        <v>75.72</v>
      </c>
      <c r="D4605" s="1">
        <f>IFERROR(__xludf.DUMMYFUNCTION("""COMPUTED_VALUE"""),74.2)</f>
        <v>74.2</v>
      </c>
      <c r="E4605" s="1">
        <f>IFERROR(__xludf.DUMMYFUNCTION("""COMPUTED_VALUE"""),74.95)</f>
        <v>74.95</v>
      </c>
      <c r="F4605" s="1">
        <f>IFERROR(__xludf.DUMMYFUNCTION("""COMPUTED_VALUE"""),1.6955623E7)</f>
        <v>16955623</v>
      </c>
    </row>
    <row r="4606">
      <c r="A4606" s="2">
        <f>IFERROR(__xludf.DUMMYFUNCTION("""COMPUTED_VALUE"""),43210.66666666667)</f>
        <v>43210.66667</v>
      </c>
      <c r="B4606" s="1">
        <f>IFERROR(__xludf.DUMMYFUNCTION("""COMPUTED_VALUE"""),74.04)</f>
        <v>74.04</v>
      </c>
      <c r="C4606" s="1">
        <f>IFERROR(__xludf.DUMMYFUNCTION("""COMPUTED_VALUE"""),74.92)</f>
        <v>74.92</v>
      </c>
      <c r="D4606" s="1">
        <f>IFERROR(__xludf.DUMMYFUNCTION("""COMPUTED_VALUE"""),73.74)</f>
        <v>73.74</v>
      </c>
      <c r="E4606" s="1">
        <f>IFERROR(__xludf.DUMMYFUNCTION("""COMPUTED_VALUE"""),73.8)</f>
        <v>73.8</v>
      </c>
      <c r="F4606" s="1">
        <f>IFERROR(__xludf.DUMMYFUNCTION("""COMPUTED_VALUE"""),1.408497E7)</f>
        <v>14084970</v>
      </c>
    </row>
    <row r="4607">
      <c r="A4607" s="2">
        <f>IFERROR(__xludf.DUMMYFUNCTION("""COMPUTED_VALUE"""),43213.66666666667)</f>
        <v>43213.66667</v>
      </c>
      <c r="B4607" s="1">
        <f>IFERROR(__xludf.DUMMYFUNCTION("""COMPUTED_VALUE"""),73.59)</f>
        <v>73.59</v>
      </c>
      <c r="C4607" s="1">
        <f>IFERROR(__xludf.DUMMYFUNCTION("""COMPUTED_VALUE"""),73.98)</f>
        <v>73.98</v>
      </c>
      <c r="D4607" s="1">
        <f>IFERROR(__xludf.DUMMYFUNCTION("""COMPUTED_VALUE"""),72.76)</f>
        <v>72.76</v>
      </c>
      <c r="E4607" s="1">
        <f>IFERROR(__xludf.DUMMYFUNCTION("""COMPUTED_VALUE"""),73.0)</f>
        <v>73</v>
      </c>
      <c r="F4607" s="1">
        <f>IFERROR(__xludf.DUMMYFUNCTION("""COMPUTED_VALUE"""),1.3653408E7)</f>
        <v>13653408</v>
      </c>
    </row>
    <row r="4608">
      <c r="A4608" s="2">
        <f>IFERROR(__xludf.DUMMYFUNCTION("""COMPUTED_VALUE"""),43214.66666666667)</f>
        <v>43214.66667</v>
      </c>
      <c r="B4608" s="1">
        <f>IFERROR(__xludf.DUMMYFUNCTION("""COMPUTED_VALUE"""),73.06)</f>
        <v>73.06</v>
      </c>
      <c r="C4608" s="1">
        <f>IFERROR(__xludf.DUMMYFUNCTION("""COMPUTED_VALUE"""),73.33)</f>
        <v>73.33</v>
      </c>
      <c r="D4608" s="1">
        <f>IFERROR(__xludf.DUMMYFUNCTION("""COMPUTED_VALUE"""),72.15)</f>
        <v>72.15</v>
      </c>
      <c r="E4608" s="1">
        <f>IFERROR(__xludf.DUMMYFUNCTION("""COMPUTED_VALUE"""),72.5)</f>
        <v>72.5</v>
      </c>
      <c r="F4608" s="1">
        <f>IFERROR(__xludf.DUMMYFUNCTION("""COMPUTED_VALUE"""),1.6551693E7)</f>
        <v>16551693</v>
      </c>
    </row>
    <row r="4609">
      <c r="A4609" s="2">
        <f>IFERROR(__xludf.DUMMYFUNCTION("""COMPUTED_VALUE"""),43215.66666666667)</f>
        <v>43215.66667</v>
      </c>
      <c r="B4609" s="1">
        <f>IFERROR(__xludf.DUMMYFUNCTION("""COMPUTED_VALUE"""),72.41)</f>
        <v>72.41</v>
      </c>
      <c r="C4609" s="1">
        <f>IFERROR(__xludf.DUMMYFUNCTION("""COMPUTED_VALUE"""),72.75)</f>
        <v>72.75</v>
      </c>
      <c r="D4609" s="1">
        <f>IFERROR(__xludf.DUMMYFUNCTION("""COMPUTED_VALUE"""),71.95)</f>
        <v>71.95</v>
      </c>
      <c r="E4609" s="1">
        <f>IFERROR(__xludf.DUMMYFUNCTION("""COMPUTED_VALUE"""),72.3)</f>
        <v>72.3</v>
      </c>
      <c r="F4609" s="1">
        <f>IFERROR(__xludf.DUMMYFUNCTION("""COMPUTED_VALUE"""),1.4208831E7)</f>
        <v>14208831</v>
      </c>
    </row>
    <row r="4610">
      <c r="A4610" s="2">
        <f>IFERROR(__xludf.DUMMYFUNCTION("""COMPUTED_VALUE"""),43216.66666666667)</f>
        <v>43216.66667</v>
      </c>
      <c r="B4610" s="1">
        <f>IFERROR(__xludf.DUMMYFUNCTION("""COMPUTED_VALUE"""),72.57)</f>
        <v>72.57</v>
      </c>
      <c r="C4610" s="1">
        <f>IFERROR(__xludf.DUMMYFUNCTION("""COMPUTED_VALUE"""),73.01)</f>
        <v>73.01</v>
      </c>
      <c r="D4610" s="1">
        <f>IFERROR(__xludf.DUMMYFUNCTION("""COMPUTED_VALUE"""),72.37)</f>
        <v>72.37</v>
      </c>
      <c r="E4610" s="1">
        <f>IFERROR(__xludf.DUMMYFUNCTION("""COMPUTED_VALUE"""),72.75)</f>
        <v>72.75</v>
      </c>
      <c r="F4610" s="1">
        <f>IFERROR(__xludf.DUMMYFUNCTION("""COMPUTED_VALUE"""),1.1204277E7)</f>
        <v>11204277</v>
      </c>
    </row>
    <row r="4611">
      <c r="A4611" s="2">
        <f>IFERROR(__xludf.DUMMYFUNCTION("""COMPUTED_VALUE"""),43217.66666666667)</f>
        <v>43217.66667</v>
      </c>
      <c r="B4611" s="1">
        <f>IFERROR(__xludf.DUMMYFUNCTION("""COMPUTED_VALUE"""),72.53)</f>
        <v>72.53</v>
      </c>
      <c r="C4611" s="1">
        <f>IFERROR(__xludf.DUMMYFUNCTION("""COMPUTED_VALUE"""),73.08)</f>
        <v>73.08</v>
      </c>
      <c r="D4611" s="1">
        <f>IFERROR(__xludf.DUMMYFUNCTION("""COMPUTED_VALUE"""),72.21)</f>
        <v>72.21</v>
      </c>
      <c r="E4611" s="1">
        <f>IFERROR(__xludf.DUMMYFUNCTION("""COMPUTED_VALUE"""),72.81)</f>
        <v>72.81</v>
      </c>
      <c r="F4611" s="1">
        <f>IFERROR(__xludf.DUMMYFUNCTION("""COMPUTED_VALUE"""),8144825.0)</f>
        <v>8144825</v>
      </c>
    </row>
    <row r="4612">
      <c r="A4612" s="2">
        <f>IFERROR(__xludf.DUMMYFUNCTION("""COMPUTED_VALUE"""),43220.66666666667)</f>
        <v>43220.66667</v>
      </c>
      <c r="B4612" s="1">
        <f>IFERROR(__xludf.DUMMYFUNCTION("""COMPUTED_VALUE"""),72.91)</f>
        <v>72.91</v>
      </c>
      <c r="C4612" s="1">
        <f>IFERROR(__xludf.DUMMYFUNCTION("""COMPUTED_VALUE"""),72.92)</f>
        <v>72.92</v>
      </c>
      <c r="D4612" s="1">
        <f>IFERROR(__xludf.DUMMYFUNCTION("""COMPUTED_VALUE"""),72.16)</f>
        <v>72.16</v>
      </c>
      <c r="E4612" s="1">
        <f>IFERROR(__xludf.DUMMYFUNCTION("""COMPUTED_VALUE"""),72.34)</f>
        <v>72.34</v>
      </c>
      <c r="F4612" s="1">
        <f>IFERROR(__xludf.DUMMYFUNCTION("""COMPUTED_VALUE"""),1.3076486E7)</f>
        <v>13076486</v>
      </c>
    </row>
    <row r="4613">
      <c r="A4613" s="2">
        <f>IFERROR(__xludf.DUMMYFUNCTION("""COMPUTED_VALUE"""),43221.66666666667)</f>
        <v>43221.66667</v>
      </c>
      <c r="B4613" s="1">
        <f>IFERROR(__xludf.DUMMYFUNCTION("""COMPUTED_VALUE"""),72.05)</f>
        <v>72.05</v>
      </c>
      <c r="C4613" s="1">
        <f>IFERROR(__xludf.DUMMYFUNCTION("""COMPUTED_VALUE"""),72.33)</f>
        <v>72.33</v>
      </c>
      <c r="D4613" s="1">
        <f>IFERROR(__xludf.DUMMYFUNCTION("""COMPUTED_VALUE"""),71.66)</f>
        <v>71.66</v>
      </c>
      <c r="E4613" s="1">
        <f>IFERROR(__xludf.DUMMYFUNCTION("""COMPUTED_VALUE"""),71.96)</f>
        <v>71.96</v>
      </c>
      <c r="F4613" s="1">
        <f>IFERROR(__xludf.DUMMYFUNCTION("""COMPUTED_VALUE"""),8103800.0)</f>
        <v>8103800</v>
      </c>
    </row>
    <row r="4614">
      <c r="A4614" s="2">
        <f>IFERROR(__xludf.DUMMYFUNCTION("""COMPUTED_VALUE"""),43222.66666666667)</f>
        <v>43222.66667</v>
      </c>
      <c r="B4614" s="1">
        <f>IFERROR(__xludf.DUMMYFUNCTION("""COMPUTED_VALUE"""),71.94)</f>
        <v>71.94</v>
      </c>
      <c r="C4614" s="1">
        <f>IFERROR(__xludf.DUMMYFUNCTION("""COMPUTED_VALUE"""),72.01)</f>
        <v>72.01</v>
      </c>
      <c r="D4614" s="1">
        <f>IFERROR(__xludf.DUMMYFUNCTION("""COMPUTED_VALUE"""),70.73)</f>
        <v>70.73</v>
      </c>
      <c r="E4614" s="1">
        <f>IFERROR(__xludf.DUMMYFUNCTION("""COMPUTED_VALUE"""),70.94)</f>
        <v>70.94</v>
      </c>
      <c r="F4614" s="1">
        <f>IFERROR(__xludf.DUMMYFUNCTION("""COMPUTED_VALUE"""),1.0830924E7)</f>
        <v>10830924</v>
      </c>
    </row>
    <row r="4615">
      <c r="A4615" s="2">
        <f>IFERROR(__xludf.DUMMYFUNCTION("""COMPUTED_VALUE"""),43223.66666666667)</f>
        <v>43223.66667</v>
      </c>
      <c r="B4615" s="1">
        <f>IFERROR(__xludf.DUMMYFUNCTION("""COMPUTED_VALUE"""),70.81)</f>
        <v>70.81</v>
      </c>
      <c r="C4615" s="1">
        <f>IFERROR(__xludf.DUMMYFUNCTION("""COMPUTED_VALUE"""),71.72)</f>
        <v>71.72</v>
      </c>
      <c r="D4615" s="1">
        <f>IFERROR(__xludf.DUMMYFUNCTION("""COMPUTED_VALUE"""),70.74)</f>
        <v>70.74</v>
      </c>
      <c r="E4615" s="1">
        <f>IFERROR(__xludf.DUMMYFUNCTION("""COMPUTED_VALUE"""),71.36)</f>
        <v>71.36</v>
      </c>
      <c r="F4615" s="1">
        <f>IFERROR(__xludf.DUMMYFUNCTION("""COMPUTED_VALUE"""),9386498.0)</f>
        <v>9386498</v>
      </c>
    </row>
    <row r="4616">
      <c r="A4616" s="2">
        <f>IFERROR(__xludf.DUMMYFUNCTION("""COMPUTED_VALUE"""),43224.66666666667)</f>
        <v>43224.66667</v>
      </c>
      <c r="B4616" s="1">
        <f>IFERROR(__xludf.DUMMYFUNCTION("""COMPUTED_VALUE"""),71.38)</f>
        <v>71.38</v>
      </c>
      <c r="C4616" s="1">
        <f>IFERROR(__xludf.DUMMYFUNCTION("""COMPUTED_VALUE"""),72.62)</f>
        <v>72.62</v>
      </c>
      <c r="D4616" s="1">
        <f>IFERROR(__xludf.DUMMYFUNCTION("""COMPUTED_VALUE"""),71.34)</f>
        <v>71.34</v>
      </c>
      <c r="E4616" s="1">
        <f>IFERROR(__xludf.DUMMYFUNCTION("""COMPUTED_VALUE"""),72.43)</f>
        <v>72.43</v>
      </c>
      <c r="F4616" s="1">
        <f>IFERROR(__xludf.DUMMYFUNCTION("""COMPUTED_VALUE"""),8107363.0)</f>
        <v>8107363</v>
      </c>
    </row>
    <row r="4617">
      <c r="A4617" s="2">
        <f>IFERROR(__xludf.DUMMYFUNCTION("""COMPUTED_VALUE"""),43227.66666666667)</f>
        <v>43227.66667</v>
      </c>
      <c r="B4617" s="1">
        <f>IFERROR(__xludf.DUMMYFUNCTION("""COMPUTED_VALUE"""),72.67)</f>
        <v>72.67</v>
      </c>
      <c r="C4617" s="1">
        <f>IFERROR(__xludf.DUMMYFUNCTION("""COMPUTED_VALUE"""),73.22)</f>
        <v>73.22</v>
      </c>
      <c r="D4617" s="1">
        <f>IFERROR(__xludf.DUMMYFUNCTION("""COMPUTED_VALUE"""),71.89)</f>
        <v>71.89</v>
      </c>
      <c r="E4617" s="1">
        <f>IFERROR(__xludf.DUMMYFUNCTION("""COMPUTED_VALUE"""),71.98)</f>
        <v>71.98</v>
      </c>
      <c r="F4617" s="1">
        <f>IFERROR(__xludf.DUMMYFUNCTION("""COMPUTED_VALUE"""),6633579.0)</f>
        <v>6633579</v>
      </c>
    </row>
    <row r="4618">
      <c r="A4618" s="2">
        <f>IFERROR(__xludf.DUMMYFUNCTION("""COMPUTED_VALUE"""),43228.66666666667)</f>
        <v>43228.66667</v>
      </c>
      <c r="B4618" s="1">
        <f>IFERROR(__xludf.DUMMYFUNCTION("""COMPUTED_VALUE"""),72.05)</f>
        <v>72.05</v>
      </c>
      <c r="C4618" s="1">
        <f>IFERROR(__xludf.DUMMYFUNCTION("""COMPUTED_VALUE"""),72.12)</f>
        <v>72.12</v>
      </c>
      <c r="D4618" s="1">
        <f>IFERROR(__xludf.DUMMYFUNCTION("""COMPUTED_VALUE"""),71.11)</f>
        <v>71.11</v>
      </c>
      <c r="E4618" s="1">
        <f>IFERROR(__xludf.DUMMYFUNCTION("""COMPUTED_VALUE"""),71.44)</f>
        <v>71.44</v>
      </c>
      <c r="F4618" s="1">
        <f>IFERROR(__xludf.DUMMYFUNCTION("""COMPUTED_VALUE"""),8084124.0)</f>
        <v>8084124</v>
      </c>
    </row>
    <row r="4619">
      <c r="A4619" s="2">
        <f>IFERROR(__xludf.DUMMYFUNCTION("""COMPUTED_VALUE"""),43229.66666666667)</f>
        <v>43229.66667</v>
      </c>
      <c r="B4619" s="1">
        <f>IFERROR(__xludf.DUMMYFUNCTION("""COMPUTED_VALUE"""),71.77)</f>
        <v>71.77</v>
      </c>
      <c r="C4619" s="1">
        <f>IFERROR(__xludf.DUMMYFUNCTION("""COMPUTED_VALUE"""),72.55)</f>
        <v>72.55</v>
      </c>
      <c r="D4619" s="1">
        <f>IFERROR(__xludf.DUMMYFUNCTION("""COMPUTED_VALUE"""),71.74)</f>
        <v>71.74</v>
      </c>
      <c r="E4619" s="1">
        <f>IFERROR(__xludf.DUMMYFUNCTION("""COMPUTED_VALUE"""),72.37)</f>
        <v>72.37</v>
      </c>
      <c r="F4619" s="1">
        <f>IFERROR(__xludf.DUMMYFUNCTION("""COMPUTED_VALUE"""),7528359.0)</f>
        <v>7528359</v>
      </c>
    </row>
    <row r="4620">
      <c r="A4620" s="2">
        <f>IFERROR(__xludf.DUMMYFUNCTION("""COMPUTED_VALUE"""),43230.66666666667)</f>
        <v>43230.66667</v>
      </c>
      <c r="B4620" s="1">
        <f>IFERROR(__xludf.DUMMYFUNCTION("""COMPUTED_VALUE"""),72.94)</f>
        <v>72.94</v>
      </c>
      <c r="C4620" s="1">
        <f>IFERROR(__xludf.DUMMYFUNCTION("""COMPUTED_VALUE"""),73.34)</f>
        <v>73.34</v>
      </c>
      <c r="D4620" s="1">
        <f>IFERROR(__xludf.DUMMYFUNCTION("""COMPUTED_VALUE"""),72.69)</f>
        <v>72.69</v>
      </c>
      <c r="E4620" s="1">
        <f>IFERROR(__xludf.DUMMYFUNCTION("""COMPUTED_VALUE"""),73.15)</f>
        <v>73.15</v>
      </c>
      <c r="F4620" s="1">
        <f>IFERROR(__xludf.DUMMYFUNCTION("""COMPUTED_VALUE"""),7618479.0)</f>
        <v>7618479</v>
      </c>
    </row>
    <row r="4621">
      <c r="A4621" s="2">
        <f>IFERROR(__xludf.DUMMYFUNCTION("""COMPUTED_VALUE"""),43231.66666666667)</f>
        <v>43231.66667</v>
      </c>
      <c r="B4621" s="1">
        <f>IFERROR(__xludf.DUMMYFUNCTION("""COMPUTED_VALUE"""),73.63)</f>
        <v>73.63</v>
      </c>
      <c r="C4621" s="1">
        <f>IFERROR(__xludf.DUMMYFUNCTION("""COMPUTED_VALUE"""),74.1)</f>
        <v>74.1</v>
      </c>
      <c r="D4621" s="1">
        <f>IFERROR(__xludf.DUMMYFUNCTION("""COMPUTED_VALUE"""),73.05)</f>
        <v>73.05</v>
      </c>
      <c r="E4621" s="1">
        <f>IFERROR(__xludf.DUMMYFUNCTION("""COMPUTED_VALUE"""),73.37)</f>
        <v>73.37</v>
      </c>
      <c r="F4621" s="1">
        <f>IFERROR(__xludf.DUMMYFUNCTION("""COMPUTED_VALUE"""),7586194.0)</f>
        <v>7586194</v>
      </c>
    </row>
    <row r="4622">
      <c r="A4622" s="2">
        <f>IFERROR(__xludf.DUMMYFUNCTION("""COMPUTED_VALUE"""),43234.66666666667)</f>
        <v>43234.66667</v>
      </c>
      <c r="B4622" s="1">
        <f>IFERROR(__xludf.DUMMYFUNCTION("""COMPUTED_VALUE"""),73.78)</f>
        <v>73.78</v>
      </c>
      <c r="C4622" s="1">
        <f>IFERROR(__xludf.DUMMYFUNCTION("""COMPUTED_VALUE"""),73.78)</f>
        <v>73.78</v>
      </c>
      <c r="D4622" s="1">
        <f>IFERROR(__xludf.DUMMYFUNCTION("""COMPUTED_VALUE"""),73.09)</f>
        <v>73.09</v>
      </c>
      <c r="E4622" s="1">
        <f>IFERROR(__xludf.DUMMYFUNCTION("""COMPUTED_VALUE"""),73.28)</f>
        <v>73.28</v>
      </c>
      <c r="F4622" s="1">
        <f>IFERROR(__xludf.DUMMYFUNCTION("""COMPUTED_VALUE"""),8646856.0)</f>
        <v>8646856</v>
      </c>
    </row>
    <row r="4623">
      <c r="A4623" s="2">
        <f>IFERROR(__xludf.DUMMYFUNCTION("""COMPUTED_VALUE"""),43235.66666666667)</f>
        <v>43235.66667</v>
      </c>
      <c r="B4623" s="1">
        <f>IFERROR(__xludf.DUMMYFUNCTION("""COMPUTED_VALUE"""),73.31)</f>
        <v>73.31</v>
      </c>
      <c r="C4623" s="1">
        <f>IFERROR(__xludf.DUMMYFUNCTION("""COMPUTED_VALUE"""),73.41)</f>
        <v>73.41</v>
      </c>
      <c r="D4623" s="1">
        <f>IFERROR(__xludf.DUMMYFUNCTION("""COMPUTED_VALUE"""),72.6)</f>
        <v>72.6</v>
      </c>
      <c r="E4623" s="1">
        <f>IFERROR(__xludf.DUMMYFUNCTION("""COMPUTED_VALUE"""),72.95)</f>
        <v>72.95</v>
      </c>
      <c r="F4623" s="1">
        <f>IFERROR(__xludf.DUMMYFUNCTION("""COMPUTED_VALUE"""),1.1502785E7)</f>
        <v>11502785</v>
      </c>
    </row>
    <row r="4624">
      <c r="A4624" s="2">
        <f>IFERROR(__xludf.DUMMYFUNCTION("""COMPUTED_VALUE"""),43236.66666666667)</f>
        <v>43236.66667</v>
      </c>
      <c r="B4624" s="1">
        <f>IFERROR(__xludf.DUMMYFUNCTION("""COMPUTED_VALUE"""),72.98)</f>
        <v>72.98</v>
      </c>
      <c r="C4624" s="1">
        <f>IFERROR(__xludf.DUMMYFUNCTION("""COMPUTED_VALUE"""),73.93)</f>
        <v>73.93</v>
      </c>
      <c r="D4624" s="1">
        <f>IFERROR(__xludf.DUMMYFUNCTION("""COMPUTED_VALUE"""),72.96)</f>
        <v>72.96</v>
      </c>
      <c r="E4624" s="1">
        <f>IFERROR(__xludf.DUMMYFUNCTION("""COMPUTED_VALUE"""),73.53)</f>
        <v>73.53</v>
      </c>
      <c r="F4624" s="1">
        <f>IFERROR(__xludf.DUMMYFUNCTION("""COMPUTED_VALUE"""),8324991.0)</f>
        <v>8324991</v>
      </c>
    </row>
    <row r="4625">
      <c r="A4625" s="2">
        <f>IFERROR(__xludf.DUMMYFUNCTION("""COMPUTED_VALUE"""),43237.66666666667)</f>
        <v>43237.66667</v>
      </c>
      <c r="B4625" s="1">
        <f>IFERROR(__xludf.DUMMYFUNCTION("""COMPUTED_VALUE"""),73.52)</f>
        <v>73.52</v>
      </c>
      <c r="C4625" s="1">
        <f>IFERROR(__xludf.DUMMYFUNCTION("""COMPUTED_VALUE"""),74.0)</f>
        <v>74</v>
      </c>
      <c r="D4625" s="1">
        <f>IFERROR(__xludf.DUMMYFUNCTION("""COMPUTED_VALUE"""),73.4)</f>
        <v>73.4</v>
      </c>
      <c r="E4625" s="1">
        <f>IFERROR(__xludf.DUMMYFUNCTION("""COMPUTED_VALUE"""),73.96)</f>
        <v>73.96</v>
      </c>
      <c r="F4625" s="1">
        <f>IFERROR(__xludf.DUMMYFUNCTION("""COMPUTED_VALUE"""),8053611.0)</f>
        <v>8053611</v>
      </c>
    </row>
    <row r="4626">
      <c r="A4626" s="2">
        <f>IFERROR(__xludf.DUMMYFUNCTION("""COMPUTED_VALUE"""),43238.66666666667)</f>
        <v>43238.66667</v>
      </c>
      <c r="B4626" s="1">
        <f>IFERROR(__xludf.DUMMYFUNCTION("""COMPUTED_VALUE"""),73.98)</f>
        <v>73.98</v>
      </c>
      <c r="C4626" s="1">
        <f>IFERROR(__xludf.DUMMYFUNCTION("""COMPUTED_VALUE"""),74.07)</f>
        <v>74.07</v>
      </c>
      <c r="D4626" s="1">
        <f>IFERROR(__xludf.DUMMYFUNCTION("""COMPUTED_VALUE"""),73.11)</f>
        <v>73.11</v>
      </c>
      <c r="E4626" s="1">
        <f>IFERROR(__xludf.DUMMYFUNCTION("""COMPUTED_VALUE"""),73.45)</f>
        <v>73.45</v>
      </c>
      <c r="F4626" s="1">
        <f>IFERROR(__xludf.DUMMYFUNCTION("""COMPUTED_VALUE"""),7042725.0)</f>
        <v>7042725</v>
      </c>
    </row>
    <row r="4627">
      <c r="A4627" s="2">
        <f>IFERROR(__xludf.DUMMYFUNCTION("""COMPUTED_VALUE"""),43241.66666666667)</f>
        <v>43241.66667</v>
      </c>
      <c r="B4627" s="1">
        <f>IFERROR(__xludf.DUMMYFUNCTION("""COMPUTED_VALUE"""),73.75)</f>
        <v>73.75</v>
      </c>
      <c r="C4627" s="1">
        <f>IFERROR(__xludf.DUMMYFUNCTION("""COMPUTED_VALUE"""),74.25)</f>
        <v>74.25</v>
      </c>
      <c r="D4627" s="1">
        <f>IFERROR(__xludf.DUMMYFUNCTION("""COMPUTED_VALUE"""),73.42)</f>
        <v>73.42</v>
      </c>
      <c r="E4627" s="1">
        <f>IFERROR(__xludf.DUMMYFUNCTION("""COMPUTED_VALUE"""),74.06)</f>
        <v>74.06</v>
      </c>
      <c r="F4627" s="1">
        <f>IFERROR(__xludf.DUMMYFUNCTION("""COMPUTED_VALUE"""),6428395.0)</f>
        <v>6428395</v>
      </c>
    </row>
    <row r="4628">
      <c r="A4628" s="2">
        <f>IFERROR(__xludf.DUMMYFUNCTION("""COMPUTED_VALUE"""),43242.66666666667)</f>
        <v>43242.66667</v>
      </c>
      <c r="B4628" s="1">
        <f>IFERROR(__xludf.DUMMYFUNCTION("""COMPUTED_VALUE"""),74.46)</f>
        <v>74.46</v>
      </c>
      <c r="C4628" s="1">
        <f>IFERROR(__xludf.DUMMYFUNCTION("""COMPUTED_VALUE"""),74.94)</f>
        <v>74.94</v>
      </c>
      <c r="D4628" s="1">
        <f>IFERROR(__xludf.DUMMYFUNCTION("""COMPUTED_VALUE"""),73.83)</f>
        <v>73.83</v>
      </c>
      <c r="E4628" s="1">
        <f>IFERROR(__xludf.DUMMYFUNCTION("""COMPUTED_VALUE"""),74.03)</f>
        <v>74.03</v>
      </c>
      <c r="F4628" s="1">
        <f>IFERROR(__xludf.DUMMYFUNCTION("""COMPUTED_VALUE"""),7744169.0)</f>
        <v>7744169</v>
      </c>
    </row>
    <row r="4629">
      <c r="A4629" s="2">
        <f>IFERROR(__xludf.DUMMYFUNCTION("""COMPUTED_VALUE"""),43243.66666666667)</f>
        <v>43243.66667</v>
      </c>
      <c r="B4629" s="1">
        <f>IFERROR(__xludf.DUMMYFUNCTION("""COMPUTED_VALUE"""),74.02)</f>
        <v>74.02</v>
      </c>
      <c r="C4629" s="1">
        <f>IFERROR(__xludf.DUMMYFUNCTION("""COMPUTED_VALUE"""),74.3)</f>
        <v>74.3</v>
      </c>
      <c r="D4629" s="1">
        <f>IFERROR(__xludf.DUMMYFUNCTION("""COMPUTED_VALUE"""),73.72)</f>
        <v>73.72</v>
      </c>
      <c r="E4629" s="1">
        <f>IFERROR(__xludf.DUMMYFUNCTION("""COMPUTED_VALUE"""),74.18)</f>
        <v>74.18</v>
      </c>
      <c r="F4629" s="1">
        <f>IFERROR(__xludf.DUMMYFUNCTION("""COMPUTED_VALUE"""),6592494.0)</f>
        <v>6592494</v>
      </c>
    </row>
    <row r="4630">
      <c r="A4630" s="2">
        <f>IFERROR(__xludf.DUMMYFUNCTION("""COMPUTED_VALUE"""),43244.66666666667)</f>
        <v>43244.66667</v>
      </c>
      <c r="B4630" s="1">
        <f>IFERROR(__xludf.DUMMYFUNCTION("""COMPUTED_VALUE"""),74.08)</f>
        <v>74.08</v>
      </c>
      <c r="C4630" s="1">
        <f>IFERROR(__xludf.DUMMYFUNCTION("""COMPUTED_VALUE"""),74.35)</f>
        <v>74.35</v>
      </c>
      <c r="D4630" s="1">
        <f>IFERROR(__xludf.DUMMYFUNCTION("""COMPUTED_VALUE"""),73.59)</f>
        <v>73.59</v>
      </c>
      <c r="E4630" s="1">
        <f>IFERROR(__xludf.DUMMYFUNCTION("""COMPUTED_VALUE"""),73.77)</f>
        <v>73.77</v>
      </c>
      <c r="F4630" s="1">
        <f>IFERROR(__xludf.DUMMYFUNCTION("""COMPUTED_VALUE"""),6508915.0)</f>
        <v>6508915</v>
      </c>
    </row>
    <row r="4631">
      <c r="A4631" s="2">
        <f>IFERROR(__xludf.DUMMYFUNCTION("""COMPUTED_VALUE"""),43245.66666666667)</f>
        <v>43245.66667</v>
      </c>
      <c r="B4631" s="1">
        <f>IFERROR(__xludf.DUMMYFUNCTION("""COMPUTED_VALUE"""),73.9)</f>
        <v>73.9</v>
      </c>
      <c r="C4631" s="1">
        <f>IFERROR(__xludf.DUMMYFUNCTION("""COMPUTED_VALUE"""),74.62)</f>
        <v>74.62</v>
      </c>
      <c r="D4631" s="1">
        <f>IFERROR(__xludf.DUMMYFUNCTION("""COMPUTED_VALUE"""),73.75)</f>
        <v>73.75</v>
      </c>
      <c r="E4631" s="1">
        <f>IFERROR(__xludf.DUMMYFUNCTION("""COMPUTED_VALUE"""),74.31)</f>
        <v>74.31</v>
      </c>
      <c r="F4631" s="1">
        <f>IFERROR(__xludf.DUMMYFUNCTION("""COMPUTED_VALUE"""),7546467.0)</f>
        <v>7546467</v>
      </c>
    </row>
    <row r="4632">
      <c r="A4632" s="2">
        <f>IFERROR(__xludf.DUMMYFUNCTION("""COMPUTED_VALUE"""),43249.66666666667)</f>
        <v>43249.66667</v>
      </c>
      <c r="B4632" s="1">
        <f>IFERROR(__xludf.DUMMYFUNCTION("""COMPUTED_VALUE"""),74.06)</f>
        <v>74.06</v>
      </c>
      <c r="C4632" s="1">
        <f>IFERROR(__xludf.DUMMYFUNCTION("""COMPUTED_VALUE"""),74.7)</f>
        <v>74.7</v>
      </c>
      <c r="D4632" s="1">
        <f>IFERROR(__xludf.DUMMYFUNCTION("""COMPUTED_VALUE"""),73.77)</f>
        <v>73.77</v>
      </c>
      <c r="E4632" s="1">
        <f>IFERROR(__xludf.DUMMYFUNCTION("""COMPUTED_VALUE"""),74.05)</f>
        <v>74.05</v>
      </c>
      <c r="F4632" s="1">
        <f>IFERROR(__xludf.DUMMYFUNCTION("""COMPUTED_VALUE"""),8905564.0)</f>
        <v>8905564</v>
      </c>
    </row>
    <row r="4633">
      <c r="A4633" s="2">
        <f>IFERROR(__xludf.DUMMYFUNCTION("""COMPUTED_VALUE"""),43250.66666666667)</f>
        <v>43250.66667</v>
      </c>
      <c r="B4633" s="1">
        <f>IFERROR(__xludf.DUMMYFUNCTION("""COMPUTED_VALUE"""),74.33)</f>
        <v>74.33</v>
      </c>
      <c r="C4633" s="1">
        <f>IFERROR(__xludf.DUMMYFUNCTION("""COMPUTED_VALUE"""),75.02)</f>
        <v>75.02</v>
      </c>
      <c r="D4633" s="1">
        <f>IFERROR(__xludf.DUMMYFUNCTION("""COMPUTED_VALUE"""),74.05)</f>
        <v>74.05</v>
      </c>
      <c r="E4633" s="1">
        <f>IFERROR(__xludf.DUMMYFUNCTION("""COMPUTED_VALUE"""),74.89)</f>
        <v>74.89</v>
      </c>
      <c r="F4633" s="1">
        <f>IFERROR(__xludf.DUMMYFUNCTION("""COMPUTED_VALUE"""),8128645.0)</f>
        <v>8128645</v>
      </c>
    </row>
    <row r="4634">
      <c r="A4634" s="2">
        <f>IFERROR(__xludf.DUMMYFUNCTION("""COMPUTED_VALUE"""),43251.66666666667)</f>
        <v>43251.66667</v>
      </c>
      <c r="B4634" s="1">
        <f>IFERROR(__xludf.DUMMYFUNCTION("""COMPUTED_VALUE"""),74.67)</f>
        <v>74.67</v>
      </c>
      <c r="C4634" s="1">
        <f>IFERROR(__xludf.DUMMYFUNCTION("""COMPUTED_VALUE"""),74.69)</f>
        <v>74.69</v>
      </c>
      <c r="D4634" s="1">
        <f>IFERROR(__xludf.DUMMYFUNCTION("""COMPUTED_VALUE"""),72.8)</f>
        <v>72.8</v>
      </c>
      <c r="E4634" s="1">
        <f>IFERROR(__xludf.DUMMYFUNCTION("""COMPUTED_VALUE"""),73.17)</f>
        <v>73.17</v>
      </c>
      <c r="F4634" s="1">
        <f>IFERROR(__xludf.DUMMYFUNCTION("""COMPUTED_VALUE"""),1.5525987E7)</f>
        <v>15525987</v>
      </c>
    </row>
    <row r="4635">
      <c r="A4635" s="2">
        <f>IFERROR(__xludf.DUMMYFUNCTION("""COMPUTED_VALUE"""),43252.66666666667)</f>
        <v>43252.66667</v>
      </c>
      <c r="B4635" s="1">
        <f>IFERROR(__xludf.DUMMYFUNCTION("""COMPUTED_VALUE"""),73.33)</f>
        <v>73.33</v>
      </c>
      <c r="C4635" s="1">
        <f>IFERROR(__xludf.DUMMYFUNCTION("""COMPUTED_VALUE"""),73.74)</f>
        <v>73.74</v>
      </c>
      <c r="D4635" s="1">
        <f>IFERROR(__xludf.DUMMYFUNCTION("""COMPUTED_VALUE"""),72.86)</f>
        <v>72.86</v>
      </c>
      <c r="E4635" s="1">
        <f>IFERROR(__xludf.DUMMYFUNCTION("""COMPUTED_VALUE"""),73.45)</f>
        <v>73.45</v>
      </c>
      <c r="F4635" s="1">
        <f>IFERROR(__xludf.DUMMYFUNCTION("""COMPUTED_VALUE"""),7209292.0)</f>
        <v>7209292</v>
      </c>
    </row>
    <row r="4636">
      <c r="A4636" s="2">
        <f>IFERROR(__xludf.DUMMYFUNCTION("""COMPUTED_VALUE"""),43255.66666666667)</f>
        <v>43255.66667</v>
      </c>
      <c r="B4636" s="1">
        <f>IFERROR(__xludf.DUMMYFUNCTION("""COMPUTED_VALUE"""),73.54)</f>
        <v>73.54</v>
      </c>
      <c r="C4636" s="1">
        <f>IFERROR(__xludf.DUMMYFUNCTION("""COMPUTED_VALUE"""),74.62)</f>
        <v>74.62</v>
      </c>
      <c r="D4636" s="1">
        <f>IFERROR(__xludf.DUMMYFUNCTION("""COMPUTED_VALUE"""),73.45)</f>
        <v>73.45</v>
      </c>
      <c r="E4636" s="1">
        <f>IFERROR(__xludf.DUMMYFUNCTION("""COMPUTED_VALUE"""),74.18)</f>
        <v>74.18</v>
      </c>
      <c r="F4636" s="1">
        <f>IFERROR(__xludf.DUMMYFUNCTION("""COMPUTED_VALUE"""),8743773.0)</f>
        <v>8743773</v>
      </c>
    </row>
    <row r="4637">
      <c r="A4637" s="2">
        <f>IFERROR(__xludf.DUMMYFUNCTION("""COMPUTED_VALUE"""),43256.66666666667)</f>
        <v>43256.66667</v>
      </c>
      <c r="B4637" s="1">
        <f>IFERROR(__xludf.DUMMYFUNCTION("""COMPUTED_VALUE"""),74.28)</f>
        <v>74.28</v>
      </c>
      <c r="C4637" s="1">
        <f>IFERROR(__xludf.DUMMYFUNCTION("""COMPUTED_VALUE"""),74.38)</f>
        <v>74.38</v>
      </c>
      <c r="D4637" s="1">
        <f>IFERROR(__xludf.DUMMYFUNCTION("""COMPUTED_VALUE"""),73.6)</f>
        <v>73.6</v>
      </c>
      <c r="E4637" s="1">
        <f>IFERROR(__xludf.DUMMYFUNCTION("""COMPUTED_VALUE"""),73.97)</f>
        <v>73.97</v>
      </c>
      <c r="F4637" s="1">
        <f>IFERROR(__xludf.DUMMYFUNCTION("""COMPUTED_VALUE"""),6910144.0)</f>
        <v>6910144</v>
      </c>
    </row>
    <row r="4638">
      <c r="A4638" s="2">
        <f>IFERROR(__xludf.DUMMYFUNCTION("""COMPUTED_VALUE"""),43257.66666666667)</f>
        <v>43257.66667</v>
      </c>
      <c r="B4638" s="1">
        <f>IFERROR(__xludf.DUMMYFUNCTION("""COMPUTED_VALUE"""),74.07)</f>
        <v>74.07</v>
      </c>
      <c r="C4638" s="1">
        <f>IFERROR(__xludf.DUMMYFUNCTION("""COMPUTED_VALUE"""),74.42)</f>
        <v>74.42</v>
      </c>
      <c r="D4638" s="1">
        <f>IFERROR(__xludf.DUMMYFUNCTION("""COMPUTED_VALUE"""),73.72)</f>
        <v>73.72</v>
      </c>
      <c r="E4638" s="1">
        <f>IFERROR(__xludf.DUMMYFUNCTION("""COMPUTED_VALUE"""),74.35)</f>
        <v>74.35</v>
      </c>
      <c r="F4638" s="1">
        <f>IFERROR(__xludf.DUMMYFUNCTION("""COMPUTED_VALUE"""),7002928.0)</f>
        <v>7002928</v>
      </c>
    </row>
    <row r="4639">
      <c r="A4639" s="2">
        <f>IFERROR(__xludf.DUMMYFUNCTION("""COMPUTED_VALUE"""),43258.66666666667)</f>
        <v>43258.66667</v>
      </c>
      <c r="B4639" s="1">
        <f>IFERROR(__xludf.DUMMYFUNCTION("""COMPUTED_VALUE"""),74.18)</f>
        <v>74.18</v>
      </c>
      <c r="C4639" s="1">
        <f>IFERROR(__xludf.DUMMYFUNCTION("""COMPUTED_VALUE"""),76.39)</f>
        <v>76.39</v>
      </c>
      <c r="D4639" s="1">
        <f>IFERROR(__xludf.DUMMYFUNCTION("""COMPUTED_VALUE"""),74.1)</f>
        <v>74.1</v>
      </c>
      <c r="E4639" s="1">
        <f>IFERROR(__xludf.DUMMYFUNCTION("""COMPUTED_VALUE"""),75.76)</f>
        <v>75.76</v>
      </c>
      <c r="F4639" s="1">
        <f>IFERROR(__xludf.DUMMYFUNCTION("""COMPUTED_VALUE"""),1.347609E7)</f>
        <v>13476090</v>
      </c>
    </row>
    <row r="4640">
      <c r="A4640" s="2">
        <f>IFERROR(__xludf.DUMMYFUNCTION("""COMPUTED_VALUE"""),43259.66666666667)</f>
        <v>43259.66667</v>
      </c>
      <c r="B4640" s="1">
        <f>IFERROR(__xludf.DUMMYFUNCTION("""COMPUTED_VALUE"""),75.85)</f>
        <v>75.85</v>
      </c>
      <c r="C4640" s="1">
        <f>IFERROR(__xludf.DUMMYFUNCTION("""COMPUTED_VALUE"""),77.21)</f>
        <v>77.21</v>
      </c>
      <c r="D4640" s="1">
        <f>IFERROR(__xludf.DUMMYFUNCTION("""COMPUTED_VALUE"""),75.74)</f>
        <v>75.74</v>
      </c>
      <c r="E4640" s="1">
        <f>IFERROR(__xludf.DUMMYFUNCTION("""COMPUTED_VALUE"""),77.18)</f>
        <v>77.18</v>
      </c>
      <c r="F4640" s="1">
        <f>IFERROR(__xludf.DUMMYFUNCTION("""COMPUTED_VALUE"""),1.3625346E7)</f>
        <v>13625346</v>
      </c>
    </row>
    <row r="4641">
      <c r="A4641" s="2">
        <f>IFERROR(__xludf.DUMMYFUNCTION("""COMPUTED_VALUE"""),43262.66666666667)</f>
        <v>43262.66667</v>
      </c>
      <c r="B4641" s="1">
        <f>IFERROR(__xludf.DUMMYFUNCTION("""COMPUTED_VALUE"""),76.97)</f>
        <v>76.97</v>
      </c>
      <c r="C4641" s="1">
        <f>IFERROR(__xludf.DUMMYFUNCTION("""COMPUTED_VALUE"""),77.69)</f>
        <v>77.69</v>
      </c>
      <c r="D4641" s="1">
        <f>IFERROR(__xludf.DUMMYFUNCTION("""COMPUTED_VALUE"""),76.88)</f>
        <v>76.88</v>
      </c>
      <c r="E4641" s="1">
        <f>IFERROR(__xludf.DUMMYFUNCTION("""COMPUTED_VALUE"""),77.53)</f>
        <v>77.53</v>
      </c>
      <c r="F4641" s="1">
        <f>IFERROR(__xludf.DUMMYFUNCTION("""COMPUTED_VALUE"""),9049393.0)</f>
        <v>9049393</v>
      </c>
    </row>
    <row r="4642">
      <c r="A4642" s="2">
        <f>IFERROR(__xludf.DUMMYFUNCTION("""COMPUTED_VALUE"""),43263.66666666667)</f>
        <v>43263.66667</v>
      </c>
      <c r="B4642" s="1">
        <f>IFERROR(__xludf.DUMMYFUNCTION("""COMPUTED_VALUE"""),77.82)</f>
        <v>77.82</v>
      </c>
      <c r="C4642" s="1">
        <f>IFERROR(__xludf.DUMMYFUNCTION("""COMPUTED_VALUE"""),77.89)</f>
        <v>77.89</v>
      </c>
      <c r="D4642" s="1">
        <f>IFERROR(__xludf.DUMMYFUNCTION("""COMPUTED_VALUE"""),77.11)</f>
        <v>77.11</v>
      </c>
      <c r="E4642" s="1">
        <f>IFERROR(__xludf.DUMMYFUNCTION("""COMPUTED_VALUE"""),77.24)</f>
        <v>77.24</v>
      </c>
      <c r="F4642" s="1">
        <f>IFERROR(__xludf.DUMMYFUNCTION("""COMPUTED_VALUE"""),8786022.0)</f>
        <v>8786022</v>
      </c>
    </row>
    <row r="4643">
      <c r="A4643" s="2">
        <f>IFERROR(__xludf.DUMMYFUNCTION("""COMPUTED_VALUE"""),43264.66666666667)</f>
        <v>43264.66667</v>
      </c>
      <c r="B4643" s="1">
        <f>IFERROR(__xludf.DUMMYFUNCTION("""COMPUTED_VALUE"""),77.4)</f>
        <v>77.4</v>
      </c>
      <c r="C4643" s="1">
        <f>IFERROR(__xludf.DUMMYFUNCTION("""COMPUTED_VALUE"""),77.4)</f>
        <v>77.4</v>
      </c>
      <c r="D4643" s="1">
        <f>IFERROR(__xludf.DUMMYFUNCTION("""COMPUTED_VALUE"""),76.2)</f>
        <v>76.2</v>
      </c>
      <c r="E4643" s="1">
        <f>IFERROR(__xludf.DUMMYFUNCTION("""COMPUTED_VALUE"""),76.47)</f>
        <v>76.47</v>
      </c>
      <c r="F4643" s="1">
        <f>IFERROR(__xludf.DUMMYFUNCTION("""COMPUTED_VALUE"""),8022397.0)</f>
        <v>8022397</v>
      </c>
    </row>
    <row r="4644">
      <c r="A4644" s="2">
        <f>IFERROR(__xludf.DUMMYFUNCTION("""COMPUTED_VALUE"""),43265.66666666667)</f>
        <v>43265.66667</v>
      </c>
      <c r="B4644" s="1">
        <f>IFERROR(__xludf.DUMMYFUNCTION("""COMPUTED_VALUE"""),76.56)</f>
        <v>76.56</v>
      </c>
      <c r="C4644" s="1">
        <f>IFERROR(__xludf.DUMMYFUNCTION("""COMPUTED_VALUE"""),76.56)</f>
        <v>76.56</v>
      </c>
      <c r="D4644" s="1">
        <f>IFERROR(__xludf.DUMMYFUNCTION("""COMPUTED_VALUE"""),75.7)</f>
        <v>75.7</v>
      </c>
      <c r="E4644" s="1">
        <f>IFERROR(__xludf.DUMMYFUNCTION("""COMPUTED_VALUE"""),75.99)</f>
        <v>75.99</v>
      </c>
      <c r="F4644" s="1">
        <f>IFERROR(__xludf.DUMMYFUNCTION("""COMPUTED_VALUE"""),8895230.0)</f>
        <v>8895230</v>
      </c>
    </row>
    <row r="4645">
      <c r="A4645" s="2">
        <f>IFERROR(__xludf.DUMMYFUNCTION("""COMPUTED_VALUE"""),43266.66666666667)</f>
        <v>43266.66667</v>
      </c>
      <c r="B4645" s="1">
        <f>IFERROR(__xludf.DUMMYFUNCTION("""COMPUTED_VALUE"""),76.16)</f>
        <v>76.16</v>
      </c>
      <c r="C4645" s="1">
        <f>IFERROR(__xludf.DUMMYFUNCTION("""COMPUTED_VALUE"""),77.51)</f>
        <v>77.51</v>
      </c>
      <c r="D4645" s="1">
        <f>IFERROR(__xludf.DUMMYFUNCTION("""COMPUTED_VALUE"""),75.92)</f>
        <v>75.92</v>
      </c>
      <c r="E4645" s="1">
        <f>IFERROR(__xludf.DUMMYFUNCTION("""COMPUTED_VALUE"""),77.38)</f>
        <v>77.38</v>
      </c>
      <c r="F4645" s="1">
        <f>IFERROR(__xludf.DUMMYFUNCTION("""COMPUTED_VALUE"""),1.4943509E7)</f>
        <v>14943509</v>
      </c>
    </row>
    <row r="4646">
      <c r="A4646" s="2">
        <f>IFERROR(__xludf.DUMMYFUNCTION("""COMPUTED_VALUE"""),43269.66666666667)</f>
        <v>43269.66667</v>
      </c>
      <c r="B4646" s="1">
        <f>IFERROR(__xludf.DUMMYFUNCTION("""COMPUTED_VALUE"""),76.86)</f>
        <v>76.86</v>
      </c>
      <c r="C4646" s="1">
        <f>IFERROR(__xludf.DUMMYFUNCTION("""COMPUTED_VALUE"""),77.1)</f>
        <v>77.1</v>
      </c>
      <c r="D4646" s="1">
        <f>IFERROR(__xludf.DUMMYFUNCTION("""COMPUTED_VALUE"""),75.39)</f>
        <v>75.39</v>
      </c>
      <c r="E4646" s="1">
        <f>IFERROR(__xludf.DUMMYFUNCTION("""COMPUTED_VALUE"""),75.84)</f>
        <v>75.84</v>
      </c>
      <c r="F4646" s="1">
        <f>IFERROR(__xludf.DUMMYFUNCTION("""COMPUTED_VALUE"""),7384924.0)</f>
        <v>7384924</v>
      </c>
    </row>
    <row r="4647">
      <c r="A4647" s="2">
        <f>IFERROR(__xludf.DUMMYFUNCTION("""COMPUTED_VALUE"""),43270.66666666667)</f>
        <v>43270.66667</v>
      </c>
      <c r="B4647" s="1">
        <f>IFERROR(__xludf.DUMMYFUNCTION("""COMPUTED_VALUE"""),75.59)</f>
        <v>75.59</v>
      </c>
      <c r="C4647" s="1">
        <f>IFERROR(__xludf.DUMMYFUNCTION("""COMPUTED_VALUE"""),76.68)</f>
        <v>76.68</v>
      </c>
      <c r="D4647" s="1">
        <f>IFERROR(__xludf.DUMMYFUNCTION("""COMPUTED_VALUE"""),75.57)</f>
        <v>75.57</v>
      </c>
      <c r="E4647" s="1">
        <f>IFERROR(__xludf.DUMMYFUNCTION("""COMPUTED_VALUE"""),76.33)</f>
        <v>76.33</v>
      </c>
      <c r="F4647" s="1">
        <f>IFERROR(__xludf.DUMMYFUNCTION("""COMPUTED_VALUE"""),8514036.0)</f>
        <v>8514036</v>
      </c>
    </row>
    <row r="4648">
      <c r="A4648" s="2">
        <f>IFERROR(__xludf.DUMMYFUNCTION("""COMPUTED_VALUE"""),43271.66666666667)</f>
        <v>43271.66667</v>
      </c>
      <c r="B4648" s="1">
        <f>IFERROR(__xludf.DUMMYFUNCTION("""COMPUTED_VALUE"""),76.35)</f>
        <v>76.35</v>
      </c>
      <c r="C4648" s="1">
        <f>IFERROR(__xludf.DUMMYFUNCTION("""COMPUTED_VALUE"""),76.35)</f>
        <v>76.35</v>
      </c>
      <c r="D4648" s="1">
        <f>IFERROR(__xludf.DUMMYFUNCTION("""COMPUTED_VALUE"""),75.54)</f>
        <v>75.54</v>
      </c>
      <c r="E4648" s="1">
        <f>IFERROR(__xludf.DUMMYFUNCTION("""COMPUTED_VALUE"""),75.85)</f>
        <v>75.85</v>
      </c>
      <c r="F4648" s="1">
        <f>IFERROR(__xludf.DUMMYFUNCTION("""COMPUTED_VALUE"""),6603460.0)</f>
        <v>6603460</v>
      </c>
    </row>
    <row r="4649">
      <c r="A4649" s="2">
        <f>IFERROR(__xludf.DUMMYFUNCTION("""COMPUTED_VALUE"""),43272.66666666667)</f>
        <v>43272.66667</v>
      </c>
      <c r="B4649" s="1">
        <f>IFERROR(__xludf.DUMMYFUNCTION("""COMPUTED_VALUE"""),75.53)</f>
        <v>75.53</v>
      </c>
      <c r="C4649" s="1">
        <f>IFERROR(__xludf.DUMMYFUNCTION("""COMPUTED_VALUE"""),77.05)</f>
        <v>77.05</v>
      </c>
      <c r="D4649" s="1">
        <f>IFERROR(__xludf.DUMMYFUNCTION("""COMPUTED_VALUE"""),75.53)</f>
        <v>75.53</v>
      </c>
      <c r="E4649" s="1">
        <f>IFERROR(__xludf.DUMMYFUNCTION("""COMPUTED_VALUE"""),76.44)</f>
        <v>76.44</v>
      </c>
      <c r="F4649" s="1">
        <f>IFERROR(__xludf.DUMMYFUNCTION("""COMPUTED_VALUE"""),8691201.0)</f>
        <v>8691201</v>
      </c>
    </row>
    <row r="4650">
      <c r="A4650" s="2">
        <f>IFERROR(__xludf.DUMMYFUNCTION("""COMPUTED_VALUE"""),43273.66666666667)</f>
        <v>43273.66667</v>
      </c>
      <c r="B4650" s="1">
        <f>IFERROR(__xludf.DUMMYFUNCTION("""COMPUTED_VALUE"""),76.79)</f>
        <v>76.79</v>
      </c>
      <c r="C4650" s="1">
        <f>IFERROR(__xludf.DUMMYFUNCTION("""COMPUTED_VALUE"""),77.63)</f>
        <v>77.63</v>
      </c>
      <c r="D4650" s="1">
        <f>IFERROR(__xludf.DUMMYFUNCTION("""COMPUTED_VALUE"""),76.77)</f>
        <v>76.77</v>
      </c>
      <c r="E4650" s="1">
        <f>IFERROR(__xludf.DUMMYFUNCTION("""COMPUTED_VALUE"""),77.43)</f>
        <v>77.43</v>
      </c>
      <c r="F4650" s="1">
        <f>IFERROR(__xludf.DUMMYFUNCTION("""COMPUTED_VALUE"""),1.1815468E7)</f>
        <v>11815468</v>
      </c>
    </row>
    <row r="4651">
      <c r="A4651" s="2">
        <f>IFERROR(__xludf.DUMMYFUNCTION("""COMPUTED_VALUE"""),43276.66666666667)</f>
        <v>43276.66667</v>
      </c>
      <c r="B4651" s="1">
        <f>IFERROR(__xludf.DUMMYFUNCTION("""COMPUTED_VALUE"""),77.28)</f>
        <v>77.28</v>
      </c>
      <c r="C4651" s="1">
        <f>IFERROR(__xludf.DUMMYFUNCTION("""COMPUTED_VALUE"""),77.94)</f>
        <v>77.94</v>
      </c>
      <c r="D4651" s="1">
        <f>IFERROR(__xludf.DUMMYFUNCTION("""COMPUTED_VALUE"""),77.18)</f>
        <v>77.18</v>
      </c>
      <c r="E4651" s="1">
        <f>IFERROR(__xludf.DUMMYFUNCTION("""COMPUTED_VALUE"""),77.79)</f>
        <v>77.79</v>
      </c>
      <c r="F4651" s="1">
        <f>IFERROR(__xludf.DUMMYFUNCTION("""COMPUTED_VALUE"""),1.1300455E7)</f>
        <v>11300455</v>
      </c>
    </row>
    <row r="4652">
      <c r="A4652" s="2">
        <f>IFERROR(__xludf.DUMMYFUNCTION("""COMPUTED_VALUE"""),43277.66666666667)</f>
        <v>43277.66667</v>
      </c>
      <c r="B4652" s="1">
        <f>IFERROR(__xludf.DUMMYFUNCTION("""COMPUTED_VALUE"""),77.79)</f>
        <v>77.79</v>
      </c>
      <c r="C4652" s="1">
        <f>IFERROR(__xludf.DUMMYFUNCTION("""COMPUTED_VALUE"""),78.31)</f>
        <v>78.31</v>
      </c>
      <c r="D4652" s="1">
        <f>IFERROR(__xludf.DUMMYFUNCTION("""COMPUTED_VALUE"""),77.36)</f>
        <v>77.36</v>
      </c>
      <c r="E4652" s="1">
        <f>IFERROR(__xludf.DUMMYFUNCTION("""COMPUTED_VALUE"""),78.0)</f>
        <v>78</v>
      </c>
      <c r="F4652" s="1">
        <f>IFERROR(__xludf.DUMMYFUNCTION("""COMPUTED_VALUE"""),9558489.0)</f>
        <v>9558489</v>
      </c>
    </row>
    <row r="4653">
      <c r="A4653" s="2">
        <f>IFERROR(__xludf.DUMMYFUNCTION("""COMPUTED_VALUE"""),43278.66666666667)</f>
        <v>43278.66667</v>
      </c>
      <c r="B4653" s="1">
        <f>IFERROR(__xludf.DUMMYFUNCTION("""COMPUTED_VALUE"""),78.11)</f>
        <v>78.11</v>
      </c>
      <c r="C4653" s="1">
        <f>IFERROR(__xludf.DUMMYFUNCTION("""COMPUTED_VALUE"""),78.71)</f>
        <v>78.71</v>
      </c>
      <c r="D4653" s="1">
        <f>IFERROR(__xludf.DUMMYFUNCTION("""COMPUTED_VALUE"""),77.56)</f>
        <v>77.56</v>
      </c>
      <c r="E4653" s="1">
        <f>IFERROR(__xludf.DUMMYFUNCTION("""COMPUTED_VALUE"""),77.69)</f>
        <v>77.69</v>
      </c>
      <c r="F4653" s="1">
        <f>IFERROR(__xludf.DUMMYFUNCTION("""COMPUTED_VALUE"""),7873268.0)</f>
        <v>7873268</v>
      </c>
    </row>
    <row r="4654">
      <c r="A4654" s="2">
        <f>IFERROR(__xludf.DUMMYFUNCTION("""COMPUTED_VALUE"""),43279.66666666667)</f>
        <v>43279.66667</v>
      </c>
      <c r="B4654" s="1">
        <f>IFERROR(__xludf.DUMMYFUNCTION("""COMPUTED_VALUE"""),77.86)</f>
        <v>77.86</v>
      </c>
      <c r="C4654" s="1">
        <f>IFERROR(__xludf.DUMMYFUNCTION("""COMPUTED_VALUE"""),78.32)</f>
        <v>78.32</v>
      </c>
      <c r="D4654" s="1">
        <f>IFERROR(__xludf.DUMMYFUNCTION("""COMPUTED_VALUE"""),77.66)</f>
        <v>77.66</v>
      </c>
      <c r="E4654" s="1">
        <f>IFERROR(__xludf.DUMMYFUNCTION("""COMPUTED_VALUE"""),78.05)</f>
        <v>78.05</v>
      </c>
      <c r="F4654" s="1">
        <f>IFERROR(__xludf.DUMMYFUNCTION("""COMPUTED_VALUE"""),5714437.0)</f>
        <v>5714437</v>
      </c>
    </row>
    <row r="4655">
      <c r="A4655" s="2">
        <f>IFERROR(__xludf.DUMMYFUNCTION("""COMPUTED_VALUE"""),43280.66666666667)</f>
        <v>43280.66667</v>
      </c>
      <c r="B4655" s="1">
        <f>IFERROR(__xludf.DUMMYFUNCTION("""COMPUTED_VALUE"""),77.93)</f>
        <v>77.93</v>
      </c>
      <c r="C4655" s="1">
        <f>IFERROR(__xludf.DUMMYFUNCTION("""COMPUTED_VALUE"""),78.54)</f>
        <v>78.54</v>
      </c>
      <c r="D4655" s="1">
        <f>IFERROR(__xludf.DUMMYFUNCTION("""COMPUTED_VALUE"""),77.29)</f>
        <v>77.29</v>
      </c>
      <c r="E4655" s="1">
        <f>IFERROR(__xludf.DUMMYFUNCTION("""COMPUTED_VALUE"""),78.06)</f>
        <v>78.06</v>
      </c>
      <c r="F4655" s="1">
        <f>IFERROR(__xludf.DUMMYFUNCTION("""COMPUTED_VALUE"""),7679879.0)</f>
        <v>7679879</v>
      </c>
    </row>
    <row r="4656">
      <c r="A4656" s="2">
        <f>IFERROR(__xludf.DUMMYFUNCTION("""COMPUTED_VALUE"""),43283.66666666667)</f>
        <v>43283.66667</v>
      </c>
      <c r="B4656" s="1">
        <f>IFERROR(__xludf.DUMMYFUNCTION("""COMPUTED_VALUE"""),77.5)</f>
        <v>77.5</v>
      </c>
      <c r="C4656" s="1">
        <f>IFERROR(__xludf.DUMMYFUNCTION("""COMPUTED_VALUE"""),78.31)</f>
        <v>78.31</v>
      </c>
      <c r="D4656" s="1">
        <f>IFERROR(__xludf.DUMMYFUNCTION("""COMPUTED_VALUE"""),77.42)</f>
        <v>77.42</v>
      </c>
      <c r="E4656" s="1">
        <f>IFERROR(__xludf.DUMMYFUNCTION("""COMPUTED_VALUE"""),78.13)</f>
        <v>78.13</v>
      </c>
      <c r="F4656" s="1">
        <f>IFERROR(__xludf.DUMMYFUNCTION("""COMPUTED_VALUE"""),6092868.0)</f>
        <v>6092868</v>
      </c>
    </row>
    <row r="4657">
      <c r="A4657" s="2">
        <f>IFERROR(__xludf.DUMMYFUNCTION("""COMPUTED_VALUE"""),43284.54166666667)</f>
        <v>43284.54167</v>
      </c>
      <c r="B4657" s="1">
        <f>IFERROR(__xludf.DUMMYFUNCTION("""COMPUTED_VALUE"""),78.54)</f>
        <v>78.54</v>
      </c>
      <c r="C4657" s="1">
        <f>IFERROR(__xludf.DUMMYFUNCTION("""COMPUTED_VALUE"""),78.76)</f>
        <v>78.76</v>
      </c>
      <c r="D4657" s="1">
        <f>IFERROR(__xludf.DUMMYFUNCTION("""COMPUTED_VALUE"""),77.78)</f>
        <v>77.78</v>
      </c>
      <c r="E4657" s="1">
        <f>IFERROR(__xludf.DUMMYFUNCTION("""COMPUTED_VALUE"""),77.9)</f>
        <v>77.9</v>
      </c>
      <c r="F4657" s="1">
        <f>IFERROR(__xludf.DUMMYFUNCTION("""COMPUTED_VALUE"""),5897243.0)</f>
        <v>5897243</v>
      </c>
    </row>
    <row r="4658">
      <c r="A4658" s="2">
        <f>IFERROR(__xludf.DUMMYFUNCTION("""COMPUTED_VALUE"""),43286.66666666667)</f>
        <v>43286.66667</v>
      </c>
      <c r="B4658" s="1">
        <f>IFERROR(__xludf.DUMMYFUNCTION("""COMPUTED_VALUE"""),78.14)</f>
        <v>78.14</v>
      </c>
      <c r="C4658" s="1">
        <f>IFERROR(__xludf.DUMMYFUNCTION("""COMPUTED_VALUE"""),79.25)</f>
        <v>79.25</v>
      </c>
      <c r="D4658" s="1">
        <f>IFERROR(__xludf.DUMMYFUNCTION("""COMPUTED_VALUE"""),78.12)</f>
        <v>78.12</v>
      </c>
      <c r="E4658" s="1">
        <f>IFERROR(__xludf.DUMMYFUNCTION("""COMPUTED_VALUE"""),79.21)</f>
        <v>79.21</v>
      </c>
      <c r="F4658" s="1">
        <f>IFERROR(__xludf.DUMMYFUNCTION("""COMPUTED_VALUE"""),7956147.0)</f>
        <v>7956147</v>
      </c>
    </row>
    <row r="4659">
      <c r="A4659" s="2">
        <f>IFERROR(__xludf.DUMMYFUNCTION("""COMPUTED_VALUE"""),43287.66666666667)</f>
        <v>43287.66667</v>
      </c>
      <c r="B4659" s="1">
        <f>IFERROR(__xludf.DUMMYFUNCTION("""COMPUTED_VALUE"""),79.38)</f>
        <v>79.38</v>
      </c>
      <c r="C4659" s="1">
        <f>IFERROR(__xludf.DUMMYFUNCTION("""COMPUTED_VALUE"""),79.62)</f>
        <v>79.62</v>
      </c>
      <c r="D4659" s="1">
        <f>IFERROR(__xludf.DUMMYFUNCTION("""COMPUTED_VALUE"""),78.9)</f>
        <v>78.9</v>
      </c>
      <c r="E4659" s="1">
        <f>IFERROR(__xludf.DUMMYFUNCTION("""COMPUTED_VALUE"""),79.31)</f>
        <v>79.31</v>
      </c>
      <c r="F4659" s="1">
        <f>IFERROR(__xludf.DUMMYFUNCTION("""COMPUTED_VALUE"""),7244015.0)</f>
        <v>7244015</v>
      </c>
    </row>
    <row r="4660">
      <c r="A4660" s="2">
        <f>IFERROR(__xludf.DUMMYFUNCTION("""COMPUTED_VALUE"""),43290.66666666667)</f>
        <v>43290.66667</v>
      </c>
      <c r="B4660" s="1">
        <f>IFERROR(__xludf.DUMMYFUNCTION("""COMPUTED_VALUE"""),78.46)</f>
        <v>78.46</v>
      </c>
      <c r="C4660" s="1">
        <f>IFERROR(__xludf.DUMMYFUNCTION("""COMPUTED_VALUE"""),78.83)</f>
        <v>78.83</v>
      </c>
      <c r="D4660" s="1">
        <f>IFERROR(__xludf.DUMMYFUNCTION("""COMPUTED_VALUE"""),77.78)</f>
        <v>77.78</v>
      </c>
      <c r="E4660" s="1">
        <f>IFERROR(__xludf.DUMMYFUNCTION("""COMPUTED_VALUE"""),77.86)</f>
        <v>77.86</v>
      </c>
      <c r="F4660" s="1">
        <f>IFERROR(__xludf.DUMMYFUNCTION("""COMPUTED_VALUE"""),9095947.0)</f>
        <v>9095947</v>
      </c>
    </row>
    <row r="4661">
      <c r="A4661" s="2">
        <f>IFERROR(__xludf.DUMMYFUNCTION("""COMPUTED_VALUE"""),43291.66666666667)</f>
        <v>43291.66667</v>
      </c>
      <c r="B4661" s="1">
        <f>IFERROR(__xludf.DUMMYFUNCTION("""COMPUTED_VALUE"""),78.07)</f>
        <v>78.07</v>
      </c>
      <c r="C4661" s="1">
        <f>IFERROR(__xludf.DUMMYFUNCTION("""COMPUTED_VALUE"""),79.94)</f>
        <v>79.94</v>
      </c>
      <c r="D4661" s="1">
        <f>IFERROR(__xludf.DUMMYFUNCTION("""COMPUTED_VALUE"""),77.99)</f>
        <v>77.99</v>
      </c>
      <c r="E4661" s="1">
        <f>IFERROR(__xludf.DUMMYFUNCTION("""COMPUTED_VALUE"""),79.82)</f>
        <v>79.82</v>
      </c>
      <c r="F4661" s="1">
        <f>IFERROR(__xludf.DUMMYFUNCTION("""COMPUTED_VALUE"""),1.2773488E7)</f>
        <v>12773488</v>
      </c>
    </row>
    <row r="4662">
      <c r="A4662" s="2">
        <f>IFERROR(__xludf.DUMMYFUNCTION("""COMPUTED_VALUE"""),43292.66666666667)</f>
        <v>43292.66667</v>
      </c>
      <c r="B4662" s="1">
        <f>IFERROR(__xludf.DUMMYFUNCTION("""COMPUTED_VALUE"""),79.63)</f>
        <v>79.63</v>
      </c>
      <c r="C4662" s="1">
        <f>IFERROR(__xludf.DUMMYFUNCTION("""COMPUTED_VALUE"""),79.84)</f>
        <v>79.84</v>
      </c>
      <c r="D4662" s="1">
        <f>IFERROR(__xludf.DUMMYFUNCTION("""COMPUTED_VALUE"""),79.03)</f>
        <v>79.03</v>
      </c>
      <c r="E4662" s="1">
        <f>IFERROR(__xludf.DUMMYFUNCTION("""COMPUTED_VALUE"""),79.16)</f>
        <v>79.16</v>
      </c>
      <c r="F4662" s="1">
        <f>IFERROR(__xludf.DUMMYFUNCTION("""COMPUTED_VALUE"""),7851585.0)</f>
        <v>7851585</v>
      </c>
    </row>
    <row r="4663">
      <c r="A4663" s="2">
        <f>IFERROR(__xludf.DUMMYFUNCTION("""COMPUTED_VALUE"""),43293.66666666667)</f>
        <v>43293.66667</v>
      </c>
      <c r="B4663" s="1">
        <f>IFERROR(__xludf.DUMMYFUNCTION("""COMPUTED_VALUE"""),79.34)</f>
        <v>79.34</v>
      </c>
      <c r="C4663" s="1">
        <f>IFERROR(__xludf.DUMMYFUNCTION("""COMPUTED_VALUE"""),79.52)</f>
        <v>79.52</v>
      </c>
      <c r="D4663" s="1">
        <f>IFERROR(__xludf.DUMMYFUNCTION("""COMPUTED_VALUE"""),78.57)</f>
        <v>78.57</v>
      </c>
      <c r="E4663" s="1">
        <f>IFERROR(__xludf.DUMMYFUNCTION("""COMPUTED_VALUE"""),78.89)</f>
        <v>78.89</v>
      </c>
      <c r="F4663" s="1">
        <f>IFERROR(__xludf.DUMMYFUNCTION("""COMPUTED_VALUE"""),8556814.0)</f>
        <v>8556814</v>
      </c>
    </row>
    <row r="4664">
      <c r="A4664" s="2">
        <f>IFERROR(__xludf.DUMMYFUNCTION("""COMPUTED_VALUE"""),43294.66666666667)</f>
        <v>43294.66667</v>
      </c>
      <c r="B4664" s="1">
        <f>IFERROR(__xludf.DUMMYFUNCTION("""COMPUTED_VALUE"""),79.08)</f>
        <v>79.08</v>
      </c>
      <c r="C4664" s="1">
        <f>IFERROR(__xludf.DUMMYFUNCTION("""COMPUTED_VALUE"""),79.47)</f>
        <v>79.47</v>
      </c>
      <c r="D4664" s="1">
        <f>IFERROR(__xludf.DUMMYFUNCTION("""COMPUTED_VALUE"""),78.9)</f>
        <v>78.9</v>
      </c>
      <c r="E4664" s="1">
        <f>IFERROR(__xludf.DUMMYFUNCTION("""COMPUTED_VALUE"""),79.31)</f>
        <v>79.31</v>
      </c>
      <c r="F4664" s="1">
        <f>IFERROR(__xludf.DUMMYFUNCTION("""COMPUTED_VALUE"""),6021695.0)</f>
        <v>6021695</v>
      </c>
    </row>
    <row r="4665">
      <c r="A4665" s="2">
        <f>IFERROR(__xludf.DUMMYFUNCTION("""COMPUTED_VALUE"""),43297.66666666667)</f>
        <v>43297.66667</v>
      </c>
      <c r="B4665" s="1">
        <f>IFERROR(__xludf.DUMMYFUNCTION("""COMPUTED_VALUE"""),79.21)</f>
        <v>79.21</v>
      </c>
      <c r="C4665" s="1">
        <f>IFERROR(__xludf.DUMMYFUNCTION("""COMPUTED_VALUE"""),79.63)</f>
        <v>79.63</v>
      </c>
      <c r="D4665" s="1">
        <f>IFERROR(__xludf.DUMMYFUNCTION("""COMPUTED_VALUE"""),78.83)</f>
        <v>78.83</v>
      </c>
      <c r="E4665" s="1">
        <f>IFERROR(__xludf.DUMMYFUNCTION("""COMPUTED_VALUE"""),79.53)</f>
        <v>79.53</v>
      </c>
      <c r="F4665" s="1">
        <f>IFERROR(__xludf.DUMMYFUNCTION("""COMPUTED_VALUE"""),6931330.0)</f>
        <v>6931330</v>
      </c>
    </row>
    <row r="4666">
      <c r="A4666" s="2">
        <f>IFERROR(__xludf.DUMMYFUNCTION("""COMPUTED_VALUE"""),43298.66666666667)</f>
        <v>43298.66667</v>
      </c>
      <c r="B4666" s="1">
        <f>IFERROR(__xludf.DUMMYFUNCTION("""COMPUTED_VALUE"""),79.66)</f>
        <v>79.66</v>
      </c>
      <c r="C4666" s="1">
        <f>IFERROR(__xludf.DUMMYFUNCTION("""COMPUTED_VALUE"""),80.5)</f>
        <v>80.5</v>
      </c>
      <c r="D4666" s="1">
        <f>IFERROR(__xludf.DUMMYFUNCTION("""COMPUTED_VALUE"""),79.55)</f>
        <v>79.55</v>
      </c>
      <c r="E4666" s="1">
        <f>IFERROR(__xludf.DUMMYFUNCTION("""COMPUTED_VALUE"""),80.03)</f>
        <v>80.03</v>
      </c>
      <c r="F4666" s="1">
        <f>IFERROR(__xludf.DUMMYFUNCTION("""COMPUTED_VALUE"""),8983374.0)</f>
        <v>8983374</v>
      </c>
    </row>
    <row r="4667">
      <c r="A4667" s="2">
        <f>IFERROR(__xludf.DUMMYFUNCTION("""COMPUTED_VALUE"""),43299.66666666667)</f>
        <v>43299.66667</v>
      </c>
      <c r="B4667" s="1">
        <f>IFERROR(__xludf.DUMMYFUNCTION("""COMPUTED_VALUE"""),79.72)</f>
        <v>79.72</v>
      </c>
      <c r="C4667" s="1">
        <f>IFERROR(__xludf.DUMMYFUNCTION("""COMPUTED_VALUE"""),80.21)</f>
        <v>80.21</v>
      </c>
      <c r="D4667" s="1">
        <f>IFERROR(__xludf.DUMMYFUNCTION("""COMPUTED_VALUE"""),79.33)</f>
        <v>79.33</v>
      </c>
      <c r="E4667" s="1">
        <f>IFERROR(__xludf.DUMMYFUNCTION("""COMPUTED_VALUE"""),79.72)</f>
        <v>79.72</v>
      </c>
      <c r="F4667" s="1">
        <f>IFERROR(__xludf.DUMMYFUNCTION("""COMPUTED_VALUE"""),9105138.0)</f>
        <v>9105138</v>
      </c>
    </row>
    <row r="4668">
      <c r="A4668" s="2">
        <f>IFERROR(__xludf.DUMMYFUNCTION("""COMPUTED_VALUE"""),43300.66666666667)</f>
        <v>43300.66667</v>
      </c>
      <c r="B4668" s="1">
        <f>IFERROR(__xludf.DUMMYFUNCTION("""COMPUTED_VALUE"""),78.42)</f>
        <v>78.42</v>
      </c>
      <c r="C4668" s="1">
        <f>IFERROR(__xludf.DUMMYFUNCTION("""COMPUTED_VALUE"""),79.19)</f>
        <v>79.19</v>
      </c>
      <c r="D4668" s="1">
        <f>IFERROR(__xludf.DUMMYFUNCTION("""COMPUTED_VALUE"""),77.89)</f>
        <v>77.89</v>
      </c>
      <c r="E4668" s="1">
        <f>IFERROR(__xludf.DUMMYFUNCTION("""COMPUTED_VALUE"""),78.73)</f>
        <v>78.73</v>
      </c>
      <c r="F4668" s="1">
        <f>IFERROR(__xludf.DUMMYFUNCTION("""COMPUTED_VALUE"""),8010597.0)</f>
        <v>8010597</v>
      </c>
    </row>
    <row r="4669">
      <c r="A4669" s="2">
        <f>IFERROR(__xludf.DUMMYFUNCTION("""COMPUTED_VALUE"""),43301.66666666667)</f>
        <v>43301.66667</v>
      </c>
      <c r="B4669" s="1">
        <f>IFERROR(__xludf.DUMMYFUNCTION("""COMPUTED_VALUE"""),78.32)</f>
        <v>78.32</v>
      </c>
      <c r="C4669" s="1">
        <f>IFERROR(__xludf.DUMMYFUNCTION("""COMPUTED_VALUE"""),79.06)</f>
        <v>79.06</v>
      </c>
      <c r="D4669" s="1">
        <f>IFERROR(__xludf.DUMMYFUNCTION("""COMPUTED_VALUE"""),78.32)</f>
        <v>78.32</v>
      </c>
      <c r="E4669" s="1">
        <f>IFERROR(__xludf.DUMMYFUNCTION("""COMPUTED_VALUE"""),78.68)</f>
        <v>78.68</v>
      </c>
      <c r="F4669" s="1">
        <f>IFERROR(__xludf.DUMMYFUNCTION("""COMPUTED_VALUE"""),8237389.0)</f>
        <v>8237389</v>
      </c>
    </row>
    <row r="4670">
      <c r="A4670" s="2">
        <f>IFERROR(__xludf.DUMMYFUNCTION("""COMPUTED_VALUE"""),43304.66666666667)</f>
        <v>43304.66667</v>
      </c>
      <c r="B4670" s="1">
        <f>IFERROR(__xludf.DUMMYFUNCTION("""COMPUTED_VALUE"""),78.49)</f>
        <v>78.49</v>
      </c>
      <c r="C4670" s="1">
        <f>IFERROR(__xludf.DUMMYFUNCTION("""COMPUTED_VALUE"""),78.94)</f>
        <v>78.94</v>
      </c>
      <c r="D4670" s="1">
        <f>IFERROR(__xludf.DUMMYFUNCTION("""COMPUTED_VALUE"""),78.24)</f>
        <v>78.24</v>
      </c>
      <c r="E4670" s="1">
        <f>IFERROR(__xludf.DUMMYFUNCTION("""COMPUTED_VALUE"""),78.51)</f>
        <v>78.51</v>
      </c>
      <c r="F4670" s="1">
        <f>IFERROR(__xludf.DUMMYFUNCTION("""COMPUTED_VALUE"""),5881617.0)</f>
        <v>5881617</v>
      </c>
    </row>
    <row r="4671">
      <c r="A4671" s="2">
        <f>IFERROR(__xludf.DUMMYFUNCTION("""COMPUTED_VALUE"""),43305.66666666667)</f>
        <v>43305.66667</v>
      </c>
      <c r="B4671" s="1">
        <f>IFERROR(__xludf.DUMMYFUNCTION("""COMPUTED_VALUE"""),77.54)</f>
        <v>77.54</v>
      </c>
      <c r="C4671" s="1">
        <f>IFERROR(__xludf.DUMMYFUNCTION("""COMPUTED_VALUE"""),79.01)</f>
        <v>79.01</v>
      </c>
      <c r="D4671" s="1">
        <f>IFERROR(__xludf.DUMMYFUNCTION("""COMPUTED_VALUE"""),77.54)</f>
        <v>77.54</v>
      </c>
      <c r="E4671" s="1">
        <f>IFERROR(__xludf.DUMMYFUNCTION("""COMPUTED_VALUE"""),78.99)</f>
        <v>78.99</v>
      </c>
      <c r="F4671" s="1">
        <f>IFERROR(__xludf.DUMMYFUNCTION("""COMPUTED_VALUE"""),8297092.0)</f>
        <v>8297092</v>
      </c>
    </row>
    <row r="4672">
      <c r="A4672" s="2">
        <f>IFERROR(__xludf.DUMMYFUNCTION("""COMPUTED_VALUE"""),43306.66666666667)</f>
        <v>43306.66667</v>
      </c>
      <c r="B4672" s="1">
        <f>IFERROR(__xludf.DUMMYFUNCTION("""COMPUTED_VALUE"""),78.72)</f>
        <v>78.72</v>
      </c>
      <c r="C4672" s="1">
        <f>IFERROR(__xludf.DUMMYFUNCTION("""COMPUTED_VALUE"""),79.6)</f>
        <v>79.6</v>
      </c>
      <c r="D4672" s="1">
        <f>IFERROR(__xludf.DUMMYFUNCTION("""COMPUTED_VALUE"""),78.72)</f>
        <v>78.72</v>
      </c>
      <c r="E4672" s="1">
        <f>IFERROR(__xludf.DUMMYFUNCTION("""COMPUTED_VALUE"""),79.47)</f>
        <v>79.47</v>
      </c>
      <c r="F4672" s="1">
        <f>IFERROR(__xludf.DUMMYFUNCTION("""COMPUTED_VALUE"""),6194526.0)</f>
        <v>6194526</v>
      </c>
    </row>
    <row r="4673">
      <c r="A4673" s="2">
        <f>IFERROR(__xludf.DUMMYFUNCTION("""COMPUTED_VALUE"""),43307.66666666667)</f>
        <v>43307.66667</v>
      </c>
      <c r="B4673" s="1">
        <f>IFERROR(__xludf.DUMMYFUNCTION("""COMPUTED_VALUE"""),79.56)</f>
        <v>79.56</v>
      </c>
      <c r="C4673" s="1">
        <f>IFERROR(__xludf.DUMMYFUNCTION("""COMPUTED_VALUE"""),80.77)</f>
        <v>80.77</v>
      </c>
      <c r="D4673" s="1">
        <f>IFERROR(__xludf.DUMMYFUNCTION("""COMPUTED_VALUE"""),79.47)</f>
        <v>79.47</v>
      </c>
      <c r="E4673" s="1">
        <f>IFERROR(__xludf.DUMMYFUNCTION("""COMPUTED_VALUE"""),80.09)</f>
        <v>80.09</v>
      </c>
      <c r="F4673" s="1">
        <f>IFERROR(__xludf.DUMMYFUNCTION("""COMPUTED_VALUE"""),9771096.0)</f>
        <v>9771096</v>
      </c>
    </row>
    <row r="4674">
      <c r="A4674" s="2">
        <f>IFERROR(__xludf.DUMMYFUNCTION("""COMPUTED_VALUE"""),43308.66666666667)</f>
        <v>43308.66667</v>
      </c>
      <c r="B4674" s="1">
        <f>IFERROR(__xludf.DUMMYFUNCTION("""COMPUTED_VALUE"""),79.67)</f>
        <v>79.67</v>
      </c>
      <c r="C4674" s="1">
        <f>IFERROR(__xludf.DUMMYFUNCTION("""COMPUTED_VALUE"""),80.83)</f>
        <v>80.83</v>
      </c>
      <c r="D4674" s="1">
        <f>IFERROR(__xludf.DUMMYFUNCTION("""COMPUTED_VALUE"""),79.46)</f>
        <v>79.46</v>
      </c>
      <c r="E4674" s="1">
        <f>IFERROR(__xludf.DUMMYFUNCTION("""COMPUTED_VALUE"""),80.58)</f>
        <v>80.58</v>
      </c>
      <c r="F4674" s="1">
        <f>IFERROR(__xludf.DUMMYFUNCTION("""COMPUTED_VALUE"""),7493298.0)</f>
        <v>7493298</v>
      </c>
    </row>
    <row r="4675">
      <c r="A4675" s="2">
        <f>IFERROR(__xludf.DUMMYFUNCTION("""COMPUTED_VALUE"""),43311.66666666667)</f>
        <v>43311.66667</v>
      </c>
      <c r="B4675" s="1">
        <f>IFERROR(__xludf.DUMMYFUNCTION("""COMPUTED_VALUE"""),80.07)</f>
        <v>80.07</v>
      </c>
      <c r="C4675" s="1">
        <f>IFERROR(__xludf.DUMMYFUNCTION("""COMPUTED_VALUE"""),80.5)</f>
        <v>80.5</v>
      </c>
      <c r="D4675" s="1">
        <f>IFERROR(__xludf.DUMMYFUNCTION("""COMPUTED_VALUE"""),79.84)</f>
        <v>79.84</v>
      </c>
      <c r="E4675" s="1">
        <f>IFERROR(__xludf.DUMMYFUNCTION("""COMPUTED_VALUE"""),80.2)</f>
        <v>80.2</v>
      </c>
      <c r="F4675" s="1">
        <f>IFERROR(__xludf.DUMMYFUNCTION("""COMPUTED_VALUE"""),7090749.0)</f>
        <v>7090749</v>
      </c>
    </row>
    <row r="4676">
      <c r="A4676" s="2">
        <f>IFERROR(__xludf.DUMMYFUNCTION("""COMPUTED_VALUE"""),43312.66666666667)</f>
        <v>43312.66667</v>
      </c>
      <c r="B4676" s="1">
        <f>IFERROR(__xludf.DUMMYFUNCTION("""COMPUTED_VALUE"""),80.39)</f>
        <v>80.39</v>
      </c>
      <c r="C4676" s="1">
        <f>IFERROR(__xludf.DUMMYFUNCTION("""COMPUTED_VALUE"""),80.98)</f>
        <v>80.98</v>
      </c>
      <c r="D4676" s="1">
        <f>IFERROR(__xludf.DUMMYFUNCTION("""COMPUTED_VALUE"""),79.43)</f>
        <v>79.43</v>
      </c>
      <c r="E4676" s="1">
        <f>IFERROR(__xludf.DUMMYFUNCTION("""COMPUTED_VALUE"""),80.88)</f>
        <v>80.88</v>
      </c>
      <c r="F4676" s="1">
        <f>IFERROR(__xludf.DUMMYFUNCTION("""COMPUTED_VALUE"""),9878263.0)</f>
        <v>9878263</v>
      </c>
    </row>
    <row r="4677">
      <c r="A4677" s="2">
        <f>IFERROR(__xludf.DUMMYFUNCTION("""COMPUTED_VALUE"""),43313.66666666667)</f>
        <v>43313.66667</v>
      </c>
      <c r="B4677" s="1">
        <f>IFERROR(__xludf.DUMMYFUNCTION("""COMPUTED_VALUE"""),80.42)</f>
        <v>80.42</v>
      </c>
      <c r="C4677" s="1">
        <f>IFERROR(__xludf.DUMMYFUNCTION("""COMPUTED_VALUE"""),80.82)</f>
        <v>80.82</v>
      </c>
      <c r="D4677" s="1">
        <f>IFERROR(__xludf.DUMMYFUNCTION("""COMPUTED_VALUE"""),80.11)</f>
        <v>80.11</v>
      </c>
      <c r="E4677" s="1">
        <f>IFERROR(__xludf.DUMMYFUNCTION("""COMPUTED_VALUE"""),80.65)</f>
        <v>80.65</v>
      </c>
      <c r="F4677" s="1">
        <f>IFERROR(__xludf.DUMMYFUNCTION("""COMPUTED_VALUE"""),7556733.0)</f>
        <v>7556733</v>
      </c>
    </row>
    <row r="4678">
      <c r="A4678" s="2">
        <f>IFERROR(__xludf.DUMMYFUNCTION("""COMPUTED_VALUE"""),43314.66666666667)</f>
        <v>43314.66667</v>
      </c>
      <c r="B4678" s="1">
        <f>IFERROR(__xludf.DUMMYFUNCTION("""COMPUTED_VALUE"""),80.8)</f>
        <v>80.8</v>
      </c>
      <c r="C4678" s="1">
        <f>IFERROR(__xludf.DUMMYFUNCTION("""COMPUTED_VALUE"""),82.22)</f>
        <v>82.22</v>
      </c>
      <c r="D4678" s="1">
        <f>IFERROR(__xludf.DUMMYFUNCTION("""COMPUTED_VALUE"""),80.59)</f>
        <v>80.59</v>
      </c>
      <c r="E4678" s="1">
        <f>IFERROR(__xludf.DUMMYFUNCTION("""COMPUTED_VALUE"""),82.0)</f>
        <v>82</v>
      </c>
      <c r="F4678" s="1">
        <f>IFERROR(__xludf.DUMMYFUNCTION("""COMPUTED_VALUE"""),9261768.0)</f>
        <v>9261768</v>
      </c>
    </row>
    <row r="4679">
      <c r="A4679" s="2">
        <f>IFERROR(__xludf.DUMMYFUNCTION("""COMPUTED_VALUE"""),43315.66666666667)</f>
        <v>43315.66667</v>
      </c>
      <c r="B4679" s="1">
        <f>IFERROR(__xludf.DUMMYFUNCTION("""COMPUTED_VALUE"""),82.14)</f>
        <v>82.14</v>
      </c>
      <c r="C4679" s="1">
        <f>IFERROR(__xludf.DUMMYFUNCTION("""COMPUTED_VALUE"""),83.1)</f>
        <v>83.1</v>
      </c>
      <c r="D4679" s="1">
        <f>IFERROR(__xludf.DUMMYFUNCTION("""COMPUTED_VALUE"""),81.92)</f>
        <v>81.92</v>
      </c>
      <c r="E4679" s="1">
        <f>IFERROR(__xludf.DUMMYFUNCTION("""COMPUTED_VALUE"""),82.33)</f>
        <v>82.33</v>
      </c>
      <c r="F4679" s="1">
        <f>IFERROR(__xludf.DUMMYFUNCTION("""COMPUTED_VALUE"""),7102815.0)</f>
        <v>7102815</v>
      </c>
    </row>
    <row r="4680">
      <c r="A4680" s="2">
        <f>IFERROR(__xludf.DUMMYFUNCTION("""COMPUTED_VALUE"""),43318.66666666667)</f>
        <v>43318.66667</v>
      </c>
      <c r="B4680" s="1">
        <f>IFERROR(__xludf.DUMMYFUNCTION("""COMPUTED_VALUE"""),82.2)</f>
        <v>82.2</v>
      </c>
      <c r="C4680" s="1">
        <f>IFERROR(__xludf.DUMMYFUNCTION("""COMPUTED_VALUE"""),82.93)</f>
        <v>82.93</v>
      </c>
      <c r="D4680" s="1">
        <f>IFERROR(__xludf.DUMMYFUNCTION("""COMPUTED_VALUE"""),82.15)</f>
        <v>82.15</v>
      </c>
      <c r="E4680" s="1">
        <f>IFERROR(__xludf.DUMMYFUNCTION("""COMPUTED_VALUE"""),82.52)</f>
        <v>82.52</v>
      </c>
      <c r="F4680" s="1">
        <f>IFERROR(__xludf.DUMMYFUNCTION("""COMPUTED_VALUE"""),5669223.0)</f>
        <v>5669223</v>
      </c>
    </row>
    <row r="4681">
      <c r="A4681" s="2">
        <f>IFERROR(__xludf.DUMMYFUNCTION("""COMPUTED_VALUE"""),43319.66666666667)</f>
        <v>43319.66667</v>
      </c>
      <c r="B4681" s="1">
        <f>IFERROR(__xludf.DUMMYFUNCTION("""COMPUTED_VALUE"""),82.41)</f>
        <v>82.41</v>
      </c>
      <c r="C4681" s="1">
        <f>IFERROR(__xludf.DUMMYFUNCTION("""COMPUTED_VALUE"""),82.68)</f>
        <v>82.68</v>
      </c>
      <c r="D4681" s="1">
        <f>IFERROR(__xludf.DUMMYFUNCTION("""COMPUTED_VALUE"""),81.73)</f>
        <v>81.73</v>
      </c>
      <c r="E4681" s="1">
        <f>IFERROR(__xludf.DUMMYFUNCTION("""COMPUTED_VALUE"""),82.64)</f>
        <v>82.64</v>
      </c>
      <c r="F4681" s="1">
        <f>IFERROR(__xludf.DUMMYFUNCTION("""COMPUTED_VALUE"""),6418086.0)</f>
        <v>6418086</v>
      </c>
    </row>
    <row r="4682">
      <c r="A4682" s="2">
        <f>IFERROR(__xludf.DUMMYFUNCTION("""COMPUTED_VALUE"""),43320.66666666667)</f>
        <v>43320.66667</v>
      </c>
      <c r="B4682" s="1">
        <f>IFERROR(__xludf.DUMMYFUNCTION("""COMPUTED_VALUE"""),82.1)</f>
        <v>82.1</v>
      </c>
      <c r="C4682" s="1">
        <f>IFERROR(__xludf.DUMMYFUNCTION("""COMPUTED_VALUE"""),82.8)</f>
        <v>82.8</v>
      </c>
      <c r="D4682" s="1">
        <f>IFERROR(__xludf.DUMMYFUNCTION("""COMPUTED_VALUE"""),82.1)</f>
        <v>82.1</v>
      </c>
      <c r="E4682" s="1">
        <f>IFERROR(__xludf.DUMMYFUNCTION("""COMPUTED_VALUE"""),82.35)</f>
        <v>82.35</v>
      </c>
      <c r="F4682" s="1">
        <f>IFERROR(__xludf.DUMMYFUNCTION("""COMPUTED_VALUE"""),4891755.0)</f>
        <v>4891755</v>
      </c>
    </row>
    <row r="4683">
      <c r="A4683" s="2">
        <f>IFERROR(__xludf.DUMMYFUNCTION("""COMPUTED_VALUE"""),43321.66666666667)</f>
        <v>43321.66667</v>
      </c>
      <c r="B4683" s="1">
        <f>IFERROR(__xludf.DUMMYFUNCTION("""COMPUTED_VALUE"""),82.44)</f>
        <v>82.44</v>
      </c>
      <c r="C4683" s="1">
        <f>IFERROR(__xludf.DUMMYFUNCTION("""COMPUTED_VALUE"""),82.44)</f>
        <v>82.44</v>
      </c>
      <c r="D4683" s="1">
        <f>IFERROR(__xludf.DUMMYFUNCTION("""COMPUTED_VALUE"""),81.3)</f>
        <v>81.3</v>
      </c>
      <c r="E4683" s="1">
        <f>IFERROR(__xludf.DUMMYFUNCTION("""COMPUTED_VALUE"""),81.4)</f>
        <v>81.4</v>
      </c>
      <c r="F4683" s="1">
        <f>IFERROR(__xludf.DUMMYFUNCTION("""COMPUTED_VALUE"""),5167776.0)</f>
        <v>5167776</v>
      </c>
    </row>
    <row r="4684">
      <c r="A4684" s="2">
        <f>IFERROR(__xludf.DUMMYFUNCTION("""COMPUTED_VALUE"""),43322.66666666667)</f>
        <v>43322.66667</v>
      </c>
      <c r="B4684" s="1">
        <f>IFERROR(__xludf.DUMMYFUNCTION("""COMPUTED_VALUE"""),81.3)</f>
        <v>81.3</v>
      </c>
      <c r="C4684" s="1">
        <f>IFERROR(__xludf.DUMMYFUNCTION("""COMPUTED_VALUE"""),81.76)</f>
        <v>81.76</v>
      </c>
      <c r="D4684" s="1">
        <f>IFERROR(__xludf.DUMMYFUNCTION("""COMPUTED_VALUE"""),81.0)</f>
        <v>81</v>
      </c>
      <c r="E4684" s="1">
        <f>IFERROR(__xludf.DUMMYFUNCTION("""COMPUTED_VALUE"""),81.43)</f>
        <v>81.43</v>
      </c>
      <c r="F4684" s="1">
        <f>IFERROR(__xludf.DUMMYFUNCTION("""COMPUTED_VALUE"""),5566313.0)</f>
        <v>5566313</v>
      </c>
    </row>
    <row r="4685">
      <c r="A4685" s="2">
        <f>IFERROR(__xludf.DUMMYFUNCTION("""COMPUTED_VALUE"""),43325.66666666667)</f>
        <v>43325.66667</v>
      </c>
      <c r="B4685" s="1">
        <f>IFERROR(__xludf.DUMMYFUNCTION("""COMPUTED_VALUE"""),81.7)</f>
        <v>81.7</v>
      </c>
      <c r="C4685" s="1">
        <f>IFERROR(__xludf.DUMMYFUNCTION("""COMPUTED_VALUE"""),82.08)</f>
        <v>82.08</v>
      </c>
      <c r="D4685" s="1">
        <f>IFERROR(__xludf.DUMMYFUNCTION("""COMPUTED_VALUE"""),81.15)</f>
        <v>81.15</v>
      </c>
      <c r="E4685" s="1">
        <f>IFERROR(__xludf.DUMMYFUNCTION("""COMPUTED_VALUE"""),81.52)</f>
        <v>81.52</v>
      </c>
      <c r="F4685" s="1">
        <f>IFERROR(__xludf.DUMMYFUNCTION("""COMPUTED_VALUE"""),5068285.0)</f>
        <v>5068285</v>
      </c>
    </row>
    <row r="4686">
      <c r="A4686" s="2">
        <f>IFERROR(__xludf.DUMMYFUNCTION("""COMPUTED_VALUE"""),43326.66666666667)</f>
        <v>43326.66667</v>
      </c>
      <c r="B4686" s="1">
        <f>IFERROR(__xludf.DUMMYFUNCTION("""COMPUTED_VALUE"""),81.39)</f>
        <v>81.39</v>
      </c>
      <c r="C4686" s="1">
        <f>IFERROR(__xludf.DUMMYFUNCTION("""COMPUTED_VALUE"""),81.72)</f>
        <v>81.72</v>
      </c>
      <c r="D4686" s="1">
        <f>IFERROR(__xludf.DUMMYFUNCTION("""COMPUTED_VALUE"""),81.23)</f>
        <v>81.23</v>
      </c>
      <c r="E4686" s="1">
        <f>IFERROR(__xludf.DUMMYFUNCTION("""COMPUTED_VALUE"""),81.31)</f>
        <v>81.31</v>
      </c>
      <c r="F4686" s="1">
        <f>IFERROR(__xludf.DUMMYFUNCTION("""COMPUTED_VALUE"""),6226899.0)</f>
        <v>6226899</v>
      </c>
    </row>
    <row r="4687">
      <c r="A4687" s="2">
        <f>IFERROR(__xludf.DUMMYFUNCTION("""COMPUTED_VALUE"""),43327.66666666667)</f>
        <v>43327.66667</v>
      </c>
      <c r="B4687" s="1">
        <f>IFERROR(__xludf.DUMMYFUNCTION("""COMPUTED_VALUE"""),81.3)</f>
        <v>81.3</v>
      </c>
      <c r="C4687" s="1">
        <f>IFERROR(__xludf.DUMMYFUNCTION("""COMPUTED_VALUE"""),82.37)</f>
        <v>82.37</v>
      </c>
      <c r="D4687" s="1">
        <f>IFERROR(__xludf.DUMMYFUNCTION("""COMPUTED_VALUE"""),80.81)</f>
        <v>80.81</v>
      </c>
      <c r="E4687" s="1">
        <f>IFERROR(__xludf.DUMMYFUNCTION("""COMPUTED_VALUE"""),82.3)</f>
        <v>82.3</v>
      </c>
      <c r="F4687" s="1">
        <f>IFERROR(__xludf.DUMMYFUNCTION("""COMPUTED_VALUE"""),8753541.0)</f>
        <v>8753541</v>
      </c>
    </row>
    <row r="4688">
      <c r="A4688" s="2">
        <f>IFERROR(__xludf.DUMMYFUNCTION("""COMPUTED_VALUE"""),43328.66666666667)</f>
        <v>43328.66667</v>
      </c>
      <c r="B4688" s="1">
        <f>IFERROR(__xludf.DUMMYFUNCTION("""COMPUTED_VALUE"""),82.46)</f>
        <v>82.46</v>
      </c>
      <c r="C4688" s="1">
        <f>IFERROR(__xludf.DUMMYFUNCTION("""COMPUTED_VALUE"""),84.0)</f>
        <v>84</v>
      </c>
      <c r="D4688" s="1">
        <f>IFERROR(__xludf.DUMMYFUNCTION("""COMPUTED_VALUE"""),82.31)</f>
        <v>82.31</v>
      </c>
      <c r="E4688" s="1">
        <f>IFERROR(__xludf.DUMMYFUNCTION("""COMPUTED_VALUE"""),83.69)</f>
        <v>83.69</v>
      </c>
      <c r="F4688" s="1">
        <f>IFERROR(__xludf.DUMMYFUNCTION("""COMPUTED_VALUE"""),1.2367981E7)</f>
        <v>12367981</v>
      </c>
    </row>
    <row r="4689">
      <c r="A4689" s="2">
        <f>IFERROR(__xludf.DUMMYFUNCTION("""COMPUTED_VALUE"""),43329.66666666667)</f>
        <v>43329.66667</v>
      </c>
      <c r="B4689" s="1">
        <f>IFERROR(__xludf.DUMMYFUNCTION("""COMPUTED_VALUE"""),83.73)</f>
        <v>83.73</v>
      </c>
      <c r="C4689" s="1">
        <f>IFERROR(__xludf.DUMMYFUNCTION("""COMPUTED_VALUE"""),84.2)</f>
        <v>84.2</v>
      </c>
      <c r="D4689" s="1">
        <f>IFERROR(__xludf.DUMMYFUNCTION("""COMPUTED_VALUE"""),83.6)</f>
        <v>83.6</v>
      </c>
      <c r="E4689" s="1">
        <f>IFERROR(__xludf.DUMMYFUNCTION("""COMPUTED_VALUE"""),83.69)</f>
        <v>83.69</v>
      </c>
      <c r="F4689" s="1">
        <f>IFERROR(__xludf.DUMMYFUNCTION("""COMPUTED_VALUE"""),8409296.0)</f>
        <v>8409296</v>
      </c>
    </row>
    <row r="4690">
      <c r="A4690" s="2">
        <f>IFERROR(__xludf.DUMMYFUNCTION("""COMPUTED_VALUE"""),43332.66666666667)</f>
        <v>43332.66667</v>
      </c>
      <c r="B4690" s="1">
        <f>IFERROR(__xludf.DUMMYFUNCTION("""COMPUTED_VALUE"""),83.89)</f>
        <v>83.89</v>
      </c>
      <c r="C4690" s="1">
        <f>IFERROR(__xludf.DUMMYFUNCTION("""COMPUTED_VALUE"""),83.95)</f>
        <v>83.95</v>
      </c>
      <c r="D4690" s="1">
        <f>IFERROR(__xludf.DUMMYFUNCTION("""COMPUTED_VALUE"""),83.31)</f>
        <v>83.31</v>
      </c>
      <c r="E4690" s="1">
        <f>IFERROR(__xludf.DUMMYFUNCTION("""COMPUTED_VALUE"""),83.64)</f>
        <v>83.64</v>
      </c>
      <c r="F4690" s="1">
        <f>IFERROR(__xludf.DUMMYFUNCTION("""COMPUTED_VALUE"""),6795814.0)</f>
        <v>6795814</v>
      </c>
    </row>
    <row r="4691">
      <c r="A4691" s="2">
        <f>IFERROR(__xludf.DUMMYFUNCTION("""COMPUTED_VALUE"""),43333.66666666667)</f>
        <v>43333.66667</v>
      </c>
      <c r="B4691" s="1">
        <f>IFERROR(__xludf.DUMMYFUNCTION("""COMPUTED_VALUE"""),83.57)</f>
        <v>83.57</v>
      </c>
      <c r="C4691" s="1">
        <f>IFERROR(__xludf.DUMMYFUNCTION("""COMPUTED_VALUE"""),84.0)</f>
        <v>84</v>
      </c>
      <c r="D4691" s="1">
        <f>IFERROR(__xludf.DUMMYFUNCTION("""COMPUTED_VALUE"""),83.09)</f>
        <v>83.09</v>
      </c>
      <c r="E4691" s="1">
        <f>IFERROR(__xludf.DUMMYFUNCTION("""COMPUTED_VALUE"""),83.9)</f>
        <v>83.9</v>
      </c>
      <c r="F4691" s="1">
        <f>IFERROR(__xludf.DUMMYFUNCTION("""COMPUTED_VALUE"""),8534868.0)</f>
        <v>8534868</v>
      </c>
    </row>
    <row r="4692">
      <c r="A4692" s="2">
        <f>IFERROR(__xludf.DUMMYFUNCTION("""COMPUTED_VALUE"""),43334.66666666667)</f>
        <v>43334.66667</v>
      </c>
      <c r="B4692" s="1">
        <f>IFERROR(__xludf.DUMMYFUNCTION("""COMPUTED_VALUE"""),83.81)</f>
        <v>83.81</v>
      </c>
      <c r="C4692" s="1">
        <f>IFERROR(__xludf.DUMMYFUNCTION("""COMPUTED_VALUE"""),83.85)</f>
        <v>83.85</v>
      </c>
      <c r="D4692" s="1">
        <f>IFERROR(__xludf.DUMMYFUNCTION("""COMPUTED_VALUE"""),83.06)</f>
        <v>83.06</v>
      </c>
      <c r="E4692" s="1">
        <f>IFERROR(__xludf.DUMMYFUNCTION("""COMPUTED_VALUE"""),83.39)</f>
        <v>83.39</v>
      </c>
      <c r="F4692" s="1">
        <f>IFERROR(__xludf.DUMMYFUNCTION("""COMPUTED_VALUE"""),5132624.0)</f>
        <v>5132624</v>
      </c>
    </row>
    <row r="4693">
      <c r="A4693" s="2">
        <f>IFERROR(__xludf.DUMMYFUNCTION("""COMPUTED_VALUE"""),43335.66666666667)</f>
        <v>43335.66667</v>
      </c>
      <c r="B4693" s="1">
        <f>IFERROR(__xludf.DUMMYFUNCTION("""COMPUTED_VALUE"""),83.01)</f>
        <v>83.01</v>
      </c>
      <c r="C4693" s="1">
        <f>IFERROR(__xludf.DUMMYFUNCTION("""COMPUTED_VALUE"""),83.6)</f>
        <v>83.6</v>
      </c>
      <c r="D4693" s="1">
        <f>IFERROR(__xludf.DUMMYFUNCTION("""COMPUTED_VALUE"""),82.84)</f>
        <v>82.84</v>
      </c>
      <c r="E4693" s="1">
        <f>IFERROR(__xludf.DUMMYFUNCTION("""COMPUTED_VALUE"""),83.24)</f>
        <v>83.24</v>
      </c>
      <c r="F4693" s="1">
        <f>IFERROR(__xludf.DUMMYFUNCTION("""COMPUTED_VALUE"""),4323170.0)</f>
        <v>4323170</v>
      </c>
    </row>
    <row r="4694">
      <c r="A4694" s="2">
        <f>IFERROR(__xludf.DUMMYFUNCTION("""COMPUTED_VALUE"""),43336.66666666667)</f>
        <v>43336.66667</v>
      </c>
      <c r="B4694" s="1">
        <f>IFERROR(__xludf.DUMMYFUNCTION("""COMPUTED_VALUE"""),83.22)</f>
        <v>83.22</v>
      </c>
      <c r="C4694" s="1">
        <f>IFERROR(__xludf.DUMMYFUNCTION("""COMPUTED_VALUE"""),83.55)</f>
        <v>83.55</v>
      </c>
      <c r="D4694" s="1">
        <f>IFERROR(__xludf.DUMMYFUNCTION("""COMPUTED_VALUE"""),83.03)</f>
        <v>83.03</v>
      </c>
      <c r="E4694" s="1">
        <f>IFERROR(__xludf.DUMMYFUNCTION("""COMPUTED_VALUE"""),83.36)</f>
        <v>83.36</v>
      </c>
      <c r="F4694" s="1">
        <f>IFERROR(__xludf.DUMMYFUNCTION("""COMPUTED_VALUE"""),5356099.0)</f>
        <v>5356099</v>
      </c>
    </row>
    <row r="4695">
      <c r="A4695" s="2">
        <f>IFERROR(__xludf.DUMMYFUNCTION("""COMPUTED_VALUE"""),43339.66666666667)</f>
        <v>43339.66667</v>
      </c>
      <c r="B4695" s="1">
        <f>IFERROR(__xludf.DUMMYFUNCTION("""COMPUTED_VALUE"""),83.5)</f>
        <v>83.5</v>
      </c>
      <c r="C4695" s="1">
        <f>IFERROR(__xludf.DUMMYFUNCTION("""COMPUTED_VALUE"""),83.82)</f>
        <v>83.82</v>
      </c>
      <c r="D4695" s="1">
        <f>IFERROR(__xludf.DUMMYFUNCTION("""COMPUTED_VALUE"""),83.02)</f>
        <v>83.02</v>
      </c>
      <c r="E4695" s="1">
        <f>IFERROR(__xludf.DUMMYFUNCTION("""COMPUTED_VALUE"""),83.44)</f>
        <v>83.44</v>
      </c>
      <c r="F4695" s="1">
        <f>IFERROR(__xludf.DUMMYFUNCTION("""COMPUTED_VALUE"""),3941454.0)</f>
        <v>3941454</v>
      </c>
    </row>
    <row r="4696">
      <c r="A4696" s="2">
        <f>IFERROR(__xludf.DUMMYFUNCTION("""COMPUTED_VALUE"""),43340.66666666667)</f>
        <v>43340.66667</v>
      </c>
      <c r="B4696" s="1">
        <f>IFERROR(__xludf.DUMMYFUNCTION("""COMPUTED_VALUE"""),83.72)</f>
        <v>83.72</v>
      </c>
      <c r="C4696" s="1">
        <f>IFERROR(__xludf.DUMMYFUNCTION("""COMPUTED_VALUE"""),83.86)</f>
        <v>83.86</v>
      </c>
      <c r="D4696" s="1">
        <f>IFERROR(__xludf.DUMMYFUNCTION("""COMPUTED_VALUE"""),83.32)</f>
        <v>83.32</v>
      </c>
      <c r="E4696" s="1">
        <f>IFERROR(__xludf.DUMMYFUNCTION("""COMPUTED_VALUE"""),83.48)</f>
        <v>83.48</v>
      </c>
      <c r="F4696" s="1">
        <f>IFERROR(__xludf.DUMMYFUNCTION("""COMPUTED_VALUE"""),5405213.0)</f>
        <v>5405213</v>
      </c>
    </row>
    <row r="4697">
      <c r="A4697" s="2">
        <f>IFERROR(__xludf.DUMMYFUNCTION("""COMPUTED_VALUE"""),43341.66666666667)</f>
        <v>43341.66667</v>
      </c>
      <c r="B4697" s="1">
        <f>IFERROR(__xludf.DUMMYFUNCTION("""COMPUTED_VALUE"""),83.51)</f>
        <v>83.51</v>
      </c>
      <c r="C4697" s="1">
        <f>IFERROR(__xludf.DUMMYFUNCTION("""COMPUTED_VALUE"""),83.76)</f>
        <v>83.76</v>
      </c>
      <c r="D4697" s="1">
        <f>IFERROR(__xludf.DUMMYFUNCTION("""COMPUTED_VALUE"""),83.29)</f>
        <v>83.29</v>
      </c>
      <c r="E4697" s="1">
        <f>IFERROR(__xludf.DUMMYFUNCTION("""COMPUTED_VALUE"""),83.49)</f>
        <v>83.49</v>
      </c>
      <c r="F4697" s="1">
        <f>IFERROR(__xludf.DUMMYFUNCTION("""COMPUTED_VALUE"""),4520432.0)</f>
        <v>4520432</v>
      </c>
    </row>
    <row r="4698">
      <c r="A4698" s="2">
        <f>IFERROR(__xludf.DUMMYFUNCTION("""COMPUTED_VALUE"""),43342.66666666667)</f>
        <v>43342.66667</v>
      </c>
      <c r="B4698" s="1">
        <f>IFERROR(__xludf.DUMMYFUNCTION("""COMPUTED_VALUE"""),83.39)</f>
        <v>83.39</v>
      </c>
      <c r="C4698" s="1">
        <f>IFERROR(__xludf.DUMMYFUNCTION("""COMPUTED_VALUE"""),83.74)</f>
        <v>83.74</v>
      </c>
      <c r="D4698" s="1">
        <f>IFERROR(__xludf.DUMMYFUNCTION("""COMPUTED_VALUE"""),83.19)</f>
        <v>83.19</v>
      </c>
      <c r="E4698" s="1">
        <f>IFERROR(__xludf.DUMMYFUNCTION("""COMPUTED_VALUE"""),83.41)</f>
        <v>83.41</v>
      </c>
      <c r="F4698" s="1">
        <f>IFERROR(__xludf.DUMMYFUNCTION("""COMPUTED_VALUE"""),4549679.0)</f>
        <v>4549679</v>
      </c>
    </row>
    <row r="4699">
      <c r="A4699" s="2">
        <f>IFERROR(__xludf.DUMMYFUNCTION("""COMPUTED_VALUE"""),43343.66666666667)</f>
        <v>43343.66667</v>
      </c>
      <c r="B4699" s="1">
        <f>IFERROR(__xludf.DUMMYFUNCTION("""COMPUTED_VALUE"""),83.35)</f>
        <v>83.35</v>
      </c>
      <c r="C4699" s="1">
        <f>IFERROR(__xludf.DUMMYFUNCTION("""COMPUTED_VALUE"""),83.53)</f>
        <v>83.53</v>
      </c>
      <c r="D4699" s="1">
        <f>IFERROR(__xludf.DUMMYFUNCTION("""COMPUTED_VALUE"""),82.39)</f>
        <v>82.39</v>
      </c>
      <c r="E4699" s="1">
        <f>IFERROR(__xludf.DUMMYFUNCTION("""COMPUTED_VALUE"""),82.95)</f>
        <v>82.95</v>
      </c>
      <c r="F4699" s="1">
        <f>IFERROR(__xludf.DUMMYFUNCTION("""COMPUTED_VALUE"""),6674891.0)</f>
        <v>6674891</v>
      </c>
    </row>
    <row r="4700">
      <c r="A4700" s="2">
        <f>IFERROR(__xludf.DUMMYFUNCTION("""COMPUTED_VALUE"""),43347.66666666667)</f>
        <v>43347.66667</v>
      </c>
      <c r="B4700" s="1">
        <f>IFERROR(__xludf.DUMMYFUNCTION("""COMPUTED_VALUE"""),82.48)</f>
        <v>82.48</v>
      </c>
      <c r="C4700" s="1">
        <f>IFERROR(__xludf.DUMMYFUNCTION("""COMPUTED_VALUE"""),82.96)</f>
        <v>82.96</v>
      </c>
      <c r="D4700" s="1">
        <f>IFERROR(__xludf.DUMMYFUNCTION("""COMPUTED_VALUE"""),82.07)</f>
        <v>82.07</v>
      </c>
      <c r="E4700" s="1">
        <f>IFERROR(__xludf.DUMMYFUNCTION("""COMPUTED_VALUE"""),82.7)</f>
        <v>82.7</v>
      </c>
      <c r="F4700" s="1">
        <f>IFERROR(__xludf.DUMMYFUNCTION("""COMPUTED_VALUE"""),5800690.0)</f>
        <v>5800690</v>
      </c>
    </row>
    <row r="4701">
      <c r="A4701" s="2">
        <f>IFERROR(__xludf.DUMMYFUNCTION("""COMPUTED_VALUE"""),43348.66666666667)</f>
        <v>43348.66667</v>
      </c>
      <c r="B4701" s="1">
        <f>IFERROR(__xludf.DUMMYFUNCTION("""COMPUTED_VALUE"""),82.11)</f>
        <v>82.11</v>
      </c>
      <c r="C4701" s="1">
        <f>IFERROR(__xludf.DUMMYFUNCTION("""COMPUTED_VALUE"""),83.47)</f>
        <v>83.47</v>
      </c>
      <c r="D4701" s="1">
        <f>IFERROR(__xludf.DUMMYFUNCTION("""COMPUTED_VALUE"""),82.11)</f>
        <v>82.11</v>
      </c>
      <c r="E4701" s="1">
        <f>IFERROR(__xludf.DUMMYFUNCTION("""COMPUTED_VALUE"""),83.29)</f>
        <v>83.29</v>
      </c>
      <c r="F4701" s="1">
        <f>IFERROR(__xludf.DUMMYFUNCTION("""COMPUTED_VALUE"""),7651916.0)</f>
        <v>7651916</v>
      </c>
    </row>
    <row r="4702">
      <c r="A4702" s="2">
        <f>IFERROR(__xludf.DUMMYFUNCTION("""COMPUTED_VALUE"""),43349.66666666667)</f>
        <v>43349.66667</v>
      </c>
      <c r="B4702" s="1">
        <f>IFERROR(__xludf.DUMMYFUNCTION("""COMPUTED_VALUE"""),82.91)</f>
        <v>82.91</v>
      </c>
      <c r="C4702" s="1">
        <f>IFERROR(__xludf.DUMMYFUNCTION("""COMPUTED_VALUE"""),83.31)</f>
        <v>83.31</v>
      </c>
      <c r="D4702" s="1">
        <f>IFERROR(__xludf.DUMMYFUNCTION("""COMPUTED_VALUE"""),82.49)</f>
        <v>82.49</v>
      </c>
      <c r="E4702" s="1">
        <f>IFERROR(__xludf.DUMMYFUNCTION("""COMPUTED_VALUE"""),82.65)</f>
        <v>82.65</v>
      </c>
      <c r="F4702" s="1">
        <f>IFERROR(__xludf.DUMMYFUNCTION("""COMPUTED_VALUE"""),7541144.0)</f>
        <v>7541144</v>
      </c>
    </row>
    <row r="4703">
      <c r="A4703" s="2">
        <f>IFERROR(__xludf.DUMMYFUNCTION("""COMPUTED_VALUE"""),43350.66666666667)</f>
        <v>43350.66667</v>
      </c>
      <c r="B4703" s="1">
        <f>IFERROR(__xludf.DUMMYFUNCTION("""COMPUTED_VALUE"""),82.1)</f>
        <v>82.1</v>
      </c>
      <c r="C4703" s="1">
        <f>IFERROR(__xludf.DUMMYFUNCTION("""COMPUTED_VALUE"""),82.2)</f>
        <v>82.2</v>
      </c>
      <c r="D4703" s="1">
        <f>IFERROR(__xludf.DUMMYFUNCTION("""COMPUTED_VALUE"""),81.25)</f>
        <v>81.25</v>
      </c>
      <c r="E4703" s="1">
        <f>IFERROR(__xludf.DUMMYFUNCTION("""COMPUTED_VALUE"""),81.91)</f>
        <v>81.91</v>
      </c>
      <c r="F4703" s="1">
        <f>IFERROR(__xludf.DUMMYFUNCTION("""COMPUTED_VALUE"""),1.1110895E7)</f>
        <v>11110895</v>
      </c>
    </row>
    <row r="4704">
      <c r="A4704" s="2">
        <f>IFERROR(__xludf.DUMMYFUNCTION("""COMPUTED_VALUE"""),43353.66666666667)</f>
        <v>43353.66667</v>
      </c>
      <c r="B4704" s="1">
        <f>IFERROR(__xludf.DUMMYFUNCTION("""COMPUTED_VALUE"""),82.58)</f>
        <v>82.58</v>
      </c>
      <c r="C4704" s="1">
        <f>IFERROR(__xludf.DUMMYFUNCTION("""COMPUTED_VALUE"""),83.1)</f>
        <v>83.1</v>
      </c>
      <c r="D4704" s="1">
        <f>IFERROR(__xludf.DUMMYFUNCTION("""COMPUTED_VALUE"""),82.34)</f>
        <v>82.34</v>
      </c>
      <c r="E4704" s="1">
        <f>IFERROR(__xludf.DUMMYFUNCTION("""COMPUTED_VALUE"""),82.38)</f>
        <v>82.38</v>
      </c>
      <c r="F4704" s="1">
        <f>IFERROR(__xludf.DUMMYFUNCTION("""COMPUTED_VALUE"""),6782972.0)</f>
        <v>6782972</v>
      </c>
    </row>
    <row r="4705">
      <c r="A4705" s="2">
        <f>IFERROR(__xludf.DUMMYFUNCTION("""COMPUTED_VALUE"""),43354.66666666667)</f>
        <v>43354.66667</v>
      </c>
      <c r="B4705" s="1">
        <f>IFERROR(__xludf.DUMMYFUNCTION("""COMPUTED_VALUE"""),82.13)</f>
        <v>82.13</v>
      </c>
      <c r="C4705" s="1">
        <f>IFERROR(__xludf.DUMMYFUNCTION("""COMPUTED_VALUE"""),82.42)</f>
        <v>82.42</v>
      </c>
      <c r="D4705" s="1">
        <f>IFERROR(__xludf.DUMMYFUNCTION("""COMPUTED_VALUE"""),81.63)</f>
        <v>81.63</v>
      </c>
      <c r="E4705" s="1">
        <f>IFERROR(__xludf.DUMMYFUNCTION("""COMPUTED_VALUE"""),82.01)</f>
        <v>82.01</v>
      </c>
      <c r="F4705" s="1">
        <f>IFERROR(__xludf.DUMMYFUNCTION("""COMPUTED_VALUE"""),5210280.0)</f>
        <v>5210280</v>
      </c>
    </row>
    <row r="4706">
      <c r="A4706" s="2">
        <f>IFERROR(__xludf.DUMMYFUNCTION("""COMPUTED_VALUE"""),43355.66666666667)</f>
        <v>43355.66667</v>
      </c>
      <c r="B4706" s="1">
        <f>IFERROR(__xludf.DUMMYFUNCTION("""COMPUTED_VALUE"""),81.9)</f>
        <v>81.9</v>
      </c>
      <c r="C4706" s="1">
        <f>IFERROR(__xludf.DUMMYFUNCTION("""COMPUTED_VALUE"""),83.18)</f>
        <v>83.18</v>
      </c>
      <c r="D4706" s="1">
        <f>IFERROR(__xludf.DUMMYFUNCTION("""COMPUTED_VALUE"""),81.7)</f>
        <v>81.7</v>
      </c>
      <c r="E4706" s="1">
        <f>IFERROR(__xludf.DUMMYFUNCTION("""COMPUTED_VALUE"""),83.11)</f>
        <v>83.11</v>
      </c>
      <c r="F4706" s="1">
        <f>IFERROR(__xludf.DUMMYFUNCTION("""COMPUTED_VALUE"""),5925185.0)</f>
        <v>5925185</v>
      </c>
    </row>
    <row r="4707">
      <c r="A4707" s="2">
        <f>IFERROR(__xludf.DUMMYFUNCTION("""COMPUTED_VALUE"""),43356.66666666667)</f>
        <v>43356.66667</v>
      </c>
      <c r="B4707" s="1">
        <f>IFERROR(__xludf.DUMMYFUNCTION("""COMPUTED_VALUE"""),83.27)</f>
        <v>83.27</v>
      </c>
      <c r="C4707" s="1">
        <f>IFERROR(__xludf.DUMMYFUNCTION("""COMPUTED_VALUE"""),83.49)</f>
        <v>83.49</v>
      </c>
      <c r="D4707" s="1">
        <f>IFERROR(__xludf.DUMMYFUNCTION("""COMPUTED_VALUE"""),82.65)</f>
        <v>82.65</v>
      </c>
      <c r="E4707" s="1">
        <f>IFERROR(__xludf.DUMMYFUNCTION("""COMPUTED_VALUE"""),83.45)</f>
        <v>83.45</v>
      </c>
      <c r="F4707" s="1">
        <f>IFERROR(__xludf.DUMMYFUNCTION("""COMPUTED_VALUE"""),5328364.0)</f>
        <v>5328364</v>
      </c>
    </row>
    <row r="4708">
      <c r="A4708" s="2">
        <f>IFERROR(__xludf.DUMMYFUNCTION("""COMPUTED_VALUE"""),43357.66666666667)</f>
        <v>43357.66667</v>
      </c>
      <c r="B4708" s="1">
        <f>IFERROR(__xludf.DUMMYFUNCTION("""COMPUTED_VALUE"""),83.47)</f>
        <v>83.47</v>
      </c>
      <c r="C4708" s="1">
        <f>IFERROR(__xludf.DUMMYFUNCTION("""COMPUTED_VALUE"""),83.67)</f>
        <v>83.67</v>
      </c>
      <c r="D4708" s="1">
        <f>IFERROR(__xludf.DUMMYFUNCTION("""COMPUTED_VALUE"""),82.97)</f>
        <v>82.97</v>
      </c>
      <c r="E4708" s="1">
        <f>IFERROR(__xludf.DUMMYFUNCTION("""COMPUTED_VALUE"""),83.61)</f>
        <v>83.61</v>
      </c>
      <c r="F4708" s="1">
        <f>IFERROR(__xludf.DUMMYFUNCTION("""COMPUTED_VALUE"""),5004089.0)</f>
        <v>5004089</v>
      </c>
    </row>
    <row r="4709">
      <c r="A4709" s="2">
        <f>IFERROR(__xludf.DUMMYFUNCTION("""COMPUTED_VALUE"""),43360.66666666667)</f>
        <v>43360.66667</v>
      </c>
      <c r="B4709" s="1">
        <f>IFERROR(__xludf.DUMMYFUNCTION("""COMPUTED_VALUE"""),83.5)</f>
        <v>83.5</v>
      </c>
      <c r="C4709" s="1">
        <f>IFERROR(__xludf.DUMMYFUNCTION("""COMPUTED_VALUE"""),84.27)</f>
        <v>84.27</v>
      </c>
      <c r="D4709" s="1">
        <f>IFERROR(__xludf.DUMMYFUNCTION("""COMPUTED_VALUE"""),83.34)</f>
        <v>83.34</v>
      </c>
      <c r="E4709" s="1">
        <f>IFERROR(__xludf.DUMMYFUNCTION("""COMPUTED_VALUE"""),84.25)</f>
        <v>84.25</v>
      </c>
      <c r="F4709" s="1">
        <f>IFERROR(__xludf.DUMMYFUNCTION("""COMPUTED_VALUE"""),7098812.0)</f>
        <v>7098812</v>
      </c>
    </row>
    <row r="4710">
      <c r="A4710" s="2">
        <f>IFERROR(__xludf.DUMMYFUNCTION("""COMPUTED_VALUE"""),43361.66666666667)</f>
        <v>43361.66667</v>
      </c>
      <c r="B4710" s="1">
        <f>IFERROR(__xludf.DUMMYFUNCTION("""COMPUTED_VALUE"""),84.29)</f>
        <v>84.29</v>
      </c>
      <c r="C4710" s="1">
        <f>IFERROR(__xludf.DUMMYFUNCTION("""COMPUTED_VALUE"""),84.29)</f>
        <v>84.29</v>
      </c>
      <c r="D4710" s="1">
        <f>IFERROR(__xludf.DUMMYFUNCTION("""COMPUTED_VALUE"""),83.58)</f>
        <v>83.58</v>
      </c>
      <c r="E4710" s="1">
        <f>IFERROR(__xludf.DUMMYFUNCTION("""COMPUTED_VALUE"""),84.0)</f>
        <v>84</v>
      </c>
      <c r="F4710" s="1">
        <f>IFERROR(__xludf.DUMMYFUNCTION("""COMPUTED_VALUE"""),6023217.0)</f>
        <v>6023217</v>
      </c>
    </row>
    <row r="4711">
      <c r="A4711" s="2">
        <f>IFERROR(__xludf.DUMMYFUNCTION("""COMPUTED_VALUE"""),43362.66666666667)</f>
        <v>43362.66667</v>
      </c>
      <c r="B4711" s="1">
        <f>IFERROR(__xludf.DUMMYFUNCTION("""COMPUTED_VALUE"""),83.92)</f>
        <v>83.92</v>
      </c>
      <c r="C4711" s="1">
        <f>IFERROR(__xludf.DUMMYFUNCTION("""COMPUTED_VALUE"""),84.29)</f>
        <v>84.29</v>
      </c>
      <c r="D4711" s="1">
        <f>IFERROR(__xludf.DUMMYFUNCTION("""COMPUTED_VALUE"""),83.77)</f>
        <v>83.77</v>
      </c>
      <c r="E4711" s="1">
        <f>IFERROR(__xludf.DUMMYFUNCTION("""COMPUTED_VALUE"""),84.0)</f>
        <v>84</v>
      </c>
      <c r="F4711" s="1">
        <f>IFERROR(__xludf.DUMMYFUNCTION("""COMPUTED_VALUE"""),6157573.0)</f>
        <v>6157573</v>
      </c>
    </row>
    <row r="4712">
      <c r="A4712" s="2">
        <f>IFERROR(__xludf.DUMMYFUNCTION("""COMPUTED_VALUE"""),43363.66666666667)</f>
        <v>43363.66667</v>
      </c>
      <c r="B4712" s="1">
        <f>IFERROR(__xludf.DUMMYFUNCTION("""COMPUTED_VALUE"""),84.29)</f>
        <v>84.29</v>
      </c>
      <c r="C4712" s="1">
        <f>IFERROR(__xludf.DUMMYFUNCTION("""COMPUTED_VALUE"""),85.64)</f>
        <v>85.64</v>
      </c>
      <c r="D4712" s="1">
        <f>IFERROR(__xludf.DUMMYFUNCTION("""COMPUTED_VALUE"""),84.23)</f>
        <v>84.23</v>
      </c>
      <c r="E4712" s="1">
        <f>IFERROR(__xludf.DUMMYFUNCTION("""COMPUTED_VALUE"""),85.36)</f>
        <v>85.36</v>
      </c>
      <c r="F4712" s="1">
        <f>IFERROR(__xludf.DUMMYFUNCTION("""COMPUTED_VALUE"""),1.0053006E7)</f>
        <v>10053006</v>
      </c>
    </row>
    <row r="4713">
      <c r="A4713" s="2">
        <f>IFERROR(__xludf.DUMMYFUNCTION("""COMPUTED_VALUE"""),43364.66666666667)</f>
        <v>43364.66667</v>
      </c>
      <c r="B4713" s="1">
        <f>IFERROR(__xludf.DUMMYFUNCTION("""COMPUTED_VALUE"""),85.81)</f>
        <v>85.81</v>
      </c>
      <c r="C4713" s="1">
        <f>IFERROR(__xludf.DUMMYFUNCTION("""COMPUTED_VALUE"""),86.28)</f>
        <v>86.28</v>
      </c>
      <c r="D4713" s="1">
        <f>IFERROR(__xludf.DUMMYFUNCTION("""COMPUTED_VALUE"""),85.52)</f>
        <v>85.52</v>
      </c>
      <c r="E4713" s="1">
        <f>IFERROR(__xludf.DUMMYFUNCTION("""COMPUTED_VALUE"""),85.82)</f>
        <v>85.82</v>
      </c>
      <c r="F4713" s="1">
        <f>IFERROR(__xludf.DUMMYFUNCTION("""COMPUTED_VALUE"""),1.7402589E7)</f>
        <v>17402589</v>
      </c>
    </row>
    <row r="4714">
      <c r="A4714" s="2">
        <f>IFERROR(__xludf.DUMMYFUNCTION("""COMPUTED_VALUE"""),43367.66666666667)</f>
        <v>43367.66667</v>
      </c>
      <c r="B4714" s="1">
        <f>IFERROR(__xludf.DUMMYFUNCTION("""COMPUTED_VALUE"""),85.63)</f>
        <v>85.63</v>
      </c>
      <c r="C4714" s="1">
        <f>IFERROR(__xludf.DUMMYFUNCTION("""COMPUTED_VALUE"""),85.71)</f>
        <v>85.71</v>
      </c>
      <c r="D4714" s="1">
        <f>IFERROR(__xludf.DUMMYFUNCTION("""COMPUTED_VALUE"""),84.23)</f>
        <v>84.23</v>
      </c>
      <c r="E4714" s="1">
        <f>IFERROR(__xludf.DUMMYFUNCTION("""COMPUTED_VALUE"""),84.27)</f>
        <v>84.27</v>
      </c>
      <c r="F4714" s="1">
        <f>IFERROR(__xludf.DUMMYFUNCTION("""COMPUTED_VALUE"""),6389359.0)</f>
        <v>6389359</v>
      </c>
    </row>
    <row r="4715">
      <c r="A4715" s="2">
        <f>IFERROR(__xludf.DUMMYFUNCTION("""COMPUTED_VALUE"""),43368.66666666667)</f>
        <v>43368.66667</v>
      </c>
      <c r="B4715" s="1">
        <f>IFERROR(__xludf.DUMMYFUNCTION("""COMPUTED_VALUE"""),84.28)</f>
        <v>84.28</v>
      </c>
      <c r="C4715" s="1">
        <f>IFERROR(__xludf.DUMMYFUNCTION("""COMPUTED_VALUE"""),84.41)</f>
        <v>84.41</v>
      </c>
      <c r="D4715" s="1">
        <f>IFERROR(__xludf.DUMMYFUNCTION("""COMPUTED_VALUE"""),83.08)</f>
        <v>83.08</v>
      </c>
      <c r="E4715" s="1">
        <f>IFERROR(__xludf.DUMMYFUNCTION("""COMPUTED_VALUE"""),83.12)</f>
        <v>83.12</v>
      </c>
      <c r="F4715" s="1">
        <f>IFERROR(__xludf.DUMMYFUNCTION("""COMPUTED_VALUE"""),5657185.0)</f>
        <v>5657185</v>
      </c>
    </row>
    <row r="4716">
      <c r="A4716" s="2">
        <f>IFERROR(__xludf.DUMMYFUNCTION("""COMPUTED_VALUE"""),43369.66666666667)</f>
        <v>43369.66667</v>
      </c>
      <c r="B4716" s="1">
        <f>IFERROR(__xludf.DUMMYFUNCTION("""COMPUTED_VALUE"""),83.25)</f>
        <v>83.25</v>
      </c>
      <c r="C4716" s="1">
        <f>IFERROR(__xludf.DUMMYFUNCTION("""COMPUTED_VALUE"""),83.99)</f>
        <v>83.99</v>
      </c>
      <c r="D4716" s="1">
        <f>IFERROR(__xludf.DUMMYFUNCTION("""COMPUTED_VALUE"""),83.03)</f>
        <v>83.03</v>
      </c>
      <c r="E4716" s="1">
        <f>IFERROR(__xludf.DUMMYFUNCTION("""COMPUTED_VALUE"""),83.26)</f>
        <v>83.26</v>
      </c>
      <c r="F4716" s="1">
        <f>IFERROR(__xludf.DUMMYFUNCTION("""COMPUTED_VALUE"""),6580987.0)</f>
        <v>6580987</v>
      </c>
    </row>
    <row r="4717">
      <c r="A4717" s="2">
        <f>IFERROR(__xludf.DUMMYFUNCTION("""COMPUTED_VALUE"""),43370.66666666667)</f>
        <v>43370.66667</v>
      </c>
      <c r="B4717" s="1">
        <f>IFERROR(__xludf.DUMMYFUNCTION("""COMPUTED_VALUE"""),83.04)</f>
        <v>83.04</v>
      </c>
      <c r="C4717" s="1">
        <f>IFERROR(__xludf.DUMMYFUNCTION("""COMPUTED_VALUE"""),83.63)</f>
        <v>83.63</v>
      </c>
      <c r="D4717" s="1">
        <f>IFERROR(__xludf.DUMMYFUNCTION("""COMPUTED_VALUE"""),82.81)</f>
        <v>82.81</v>
      </c>
      <c r="E4717" s="1">
        <f>IFERROR(__xludf.DUMMYFUNCTION("""COMPUTED_VALUE"""),82.86)</f>
        <v>82.86</v>
      </c>
      <c r="F4717" s="1">
        <f>IFERROR(__xludf.DUMMYFUNCTION("""COMPUTED_VALUE"""),6277581.0)</f>
        <v>6277581</v>
      </c>
    </row>
    <row r="4718">
      <c r="A4718" s="2">
        <f>IFERROR(__xludf.DUMMYFUNCTION("""COMPUTED_VALUE"""),43371.66666666667)</f>
        <v>43371.66667</v>
      </c>
      <c r="B4718" s="1">
        <f>IFERROR(__xludf.DUMMYFUNCTION("""COMPUTED_VALUE"""),83.03)</f>
        <v>83.03</v>
      </c>
      <c r="C4718" s="1">
        <f>IFERROR(__xludf.DUMMYFUNCTION("""COMPUTED_VALUE"""),83.29)</f>
        <v>83.29</v>
      </c>
      <c r="D4718" s="1">
        <f>IFERROR(__xludf.DUMMYFUNCTION("""COMPUTED_VALUE"""),82.79)</f>
        <v>82.79</v>
      </c>
      <c r="E4718" s="1">
        <f>IFERROR(__xludf.DUMMYFUNCTION("""COMPUTED_VALUE"""),83.23)</f>
        <v>83.23</v>
      </c>
      <c r="F4718" s="1">
        <f>IFERROR(__xludf.DUMMYFUNCTION("""COMPUTED_VALUE"""),5125835.0)</f>
        <v>5125835</v>
      </c>
    </row>
    <row r="4719">
      <c r="A4719" s="2">
        <f>IFERROR(__xludf.DUMMYFUNCTION("""COMPUTED_VALUE"""),43374.66666666667)</f>
        <v>43374.66667</v>
      </c>
      <c r="B4719" s="1">
        <f>IFERROR(__xludf.DUMMYFUNCTION("""COMPUTED_VALUE"""),83.31)</f>
        <v>83.31</v>
      </c>
      <c r="C4719" s="1">
        <f>IFERROR(__xludf.DUMMYFUNCTION("""COMPUTED_VALUE"""),83.72)</f>
        <v>83.72</v>
      </c>
      <c r="D4719" s="1">
        <f>IFERROR(__xludf.DUMMYFUNCTION("""COMPUTED_VALUE"""),83.17)</f>
        <v>83.17</v>
      </c>
      <c r="E4719" s="1">
        <f>IFERROR(__xludf.DUMMYFUNCTION("""COMPUTED_VALUE"""),83.67)</f>
        <v>83.67</v>
      </c>
      <c r="F4719" s="1">
        <f>IFERROR(__xludf.DUMMYFUNCTION("""COMPUTED_VALUE"""),4899910.0)</f>
        <v>4899910</v>
      </c>
    </row>
    <row r="4720">
      <c r="A4720" s="2">
        <f>IFERROR(__xludf.DUMMYFUNCTION("""COMPUTED_VALUE"""),43375.66666666667)</f>
        <v>43375.66667</v>
      </c>
      <c r="B4720" s="1">
        <f>IFERROR(__xludf.DUMMYFUNCTION("""COMPUTED_VALUE"""),83.48)</f>
        <v>83.48</v>
      </c>
      <c r="C4720" s="1">
        <f>IFERROR(__xludf.DUMMYFUNCTION("""COMPUTED_VALUE"""),84.44)</f>
        <v>84.44</v>
      </c>
      <c r="D4720" s="1">
        <f>IFERROR(__xludf.DUMMYFUNCTION("""COMPUTED_VALUE"""),83.37)</f>
        <v>83.37</v>
      </c>
      <c r="E4720" s="1">
        <f>IFERROR(__xludf.DUMMYFUNCTION("""COMPUTED_VALUE"""),84.36)</f>
        <v>84.36</v>
      </c>
      <c r="F4720" s="1">
        <f>IFERROR(__xludf.DUMMYFUNCTION("""COMPUTED_VALUE"""),7390851.0)</f>
        <v>7390851</v>
      </c>
    </row>
    <row r="4721">
      <c r="A4721" s="2">
        <f>IFERROR(__xludf.DUMMYFUNCTION("""COMPUTED_VALUE"""),43376.66666666667)</f>
        <v>43376.66667</v>
      </c>
      <c r="B4721" s="1">
        <f>IFERROR(__xludf.DUMMYFUNCTION("""COMPUTED_VALUE"""),84.44)</f>
        <v>84.44</v>
      </c>
      <c r="C4721" s="1">
        <f>IFERROR(__xludf.DUMMYFUNCTION("""COMPUTED_VALUE"""),84.52)</f>
        <v>84.52</v>
      </c>
      <c r="D4721" s="1">
        <f>IFERROR(__xludf.DUMMYFUNCTION("""COMPUTED_VALUE"""),82.85)</f>
        <v>82.85</v>
      </c>
      <c r="E4721" s="1">
        <f>IFERROR(__xludf.DUMMYFUNCTION("""COMPUTED_VALUE"""),83.03)</f>
        <v>83.03</v>
      </c>
      <c r="F4721" s="1">
        <f>IFERROR(__xludf.DUMMYFUNCTION("""COMPUTED_VALUE"""),7958704.0)</f>
        <v>7958704</v>
      </c>
    </row>
    <row r="4722">
      <c r="A4722" s="2">
        <f>IFERROR(__xludf.DUMMYFUNCTION("""COMPUTED_VALUE"""),43377.66666666667)</f>
        <v>43377.66667</v>
      </c>
      <c r="B4722" s="1">
        <f>IFERROR(__xludf.DUMMYFUNCTION("""COMPUTED_VALUE"""),82.5)</f>
        <v>82.5</v>
      </c>
      <c r="C4722" s="1">
        <f>IFERROR(__xludf.DUMMYFUNCTION("""COMPUTED_VALUE"""),82.5)</f>
        <v>82.5</v>
      </c>
      <c r="D4722" s="1">
        <f>IFERROR(__xludf.DUMMYFUNCTION("""COMPUTED_VALUE"""),81.1)</f>
        <v>81.1</v>
      </c>
      <c r="E4722" s="1">
        <f>IFERROR(__xludf.DUMMYFUNCTION("""COMPUTED_VALUE"""),81.92)</f>
        <v>81.92</v>
      </c>
      <c r="F4722" s="1">
        <f>IFERROR(__xludf.DUMMYFUNCTION("""COMPUTED_VALUE"""),7029859.0)</f>
        <v>7029859</v>
      </c>
    </row>
    <row r="4723">
      <c r="A4723" s="2">
        <f>IFERROR(__xludf.DUMMYFUNCTION("""COMPUTED_VALUE"""),43378.66666666667)</f>
        <v>43378.66667</v>
      </c>
      <c r="B4723" s="1">
        <f>IFERROR(__xludf.DUMMYFUNCTION("""COMPUTED_VALUE"""),81.98)</f>
        <v>81.98</v>
      </c>
      <c r="C4723" s="1">
        <f>IFERROR(__xludf.DUMMYFUNCTION("""COMPUTED_VALUE"""),82.45)</f>
        <v>82.45</v>
      </c>
      <c r="D4723" s="1">
        <f>IFERROR(__xludf.DUMMYFUNCTION("""COMPUTED_VALUE"""),81.98)</f>
        <v>81.98</v>
      </c>
      <c r="E4723" s="1">
        <f>IFERROR(__xludf.DUMMYFUNCTION("""COMPUTED_VALUE"""),82.15)</f>
        <v>82.15</v>
      </c>
      <c r="F4723" s="1">
        <f>IFERROR(__xludf.DUMMYFUNCTION("""COMPUTED_VALUE"""),5454643.0)</f>
        <v>5454643</v>
      </c>
    </row>
    <row r="4724">
      <c r="A4724" s="2">
        <f>IFERROR(__xludf.DUMMYFUNCTION("""COMPUTED_VALUE"""),43381.66666666667)</f>
        <v>43381.66667</v>
      </c>
      <c r="B4724" s="1">
        <f>IFERROR(__xludf.DUMMYFUNCTION("""COMPUTED_VALUE"""),81.98)</f>
        <v>81.98</v>
      </c>
      <c r="C4724" s="1">
        <f>IFERROR(__xludf.DUMMYFUNCTION("""COMPUTED_VALUE"""),82.74)</f>
        <v>82.74</v>
      </c>
      <c r="D4724" s="1">
        <f>IFERROR(__xludf.DUMMYFUNCTION("""COMPUTED_VALUE"""),81.75)</f>
        <v>81.75</v>
      </c>
      <c r="E4724" s="1">
        <f>IFERROR(__xludf.DUMMYFUNCTION("""COMPUTED_VALUE"""),82.4)</f>
        <v>82.4</v>
      </c>
      <c r="F4724" s="1">
        <f>IFERROR(__xludf.DUMMYFUNCTION("""COMPUTED_VALUE"""),7192260.0)</f>
        <v>7192260</v>
      </c>
    </row>
    <row r="4725">
      <c r="A4725" s="2">
        <f>IFERROR(__xludf.DUMMYFUNCTION("""COMPUTED_VALUE"""),43382.66666666667)</f>
        <v>43382.66667</v>
      </c>
      <c r="B4725" s="1">
        <f>IFERROR(__xludf.DUMMYFUNCTION("""COMPUTED_VALUE"""),82.39)</f>
        <v>82.39</v>
      </c>
      <c r="C4725" s="1">
        <f>IFERROR(__xludf.DUMMYFUNCTION("""COMPUTED_VALUE"""),82.72)</f>
        <v>82.72</v>
      </c>
      <c r="D4725" s="1">
        <f>IFERROR(__xludf.DUMMYFUNCTION("""COMPUTED_VALUE"""),82.06)</f>
        <v>82.06</v>
      </c>
      <c r="E4725" s="1">
        <f>IFERROR(__xludf.DUMMYFUNCTION("""COMPUTED_VALUE"""),82.2)</f>
        <v>82.2</v>
      </c>
      <c r="F4725" s="1">
        <f>IFERROR(__xludf.DUMMYFUNCTION("""COMPUTED_VALUE"""),6268054.0)</f>
        <v>6268054</v>
      </c>
    </row>
    <row r="4726">
      <c r="A4726" s="2">
        <f>IFERROR(__xludf.DUMMYFUNCTION("""COMPUTED_VALUE"""),43383.66666666667)</f>
        <v>43383.66667</v>
      </c>
      <c r="B4726" s="1">
        <f>IFERROR(__xludf.DUMMYFUNCTION("""COMPUTED_VALUE"""),81.81)</f>
        <v>81.81</v>
      </c>
      <c r="C4726" s="1">
        <f>IFERROR(__xludf.DUMMYFUNCTION("""COMPUTED_VALUE"""),82.68)</f>
        <v>82.68</v>
      </c>
      <c r="D4726" s="1">
        <f>IFERROR(__xludf.DUMMYFUNCTION("""COMPUTED_VALUE"""),81.44)</f>
        <v>81.44</v>
      </c>
      <c r="E4726" s="1">
        <f>IFERROR(__xludf.DUMMYFUNCTION("""COMPUTED_VALUE"""),81.44)</f>
        <v>81.44</v>
      </c>
      <c r="F4726" s="1">
        <f>IFERROR(__xludf.DUMMYFUNCTION("""COMPUTED_VALUE"""),9295840.0)</f>
        <v>9295840</v>
      </c>
    </row>
    <row r="4727">
      <c r="A4727" s="2">
        <f>IFERROR(__xludf.DUMMYFUNCTION("""COMPUTED_VALUE"""),43384.66666666667)</f>
        <v>43384.66667</v>
      </c>
      <c r="B4727" s="1">
        <f>IFERROR(__xludf.DUMMYFUNCTION("""COMPUTED_VALUE"""),81.64)</f>
        <v>81.64</v>
      </c>
      <c r="C4727" s="1">
        <f>IFERROR(__xludf.DUMMYFUNCTION("""COMPUTED_VALUE"""),81.97)</f>
        <v>81.97</v>
      </c>
      <c r="D4727" s="1">
        <f>IFERROR(__xludf.DUMMYFUNCTION("""COMPUTED_VALUE"""),78.67)</f>
        <v>78.67</v>
      </c>
      <c r="E4727" s="1">
        <f>IFERROR(__xludf.DUMMYFUNCTION("""COMPUTED_VALUE"""),78.87)</f>
        <v>78.87</v>
      </c>
      <c r="F4727" s="1">
        <f>IFERROR(__xludf.DUMMYFUNCTION("""COMPUTED_VALUE"""),1.25603E7)</f>
        <v>12560300</v>
      </c>
    </row>
    <row r="4728">
      <c r="A4728" s="2">
        <f>IFERROR(__xludf.DUMMYFUNCTION("""COMPUTED_VALUE"""),43385.66666666667)</f>
        <v>43385.66667</v>
      </c>
      <c r="B4728" s="1">
        <f>IFERROR(__xludf.DUMMYFUNCTION("""COMPUTED_VALUE"""),79.37)</f>
        <v>79.37</v>
      </c>
      <c r="C4728" s="1">
        <f>IFERROR(__xludf.DUMMYFUNCTION("""COMPUTED_VALUE"""),79.38)</f>
        <v>79.38</v>
      </c>
      <c r="D4728" s="1">
        <f>IFERROR(__xludf.DUMMYFUNCTION("""COMPUTED_VALUE"""),78.49)</f>
        <v>78.49</v>
      </c>
      <c r="E4728" s="1">
        <f>IFERROR(__xludf.DUMMYFUNCTION("""COMPUTED_VALUE"""),79.06)</f>
        <v>79.06</v>
      </c>
      <c r="F4728" s="1">
        <f>IFERROR(__xludf.DUMMYFUNCTION("""COMPUTED_VALUE"""),9879145.0)</f>
        <v>9879145</v>
      </c>
    </row>
    <row r="4729">
      <c r="A4729" s="2">
        <f>IFERROR(__xludf.DUMMYFUNCTION("""COMPUTED_VALUE"""),43388.66666666667)</f>
        <v>43388.66667</v>
      </c>
      <c r="B4729" s="1">
        <f>IFERROR(__xludf.DUMMYFUNCTION("""COMPUTED_VALUE"""),79.01)</f>
        <v>79.01</v>
      </c>
      <c r="C4729" s="1">
        <f>IFERROR(__xludf.DUMMYFUNCTION("""COMPUTED_VALUE"""),80.54)</f>
        <v>80.54</v>
      </c>
      <c r="D4729" s="1">
        <f>IFERROR(__xludf.DUMMYFUNCTION("""COMPUTED_VALUE"""),78.92)</f>
        <v>78.92</v>
      </c>
      <c r="E4729" s="1">
        <f>IFERROR(__xludf.DUMMYFUNCTION("""COMPUTED_VALUE"""),80.13)</f>
        <v>80.13</v>
      </c>
      <c r="F4729" s="1">
        <f>IFERROR(__xludf.DUMMYFUNCTION("""COMPUTED_VALUE"""),9691455.0)</f>
        <v>9691455</v>
      </c>
    </row>
    <row r="4730">
      <c r="A4730" s="2">
        <f>IFERROR(__xludf.DUMMYFUNCTION("""COMPUTED_VALUE"""),43389.66666666667)</f>
        <v>43389.66667</v>
      </c>
      <c r="B4730" s="1">
        <f>IFERROR(__xludf.DUMMYFUNCTION("""COMPUTED_VALUE"""),79.91)</f>
        <v>79.91</v>
      </c>
      <c r="C4730" s="1">
        <f>IFERROR(__xludf.DUMMYFUNCTION("""COMPUTED_VALUE"""),81.09)</f>
        <v>81.09</v>
      </c>
      <c r="D4730" s="1">
        <f>IFERROR(__xludf.DUMMYFUNCTION("""COMPUTED_VALUE"""),79.9)</f>
        <v>79.9</v>
      </c>
      <c r="E4730" s="1">
        <f>IFERROR(__xludf.DUMMYFUNCTION("""COMPUTED_VALUE"""),81.01)</f>
        <v>81.01</v>
      </c>
      <c r="F4730" s="1">
        <f>IFERROR(__xludf.DUMMYFUNCTION("""COMPUTED_VALUE"""),9463022.0)</f>
        <v>9463022</v>
      </c>
    </row>
    <row r="4731">
      <c r="A4731" s="2">
        <f>IFERROR(__xludf.DUMMYFUNCTION("""COMPUTED_VALUE"""),43390.66666666667)</f>
        <v>43390.66667</v>
      </c>
      <c r="B4731" s="1">
        <f>IFERROR(__xludf.DUMMYFUNCTION("""COMPUTED_VALUE"""),80.76)</f>
        <v>80.76</v>
      </c>
      <c r="C4731" s="1">
        <f>IFERROR(__xludf.DUMMYFUNCTION("""COMPUTED_VALUE"""),82.18)</f>
        <v>82.18</v>
      </c>
      <c r="D4731" s="1">
        <f>IFERROR(__xludf.DUMMYFUNCTION("""COMPUTED_VALUE"""),80.38)</f>
        <v>80.38</v>
      </c>
      <c r="E4731" s="1">
        <f>IFERROR(__xludf.DUMMYFUNCTION("""COMPUTED_VALUE"""),81.86)</f>
        <v>81.86</v>
      </c>
      <c r="F4731" s="1">
        <f>IFERROR(__xludf.DUMMYFUNCTION("""COMPUTED_VALUE"""),1.0375259E7)</f>
        <v>10375259</v>
      </c>
    </row>
    <row r="4732">
      <c r="A4732" s="2">
        <f>IFERROR(__xludf.DUMMYFUNCTION("""COMPUTED_VALUE"""),43391.66666666667)</f>
        <v>43391.66667</v>
      </c>
      <c r="B4732" s="1">
        <f>IFERROR(__xludf.DUMMYFUNCTION("""COMPUTED_VALUE"""),80.71)</f>
        <v>80.71</v>
      </c>
      <c r="C4732" s="1">
        <f>IFERROR(__xludf.DUMMYFUNCTION("""COMPUTED_VALUE"""),81.34)</f>
        <v>81.34</v>
      </c>
      <c r="D4732" s="1">
        <f>IFERROR(__xludf.DUMMYFUNCTION("""COMPUTED_VALUE"""),80.0)</f>
        <v>80</v>
      </c>
      <c r="E4732" s="1">
        <f>IFERROR(__xludf.DUMMYFUNCTION("""COMPUTED_VALUE"""),80.24)</f>
        <v>80.24</v>
      </c>
      <c r="F4732" s="1">
        <f>IFERROR(__xludf.DUMMYFUNCTION("""COMPUTED_VALUE"""),9869509.0)</f>
        <v>9869509</v>
      </c>
    </row>
    <row r="4733">
      <c r="A4733" s="2">
        <f>IFERROR(__xludf.DUMMYFUNCTION("""COMPUTED_VALUE"""),43392.66666666667)</f>
        <v>43392.66667</v>
      </c>
      <c r="B4733" s="1">
        <f>IFERROR(__xludf.DUMMYFUNCTION("""COMPUTED_VALUE"""),84.86)</f>
        <v>84.86</v>
      </c>
      <c r="C4733" s="1">
        <f>IFERROR(__xludf.DUMMYFUNCTION("""COMPUTED_VALUE"""),87.76)</f>
        <v>87.76</v>
      </c>
      <c r="D4733" s="1">
        <f>IFERROR(__xludf.DUMMYFUNCTION("""COMPUTED_VALUE"""),84.86)</f>
        <v>84.86</v>
      </c>
      <c r="E4733" s="1">
        <f>IFERROR(__xludf.DUMMYFUNCTION("""COMPUTED_VALUE"""),87.3)</f>
        <v>87.3</v>
      </c>
      <c r="F4733" s="1">
        <f>IFERROR(__xludf.DUMMYFUNCTION("""COMPUTED_VALUE"""),3.0276433E7)</f>
        <v>30276433</v>
      </c>
    </row>
    <row r="4734">
      <c r="A4734" s="2">
        <f>IFERROR(__xludf.DUMMYFUNCTION("""COMPUTED_VALUE"""),43395.66666666667)</f>
        <v>43395.66667</v>
      </c>
      <c r="B4734" s="1">
        <f>IFERROR(__xludf.DUMMYFUNCTION("""COMPUTED_VALUE"""),86.73)</f>
        <v>86.73</v>
      </c>
      <c r="C4734" s="1">
        <f>IFERROR(__xludf.DUMMYFUNCTION("""COMPUTED_VALUE"""),87.24)</f>
        <v>87.24</v>
      </c>
      <c r="D4734" s="1">
        <f>IFERROR(__xludf.DUMMYFUNCTION("""COMPUTED_VALUE"""),85.23)</f>
        <v>85.23</v>
      </c>
      <c r="E4734" s="1">
        <f>IFERROR(__xludf.DUMMYFUNCTION("""COMPUTED_VALUE"""),86.6)</f>
        <v>86.6</v>
      </c>
      <c r="F4734" s="1">
        <f>IFERROR(__xludf.DUMMYFUNCTION("""COMPUTED_VALUE"""),1.4124062E7)</f>
        <v>14124062</v>
      </c>
    </row>
    <row r="4735">
      <c r="A4735" s="2">
        <f>IFERROR(__xludf.DUMMYFUNCTION("""COMPUTED_VALUE"""),43396.66666666667)</f>
        <v>43396.66667</v>
      </c>
      <c r="B4735" s="1">
        <f>IFERROR(__xludf.DUMMYFUNCTION("""COMPUTED_VALUE"""),86.01)</f>
        <v>86.01</v>
      </c>
      <c r="C4735" s="1">
        <f>IFERROR(__xludf.DUMMYFUNCTION("""COMPUTED_VALUE"""),87.3)</f>
        <v>87.3</v>
      </c>
      <c r="D4735" s="1">
        <f>IFERROR(__xludf.DUMMYFUNCTION("""COMPUTED_VALUE"""),86.01)</f>
        <v>86.01</v>
      </c>
      <c r="E4735" s="1">
        <f>IFERROR(__xludf.DUMMYFUNCTION("""COMPUTED_VALUE"""),87.16)</f>
        <v>87.16</v>
      </c>
      <c r="F4735" s="1">
        <f>IFERROR(__xludf.DUMMYFUNCTION("""COMPUTED_VALUE"""),1.6269531E7)</f>
        <v>16269531</v>
      </c>
    </row>
    <row r="4736">
      <c r="A4736" s="2">
        <f>IFERROR(__xludf.DUMMYFUNCTION("""COMPUTED_VALUE"""),43397.66666666667)</f>
        <v>43397.66667</v>
      </c>
      <c r="B4736" s="1">
        <f>IFERROR(__xludf.DUMMYFUNCTION("""COMPUTED_VALUE"""),87.28)</f>
        <v>87.28</v>
      </c>
      <c r="C4736" s="1">
        <f>IFERROR(__xludf.DUMMYFUNCTION("""COMPUTED_VALUE"""),90.7)</f>
        <v>90.7</v>
      </c>
      <c r="D4736" s="1">
        <f>IFERROR(__xludf.DUMMYFUNCTION("""COMPUTED_VALUE"""),87.22)</f>
        <v>87.22</v>
      </c>
      <c r="E4736" s="1">
        <f>IFERROR(__xludf.DUMMYFUNCTION("""COMPUTED_VALUE"""),89.46)</f>
        <v>89.46</v>
      </c>
      <c r="F4736" s="1">
        <f>IFERROR(__xludf.DUMMYFUNCTION("""COMPUTED_VALUE"""),2.6703538E7)</f>
        <v>26703538</v>
      </c>
    </row>
    <row r="4737">
      <c r="A4737" s="2">
        <f>IFERROR(__xludf.DUMMYFUNCTION("""COMPUTED_VALUE"""),43398.66666666667)</f>
        <v>43398.66667</v>
      </c>
      <c r="B4737" s="1">
        <f>IFERROR(__xludf.DUMMYFUNCTION("""COMPUTED_VALUE"""),88.11)</f>
        <v>88.11</v>
      </c>
      <c r="C4737" s="1">
        <f>IFERROR(__xludf.DUMMYFUNCTION("""COMPUTED_VALUE"""),89.33)</f>
        <v>89.33</v>
      </c>
      <c r="D4737" s="1">
        <f>IFERROR(__xludf.DUMMYFUNCTION("""COMPUTED_VALUE"""),87.31)</f>
        <v>87.31</v>
      </c>
      <c r="E4737" s="1">
        <f>IFERROR(__xludf.DUMMYFUNCTION("""COMPUTED_VALUE"""),89.0)</f>
        <v>89</v>
      </c>
      <c r="F4737" s="1">
        <f>IFERROR(__xludf.DUMMYFUNCTION("""COMPUTED_VALUE"""),1.4647039E7)</f>
        <v>14647039</v>
      </c>
    </row>
    <row r="4738">
      <c r="A4738" s="2">
        <f>IFERROR(__xludf.DUMMYFUNCTION("""COMPUTED_VALUE"""),43399.66666666667)</f>
        <v>43399.66667</v>
      </c>
      <c r="B4738" s="1">
        <f>IFERROR(__xludf.DUMMYFUNCTION("""COMPUTED_VALUE"""),88.69)</f>
        <v>88.69</v>
      </c>
      <c r="C4738" s="1">
        <f>IFERROR(__xludf.DUMMYFUNCTION("""COMPUTED_VALUE"""),89.17)</f>
        <v>89.17</v>
      </c>
      <c r="D4738" s="1">
        <f>IFERROR(__xludf.DUMMYFUNCTION("""COMPUTED_VALUE"""),87.39)</f>
        <v>87.39</v>
      </c>
      <c r="E4738" s="1">
        <f>IFERROR(__xludf.DUMMYFUNCTION("""COMPUTED_VALUE"""),87.86)</f>
        <v>87.86</v>
      </c>
      <c r="F4738" s="1">
        <f>IFERROR(__xludf.DUMMYFUNCTION("""COMPUTED_VALUE"""),1.4335945E7)</f>
        <v>14335945</v>
      </c>
    </row>
    <row r="4739">
      <c r="A4739" s="2">
        <f>IFERROR(__xludf.DUMMYFUNCTION("""COMPUTED_VALUE"""),43402.66666666667)</f>
        <v>43402.66667</v>
      </c>
      <c r="B4739" s="1">
        <f>IFERROR(__xludf.DUMMYFUNCTION("""COMPUTED_VALUE"""),88.29)</f>
        <v>88.29</v>
      </c>
      <c r="C4739" s="1">
        <f>IFERROR(__xludf.DUMMYFUNCTION("""COMPUTED_VALUE"""),89.42)</f>
        <v>89.42</v>
      </c>
      <c r="D4739" s="1">
        <f>IFERROR(__xludf.DUMMYFUNCTION("""COMPUTED_VALUE"""),87.44)</f>
        <v>87.44</v>
      </c>
      <c r="E4739" s="1">
        <f>IFERROR(__xludf.DUMMYFUNCTION("""COMPUTED_VALUE"""),88.24)</f>
        <v>88.24</v>
      </c>
      <c r="F4739" s="1">
        <f>IFERROR(__xludf.DUMMYFUNCTION("""COMPUTED_VALUE"""),1.287893E7)</f>
        <v>12878930</v>
      </c>
    </row>
    <row r="4740">
      <c r="A4740" s="2">
        <f>IFERROR(__xludf.DUMMYFUNCTION("""COMPUTED_VALUE"""),43403.66666666667)</f>
        <v>43403.66667</v>
      </c>
      <c r="B4740" s="1">
        <f>IFERROR(__xludf.DUMMYFUNCTION("""COMPUTED_VALUE"""),88.85)</f>
        <v>88.85</v>
      </c>
      <c r="C4740" s="1">
        <f>IFERROR(__xludf.DUMMYFUNCTION("""COMPUTED_VALUE"""),89.43)</f>
        <v>89.43</v>
      </c>
      <c r="D4740" s="1">
        <f>IFERROR(__xludf.DUMMYFUNCTION("""COMPUTED_VALUE"""),88.21)</f>
        <v>88.21</v>
      </c>
      <c r="E4740" s="1">
        <f>IFERROR(__xludf.DUMMYFUNCTION("""COMPUTED_VALUE"""),89.19)</f>
        <v>89.19</v>
      </c>
      <c r="F4740" s="1">
        <f>IFERROR(__xludf.DUMMYFUNCTION("""COMPUTED_VALUE"""),1.384408E7)</f>
        <v>13844080</v>
      </c>
    </row>
    <row r="4741">
      <c r="A4741" s="2">
        <f>IFERROR(__xludf.DUMMYFUNCTION("""COMPUTED_VALUE"""),43404.66666666667)</f>
        <v>43404.66667</v>
      </c>
      <c r="B4741" s="1">
        <f>IFERROR(__xludf.DUMMYFUNCTION("""COMPUTED_VALUE"""),88.77)</f>
        <v>88.77</v>
      </c>
      <c r="C4741" s="1">
        <f>IFERROR(__xludf.DUMMYFUNCTION("""COMPUTED_VALUE"""),89.32)</f>
        <v>89.32</v>
      </c>
      <c r="D4741" s="1">
        <f>IFERROR(__xludf.DUMMYFUNCTION("""COMPUTED_VALUE"""),87.27)</f>
        <v>87.27</v>
      </c>
      <c r="E4741" s="1">
        <f>IFERROR(__xludf.DUMMYFUNCTION("""COMPUTED_VALUE"""),88.68)</f>
        <v>88.68</v>
      </c>
      <c r="F4741" s="1">
        <f>IFERROR(__xludf.DUMMYFUNCTION("""COMPUTED_VALUE"""),1.3362355E7)</f>
        <v>13362355</v>
      </c>
    </row>
    <row r="4742">
      <c r="A4742" s="2">
        <f>IFERROR(__xludf.DUMMYFUNCTION("""COMPUTED_VALUE"""),43405.66666666667)</f>
        <v>43405.66667</v>
      </c>
      <c r="B4742" s="1">
        <f>IFERROR(__xludf.DUMMYFUNCTION("""COMPUTED_VALUE"""),88.81)</f>
        <v>88.81</v>
      </c>
      <c r="C4742" s="1">
        <f>IFERROR(__xludf.DUMMYFUNCTION("""COMPUTED_VALUE"""),89.83)</f>
        <v>89.83</v>
      </c>
      <c r="D4742" s="1">
        <f>IFERROR(__xludf.DUMMYFUNCTION("""COMPUTED_VALUE"""),88.18)</f>
        <v>88.18</v>
      </c>
      <c r="E4742" s="1">
        <f>IFERROR(__xludf.DUMMYFUNCTION("""COMPUTED_VALUE"""),89.59)</f>
        <v>89.59</v>
      </c>
      <c r="F4742" s="1">
        <f>IFERROR(__xludf.DUMMYFUNCTION("""COMPUTED_VALUE"""),9732424.0)</f>
        <v>9732424</v>
      </c>
    </row>
    <row r="4743">
      <c r="A4743" s="2">
        <f>IFERROR(__xludf.DUMMYFUNCTION("""COMPUTED_VALUE"""),43406.66666666667)</f>
        <v>43406.66667</v>
      </c>
      <c r="B4743" s="1">
        <f>IFERROR(__xludf.DUMMYFUNCTION("""COMPUTED_VALUE"""),89.88)</f>
        <v>89.88</v>
      </c>
      <c r="C4743" s="1">
        <f>IFERROR(__xludf.DUMMYFUNCTION("""COMPUTED_VALUE"""),89.95)</f>
        <v>89.95</v>
      </c>
      <c r="D4743" s="1">
        <f>IFERROR(__xludf.DUMMYFUNCTION("""COMPUTED_VALUE"""),88.98)</f>
        <v>88.98</v>
      </c>
      <c r="E4743" s="1">
        <f>IFERROR(__xludf.DUMMYFUNCTION("""COMPUTED_VALUE"""),89.81)</f>
        <v>89.81</v>
      </c>
      <c r="F4743" s="1">
        <f>IFERROR(__xludf.DUMMYFUNCTION("""COMPUTED_VALUE"""),1.1336013E7)</f>
        <v>11336013</v>
      </c>
    </row>
    <row r="4744">
      <c r="A4744" s="2">
        <f>IFERROR(__xludf.DUMMYFUNCTION("""COMPUTED_VALUE"""),43409.66666666667)</f>
        <v>43409.66667</v>
      </c>
      <c r="B4744" s="1">
        <f>IFERROR(__xludf.DUMMYFUNCTION("""COMPUTED_VALUE"""),89.89)</f>
        <v>89.89</v>
      </c>
      <c r="C4744" s="1">
        <f>IFERROR(__xludf.DUMMYFUNCTION("""COMPUTED_VALUE"""),91.44)</f>
        <v>91.44</v>
      </c>
      <c r="D4744" s="1">
        <f>IFERROR(__xludf.DUMMYFUNCTION("""COMPUTED_VALUE"""),89.82)</f>
        <v>89.82</v>
      </c>
      <c r="E4744" s="1">
        <f>IFERROR(__xludf.DUMMYFUNCTION("""COMPUTED_VALUE"""),91.2)</f>
        <v>91.2</v>
      </c>
      <c r="F4744" s="1">
        <f>IFERROR(__xludf.DUMMYFUNCTION("""COMPUTED_VALUE"""),1.2270358E7)</f>
        <v>12270358</v>
      </c>
    </row>
    <row r="4745">
      <c r="A4745" s="2">
        <f>IFERROR(__xludf.DUMMYFUNCTION("""COMPUTED_VALUE"""),43410.66666666667)</f>
        <v>43410.66667</v>
      </c>
      <c r="B4745" s="1">
        <f>IFERROR(__xludf.DUMMYFUNCTION("""COMPUTED_VALUE"""),90.86)</f>
        <v>90.86</v>
      </c>
      <c r="C4745" s="1">
        <f>IFERROR(__xludf.DUMMYFUNCTION("""COMPUTED_VALUE"""),91.53)</f>
        <v>91.53</v>
      </c>
      <c r="D4745" s="1">
        <f>IFERROR(__xludf.DUMMYFUNCTION("""COMPUTED_VALUE"""),90.43)</f>
        <v>90.43</v>
      </c>
      <c r="E4745" s="1">
        <f>IFERROR(__xludf.DUMMYFUNCTION("""COMPUTED_VALUE"""),91.51)</f>
        <v>91.51</v>
      </c>
      <c r="F4745" s="1">
        <f>IFERROR(__xludf.DUMMYFUNCTION("""COMPUTED_VALUE"""),8857775.0)</f>
        <v>8857775</v>
      </c>
    </row>
    <row r="4746">
      <c r="A4746" s="2">
        <f>IFERROR(__xludf.DUMMYFUNCTION("""COMPUTED_VALUE"""),43411.66666666667)</f>
        <v>43411.66667</v>
      </c>
      <c r="B4746" s="1">
        <f>IFERROR(__xludf.DUMMYFUNCTION("""COMPUTED_VALUE"""),91.59)</f>
        <v>91.59</v>
      </c>
      <c r="C4746" s="1">
        <f>IFERROR(__xludf.DUMMYFUNCTION("""COMPUTED_VALUE"""),91.62)</f>
        <v>91.62</v>
      </c>
      <c r="D4746" s="1">
        <f>IFERROR(__xludf.DUMMYFUNCTION("""COMPUTED_VALUE"""),90.62)</f>
        <v>90.62</v>
      </c>
      <c r="E4746" s="1">
        <f>IFERROR(__xludf.DUMMYFUNCTION("""COMPUTED_VALUE"""),91.29)</f>
        <v>91.29</v>
      </c>
      <c r="F4746" s="1">
        <f>IFERROR(__xludf.DUMMYFUNCTION("""COMPUTED_VALUE"""),9019790.0)</f>
        <v>9019790</v>
      </c>
    </row>
    <row r="4747">
      <c r="A4747" s="2">
        <f>IFERROR(__xludf.DUMMYFUNCTION("""COMPUTED_VALUE"""),43412.66666666667)</f>
        <v>43412.66667</v>
      </c>
      <c r="B4747" s="1">
        <f>IFERROR(__xludf.DUMMYFUNCTION("""COMPUTED_VALUE"""),90.95)</f>
        <v>90.95</v>
      </c>
      <c r="C4747" s="1">
        <f>IFERROR(__xludf.DUMMYFUNCTION("""COMPUTED_VALUE"""),91.53)</f>
        <v>91.53</v>
      </c>
      <c r="D4747" s="1">
        <f>IFERROR(__xludf.DUMMYFUNCTION("""COMPUTED_VALUE"""),90.67)</f>
        <v>90.67</v>
      </c>
      <c r="E4747" s="1">
        <f>IFERROR(__xludf.DUMMYFUNCTION("""COMPUTED_VALUE"""),91.36)</f>
        <v>91.36</v>
      </c>
      <c r="F4747" s="1">
        <f>IFERROR(__xludf.DUMMYFUNCTION("""COMPUTED_VALUE"""),6614767.0)</f>
        <v>6614767</v>
      </c>
    </row>
    <row r="4748">
      <c r="A4748" s="2">
        <f>IFERROR(__xludf.DUMMYFUNCTION("""COMPUTED_VALUE"""),43413.66666666667)</f>
        <v>43413.66667</v>
      </c>
      <c r="B4748" s="1">
        <f>IFERROR(__xludf.DUMMYFUNCTION("""COMPUTED_VALUE"""),91.35)</f>
        <v>91.35</v>
      </c>
      <c r="C4748" s="1">
        <f>IFERROR(__xludf.DUMMYFUNCTION("""COMPUTED_VALUE"""),92.67)</f>
        <v>92.67</v>
      </c>
      <c r="D4748" s="1">
        <f>IFERROR(__xludf.DUMMYFUNCTION("""COMPUTED_VALUE"""),91.17)</f>
        <v>91.17</v>
      </c>
      <c r="E4748" s="1">
        <f>IFERROR(__xludf.DUMMYFUNCTION("""COMPUTED_VALUE"""),92.41)</f>
        <v>92.41</v>
      </c>
      <c r="F4748" s="1">
        <f>IFERROR(__xludf.DUMMYFUNCTION("""COMPUTED_VALUE"""),1.0713622E7)</f>
        <v>10713622</v>
      </c>
    </row>
    <row r="4749">
      <c r="A4749" s="2">
        <f>IFERROR(__xludf.DUMMYFUNCTION("""COMPUTED_VALUE"""),43416.66666666667)</f>
        <v>43416.66667</v>
      </c>
      <c r="B4749" s="1">
        <f>IFERROR(__xludf.DUMMYFUNCTION("""COMPUTED_VALUE"""),92.21)</f>
        <v>92.21</v>
      </c>
      <c r="C4749" s="1">
        <f>IFERROR(__xludf.DUMMYFUNCTION("""COMPUTED_VALUE"""),93.45)</f>
        <v>93.45</v>
      </c>
      <c r="D4749" s="1">
        <f>IFERROR(__xludf.DUMMYFUNCTION("""COMPUTED_VALUE"""),91.75)</f>
        <v>91.75</v>
      </c>
      <c r="E4749" s="1">
        <f>IFERROR(__xludf.DUMMYFUNCTION("""COMPUTED_VALUE"""),92.7)</f>
        <v>92.7</v>
      </c>
      <c r="F4749" s="1">
        <f>IFERROR(__xludf.DUMMYFUNCTION("""COMPUTED_VALUE"""),1.2522113E7)</f>
        <v>12522113</v>
      </c>
    </row>
    <row r="4750">
      <c r="A4750" s="2">
        <f>IFERROR(__xludf.DUMMYFUNCTION("""COMPUTED_VALUE"""),43417.66666666667)</f>
        <v>43417.66667</v>
      </c>
      <c r="B4750" s="1">
        <f>IFERROR(__xludf.DUMMYFUNCTION("""COMPUTED_VALUE"""),91.97)</f>
        <v>91.97</v>
      </c>
      <c r="C4750" s="1">
        <f>IFERROR(__xludf.DUMMYFUNCTION("""COMPUTED_VALUE"""),93.57)</f>
        <v>93.57</v>
      </c>
      <c r="D4750" s="1">
        <f>IFERROR(__xludf.DUMMYFUNCTION("""COMPUTED_VALUE"""),91.59)</f>
        <v>91.59</v>
      </c>
      <c r="E4750" s="1">
        <f>IFERROR(__xludf.DUMMYFUNCTION("""COMPUTED_VALUE"""),93.47)</f>
        <v>93.47</v>
      </c>
      <c r="F4750" s="1">
        <f>IFERROR(__xludf.DUMMYFUNCTION("""COMPUTED_VALUE"""),1.343875E7)</f>
        <v>13438750</v>
      </c>
    </row>
    <row r="4751">
      <c r="A4751" s="2">
        <f>IFERROR(__xludf.DUMMYFUNCTION("""COMPUTED_VALUE"""),43418.66666666667)</f>
        <v>43418.66667</v>
      </c>
      <c r="B4751" s="1">
        <f>IFERROR(__xludf.DUMMYFUNCTION("""COMPUTED_VALUE"""),93.42)</f>
        <v>93.42</v>
      </c>
      <c r="C4751" s="1">
        <f>IFERROR(__xludf.DUMMYFUNCTION("""COMPUTED_VALUE"""),93.9)</f>
        <v>93.9</v>
      </c>
      <c r="D4751" s="1">
        <f>IFERROR(__xludf.DUMMYFUNCTION("""COMPUTED_VALUE"""),92.99)</f>
        <v>92.99</v>
      </c>
      <c r="E4751" s="1">
        <f>IFERROR(__xludf.DUMMYFUNCTION("""COMPUTED_VALUE"""),93.49)</f>
        <v>93.49</v>
      </c>
      <c r="F4751" s="1">
        <f>IFERROR(__xludf.DUMMYFUNCTION("""COMPUTED_VALUE"""),1.1622993E7)</f>
        <v>11622993</v>
      </c>
    </row>
    <row r="4752">
      <c r="A4752" s="2">
        <f>IFERROR(__xludf.DUMMYFUNCTION("""COMPUTED_VALUE"""),43419.66666666667)</f>
        <v>43419.66667</v>
      </c>
      <c r="B4752" s="1">
        <f>IFERROR(__xludf.DUMMYFUNCTION("""COMPUTED_VALUE"""),93.33)</f>
        <v>93.33</v>
      </c>
      <c r="C4752" s="1">
        <f>IFERROR(__xludf.DUMMYFUNCTION("""COMPUTED_VALUE"""),93.9)</f>
        <v>93.9</v>
      </c>
      <c r="D4752" s="1">
        <f>IFERROR(__xludf.DUMMYFUNCTION("""COMPUTED_VALUE"""),92.72)</f>
        <v>92.72</v>
      </c>
      <c r="E4752" s="1">
        <f>IFERROR(__xludf.DUMMYFUNCTION("""COMPUTED_VALUE"""),93.83)</f>
        <v>93.83</v>
      </c>
      <c r="F4752" s="1">
        <f>IFERROR(__xludf.DUMMYFUNCTION("""COMPUTED_VALUE"""),1.2505987E7)</f>
        <v>12505987</v>
      </c>
    </row>
    <row r="4753">
      <c r="A4753" s="2">
        <f>IFERROR(__xludf.DUMMYFUNCTION("""COMPUTED_VALUE"""),43420.66666666667)</f>
        <v>43420.66667</v>
      </c>
      <c r="B4753" s="1">
        <f>IFERROR(__xludf.DUMMYFUNCTION("""COMPUTED_VALUE"""),93.82)</f>
        <v>93.82</v>
      </c>
      <c r="C4753" s="1">
        <f>IFERROR(__xludf.DUMMYFUNCTION("""COMPUTED_VALUE"""),94.81)</f>
        <v>94.81</v>
      </c>
      <c r="D4753" s="1">
        <f>IFERROR(__xludf.DUMMYFUNCTION("""COMPUTED_VALUE"""),93.67)</f>
        <v>93.67</v>
      </c>
      <c r="E4753" s="1">
        <f>IFERROR(__xludf.DUMMYFUNCTION("""COMPUTED_VALUE"""),93.82)</f>
        <v>93.82</v>
      </c>
      <c r="F4753" s="1">
        <f>IFERROR(__xludf.DUMMYFUNCTION("""COMPUTED_VALUE"""),1.3013482E7)</f>
        <v>13013482</v>
      </c>
    </row>
    <row r="4754">
      <c r="A4754" s="2">
        <f>IFERROR(__xludf.DUMMYFUNCTION("""COMPUTED_VALUE"""),43423.66666666667)</f>
        <v>43423.66667</v>
      </c>
      <c r="B4754" s="1">
        <f>IFERROR(__xludf.DUMMYFUNCTION("""COMPUTED_VALUE"""),93.72)</f>
        <v>93.72</v>
      </c>
      <c r="C4754" s="1">
        <f>IFERROR(__xludf.DUMMYFUNCTION("""COMPUTED_VALUE"""),94.19)</f>
        <v>94.19</v>
      </c>
      <c r="D4754" s="1">
        <f>IFERROR(__xludf.DUMMYFUNCTION("""COMPUTED_VALUE"""),92.91)</f>
        <v>92.91</v>
      </c>
      <c r="E4754" s="1">
        <f>IFERROR(__xludf.DUMMYFUNCTION("""COMPUTED_VALUE"""),93.29)</f>
        <v>93.29</v>
      </c>
      <c r="F4754" s="1">
        <f>IFERROR(__xludf.DUMMYFUNCTION("""COMPUTED_VALUE"""),9458329.0)</f>
        <v>9458329</v>
      </c>
    </row>
    <row r="4755">
      <c r="A4755" s="2">
        <f>IFERROR(__xludf.DUMMYFUNCTION("""COMPUTED_VALUE"""),43424.66666666667)</f>
        <v>43424.66667</v>
      </c>
      <c r="B4755" s="1">
        <f>IFERROR(__xludf.DUMMYFUNCTION("""COMPUTED_VALUE"""),93.24)</f>
        <v>93.24</v>
      </c>
      <c r="C4755" s="1">
        <f>IFERROR(__xludf.DUMMYFUNCTION("""COMPUTED_VALUE"""),93.79)</f>
        <v>93.79</v>
      </c>
      <c r="D4755" s="1">
        <f>IFERROR(__xludf.DUMMYFUNCTION("""COMPUTED_VALUE"""),91.86)</f>
        <v>91.86</v>
      </c>
      <c r="E4755" s="1">
        <f>IFERROR(__xludf.DUMMYFUNCTION("""COMPUTED_VALUE"""),92.1)</f>
        <v>92.1</v>
      </c>
      <c r="F4755" s="1">
        <f>IFERROR(__xludf.DUMMYFUNCTION("""COMPUTED_VALUE"""),1.2074435E7)</f>
        <v>12074435</v>
      </c>
    </row>
    <row r="4756">
      <c r="A4756" s="2">
        <f>IFERROR(__xludf.DUMMYFUNCTION("""COMPUTED_VALUE"""),43425.66666666667)</f>
        <v>43425.66667</v>
      </c>
      <c r="B4756" s="1">
        <f>IFERROR(__xludf.DUMMYFUNCTION("""COMPUTED_VALUE"""),91.66)</f>
        <v>91.66</v>
      </c>
      <c r="C4756" s="1">
        <f>IFERROR(__xludf.DUMMYFUNCTION("""COMPUTED_VALUE"""),92.37)</f>
        <v>92.37</v>
      </c>
      <c r="D4756" s="1">
        <f>IFERROR(__xludf.DUMMYFUNCTION("""COMPUTED_VALUE"""),91.24)</f>
        <v>91.24</v>
      </c>
      <c r="E4756" s="1">
        <f>IFERROR(__xludf.DUMMYFUNCTION("""COMPUTED_VALUE"""),91.41)</f>
        <v>91.41</v>
      </c>
      <c r="F4756" s="1">
        <f>IFERROR(__xludf.DUMMYFUNCTION("""COMPUTED_VALUE"""),8912177.0)</f>
        <v>8912177</v>
      </c>
    </row>
    <row r="4757">
      <c r="A4757" s="2">
        <f>IFERROR(__xludf.DUMMYFUNCTION("""COMPUTED_VALUE"""),43427.54166666667)</f>
        <v>43427.54167</v>
      </c>
      <c r="B4757" s="1">
        <f>IFERROR(__xludf.DUMMYFUNCTION("""COMPUTED_VALUE"""),91.25)</f>
        <v>91.25</v>
      </c>
      <c r="C4757" s="1">
        <f>IFERROR(__xludf.DUMMYFUNCTION("""COMPUTED_VALUE"""),91.99)</f>
        <v>91.99</v>
      </c>
      <c r="D4757" s="1">
        <f>IFERROR(__xludf.DUMMYFUNCTION("""COMPUTED_VALUE"""),90.63)</f>
        <v>90.63</v>
      </c>
      <c r="E4757" s="1">
        <f>IFERROR(__xludf.DUMMYFUNCTION("""COMPUTED_VALUE"""),91.54)</f>
        <v>91.54</v>
      </c>
      <c r="F4757" s="1">
        <f>IFERROR(__xludf.DUMMYFUNCTION("""COMPUTED_VALUE"""),4399630.0)</f>
        <v>4399630</v>
      </c>
    </row>
    <row r="4758">
      <c r="A4758" s="2">
        <f>IFERROR(__xludf.DUMMYFUNCTION("""COMPUTED_VALUE"""),43430.66666666667)</f>
        <v>43430.66667</v>
      </c>
      <c r="B4758" s="1">
        <f>IFERROR(__xludf.DUMMYFUNCTION("""COMPUTED_VALUE"""),91.15)</f>
        <v>91.15</v>
      </c>
      <c r="C4758" s="1">
        <f>IFERROR(__xludf.DUMMYFUNCTION("""COMPUTED_VALUE"""),92.4)</f>
        <v>92.4</v>
      </c>
      <c r="D4758" s="1">
        <f>IFERROR(__xludf.DUMMYFUNCTION("""COMPUTED_VALUE"""),91.15)</f>
        <v>91.15</v>
      </c>
      <c r="E4758" s="1">
        <f>IFERROR(__xludf.DUMMYFUNCTION("""COMPUTED_VALUE"""),91.94)</f>
        <v>91.94</v>
      </c>
      <c r="F4758" s="1">
        <f>IFERROR(__xludf.DUMMYFUNCTION("""COMPUTED_VALUE"""),8171444.0)</f>
        <v>8171444</v>
      </c>
    </row>
    <row r="4759">
      <c r="A4759" s="2">
        <f>IFERROR(__xludf.DUMMYFUNCTION("""COMPUTED_VALUE"""),43431.66666666667)</f>
        <v>43431.66667</v>
      </c>
      <c r="B4759" s="1">
        <f>IFERROR(__xludf.DUMMYFUNCTION("""COMPUTED_VALUE"""),91.93)</f>
        <v>91.93</v>
      </c>
      <c r="C4759" s="1">
        <f>IFERROR(__xludf.DUMMYFUNCTION("""COMPUTED_VALUE"""),92.86)</f>
        <v>92.86</v>
      </c>
      <c r="D4759" s="1">
        <f>IFERROR(__xludf.DUMMYFUNCTION("""COMPUTED_VALUE"""),91.85)</f>
        <v>91.85</v>
      </c>
      <c r="E4759" s="1">
        <f>IFERROR(__xludf.DUMMYFUNCTION("""COMPUTED_VALUE"""),92.72)</f>
        <v>92.72</v>
      </c>
      <c r="F4759" s="1">
        <f>IFERROR(__xludf.DUMMYFUNCTION("""COMPUTED_VALUE"""),9023638.0)</f>
        <v>9023638</v>
      </c>
    </row>
    <row r="4760">
      <c r="A4760" s="2">
        <f>IFERROR(__xludf.DUMMYFUNCTION("""COMPUTED_VALUE"""),43432.66666666667)</f>
        <v>43432.66667</v>
      </c>
      <c r="B4760" s="1">
        <f>IFERROR(__xludf.DUMMYFUNCTION("""COMPUTED_VALUE"""),92.63)</f>
        <v>92.63</v>
      </c>
      <c r="C4760" s="1">
        <f>IFERROR(__xludf.DUMMYFUNCTION("""COMPUTED_VALUE"""),93.22)</f>
        <v>93.22</v>
      </c>
      <c r="D4760" s="1">
        <f>IFERROR(__xludf.DUMMYFUNCTION("""COMPUTED_VALUE"""),92.21)</f>
        <v>92.21</v>
      </c>
      <c r="E4760" s="1">
        <f>IFERROR(__xludf.DUMMYFUNCTION("""COMPUTED_VALUE"""),93.01)</f>
        <v>93.01</v>
      </c>
      <c r="F4760" s="1">
        <f>IFERROR(__xludf.DUMMYFUNCTION("""COMPUTED_VALUE"""),8093706.0)</f>
        <v>8093706</v>
      </c>
    </row>
    <row r="4761">
      <c r="A4761" s="2">
        <f>IFERROR(__xludf.DUMMYFUNCTION("""COMPUTED_VALUE"""),43433.66666666667)</f>
        <v>43433.66667</v>
      </c>
      <c r="B4761" s="1">
        <f>IFERROR(__xludf.DUMMYFUNCTION("""COMPUTED_VALUE"""),92.86)</f>
        <v>92.86</v>
      </c>
      <c r="C4761" s="1">
        <f>IFERROR(__xludf.DUMMYFUNCTION("""COMPUTED_VALUE"""),93.3)</f>
        <v>93.3</v>
      </c>
      <c r="D4761" s="1">
        <f>IFERROR(__xludf.DUMMYFUNCTION("""COMPUTED_VALUE"""),92.66)</f>
        <v>92.66</v>
      </c>
      <c r="E4761" s="1">
        <f>IFERROR(__xludf.DUMMYFUNCTION("""COMPUTED_VALUE"""),92.82)</f>
        <v>92.82</v>
      </c>
      <c r="F4761" s="1">
        <f>IFERROR(__xludf.DUMMYFUNCTION("""COMPUTED_VALUE"""),6126911.0)</f>
        <v>6126911</v>
      </c>
    </row>
    <row r="4762">
      <c r="A4762" s="2">
        <f>IFERROR(__xludf.DUMMYFUNCTION("""COMPUTED_VALUE"""),43434.66666666667)</f>
        <v>43434.66667</v>
      </c>
      <c r="B4762" s="1">
        <f>IFERROR(__xludf.DUMMYFUNCTION("""COMPUTED_VALUE"""),93.18)</f>
        <v>93.18</v>
      </c>
      <c r="C4762" s="1">
        <f>IFERROR(__xludf.DUMMYFUNCTION("""COMPUTED_VALUE"""),94.65)</f>
        <v>94.65</v>
      </c>
      <c r="D4762" s="1">
        <f>IFERROR(__xludf.DUMMYFUNCTION("""COMPUTED_VALUE"""),92.75)</f>
        <v>92.75</v>
      </c>
      <c r="E4762" s="1">
        <f>IFERROR(__xludf.DUMMYFUNCTION("""COMPUTED_VALUE"""),94.51)</f>
        <v>94.51</v>
      </c>
      <c r="F4762" s="1">
        <f>IFERROR(__xludf.DUMMYFUNCTION("""COMPUTED_VALUE"""),1.6291817E7)</f>
        <v>16291817</v>
      </c>
    </row>
    <row r="4763">
      <c r="A4763" s="2">
        <f>IFERROR(__xludf.DUMMYFUNCTION("""COMPUTED_VALUE"""),43437.66666666667)</f>
        <v>43437.66667</v>
      </c>
      <c r="B4763" s="1">
        <f>IFERROR(__xludf.DUMMYFUNCTION("""COMPUTED_VALUE"""),94.67)</f>
        <v>94.67</v>
      </c>
      <c r="C4763" s="1">
        <f>IFERROR(__xludf.DUMMYFUNCTION("""COMPUTED_VALUE"""),94.67)</f>
        <v>94.67</v>
      </c>
      <c r="D4763" s="1">
        <f>IFERROR(__xludf.DUMMYFUNCTION("""COMPUTED_VALUE"""),92.26)</f>
        <v>92.26</v>
      </c>
      <c r="E4763" s="1">
        <f>IFERROR(__xludf.DUMMYFUNCTION("""COMPUTED_VALUE"""),93.32)</f>
        <v>93.32</v>
      </c>
      <c r="F4763" s="1">
        <f>IFERROR(__xludf.DUMMYFUNCTION("""COMPUTED_VALUE"""),1.3931722E7)</f>
        <v>13931722</v>
      </c>
    </row>
    <row r="4764">
      <c r="A4764" s="2">
        <f>IFERROR(__xludf.DUMMYFUNCTION("""COMPUTED_VALUE"""),43438.66666666667)</f>
        <v>43438.66667</v>
      </c>
      <c r="B4764" s="1">
        <f>IFERROR(__xludf.DUMMYFUNCTION("""COMPUTED_VALUE"""),93.49)</f>
        <v>93.49</v>
      </c>
      <c r="C4764" s="1">
        <f>IFERROR(__xludf.DUMMYFUNCTION("""COMPUTED_VALUE"""),94.86)</f>
        <v>94.86</v>
      </c>
      <c r="D4764" s="1">
        <f>IFERROR(__xludf.DUMMYFUNCTION("""COMPUTED_VALUE"""),93.17)</f>
        <v>93.17</v>
      </c>
      <c r="E4764" s="1">
        <f>IFERROR(__xludf.DUMMYFUNCTION("""COMPUTED_VALUE"""),93.31)</f>
        <v>93.31</v>
      </c>
      <c r="F4764" s="1">
        <f>IFERROR(__xludf.DUMMYFUNCTION("""COMPUTED_VALUE"""),1.1123554E7)</f>
        <v>11123554</v>
      </c>
    </row>
    <row r="4765">
      <c r="A4765" s="2">
        <f>IFERROR(__xludf.DUMMYFUNCTION("""COMPUTED_VALUE"""),43440.66666666667)</f>
        <v>43440.66667</v>
      </c>
      <c r="B4765" s="1">
        <f>IFERROR(__xludf.DUMMYFUNCTION("""COMPUTED_VALUE"""),92.7)</f>
        <v>92.7</v>
      </c>
      <c r="C4765" s="1">
        <f>IFERROR(__xludf.DUMMYFUNCTION("""COMPUTED_VALUE"""),93.63)</f>
        <v>93.63</v>
      </c>
      <c r="D4765" s="1">
        <f>IFERROR(__xludf.DUMMYFUNCTION("""COMPUTED_VALUE"""),91.08)</f>
        <v>91.08</v>
      </c>
      <c r="E4765" s="1">
        <f>IFERROR(__xludf.DUMMYFUNCTION("""COMPUTED_VALUE"""),93.55)</f>
        <v>93.55</v>
      </c>
      <c r="F4765" s="1">
        <f>IFERROR(__xludf.DUMMYFUNCTION("""COMPUTED_VALUE"""),1.4199248E7)</f>
        <v>14199248</v>
      </c>
    </row>
    <row r="4766">
      <c r="A4766" s="2">
        <f>IFERROR(__xludf.DUMMYFUNCTION("""COMPUTED_VALUE"""),43441.66666666667)</f>
        <v>43441.66667</v>
      </c>
      <c r="B4766" s="1">
        <f>IFERROR(__xludf.DUMMYFUNCTION("""COMPUTED_VALUE"""),93.59)</f>
        <v>93.59</v>
      </c>
      <c r="C4766" s="1">
        <f>IFERROR(__xludf.DUMMYFUNCTION("""COMPUTED_VALUE"""),93.78)</f>
        <v>93.78</v>
      </c>
      <c r="D4766" s="1">
        <f>IFERROR(__xludf.DUMMYFUNCTION("""COMPUTED_VALUE"""),92.14)</f>
        <v>92.14</v>
      </c>
      <c r="E4766" s="1">
        <f>IFERROR(__xludf.DUMMYFUNCTION("""COMPUTED_VALUE"""),92.45)</f>
        <v>92.45</v>
      </c>
      <c r="F4766" s="1">
        <f>IFERROR(__xludf.DUMMYFUNCTION("""COMPUTED_VALUE"""),7996809.0)</f>
        <v>7996809</v>
      </c>
    </row>
    <row r="4767">
      <c r="A4767" s="2">
        <f>IFERROR(__xludf.DUMMYFUNCTION("""COMPUTED_VALUE"""),43444.66666666667)</f>
        <v>43444.66667</v>
      </c>
      <c r="B4767" s="1">
        <f>IFERROR(__xludf.DUMMYFUNCTION("""COMPUTED_VALUE"""),93.25)</f>
        <v>93.25</v>
      </c>
      <c r="C4767" s="1">
        <f>IFERROR(__xludf.DUMMYFUNCTION("""COMPUTED_VALUE"""),93.4)</f>
        <v>93.4</v>
      </c>
      <c r="D4767" s="1">
        <f>IFERROR(__xludf.DUMMYFUNCTION("""COMPUTED_VALUE"""),91.37)</f>
        <v>91.37</v>
      </c>
      <c r="E4767" s="1">
        <f>IFERROR(__xludf.DUMMYFUNCTION("""COMPUTED_VALUE"""),93.03)</f>
        <v>93.03</v>
      </c>
      <c r="F4767" s="1">
        <f>IFERROR(__xludf.DUMMYFUNCTION("""COMPUTED_VALUE"""),9307667.0)</f>
        <v>9307667</v>
      </c>
    </row>
    <row r="4768">
      <c r="A4768" s="2">
        <f>IFERROR(__xludf.DUMMYFUNCTION("""COMPUTED_VALUE"""),43445.66666666667)</f>
        <v>43445.66667</v>
      </c>
      <c r="B4768" s="1">
        <f>IFERROR(__xludf.DUMMYFUNCTION("""COMPUTED_VALUE"""),93.72)</f>
        <v>93.72</v>
      </c>
      <c r="C4768" s="1">
        <f>IFERROR(__xludf.DUMMYFUNCTION("""COMPUTED_VALUE"""),94.52)</f>
        <v>94.52</v>
      </c>
      <c r="D4768" s="1">
        <f>IFERROR(__xludf.DUMMYFUNCTION("""COMPUTED_VALUE"""),93.4)</f>
        <v>93.4</v>
      </c>
      <c r="E4768" s="1">
        <f>IFERROR(__xludf.DUMMYFUNCTION("""COMPUTED_VALUE"""),93.91)</f>
        <v>93.91</v>
      </c>
      <c r="F4768" s="1">
        <f>IFERROR(__xludf.DUMMYFUNCTION("""COMPUTED_VALUE"""),8743799.0)</f>
        <v>8743799</v>
      </c>
    </row>
    <row r="4769">
      <c r="A4769" s="2">
        <f>IFERROR(__xludf.DUMMYFUNCTION("""COMPUTED_VALUE"""),43446.66666666667)</f>
        <v>43446.66667</v>
      </c>
      <c r="B4769" s="1">
        <f>IFERROR(__xludf.DUMMYFUNCTION("""COMPUTED_VALUE"""),94.21)</f>
        <v>94.21</v>
      </c>
      <c r="C4769" s="1">
        <f>IFERROR(__xludf.DUMMYFUNCTION("""COMPUTED_VALUE"""),94.55)</f>
        <v>94.55</v>
      </c>
      <c r="D4769" s="1">
        <f>IFERROR(__xludf.DUMMYFUNCTION("""COMPUTED_VALUE"""),93.1)</f>
        <v>93.1</v>
      </c>
      <c r="E4769" s="1">
        <f>IFERROR(__xludf.DUMMYFUNCTION("""COMPUTED_VALUE"""),94.03)</f>
        <v>94.03</v>
      </c>
      <c r="F4769" s="1">
        <f>IFERROR(__xludf.DUMMYFUNCTION("""COMPUTED_VALUE"""),9644033.0)</f>
        <v>9644033</v>
      </c>
    </row>
    <row r="4770">
      <c r="A4770" s="2">
        <f>IFERROR(__xludf.DUMMYFUNCTION("""COMPUTED_VALUE"""),43447.66666666667)</f>
        <v>43447.66667</v>
      </c>
      <c r="B4770" s="1">
        <f>IFERROR(__xludf.DUMMYFUNCTION("""COMPUTED_VALUE"""),94.87)</f>
        <v>94.87</v>
      </c>
      <c r="C4770" s="1">
        <f>IFERROR(__xludf.DUMMYFUNCTION("""COMPUTED_VALUE"""),96.79)</f>
        <v>96.79</v>
      </c>
      <c r="D4770" s="1">
        <f>IFERROR(__xludf.DUMMYFUNCTION("""COMPUTED_VALUE"""),94.8)</f>
        <v>94.8</v>
      </c>
      <c r="E4770" s="1">
        <f>IFERROR(__xludf.DUMMYFUNCTION("""COMPUTED_VALUE"""),96.49)</f>
        <v>96.49</v>
      </c>
      <c r="F4770" s="1">
        <f>IFERROR(__xludf.DUMMYFUNCTION("""COMPUTED_VALUE"""),1.8541297E7)</f>
        <v>18541297</v>
      </c>
    </row>
    <row r="4771">
      <c r="A4771" s="2">
        <f>IFERROR(__xludf.DUMMYFUNCTION("""COMPUTED_VALUE"""),43448.66666666667)</f>
        <v>43448.66667</v>
      </c>
      <c r="B4771" s="1">
        <f>IFERROR(__xludf.DUMMYFUNCTION("""COMPUTED_VALUE"""),96.45)</f>
        <v>96.45</v>
      </c>
      <c r="C4771" s="1">
        <f>IFERROR(__xludf.DUMMYFUNCTION("""COMPUTED_VALUE"""),96.9)</f>
        <v>96.9</v>
      </c>
      <c r="D4771" s="1">
        <f>IFERROR(__xludf.DUMMYFUNCTION("""COMPUTED_VALUE"""),96.02)</f>
        <v>96.02</v>
      </c>
      <c r="E4771" s="1">
        <f>IFERROR(__xludf.DUMMYFUNCTION("""COMPUTED_VALUE"""),96.64)</f>
        <v>96.64</v>
      </c>
      <c r="F4771" s="1">
        <f>IFERROR(__xludf.DUMMYFUNCTION("""COMPUTED_VALUE"""),1.265734E7)</f>
        <v>12657340</v>
      </c>
    </row>
    <row r="4772">
      <c r="A4772" s="2">
        <f>IFERROR(__xludf.DUMMYFUNCTION("""COMPUTED_VALUE"""),43451.66666666667)</f>
        <v>43451.66667</v>
      </c>
      <c r="B4772" s="1">
        <f>IFERROR(__xludf.DUMMYFUNCTION("""COMPUTED_VALUE"""),96.0)</f>
        <v>96</v>
      </c>
      <c r="C4772" s="1">
        <f>IFERROR(__xludf.DUMMYFUNCTION("""COMPUTED_VALUE"""),96.5)</f>
        <v>96.5</v>
      </c>
      <c r="D4772" s="1">
        <f>IFERROR(__xludf.DUMMYFUNCTION("""COMPUTED_VALUE"""),92.4)</f>
        <v>92.4</v>
      </c>
      <c r="E4772" s="1">
        <f>IFERROR(__xludf.DUMMYFUNCTION("""COMPUTED_VALUE"""),92.77)</f>
        <v>92.77</v>
      </c>
      <c r="F4772" s="1">
        <f>IFERROR(__xludf.DUMMYFUNCTION("""COMPUTED_VALUE"""),1.2427573E7)</f>
        <v>12427573</v>
      </c>
    </row>
    <row r="4773">
      <c r="A4773" s="2">
        <f>IFERROR(__xludf.DUMMYFUNCTION("""COMPUTED_VALUE"""),43452.66666666667)</f>
        <v>43452.66667</v>
      </c>
      <c r="B4773" s="1">
        <f>IFERROR(__xludf.DUMMYFUNCTION("""COMPUTED_VALUE"""),93.13)</f>
        <v>93.13</v>
      </c>
      <c r="C4773" s="1">
        <f>IFERROR(__xludf.DUMMYFUNCTION("""COMPUTED_VALUE"""),93.31)</f>
        <v>93.31</v>
      </c>
      <c r="D4773" s="1">
        <f>IFERROR(__xludf.DUMMYFUNCTION("""COMPUTED_VALUE"""),91.86)</f>
        <v>91.86</v>
      </c>
      <c r="E4773" s="1">
        <f>IFERROR(__xludf.DUMMYFUNCTION("""COMPUTED_VALUE"""),92.49)</f>
        <v>92.49</v>
      </c>
      <c r="F4773" s="1">
        <f>IFERROR(__xludf.DUMMYFUNCTION("""COMPUTED_VALUE"""),1.2250559E7)</f>
        <v>12250559</v>
      </c>
    </row>
    <row r="4774">
      <c r="A4774" s="2">
        <f>IFERROR(__xludf.DUMMYFUNCTION("""COMPUTED_VALUE"""),43453.66666666667)</f>
        <v>43453.66667</v>
      </c>
      <c r="B4774" s="1">
        <f>IFERROR(__xludf.DUMMYFUNCTION("""COMPUTED_VALUE"""),92.55)</f>
        <v>92.55</v>
      </c>
      <c r="C4774" s="1">
        <f>IFERROR(__xludf.DUMMYFUNCTION("""COMPUTED_VALUE"""),93.35)</f>
        <v>93.35</v>
      </c>
      <c r="D4774" s="1">
        <f>IFERROR(__xludf.DUMMYFUNCTION("""COMPUTED_VALUE"""),91.29)</f>
        <v>91.29</v>
      </c>
      <c r="E4774" s="1">
        <f>IFERROR(__xludf.DUMMYFUNCTION("""COMPUTED_VALUE"""),91.76)</f>
        <v>91.76</v>
      </c>
      <c r="F4774" s="1">
        <f>IFERROR(__xludf.DUMMYFUNCTION("""COMPUTED_VALUE"""),1.0825589E7)</f>
        <v>10825589</v>
      </c>
    </row>
    <row r="4775">
      <c r="A4775" s="2">
        <f>IFERROR(__xludf.DUMMYFUNCTION("""COMPUTED_VALUE"""),43454.66666666667)</f>
        <v>43454.66667</v>
      </c>
      <c r="B4775" s="1">
        <f>IFERROR(__xludf.DUMMYFUNCTION("""COMPUTED_VALUE"""),91.51)</f>
        <v>91.51</v>
      </c>
      <c r="C4775" s="1">
        <f>IFERROR(__xludf.DUMMYFUNCTION("""COMPUTED_VALUE"""),92.23)</f>
        <v>92.23</v>
      </c>
      <c r="D4775" s="1">
        <f>IFERROR(__xludf.DUMMYFUNCTION("""COMPUTED_VALUE"""),90.13)</f>
        <v>90.13</v>
      </c>
      <c r="E4775" s="1">
        <f>IFERROR(__xludf.DUMMYFUNCTION("""COMPUTED_VALUE"""),90.98)</f>
        <v>90.98</v>
      </c>
      <c r="F4775" s="1">
        <f>IFERROR(__xludf.DUMMYFUNCTION("""COMPUTED_VALUE"""),1.443924E7)</f>
        <v>14439240</v>
      </c>
    </row>
    <row r="4776">
      <c r="A4776" s="2">
        <f>IFERROR(__xludf.DUMMYFUNCTION("""COMPUTED_VALUE"""),43455.66666666667)</f>
        <v>43455.66667</v>
      </c>
      <c r="B4776" s="1">
        <f>IFERROR(__xludf.DUMMYFUNCTION("""COMPUTED_VALUE"""),90.61)</f>
        <v>90.61</v>
      </c>
      <c r="C4776" s="1">
        <f>IFERROR(__xludf.DUMMYFUNCTION("""COMPUTED_VALUE"""),93.17)</f>
        <v>93.17</v>
      </c>
      <c r="D4776" s="1">
        <f>IFERROR(__xludf.DUMMYFUNCTION("""COMPUTED_VALUE"""),90.36)</f>
        <v>90.36</v>
      </c>
      <c r="E4776" s="1">
        <f>IFERROR(__xludf.DUMMYFUNCTION("""COMPUTED_VALUE"""),90.97)</f>
        <v>90.97</v>
      </c>
      <c r="F4776" s="1">
        <f>IFERROR(__xludf.DUMMYFUNCTION("""COMPUTED_VALUE"""),2.4029977E7)</f>
        <v>24029977</v>
      </c>
    </row>
    <row r="4777">
      <c r="A4777" s="2">
        <f>IFERROR(__xludf.DUMMYFUNCTION("""COMPUTED_VALUE"""),43458.54166666667)</f>
        <v>43458.54167</v>
      </c>
      <c r="B4777" s="1">
        <f>IFERROR(__xludf.DUMMYFUNCTION("""COMPUTED_VALUE"""),90.45)</f>
        <v>90.45</v>
      </c>
      <c r="C4777" s="1">
        <f>IFERROR(__xludf.DUMMYFUNCTION("""COMPUTED_VALUE"""),90.66)</f>
        <v>90.66</v>
      </c>
      <c r="D4777" s="1">
        <f>IFERROR(__xludf.DUMMYFUNCTION("""COMPUTED_VALUE"""),86.88)</f>
        <v>86.88</v>
      </c>
      <c r="E4777" s="1">
        <f>IFERROR(__xludf.DUMMYFUNCTION("""COMPUTED_VALUE"""),87.36)</f>
        <v>87.36</v>
      </c>
      <c r="F4777" s="1">
        <f>IFERROR(__xludf.DUMMYFUNCTION("""COMPUTED_VALUE"""),7396254.0)</f>
        <v>7396254</v>
      </c>
    </row>
    <row r="4778">
      <c r="A4778" s="2">
        <f>IFERROR(__xludf.DUMMYFUNCTION("""COMPUTED_VALUE"""),43460.66666666667)</f>
        <v>43460.66667</v>
      </c>
      <c r="B4778" s="1">
        <f>IFERROR(__xludf.DUMMYFUNCTION("""COMPUTED_VALUE"""),87.42)</f>
        <v>87.42</v>
      </c>
      <c r="C4778" s="1">
        <f>IFERROR(__xludf.DUMMYFUNCTION("""COMPUTED_VALUE"""),90.09)</f>
        <v>90.09</v>
      </c>
      <c r="D4778" s="1">
        <f>IFERROR(__xludf.DUMMYFUNCTION("""COMPUTED_VALUE"""),86.74)</f>
        <v>86.74</v>
      </c>
      <c r="E4778" s="1">
        <f>IFERROR(__xludf.DUMMYFUNCTION("""COMPUTED_VALUE"""),90.09)</f>
        <v>90.09</v>
      </c>
      <c r="F4778" s="1">
        <f>IFERROR(__xludf.DUMMYFUNCTION("""COMPUTED_VALUE"""),8630949.0)</f>
        <v>8630949</v>
      </c>
    </row>
    <row r="4779">
      <c r="A4779" s="2">
        <f>IFERROR(__xludf.DUMMYFUNCTION("""COMPUTED_VALUE"""),43461.66666666667)</f>
        <v>43461.66667</v>
      </c>
      <c r="B4779" s="1">
        <f>IFERROR(__xludf.DUMMYFUNCTION("""COMPUTED_VALUE"""),89.61)</f>
        <v>89.61</v>
      </c>
      <c r="C4779" s="1">
        <f>IFERROR(__xludf.DUMMYFUNCTION("""COMPUTED_VALUE"""),92.05)</f>
        <v>92.05</v>
      </c>
      <c r="D4779" s="1">
        <f>IFERROR(__xludf.DUMMYFUNCTION("""COMPUTED_VALUE"""),88.2)</f>
        <v>88.2</v>
      </c>
      <c r="E4779" s="1">
        <f>IFERROR(__xludf.DUMMYFUNCTION("""COMPUTED_VALUE"""),92.02)</f>
        <v>92.02</v>
      </c>
      <c r="F4779" s="1">
        <f>IFERROR(__xludf.DUMMYFUNCTION("""COMPUTED_VALUE"""),1.1360085E7)</f>
        <v>11360085</v>
      </c>
    </row>
    <row r="4780">
      <c r="A4780" s="2">
        <f>IFERROR(__xludf.DUMMYFUNCTION("""COMPUTED_VALUE"""),43462.66666666667)</f>
        <v>43462.66667</v>
      </c>
      <c r="B4780" s="1">
        <f>IFERROR(__xludf.DUMMYFUNCTION("""COMPUTED_VALUE"""),92.56)</f>
        <v>92.56</v>
      </c>
      <c r="C4780" s="1">
        <f>IFERROR(__xludf.DUMMYFUNCTION("""COMPUTED_VALUE"""),93.28)</f>
        <v>93.28</v>
      </c>
      <c r="D4780" s="1">
        <f>IFERROR(__xludf.DUMMYFUNCTION("""COMPUTED_VALUE"""),90.84)</f>
        <v>90.84</v>
      </c>
      <c r="E4780" s="1">
        <f>IFERROR(__xludf.DUMMYFUNCTION("""COMPUTED_VALUE"""),91.18)</f>
        <v>91.18</v>
      </c>
      <c r="F4780" s="1">
        <f>IFERROR(__xludf.DUMMYFUNCTION("""COMPUTED_VALUE"""),9611761.0)</f>
        <v>9611761</v>
      </c>
    </row>
    <row r="4781">
      <c r="A4781" s="2">
        <f>IFERROR(__xludf.DUMMYFUNCTION("""COMPUTED_VALUE"""),43465.66666666667)</f>
        <v>43465.66667</v>
      </c>
      <c r="B4781" s="1">
        <f>IFERROR(__xludf.DUMMYFUNCTION("""COMPUTED_VALUE"""),91.63)</f>
        <v>91.63</v>
      </c>
      <c r="C4781" s="1">
        <f>IFERROR(__xludf.DUMMYFUNCTION("""COMPUTED_VALUE"""),92.18)</f>
        <v>92.18</v>
      </c>
      <c r="D4781" s="1">
        <f>IFERROR(__xludf.DUMMYFUNCTION("""COMPUTED_VALUE"""),91.15)</f>
        <v>91.15</v>
      </c>
      <c r="E4781" s="1">
        <f>IFERROR(__xludf.DUMMYFUNCTION("""COMPUTED_VALUE"""),91.92)</f>
        <v>91.92</v>
      </c>
      <c r="F4781" s="1">
        <f>IFERROR(__xludf.DUMMYFUNCTION("""COMPUTED_VALUE"""),7239670.0)</f>
        <v>7239670</v>
      </c>
    </row>
    <row r="4782">
      <c r="A4782" s="2">
        <f>IFERROR(__xludf.DUMMYFUNCTION("""COMPUTED_VALUE"""),43467.66666666667)</f>
        <v>43467.66667</v>
      </c>
      <c r="B4782" s="1">
        <f>IFERROR(__xludf.DUMMYFUNCTION("""COMPUTED_VALUE"""),91.03)</f>
        <v>91.03</v>
      </c>
      <c r="C4782" s="1">
        <f>IFERROR(__xludf.DUMMYFUNCTION("""COMPUTED_VALUE"""),91.39)</f>
        <v>91.39</v>
      </c>
      <c r="D4782" s="1">
        <f>IFERROR(__xludf.DUMMYFUNCTION("""COMPUTED_VALUE"""),89.93)</f>
        <v>89.93</v>
      </c>
      <c r="E4782" s="1">
        <f>IFERROR(__xludf.DUMMYFUNCTION("""COMPUTED_VALUE"""),91.28)</f>
        <v>91.28</v>
      </c>
      <c r="F4782" s="1">
        <f>IFERROR(__xludf.DUMMYFUNCTION("""COMPUTED_VALUE"""),9843939.0)</f>
        <v>9843939</v>
      </c>
    </row>
    <row r="4783">
      <c r="A4783" s="2">
        <f>IFERROR(__xludf.DUMMYFUNCTION("""COMPUTED_VALUE"""),43468.66666666667)</f>
        <v>43468.66667</v>
      </c>
      <c r="B4783" s="1">
        <f>IFERROR(__xludf.DUMMYFUNCTION("""COMPUTED_VALUE"""),90.94)</f>
        <v>90.94</v>
      </c>
      <c r="C4783" s="1">
        <f>IFERROR(__xludf.DUMMYFUNCTION("""COMPUTED_VALUE"""),92.5)</f>
        <v>92.5</v>
      </c>
      <c r="D4783" s="1">
        <f>IFERROR(__xludf.DUMMYFUNCTION("""COMPUTED_VALUE"""),90.38)</f>
        <v>90.38</v>
      </c>
      <c r="E4783" s="1">
        <f>IFERROR(__xludf.DUMMYFUNCTION("""COMPUTED_VALUE"""),90.64)</f>
        <v>90.64</v>
      </c>
      <c r="F4783" s="1">
        <f>IFERROR(__xludf.DUMMYFUNCTION("""COMPUTED_VALUE"""),9820374.0)</f>
        <v>9820374</v>
      </c>
    </row>
    <row r="4784">
      <c r="A4784" s="2">
        <f>IFERROR(__xludf.DUMMYFUNCTION("""COMPUTED_VALUE"""),43469.66666666667)</f>
        <v>43469.66667</v>
      </c>
      <c r="B4784" s="1">
        <f>IFERROR(__xludf.DUMMYFUNCTION("""COMPUTED_VALUE"""),90.84)</f>
        <v>90.84</v>
      </c>
      <c r="C4784" s="1">
        <f>IFERROR(__xludf.DUMMYFUNCTION("""COMPUTED_VALUE"""),92.49)</f>
        <v>92.49</v>
      </c>
      <c r="D4784" s="1">
        <f>IFERROR(__xludf.DUMMYFUNCTION("""COMPUTED_VALUE"""),90.37)</f>
        <v>90.37</v>
      </c>
      <c r="E4784" s="1">
        <f>IFERROR(__xludf.DUMMYFUNCTION("""COMPUTED_VALUE"""),92.49)</f>
        <v>92.49</v>
      </c>
      <c r="F4784" s="1">
        <f>IFERROR(__xludf.DUMMYFUNCTION("""COMPUTED_VALUE"""),1.0565749E7)</f>
        <v>10565749</v>
      </c>
    </row>
    <row r="4785">
      <c r="A4785" s="2">
        <f>IFERROR(__xludf.DUMMYFUNCTION("""COMPUTED_VALUE"""),43472.66666666667)</f>
        <v>43472.66667</v>
      </c>
      <c r="B4785" s="1">
        <f>IFERROR(__xludf.DUMMYFUNCTION("""COMPUTED_VALUE"""),91.91)</f>
        <v>91.91</v>
      </c>
      <c r="C4785" s="1">
        <f>IFERROR(__xludf.DUMMYFUNCTION("""COMPUTED_VALUE"""),92.5)</f>
        <v>92.5</v>
      </c>
      <c r="D4785" s="1">
        <f>IFERROR(__xludf.DUMMYFUNCTION("""COMPUTED_VALUE"""),91.4)</f>
        <v>91.4</v>
      </c>
      <c r="E4785" s="1">
        <f>IFERROR(__xludf.DUMMYFUNCTION("""COMPUTED_VALUE"""),92.12)</f>
        <v>92.12</v>
      </c>
      <c r="F4785" s="1">
        <f>IFERROR(__xludf.DUMMYFUNCTION("""COMPUTED_VALUE"""),9012540.0)</f>
        <v>9012540</v>
      </c>
    </row>
    <row r="4786">
      <c r="A4786" s="2">
        <f>IFERROR(__xludf.DUMMYFUNCTION("""COMPUTED_VALUE"""),43473.66666666667)</f>
        <v>43473.66667</v>
      </c>
      <c r="B4786" s="1">
        <f>IFERROR(__xludf.DUMMYFUNCTION("""COMPUTED_VALUE"""),92.7)</f>
        <v>92.7</v>
      </c>
      <c r="C4786" s="1">
        <f>IFERROR(__xludf.DUMMYFUNCTION("""COMPUTED_VALUE"""),93.09)</f>
        <v>93.09</v>
      </c>
      <c r="D4786" s="1">
        <f>IFERROR(__xludf.DUMMYFUNCTION("""COMPUTED_VALUE"""),91.82)</f>
        <v>91.82</v>
      </c>
      <c r="E4786" s="1">
        <f>IFERROR(__xludf.DUMMYFUNCTION("""COMPUTED_VALUE"""),92.46)</f>
        <v>92.46</v>
      </c>
      <c r="F4786" s="1">
        <f>IFERROR(__xludf.DUMMYFUNCTION("""COMPUTED_VALUE"""),9551291.0)</f>
        <v>9551291</v>
      </c>
    </row>
    <row r="4787">
      <c r="A4787" s="2">
        <f>IFERROR(__xludf.DUMMYFUNCTION("""COMPUTED_VALUE"""),43474.66666666667)</f>
        <v>43474.66667</v>
      </c>
      <c r="B4787" s="1">
        <f>IFERROR(__xludf.DUMMYFUNCTION("""COMPUTED_VALUE"""),92.69)</f>
        <v>92.69</v>
      </c>
      <c r="C4787" s="1">
        <f>IFERROR(__xludf.DUMMYFUNCTION("""COMPUTED_VALUE"""),92.96)</f>
        <v>92.96</v>
      </c>
      <c r="D4787" s="1">
        <f>IFERROR(__xludf.DUMMYFUNCTION("""COMPUTED_VALUE"""),90.81)</f>
        <v>90.81</v>
      </c>
      <c r="E4787" s="1">
        <f>IFERROR(__xludf.DUMMYFUNCTION("""COMPUTED_VALUE"""),90.95)</f>
        <v>90.95</v>
      </c>
      <c r="F4787" s="1">
        <f>IFERROR(__xludf.DUMMYFUNCTION("""COMPUTED_VALUE"""),1.5015597E7)</f>
        <v>15015597</v>
      </c>
    </row>
    <row r="4788">
      <c r="A4788" s="2">
        <f>IFERROR(__xludf.DUMMYFUNCTION("""COMPUTED_VALUE"""),43475.66666666667)</f>
        <v>43475.66667</v>
      </c>
      <c r="B4788" s="1">
        <f>IFERROR(__xludf.DUMMYFUNCTION("""COMPUTED_VALUE"""),90.89)</f>
        <v>90.89</v>
      </c>
      <c r="C4788" s="1">
        <f>IFERROR(__xludf.DUMMYFUNCTION("""COMPUTED_VALUE"""),91.54)</f>
        <v>91.54</v>
      </c>
      <c r="D4788" s="1">
        <f>IFERROR(__xludf.DUMMYFUNCTION("""COMPUTED_VALUE"""),90.61)</f>
        <v>90.61</v>
      </c>
      <c r="E4788" s="1">
        <f>IFERROR(__xludf.DUMMYFUNCTION("""COMPUTED_VALUE"""),91.17)</f>
        <v>91.17</v>
      </c>
      <c r="F4788" s="1">
        <f>IFERROR(__xludf.DUMMYFUNCTION("""COMPUTED_VALUE"""),1.1102312E7)</f>
        <v>11102312</v>
      </c>
    </row>
    <row r="4789">
      <c r="A4789" s="2">
        <f>IFERROR(__xludf.DUMMYFUNCTION("""COMPUTED_VALUE"""),43476.66666666667)</f>
        <v>43476.66667</v>
      </c>
      <c r="B4789" s="1">
        <f>IFERROR(__xludf.DUMMYFUNCTION("""COMPUTED_VALUE"""),91.67)</f>
        <v>91.67</v>
      </c>
      <c r="C4789" s="1">
        <f>IFERROR(__xludf.DUMMYFUNCTION("""COMPUTED_VALUE"""),91.98)</f>
        <v>91.98</v>
      </c>
      <c r="D4789" s="1">
        <f>IFERROR(__xludf.DUMMYFUNCTION("""COMPUTED_VALUE"""),91.11)</f>
        <v>91.11</v>
      </c>
      <c r="E4789" s="1">
        <f>IFERROR(__xludf.DUMMYFUNCTION("""COMPUTED_VALUE"""),91.77)</f>
        <v>91.77</v>
      </c>
      <c r="F4789" s="1">
        <f>IFERROR(__xludf.DUMMYFUNCTION("""COMPUTED_VALUE"""),7166579.0)</f>
        <v>7166579</v>
      </c>
    </row>
    <row r="4790">
      <c r="A4790" s="2">
        <f>IFERROR(__xludf.DUMMYFUNCTION("""COMPUTED_VALUE"""),43479.66666666667)</f>
        <v>43479.66667</v>
      </c>
      <c r="B4790" s="1">
        <f>IFERROR(__xludf.DUMMYFUNCTION("""COMPUTED_VALUE"""),91.5)</f>
        <v>91.5</v>
      </c>
      <c r="C4790" s="1">
        <f>IFERROR(__xludf.DUMMYFUNCTION("""COMPUTED_VALUE"""),91.91)</f>
        <v>91.91</v>
      </c>
      <c r="D4790" s="1">
        <f>IFERROR(__xludf.DUMMYFUNCTION("""COMPUTED_VALUE"""),90.85)</f>
        <v>90.85</v>
      </c>
      <c r="E4790" s="1">
        <f>IFERROR(__xludf.DUMMYFUNCTION("""COMPUTED_VALUE"""),91.15)</f>
        <v>91.15</v>
      </c>
      <c r="F4790" s="1">
        <f>IFERROR(__xludf.DUMMYFUNCTION("""COMPUTED_VALUE"""),7952044.0)</f>
        <v>7952044</v>
      </c>
    </row>
    <row r="4791">
      <c r="A4791" s="2">
        <f>IFERROR(__xludf.DUMMYFUNCTION("""COMPUTED_VALUE"""),43480.66666666667)</f>
        <v>43480.66667</v>
      </c>
      <c r="B4791" s="1">
        <f>IFERROR(__xludf.DUMMYFUNCTION("""COMPUTED_VALUE"""),91.15)</f>
        <v>91.15</v>
      </c>
      <c r="C4791" s="1">
        <f>IFERROR(__xludf.DUMMYFUNCTION("""COMPUTED_VALUE"""),92.61)</f>
        <v>92.61</v>
      </c>
      <c r="D4791" s="1">
        <f>IFERROR(__xludf.DUMMYFUNCTION("""COMPUTED_VALUE"""),91.14)</f>
        <v>91.14</v>
      </c>
      <c r="E4791" s="1">
        <f>IFERROR(__xludf.DUMMYFUNCTION("""COMPUTED_VALUE"""),92.01)</f>
        <v>92.01</v>
      </c>
      <c r="F4791" s="1">
        <f>IFERROR(__xludf.DUMMYFUNCTION("""COMPUTED_VALUE"""),7834918.0)</f>
        <v>7834918</v>
      </c>
    </row>
    <row r="4792">
      <c r="A4792" s="2">
        <f>IFERROR(__xludf.DUMMYFUNCTION("""COMPUTED_VALUE"""),43481.66666666667)</f>
        <v>43481.66667</v>
      </c>
      <c r="B4792" s="1">
        <f>IFERROR(__xludf.DUMMYFUNCTION("""COMPUTED_VALUE"""),91.74)</f>
        <v>91.74</v>
      </c>
      <c r="C4792" s="1">
        <f>IFERROR(__xludf.DUMMYFUNCTION("""COMPUTED_VALUE"""),92.15)</f>
        <v>92.15</v>
      </c>
      <c r="D4792" s="1">
        <f>IFERROR(__xludf.DUMMYFUNCTION("""COMPUTED_VALUE"""),90.99)</f>
        <v>90.99</v>
      </c>
      <c r="E4792" s="1">
        <f>IFERROR(__xludf.DUMMYFUNCTION("""COMPUTED_VALUE"""),91.37)</f>
        <v>91.37</v>
      </c>
      <c r="F4792" s="1">
        <f>IFERROR(__xludf.DUMMYFUNCTION("""COMPUTED_VALUE"""),7964516.0)</f>
        <v>7964516</v>
      </c>
    </row>
    <row r="4793">
      <c r="A4793" s="2">
        <f>IFERROR(__xludf.DUMMYFUNCTION("""COMPUTED_VALUE"""),43482.66666666667)</f>
        <v>43482.66667</v>
      </c>
      <c r="B4793" s="1">
        <f>IFERROR(__xludf.DUMMYFUNCTION("""COMPUTED_VALUE"""),90.71)</f>
        <v>90.71</v>
      </c>
      <c r="C4793" s="1">
        <f>IFERROR(__xludf.DUMMYFUNCTION("""COMPUTED_VALUE"""),91.56)</f>
        <v>91.56</v>
      </c>
      <c r="D4793" s="1">
        <f>IFERROR(__xludf.DUMMYFUNCTION("""COMPUTED_VALUE"""),90.35)</f>
        <v>90.35</v>
      </c>
      <c r="E4793" s="1">
        <f>IFERROR(__xludf.DUMMYFUNCTION("""COMPUTED_VALUE"""),90.64)</f>
        <v>90.64</v>
      </c>
      <c r="F4793" s="1">
        <f>IFERROR(__xludf.DUMMYFUNCTION("""COMPUTED_VALUE"""),8044793.0)</f>
        <v>8044793</v>
      </c>
    </row>
    <row r="4794">
      <c r="A4794" s="2">
        <f>IFERROR(__xludf.DUMMYFUNCTION("""COMPUTED_VALUE"""),43483.66666666667)</f>
        <v>43483.66667</v>
      </c>
      <c r="B4794" s="1">
        <f>IFERROR(__xludf.DUMMYFUNCTION("""COMPUTED_VALUE"""),91.37)</f>
        <v>91.37</v>
      </c>
      <c r="C4794" s="1">
        <f>IFERROR(__xludf.DUMMYFUNCTION("""COMPUTED_VALUE"""),91.84)</f>
        <v>91.84</v>
      </c>
      <c r="D4794" s="1">
        <f>IFERROR(__xludf.DUMMYFUNCTION("""COMPUTED_VALUE"""),91.04)</f>
        <v>91.04</v>
      </c>
      <c r="E4794" s="1">
        <f>IFERROR(__xludf.DUMMYFUNCTION("""COMPUTED_VALUE"""),91.42)</f>
        <v>91.42</v>
      </c>
      <c r="F4794" s="1">
        <f>IFERROR(__xludf.DUMMYFUNCTION("""COMPUTED_VALUE"""),9100592.0)</f>
        <v>9100592</v>
      </c>
    </row>
    <row r="4795">
      <c r="A4795" s="2">
        <f>IFERROR(__xludf.DUMMYFUNCTION("""COMPUTED_VALUE"""),43487.66666666667)</f>
        <v>43487.66667</v>
      </c>
      <c r="B4795" s="1">
        <f>IFERROR(__xludf.DUMMYFUNCTION("""COMPUTED_VALUE"""),91.39)</f>
        <v>91.39</v>
      </c>
      <c r="C4795" s="1">
        <f>IFERROR(__xludf.DUMMYFUNCTION("""COMPUTED_VALUE"""),91.75)</f>
        <v>91.75</v>
      </c>
      <c r="D4795" s="1">
        <f>IFERROR(__xludf.DUMMYFUNCTION("""COMPUTED_VALUE"""),89.08)</f>
        <v>89.08</v>
      </c>
      <c r="E4795" s="1">
        <f>IFERROR(__xludf.DUMMYFUNCTION("""COMPUTED_VALUE"""),90.44)</f>
        <v>90.44</v>
      </c>
      <c r="F4795" s="1">
        <f>IFERROR(__xludf.DUMMYFUNCTION("""COMPUTED_VALUE"""),1.3518523E7)</f>
        <v>13518523</v>
      </c>
    </row>
    <row r="4796">
      <c r="A4796" s="2">
        <f>IFERROR(__xludf.DUMMYFUNCTION("""COMPUTED_VALUE"""),43488.66666666667)</f>
        <v>43488.66667</v>
      </c>
      <c r="B4796" s="1">
        <f>IFERROR(__xludf.DUMMYFUNCTION("""COMPUTED_VALUE"""),94.18)</f>
        <v>94.18</v>
      </c>
      <c r="C4796" s="1">
        <f>IFERROR(__xludf.DUMMYFUNCTION("""COMPUTED_VALUE"""),96.41)</f>
        <v>96.41</v>
      </c>
      <c r="D4796" s="1">
        <f>IFERROR(__xludf.DUMMYFUNCTION("""COMPUTED_VALUE"""),93.63)</f>
        <v>93.63</v>
      </c>
      <c r="E4796" s="1">
        <f>IFERROR(__xludf.DUMMYFUNCTION("""COMPUTED_VALUE"""),94.84)</f>
        <v>94.84</v>
      </c>
      <c r="F4796" s="1">
        <f>IFERROR(__xludf.DUMMYFUNCTION("""COMPUTED_VALUE"""),2.286897E7)</f>
        <v>22868970</v>
      </c>
    </row>
    <row r="4797">
      <c r="A4797" s="2">
        <f>IFERROR(__xludf.DUMMYFUNCTION("""COMPUTED_VALUE"""),43489.66666666667)</f>
        <v>43489.66667</v>
      </c>
      <c r="B4797" s="1">
        <f>IFERROR(__xludf.DUMMYFUNCTION("""COMPUTED_VALUE"""),94.29)</f>
        <v>94.29</v>
      </c>
      <c r="C4797" s="1">
        <f>IFERROR(__xludf.DUMMYFUNCTION("""COMPUTED_VALUE"""),94.56)</f>
        <v>94.56</v>
      </c>
      <c r="D4797" s="1">
        <f>IFERROR(__xludf.DUMMYFUNCTION("""COMPUTED_VALUE"""),93.19)</f>
        <v>93.19</v>
      </c>
      <c r="E4797" s="1">
        <f>IFERROR(__xludf.DUMMYFUNCTION("""COMPUTED_VALUE"""),94.3)</f>
        <v>94.3</v>
      </c>
      <c r="F4797" s="1">
        <f>IFERROR(__xludf.DUMMYFUNCTION("""COMPUTED_VALUE"""),1.2146363E7)</f>
        <v>12146363</v>
      </c>
    </row>
    <row r="4798">
      <c r="A4798" s="2">
        <f>IFERROR(__xludf.DUMMYFUNCTION("""COMPUTED_VALUE"""),43490.66666666667)</f>
        <v>43490.66667</v>
      </c>
      <c r="B4798" s="1">
        <f>IFERROR(__xludf.DUMMYFUNCTION("""COMPUTED_VALUE"""),94.42)</f>
        <v>94.42</v>
      </c>
      <c r="C4798" s="1">
        <f>IFERROR(__xludf.DUMMYFUNCTION("""COMPUTED_VALUE"""),94.89)</f>
        <v>94.89</v>
      </c>
      <c r="D4798" s="1">
        <f>IFERROR(__xludf.DUMMYFUNCTION("""COMPUTED_VALUE"""),93.06)</f>
        <v>93.06</v>
      </c>
      <c r="E4798" s="1">
        <f>IFERROR(__xludf.DUMMYFUNCTION("""COMPUTED_VALUE"""),93.6)</f>
        <v>93.6</v>
      </c>
      <c r="F4798" s="1">
        <f>IFERROR(__xludf.DUMMYFUNCTION("""COMPUTED_VALUE"""),1.0618588E7)</f>
        <v>10618588</v>
      </c>
    </row>
    <row r="4799">
      <c r="A4799" s="2">
        <f>IFERROR(__xludf.DUMMYFUNCTION("""COMPUTED_VALUE"""),43493.66666666667)</f>
        <v>43493.66667</v>
      </c>
      <c r="B4799" s="1">
        <f>IFERROR(__xludf.DUMMYFUNCTION("""COMPUTED_VALUE"""),93.32)</f>
        <v>93.32</v>
      </c>
      <c r="C4799" s="1">
        <f>IFERROR(__xludf.DUMMYFUNCTION("""COMPUTED_VALUE"""),93.97)</f>
        <v>93.97</v>
      </c>
      <c r="D4799" s="1">
        <f>IFERROR(__xludf.DUMMYFUNCTION("""COMPUTED_VALUE"""),92.97)</f>
        <v>92.97</v>
      </c>
      <c r="E4799" s="1">
        <f>IFERROR(__xludf.DUMMYFUNCTION("""COMPUTED_VALUE"""),93.52)</f>
        <v>93.52</v>
      </c>
      <c r="F4799" s="1">
        <f>IFERROR(__xludf.DUMMYFUNCTION("""COMPUTED_VALUE"""),9765584.0)</f>
        <v>9765584</v>
      </c>
    </row>
    <row r="4800">
      <c r="A4800" s="2">
        <f>IFERROR(__xludf.DUMMYFUNCTION("""COMPUTED_VALUE"""),43494.66666666667)</f>
        <v>43494.66667</v>
      </c>
      <c r="B4800" s="1">
        <f>IFERROR(__xludf.DUMMYFUNCTION("""COMPUTED_VALUE"""),93.79)</f>
        <v>93.79</v>
      </c>
      <c r="C4800" s="1">
        <f>IFERROR(__xludf.DUMMYFUNCTION("""COMPUTED_VALUE"""),94.12)</f>
        <v>94.12</v>
      </c>
      <c r="D4800" s="1">
        <f>IFERROR(__xludf.DUMMYFUNCTION("""COMPUTED_VALUE"""),93.1)</f>
        <v>93.1</v>
      </c>
      <c r="E4800" s="1">
        <f>IFERROR(__xludf.DUMMYFUNCTION("""COMPUTED_VALUE"""),93.54)</f>
        <v>93.54</v>
      </c>
      <c r="F4800" s="1">
        <f>IFERROR(__xludf.DUMMYFUNCTION("""COMPUTED_VALUE"""),9769782.0)</f>
        <v>9769782</v>
      </c>
    </row>
    <row r="4801">
      <c r="A4801" s="2">
        <f>IFERROR(__xludf.DUMMYFUNCTION("""COMPUTED_VALUE"""),43495.66666666667)</f>
        <v>43495.66667</v>
      </c>
      <c r="B4801" s="1">
        <f>IFERROR(__xludf.DUMMYFUNCTION("""COMPUTED_VALUE"""),93.61)</f>
        <v>93.61</v>
      </c>
      <c r="C4801" s="1">
        <f>IFERROR(__xludf.DUMMYFUNCTION("""COMPUTED_VALUE"""),94.66)</f>
        <v>94.66</v>
      </c>
      <c r="D4801" s="1">
        <f>IFERROR(__xludf.DUMMYFUNCTION("""COMPUTED_VALUE"""),93.57)</f>
        <v>93.57</v>
      </c>
      <c r="E4801" s="1">
        <f>IFERROR(__xludf.DUMMYFUNCTION("""COMPUTED_VALUE"""),94.52)</f>
        <v>94.52</v>
      </c>
      <c r="F4801" s="1">
        <f>IFERROR(__xludf.DUMMYFUNCTION("""COMPUTED_VALUE"""),7750402.0)</f>
        <v>7750402</v>
      </c>
    </row>
    <row r="4802">
      <c r="A4802" s="2">
        <f>IFERROR(__xludf.DUMMYFUNCTION("""COMPUTED_VALUE"""),43496.66666666667)</f>
        <v>43496.66667</v>
      </c>
      <c r="B4802" s="1">
        <f>IFERROR(__xludf.DUMMYFUNCTION("""COMPUTED_VALUE"""),94.43)</f>
        <v>94.43</v>
      </c>
      <c r="C4802" s="1">
        <f>IFERROR(__xludf.DUMMYFUNCTION("""COMPUTED_VALUE"""),96.81)</f>
        <v>96.81</v>
      </c>
      <c r="D4802" s="1">
        <f>IFERROR(__xludf.DUMMYFUNCTION("""COMPUTED_VALUE"""),94.08)</f>
        <v>94.08</v>
      </c>
      <c r="E4802" s="1">
        <f>IFERROR(__xludf.DUMMYFUNCTION("""COMPUTED_VALUE"""),96.47)</f>
        <v>96.47</v>
      </c>
      <c r="F4802" s="1">
        <f>IFERROR(__xludf.DUMMYFUNCTION("""COMPUTED_VALUE"""),1.6044408E7)</f>
        <v>16044408</v>
      </c>
    </row>
    <row r="4803">
      <c r="A4803" s="2">
        <f>IFERROR(__xludf.DUMMYFUNCTION("""COMPUTED_VALUE"""),43497.66666666667)</f>
        <v>43497.66667</v>
      </c>
      <c r="B4803" s="1">
        <f>IFERROR(__xludf.DUMMYFUNCTION("""COMPUTED_VALUE"""),96.35)</f>
        <v>96.35</v>
      </c>
      <c r="C4803" s="1">
        <f>IFERROR(__xludf.DUMMYFUNCTION("""COMPUTED_VALUE"""),97.61)</f>
        <v>97.61</v>
      </c>
      <c r="D4803" s="1">
        <f>IFERROR(__xludf.DUMMYFUNCTION("""COMPUTED_VALUE"""),95.99)</f>
        <v>95.99</v>
      </c>
      <c r="E4803" s="1">
        <f>IFERROR(__xludf.DUMMYFUNCTION("""COMPUTED_VALUE"""),97.47)</f>
        <v>97.47</v>
      </c>
      <c r="F4803" s="1">
        <f>IFERROR(__xludf.DUMMYFUNCTION("""COMPUTED_VALUE"""),1.2720801E7)</f>
        <v>12720801</v>
      </c>
    </row>
    <row r="4804">
      <c r="A4804" s="2">
        <f>IFERROR(__xludf.DUMMYFUNCTION("""COMPUTED_VALUE"""),43500.66666666667)</f>
        <v>43500.66667</v>
      </c>
      <c r="B4804" s="1">
        <f>IFERROR(__xludf.DUMMYFUNCTION("""COMPUTED_VALUE"""),97.21)</f>
        <v>97.21</v>
      </c>
      <c r="C4804" s="1">
        <f>IFERROR(__xludf.DUMMYFUNCTION("""COMPUTED_VALUE"""),98.22)</f>
        <v>98.22</v>
      </c>
      <c r="D4804" s="1">
        <f>IFERROR(__xludf.DUMMYFUNCTION("""COMPUTED_VALUE"""),96.72)</f>
        <v>96.72</v>
      </c>
      <c r="E4804" s="1">
        <f>IFERROR(__xludf.DUMMYFUNCTION("""COMPUTED_VALUE"""),98.03)</f>
        <v>98.03</v>
      </c>
      <c r="F4804" s="1">
        <f>IFERROR(__xludf.DUMMYFUNCTION("""COMPUTED_VALUE"""),1.1887505E7)</f>
        <v>11887505</v>
      </c>
    </row>
    <row r="4805">
      <c r="A4805" s="2">
        <f>IFERROR(__xludf.DUMMYFUNCTION("""COMPUTED_VALUE"""),43501.66666666667)</f>
        <v>43501.66667</v>
      </c>
      <c r="B4805" s="1">
        <f>IFERROR(__xludf.DUMMYFUNCTION("""COMPUTED_VALUE"""),97.99)</f>
        <v>97.99</v>
      </c>
      <c r="C4805" s="1">
        <f>IFERROR(__xludf.DUMMYFUNCTION("""COMPUTED_VALUE"""),98.02)</f>
        <v>98.02</v>
      </c>
      <c r="D4805" s="1">
        <f>IFERROR(__xludf.DUMMYFUNCTION("""COMPUTED_VALUE"""),97.21)</f>
        <v>97.21</v>
      </c>
      <c r="E4805" s="1">
        <f>IFERROR(__xludf.DUMMYFUNCTION("""COMPUTED_VALUE"""),97.44)</f>
        <v>97.44</v>
      </c>
      <c r="F4805" s="1">
        <f>IFERROR(__xludf.DUMMYFUNCTION("""COMPUTED_VALUE"""),9772377.0)</f>
        <v>9772377</v>
      </c>
    </row>
    <row r="4806">
      <c r="A4806" s="2">
        <f>IFERROR(__xludf.DUMMYFUNCTION("""COMPUTED_VALUE"""),43502.66666666667)</f>
        <v>43502.66667</v>
      </c>
      <c r="B4806" s="1">
        <f>IFERROR(__xludf.DUMMYFUNCTION("""COMPUTED_VALUE"""),97.25)</f>
        <v>97.25</v>
      </c>
      <c r="C4806" s="1">
        <f>IFERROR(__xludf.DUMMYFUNCTION("""COMPUTED_VALUE"""),98.32)</f>
        <v>98.32</v>
      </c>
      <c r="D4806" s="1">
        <f>IFERROR(__xludf.DUMMYFUNCTION("""COMPUTED_VALUE"""),97.12)</f>
        <v>97.12</v>
      </c>
      <c r="E4806" s="1">
        <f>IFERROR(__xludf.DUMMYFUNCTION("""COMPUTED_VALUE"""),97.92)</f>
        <v>97.92</v>
      </c>
      <c r="F4806" s="1">
        <f>IFERROR(__xludf.DUMMYFUNCTION("""COMPUTED_VALUE"""),8693934.0)</f>
        <v>8693934</v>
      </c>
    </row>
    <row r="4807">
      <c r="A4807" s="2">
        <f>IFERROR(__xludf.DUMMYFUNCTION("""COMPUTED_VALUE"""),43503.66666666667)</f>
        <v>43503.66667</v>
      </c>
      <c r="B4807" s="1">
        <f>IFERROR(__xludf.DUMMYFUNCTION("""COMPUTED_VALUE"""),97.52)</f>
        <v>97.52</v>
      </c>
      <c r="C4807" s="1">
        <f>IFERROR(__xludf.DUMMYFUNCTION("""COMPUTED_VALUE"""),97.6)</f>
        <v>97.6</v>
      </c>
      <c r="D4807" s="1">
        <f>IFERROR(__xludf.DUMMYFUNCTION("""COMPUTED_VALUE"""),96.34)</f>
        <v>96.34</v>
      </c>
      <c r="E4807" s="1">
        <f>IFERROR(__xludf.DUMMYFUNCTION("""COMPUTED_VALUE"""),97.14)</f>
        <v>97.14</v>
      </c>
      <c r="F4807" s="1">
        <f>IFERROR(__xludf.DUMMYFUNCTION("""COMPUTED_VALUE"""),8732523.0)</f>
        <v>8732523</v>
      </c>
    </row>
    <row r="4808">
      <c r="A4808" s="2">
        <f>IFERROR(__xludf.DUMMYFUNCTION("""COMPUTED_VALUE"""),43504.66666666667)</f>
        <v>43504.66667</v>
      </c>
      <c r="B4808" s="1">
        <f>IFERROR(__xludf.DUMMYFUNCTION("""COMPUTED_VALUE"""),97.01)</f>
        <v>97.01</v>
      </c>
      <c r="C4808" s="1">
        <f>IFERROR(__xludf.DUMMYFUNCTION("""COMPUTED_VALUE"""),97.72)</f>
        <v>97.72</v>
      </c>
      <c r="D4808" s="1">
        <f>IFERROR(__xludf.DUMMYFUNCTION("""COMPUTED_VALUE"""),96.7)</f>
        <v>96.7</v>
      </c>
      <c r="E4808" s="1">
        <f>IFERROR(__xludf.DUMMYFUNCTION("""COMPUTED_VALUE"""),97.71)</f>
        <v>97.71</v>
      </c>
      <c r="F4808" s="1">
        <f>IFERROR(__xludf.DUMMYFUNCTION("""COMPUTED_VALUE"""),7483220.0)</f>
        <v>7483220</v>
      </c>
    </row>
    <row r="4809">
      <c r="A4809" s="2">
        <f>IFERROR(__xludf.DUMMYFUNCTION("""COMPUTED_VALUE"""),43507.66666666667)</f>
        <v>43507.66667</v>
      </c>
      <c r="B4809" s="1">
        <f>IFERROR(__xludf.DUMMYFUNCTION("""COMPUTED_VALUE"""),97.49)</f>
        <v>97.49</v>
      </c>
      <c r="C4809" s="1">
        <f>IFERROR(__xludf.DUMMYFUNCTION("""COMPUTED_VALUE"""),98.39)</f>
        <v>98.39</v>
      </c>
      <c r="D4809" s="1">
        <f>IFERROR(__xludf.DUMMYFUNCTION("""COMPUTED_VALUE"""),97.43)</f>
        <v>97.43</v>
      </c>
      <c r="E4809" s="1">
        <f>IFERROR(__xludf.DUMMYFUNCTION("""COMPUTED_VALUE"""),98.27)</f>
        <v>98.27</v>
      </c>
      <c r="F4809" s="1">
        <f>IFERROR(__xludf.DUMMYFUNCTION("""COMPUTED_VALUE"""),8494307.0)</f>
        <v>8494307</v>
      </c>
    </row>
    <row r="4810">
      <c r="A4810" s="2">
        <f>IFERROR(__xludf.DUMMYFUNCTION("""COMPUTED_VALUE"""),43508.66666666667)</f>
        <v>43508.66667</v>
      </c>
      <c r="B4810" s="1">
        <f>IFERROR(__xludf.DUMMYFUNCTION("""COMPUTED_VALUE"""),98.38)</f>
        <v>98.38</v>
      </c>
      <c r="C4810" s="1">
        <f>IFERROR(__xludf.DUMMYFUNCTION("""COMPUTED_VALUE"""),99.34)</f>
        <v>99.34</v>
      </c>
      <c r="D4810" s="1">
        <f>IFERROR(__xludf.DUMMYFUNCTION("""COMPUTED_VALUE"""),97.98)</f>
        <v>97.98</v>
      </c>
      <c r="E4810" s="1">
        <f>IFERROR(__xludf.DUMMYFUNCTION("""COMPUTED_VALUE"""),99.26)</f>
        <v>99.26</v>
      </c>
      <c r="F4810" s="1">
        <f>IFERROR(__xludf.DUMMYFUNCTION("""COMPUTED_VALUE"""),1.1238775E7)</f>
        <v>11238775</v>
      </c>
    </row>
    <row r="4811">
      <c r="A4811" s="2">
        <f>IFERROR(__xludf.DUMMYFUNCTION("""COMPUTED_VALUE"""),43509.66666666667)</f>
        <v>43509.66667</v>
      </c>
      <c r="B4811" s="1">
        <f>IFERROR(__xludf.DUMMYFUNCTION("""COMPUTED_VALUE"""),99.29)</f>
        <v>99.29</v>
      </c>
      <c r="C4811" s="1">
        <f>IFERROR(__xludf.DUMMYFUNCTION("""COMPUTED_VALUE"""),99.7)</f>
        <v>99.7</v>
      </c>
      <c r="D4811" s="1">
        <f>IFERROR(__xludf.DUMMYFUNCTION("""COMPUTED_VALUE"""),99.01)</f>
        <v>99.01</v>
      </c>
      <c r="E4811" s="1">
        <f>IFERROR(__xludf.DUMMYFUNCTION("""COMPUTED_VALUE"""),99.24)</f>
        <v>99.24</v>
      </c>
      <c r="F4811" s="1">
        <f>IFERROR(__xludf.DUMMYFUNCTION("""COMPUTED_VALUE"""),1.1587166E7)</f>
        <v>11587166</v>
      </c>
    </row>
    <row r="4812">
      <c r="A4812" s="2">
        <f>IFERROR(__xludf.DUMMYFUNCTION("""COMPUTED_VALUE"""),43510.66666666667)</f>
        <v>43510.66667</v>
      </c>
      <c r="B4812" s="1">
        <f>IFERROR(__xludf.DUMMYFUNCTION("""COMPUTED_VALUE"""),98.7)</f>
        <v>98.7</v>
      </c>
      <c r="C4812" s="1">
        <f>IFERROR(__xludf.DUMMYFUNCTION("""COMPUTED_VALUE"""),98.82)</f>
        <v>98.82</v>
      </c>
      <c r="D4812" s="1">
        <f>IFERROR(__xludf.DUMMYFUNCTION("""COMPUTED_VALUE"""),97.84)</f>
        <v>97.84</v>
      </c>
      <c r="E4812" s="1">
        <f>IFERROR(__xludf.DUMMYFUNCTION("""COMPUTED_VALUE"""),98.46)</f>
        <v>98.46</v>
      </c>
      <c r="F4812" s="1">
        <f>IFERROR(__xludf.DUMMYFUNCTION("""COMPUTED_VALUE"""),7930092.0)</f>
        <v>7930092</v>
      </c>
    </row>
    <row r="4813">
      <c r="A4813" s="2">
        <f>IFERROR(__xludf.DUMMYFUNCTION("""COMPUTED_VALUE"""),43511.66666666667)</f>
        <v>43511.66667</v>
      </c>
      <c r="B4813" s="1">
        <f>IFERROR(__xludf.DUMMYFUNCTION("""COMPUTED_VALUE"""),98.95)</f>
        <v>98.95</v>
      </c>
      <c r="C4813" s="1">
        <f>IFERROR(__xludf.DUMMYFUNCTION("""COMPUTED_VALUE"""),99.2)</f>
        <v>99.2</v>
      </c>
      <c r="D4813" s="1">
        <f>IFERROR(__xludf.DUMMYFUNCTION("""COMPUTED_VALUE"""),98.25)</f>
        <v>98.25</v>
      </c>
      <c r="E4813" s="1">
        <f>IFERROR(__xludf.DUMMYFUNCTION("""COMPUTED_VALUE"""),98.48)</f>
        <v>98.48</v>
      </c>
      <c r="F4813" s="1">
        <f>IFERROR(__xludf.DUMMYFUNCTION("""COMPUTED_VALUE"""),1.206908E7)</f>
        <v>12069080</v>
      </c>
    </row>
    <row r="4814">
      <c r="A4814" s="2">
        <f>IFERROR(__xludf.DUMMYFUNCTION("""COMPUTED_VALUE"""),43515.66666666667)</f>
        <v>43515.66667</v>
      </c>
      <c r="B4814" s="1">
        <f>IFERROR(__xludf.DUMMYFUNCTION("""COMPUTED_VALUE"""),98.56)</f>
        <v>98.56</v>
      </c>
      <c r="C4814" s="1">
        <f>IFERROR(__xludf.DUMMYFUNCTION("""COMPUTED_VALUE"""),100.0)</f>
        <v>100</v>
      </c>
      <c r="D4814" s="1">
        <f>IFERROR(__xludf.DUMMYFUNCTION("""COMPUTED_VALUE"""),98.47)</f>
        <v>98.47</v>
      </c>
      <c r="E4814" s="1">
        <f>IFERROR(__xludf.DUMMYFUNCTION("""COMPUTED_VALUE"""),99.99)</f>
        <v>99.99</v>
      </c>
      <c r="F4814" s="1">
        <f>IFERROR(__xludf.DUMMYFUNCTION("""COMPUTED_VALUE"""),1.0098532E7)</f>
        <v>10098532</v>
      </c>
    </row>
    <row r="4815">
      <c r="A4815" s="2">
        <f>IFERROR(__xludf.DUMMYFUNCTION("""COMPUTED_VALUE"""),43516.66666666667)</f>
        <v>43516.66667</v>
      </c>
      <c r="B4815" s="1">
        <f>IFERROR(__xludf.DUMMYFUNCTION("""COMPUTED_VALUE"""),99.78)</f>
        <v>99.78</v>
      </c>
      <c r="C4815" s="1">
        <f>IFERROR(__xludf.DUMMYFUNCTION("""COMPUTED_VALUE"""),100.22)</f>
        <v>100.22</v>
      </c>
      <c r="D4815" s="1">
        <f>IFERROR(__xludf.DUMMYFUNCTION("""COMPUTED_VALUE"""),98.94)</f>
        <v>98.94</v>
      </c>
      <c r="E4815" s="1">
        <f>IFERROR(__xludf.DUMMYFUNCTION("""COMPUTED_VALUE"""),99.28)</f>
        <v>99.28</v>
      </c>
      <c r="F4815" s="1">
        <f>IFERROR(__xludf.DUMMYFUNCTION("""COMPUTED_VALUE"""),8947422.0)</f>
        <v>8947422</v>
      </c>
    </row>
    <row r="4816">
      <c r="A4816" s="2">
        <f>IFERROR(__xludf.DUMMYFUNCTION("""COMPUTED_VALUE"""),43517.66666666667)</f>
        <v>43517.66667</v>
      </c>
      <c r="B4816" s="1">
        <f>IFERROR(__xludf.DUMMYFUNCTION("""COMPUTED_VALUE"""),99.1)</f>
        <v>99.1</v>
      </c>
      <c r="C4816" s="1">
        <f>IFERROR(__xludf.DUMMYFUNCTION("""COMPUTED_VALUE"""),99.86)</f>
        <v>99.86</v>
      </c>
      <c r="D4816" s="1">
        <f>IFERROR(__xludf.DUMMYFUNCTION("""COMPUTED_VALUE"""),98.59)</f>
        <v>98.59</v>
      </c>
      <c r="E4816" s="1">
        <f>IFERROR(__xludf.DUMMYFUNCTION("""COMPUTED_VALUE"""),99.78)</f>
        <v>99.78</v>
      </c>
      <c r="F4816" s="1">
        <f>IFERROR(__xludf.DUMMYFUNCTION("""COMPUTED_VALUE"""),7444792.0)</f>
        <v>7444792</v>
      </c>
    </row>
    <row r="4817">
      <c r="A4817" s="2">
        <f>IFERROR(__xludf.DUMMYFUNCTION("""COMPUTED_VALUE"""),43518.66666666667)</f>
        <v>43518.66667</v>
      </c>
      <c r="B4817" s="1">
        <f>IFERROR(__xludf.DUMMYFUNCTION("""COMPUTED_VALUE"""),99.69)</f>
        <v>99.69</v>
      </c>
      <c r="C4817" s="1">
        <f>IFERROR(__xludf.DUMMYFUNCTION("""COMPUTED_VALUE"""),100.4)</f>
        <v>100.4</v>
      </c>
      <c r="D4817" s="1">
        <f>IFERROR(__xludf.DUMMYFUNCTION("""COMPUTED_VALUE"""),99.4)</f>
        <v>99.4</v>
      </c>
      <c r="E4817" s="1">
        <f>IFERROR(__xludf.DUMMYFUNCTION("""COMPUTED_VALUE"""),100.25)</f>
        <v>100.25</v>
      </c>
      <c r="F4817" s="1">
        <f>IFERROR(__xludf.DUMMYFUNCTION("""COMPUTED_VALUE"""),7925568.0)</f>
        <v>7925568</v>
      </c>
    </row>
    <row r="4818">
      <c r="A4818" s="2">
        <f>IFERROR(__xludf.DUMMYFUNCTION("""COMPUTED_VALUE"""),43521.66666666667)</f>
        <v>43521.66667</v>
      </c>
      <c r="B4818" s="1">
        <f>IFERROR(__xludf.DUMMYFUNCTION("""COMPUTED_VALUE"""),100.36)</f>
        <v>100.36</v>
      </c>
      <c r="C4818" s="1">
        <f>IFERROR(__xludf.DUMMYFUNCTION("""COMPUTED_VALUE"""),100.45)</f>
        <v>100.45</v>
      </c>
      <c r="D4818" s="1">
        <f>IFERROR(__xludf.DUMMYFUNCTION("""COMPUTED_VALUE"""),99.33)</f>
        <v>99.33</v>
      </c>
      <c r="E4818" s="1">
        <f>IFERROR(__xludf.DUMMYFUNCTION("""COMPUTED_VALUE"""),99.57)</f>
        <v>99.57</v>
      </c>
      <c r="F4818" s="1">
        <f>IFERROR(__xludf.DUMMYFUNCTION("""COMPUTED_VALUE"""),7436078.0)</f>
        <v>7436078</v>
      </c>
    </row>
    <row r="4819">
      <c r="A4819" s="2">
        <f>IFERROR(__xludf.DUMMYFUNCTION("""COMPUTED_VALUE"""),43522.66666666667)</f>
        <v>43522.66667</v>
      </c>
      <c r="B4819" s="1">
        <f>IFERROR(__xludf.DUMMYFUNCTION("""COMPUTED_VALUE"""),99.84)</f>
        <v>99.84</v>
      </c>
      <c r="C4819" s="1">
        <f>IFERROR(__xludf.DUMMYFUNCTION("""COMPUTED_VALUE"""),100.18)</f>
        <v>100.18</v>
      </c>
      <c r="D4819" s="1">
        <f>IFERROR(__xludf.DUMMYFUNCTION("""COMPUTED_VALUE"""),99.63)</f>
        <v>99.63</v>
      </c>
      <c r="E4819" s="1">
        <f>IFERROR(__xludf.DUMMYFUNCTION("""COMPUTED_VALUE"""),99.83)</f>
        <v>99.83</v>
      </c>
      <c r="F4819" s="1">
        <f>IFERROR(__xludf.DUMMYFUNCTION("""COMPUTED_VALUE"""),7115354.0)</f>
        <v>7115354</v>
      </c>
    </row>
    <row r="4820">
      <c r="A4820" s="2">
        <f>IFERROR(__xludf.DUMMYFUNCTION("""COMPUTED_VALUE"""),43523.66666666667)</f>
        <v>43523.66667</v>
      </c>
      <c r="B4820" s="1">
        <f>IFERROR(__xludf.DUMMYFUNCTION("""COMPUTED_VALUE"""),99.34)</f>
        <v>99.34</v>
      </c>
      <c r="C4820" s="1">
        <f>IFERROR(__xludf.DUMMYFUNCTION("""COMPUTED_VALUE"""),99.63)</f>
        <v>99.63</v>
      </c>
      <c r="D4820" s="1">
        <f>IFERROR(__xludf.DUMMYFUNCTION("""COMPUTED_VALUE"""),98.82)</f>
        <v>98.82</v>
      </c>
      <c r="E4820" s="1">
        <f>IFERROR(__xludf.DUMMYFUNCTION("""COMPUTED_VALUE"""),98.91)</f>
        <v>98.91</v>
      </c>
      <c r="F4820" s="1">
        <f>IFERROR(__xludf.DUMMYFUNCTION("""COMPUTED_VALUE"""),6013574.0)</f>
        <v>6013574</v>
      </c>
    </row>
    <row r="4821">
      <c r="A4821" s="2">
        <f>IFERROR(__xludf.DUMMYFUNCTION("""COMPUTED_VALUE"""),43524.66666666667)</f>
        <v>43524.66667</v>
      </c>
      <c r="B4821" s="1">
        <f>IFERROR(__xludf.DUMMYFUNCTION("""COMPUTED_VALUE"""),98.91)</f>
        <v>98.91</v>
      </c>
      <c r="C4821" s="1">
        <f>IFERROR(__xludf.DUMMYFUNCTION("""COMPUTED_VALUE"""),99.2)</f>
        <v>99.2</v>
      </c>
      <c r="D4821" s="1">
        <f>IFERROR(__xludf.DUMMYFUNCTION("""COMPUTED_VALUE"""),98.08)</f>
        <v>98.08</v>
      </c>
      <c r="E4821" s="1">
        <f>IFERROR(__xludf.DUMMYFUNCTION("""COMPUTED_VALUE"""),98.55)</f>
        <v>98.55</v>
      </c>
      <c r="F4821" s="1">
        <f>IFERROR(__xludf.DUMMYFUNCTION("""COMPUTED_VALUE"""),1.0575392E7)</f>
        <v>10575392</v>
      </c>
    </row>
    <row r="4822">
      <c r="A4822" s="2">
        <f>IFERROR(__xludf.DUMMYFUNCTION("""COMPUTED_VALUE"""),43525.66666666667)</f>
        <v>43525.66667</v>
      </c>
      <c r="B4822" s="1">
        <f>IFERROR(__xludf.DUMMYFUNCTION("""COMPUTED_VALUE"""),98.61)</f>
        <v>98.61</v>
      </c>
      <c r="C4822" s="1">
        <f>IFERROR(__xludf.DUMMYFUNCTION("""COMPUTED_VALUE"""),98.78)</f>
        <v>98.78</v>
      </c>
      <c r="D4822" s="1">
        <f>IFERROR(__xludf.DUMMYFUNCTION("""COMPUTED_VALUE"""),97.83)</f>
        <v>97.83</v>
      </c>
      <c r="E4822" s="1">
        <f>IFERROR(__xludf.DUMMYFUNCTION("""COMPUTED_VALUE"""),98.44)</f>
        <v>98.44</v>
      </c>
      <c r="F4822" s="1">
        <f>IFERROR(__xludf.DUMMYFUNCTION("""COMPUTED_VALUE"""),7733231.0)</f>
        <v>7733231</v>
      </c>
    </row>
    <row r="4823">
      <c r="A4823" s="2">
        <f>IFERROR(__xludf.DUMMYFUNCTION("""COMPUTED_VALUE"""),43528.66666666667)</f>
        <v>43528.66667</v>
      </c>
      <c r="B4823" s="1">
        <f>IFERROR(__xludf.DUMMYFUNCTION("""COMPUTED_VALUE"""),98.57)</f>
        <v>98.57</v>
      </c>
      <c r="C4823" s="1">
        <f>IFERROR(__xludf.DUMMYFUNCTION("""COMPUTED_VALUE"""),98.88)</f>
        <v>98.88</v>
      </c>
      <c r="D4823" s="1">
        <f>IFERROR(__xludf.DUMMYFUNCTION("""COMPUTED_VALUE"""),97.88)</f>
        <v>97.88</v>
      </c>
      <c r="E4823" s="1">
        <f>IFERROR(__xludf.DUMMYFUNCTION("""COMPUTED_VALUE"""),98.87)</f>
        <v>98.87</v>
      </c>
      <c r="F4823" s="1">
        <f>IFERROR(__xludf.DUMMYFUNCTION("""COMPUTED_VALUE"""),6895292.0)</f>
        <v>6895292</v>
      </c>
    </row>
    <row r="4824">
      <c r="A4824" s="2">
        <f>IFERROR(__xludf.DUMMYFUNCTION("""COMPUTED_VALUE"""),43529.66666666667)</f>
        <v>43529.66667</v>
      </c>
      <c r="B4824" s="1">
        <f>IFERROR(__xludf.DUMMYFUNCTION("""COMPUTED_VALUE"""),98.91)</f>
        <v>98.91</v>
      </c>
      <c r="C4824" s="1">
        <f>IFERROR(__xludf.DUMMYFUNCTION("""COMPUTED_VALUE"""),99.68)</f>
        <v>99.68</v>
      </c>
      <c r="D4824" s="1">
        <f>IFERROR(__xludf.DUMMYFUNCTION("""COMPUTED_VALUE"""),98.91)</f>
        <v>98.91</v>
      </c>
      <c r="E4824" s="1">
        <f>IFERROR(__xludf.DUMMYFUNCTION("""COMPUTED_VALUE"""),99.09)</f>
        <v>99.09</v>
      </c>
      <c r="F4824" s="1">
        <f>IFERROR(__xludf.DUMMYFUNCTION("""COMPUTED_VALUE"""),6274720.0)</f>
        <v>6274720</v>
      </c>
    </row>
    <row r="4825">
      <c r="A4825" s="2">
        <f>IFERROR(__xludf.DUMMYFUNCTION("""COMPUTED_VALUE"""),43530.66666666667)</f>
        <v>43530.66667</v>
      </c>
      <c r="B4825" s="1">
        <f>IFERROR(__xludf.DUMMYFUNCTION("""COMPUTED_VALUE"""),98.86)</f>
        <v>98.86</v>
      </c>
      <c r="C4825" s="1">
        <f>IFERROR(__xludf.DUMMYFUNCTION("""COMPUTED_VALUE"""),99.1)</f>
        <v>99.1</v>
      </c>
      <c r="D4825" s="1">
        <f>IFERROR(__xludf.DUMMYFUNCTION("""COMPUTED_VALUE"""),98.4)</f>
        <v>98.4</v>
      </c>
      <c r="E4825" s="1">
        <f>IFERROR(__xludf.DUMMYFUNCTION("""COMPUTED_VALUE"""),98.93)</f>
        <v>98.93</v>
      </c>
      <c r="F4825" s="1">
        <f>IFERROR(__xludf.DUMMYFUNCTION("""COMPUTED_VALUE"""),4622256.0)</f>
        <v>4622256</v>
      </c>
    </row>
    <row r="4826">
      <c r="A4826" s="2">
        <f>IFERROR(__xludf.DUMMYFUNCTION("""COMPUTED_VALUE"""),43531.66666666667)</f>
        <v>43531.66667</v>
      </c>
      <c r="B4826" s="1">
        <f>IFERROR(__xludf.DUMMYFUNCTION("""COMPUTED_VALUE"""),98.97)</f>
        <v>98.97</v>
      </c>
      <c r="C4826" s="1">
        <f>IFERROR(__xludf.DUMMYFUNCTION("""COMPUTED_VALUE"""),99.6)</f>
        <v>99.6</v>
      </c>
      <c r="D4826" s="1">
        <f>IFERROR(__xludf.DUMMYFUNCTION("""COMPUTED_VALUE"""),98.25)</f>
        <v>98.25</v>
      </c>
      <c r="E4826" s="1">
        <f>IFERROR(__xludf.DUMMYFUNCTION("""COMPUTED_VALUE"""),98.55)</f>
        <v>98.55</v>
      </c>
      <c r="F4826" s="1">
        <f>IFERROR(__xludf.DUMMYFUNCTION("""COMPUTED_VALUE"""),8408598.0)</f>
        <v>8408598</v>
      </c>
    </row>
    <row r="4827">
      <c r="A4827" s="2">
        <f>IFERROR(__xludf.DUMMYFUNCTION("""COMPUTED_VALUE"""),43532.66666666667)</f>
        <v>43532.66667</v>
      </c>
      <c r="B4827" s="1">
        <f>IFERROR(__xludf.DUMMYFUNCTION("""COMPUTED_VALUE"""),98.82)</f>
        <v>98.82</v>
      </c>
      <c r="C4827" s="1">
        <f>IFERROR(__xludf.DUMMYFUNCTION("""COMPUTED_VALUE"""),99.18)</f>
        <v>99.18</v>
      </c>
      <c r="D4827" s="1">
        <f>IFERROR(__xludf.DUMMYFUNCTION("""COMPUTED_VALUE"""),97.75)</f>
        <v>97.75</v>
      </c>
      <c r="E4827" s="1">
        <f>IFERROR(__xludf.DUMMYFUNCTION("""COMPUTED_VALUE"""),98.41)</f>
        <v>98.41</v>
      </c>
      <c r="F4827" s="1">
        <f>IFERROR(__xludf.DUMMYFUNCTION("""COMPUTED_VALUE"""),5144467.0)</f>
        <v>5144467</v>
      </c>
    </row>
    <row r="4828">
      <c r="A4828" s="2">
        <f>IFERROR(__xludf.DUMMYFUNCTION("""COMPUTED_VALUE"""),43535.66666666667)</f>
        <v>43535.66667</v>
      </c>
      <c r="B4828" s="1">
        <f>IFERROR(__xludf.DUMMYFUNCTION("""COMPUTED_VALUE"""),98.79)</f>
        <v>98.79</v>
      </c>
      <c r="C4828" s="1">
        <f>IFERROR(__xludf.DUMMYFUNCTION("""COMPUTED_VALUE"""),99.68)</f>
        <v>99.68</v>
      </c>
      <c r="D4828" s="1">
        <f>IFERROR(__xludf.DUMMYFUNCTION("""COMPUTED_VALUE"""),98.51)</f>
        <v>98.51</v>
      </c>
      <c r="E4828" s="1">
        <f>IFERROR(__xludf.DUMMYFUNCTION("""COMPUTED_VALUE"""),99.58)</f>
        <v>99.58</v>
      </c>
      <c r="F4828" s="1">
        <f>IFERROR(__xludf.DUMMYFUNCTION("""COMPUTED_VALUE"""),7544634.0)</f>
        <v>7544634</v>
      </c>
    </row>
    <row r="4829">
      <c r="A4829" s="2">
        <f>IFERROR(__xludf.DUMMYFUNCTION("""COMPUTED_VALUE"""),43536.66666666667)</f>
        <v>43536.66667</v>
      </c>
      <c r="B4829" s="1">
        <f>IFERROR(__xludf.DUMMYFUNCTION("""COMPUTED_VALUE"""),99.78)</f>
        <v>99.78</v>
      </c>
      <c r="C4829" s="1">
        <f>IFERROR(__xludf.DUMMYFUNCTION("""COMPUTED_VALUE"""),100.52)</f>
        <v>100.52</v>
      </c>
      <c r="D4829" s="1">
        <f>IFERROR(__xludf.DUMMYFUNCTION("""COMPUTED_VALUE"""),99.73)</f>
        <v>99.73</v>
      </c>
      <c r="E4829" s="1">
        <f>IFERROR(__xludf.DUMMYFUNCTION("""COMPUTED_VALUE"""),100.05)</f>
        <v>100.05</v>
      </c>
      <c r="F4829" s="1">
        <f>IFERROR(__xludf.DUMMYFUNCTION("""COMPUTED_VALUE"""),7597455.0)</f>
        <v>7597455</v>
      </c>
    </row>
    <row r="4830">
      <c r="A4830" s="2">
        <f>IFERROR(__xludf.DUMMYFUNCTION("""COMPUTED_VALUE"""),43537.66666666667)</f>
        <v>43537.66667</v>
      </c>
      <c r="B4830" s="1">
        <f>IFERROR(__xludf.DUMMYFUNCTION("""COMPUTED_VALUE"""),99.99)</f>
        <v>99.99</v>
      </c>
      <c r="C4830" s="1">
        <f>IFERROR(__xludf.DUMMYFUNCTION("""COMPUTED_VALUE"""),101.59)</f>
        <v>101.59</v>
      </c>
      <c r="D4830" s="1">
        <f>IFERROR(__xludf.DUMMYFUNCTION("""COMPUTED_VALUE"""),99.96)</f>
        <v>99.96</v>
      </c>
      <c r="E4830" s="1">
        <f>IFERROR(__xludf.DUMMYFUNCTION("""COMPUTED_VALUE"""),101.18)</f>
        <v>101.18</v>
      </c>
      <c r="F4830" s="1">
        <f>IFERROR(__xludf.DUMMYFUNCTION("""COMPUTED_VALUE"""),9883347.0)</f>
        <v>9883347</v>
      </c>
    </row>
    <row r="4831">
      <c r="A4831" s="2">
        <f>IFERROR(__xludf.DUMMYFUNCTION("""COMPUTED_VALUE"""),43538.66666666667)</f>
        <v>43538.66667</v>
      </c>
      <c r="B4831" s="1">
        <f>IFERROR(__xludf.DUMMYFUNCTION("""COMPUTED_VALUE"""),100.94)</f>
        <v>100.94</v>
      </c>
      <c r="C4831" s="1">
        <f>IFERROR(__xludf.DUMMYFUNCTION("""COMPUTED_VALUE"""),101.78)</f>
        <v>101.78</v>
      </c>
      <c r="D4831" s="1">
        <f>IFERROR(__xludf.DUMMYFUNCTION("""COMPUTED_VALUE"""),100.72)</f>
        <v>100.72</v>
      </c>
      <c r="E4831" s="1">
        <f>IFERROR(__xludf.DUMMYFUNCTION("""COMPUTED_VALUE"""),101.32)</f>
        <v>101.32</v>
      </c>
      <c r="F4831" s="1">
        <f>IFERROR(__xludf.DUMMYFUNCTION("""COMPUTED_VALUE"""),8590299.0)</f>
        <v>8590299</v>
      </c>
    </row>
    <row r="4832">
      <c r="A4832" s="2">
        <f>IFERROR(__xludf.DUMMYFUNCTION("""COMPUTED_VALUE"""),43539.66666666667)</f>
        <v>43539.66667</v>
      </c>
      <c r="B4832" s="1">
        <f>IFERROR(__xludf.DUMMYFUNCTION("""COMPUTED_VALUE"""),101.76)</f>
        <v>101.76</v>
      </c>
      <c r="C4832" s="1">
        <f>IFERROR(__xludf.DUMMYFUNCTION("""COMPUTED_VALUE"""),102.89)</f>
        <v>102.89</v>
      </c>
      <c r="D4832" s="1">
        <f>IFERROR(__xludf.DUMMYFUNCTION("""COMPUTED_VALUE"""),101.73)</f>
        <v>101.73</v>
      </c>
      <c r="E4832" s="1">
        <f>IFERROR(__xludf.DUMMYFUNCTION("""COMPUTED_VALUE"""),102.44)</f>
        <v>102.44</v>
      </c>
      <c r="F4832" s="1">
        <f>IFERROR(__xludf.DUMMYFUNCTION("""COMPUTED_VALUE"""),3.0802712E7)</f>
        <v>30802712</v>
      </c>
    </row>
    <row r="4833">
      <c r="A4833" s="2">
        <f>IFERROR(__xludf.DUMMYFUNCTION("""COMPUTED_VALUE"""),43542.66666666667)</f>
        <v>43542.66667</v>
      </c>
      <c r="B4833" s="1">
        <f>IFERROR(__xludf.DUMMYFUNCTION("""COMPUTED_VALUE"""),102.06)</f>
        <v>102.06</v>
      </c>
      <c r="C4833" s="1">
        <f>IFERROR(__xludf.DUMMYFUNCTION("""COMPUTED_VALUE"""),102.29)</f>
        <v>102.29</v>
      </c>
      <c r="D4833" s="1">
        <f>IFERROR(__xludf.DUMMYFUNCTION("""COMPUTED_VALUE"""),101.2)</f>
        <v>101.2</v>
      </c>
      <c r="E4833" s="1">
        <f>IFERROR(__xludf.DUMMYFUNCTION("""COMPUTED_VALUE"""),101.51)</f>
        <v>101.51</v>
      </c>
      <c r="F4833" s="1">
        <f>IFERROR(__xludf.DUMMYFUNCTION("""COMPUTED_VALUE"""),8442771.0)</f>
        <v>8442771</v>
      </c>
    </row>
    <row r="4834">
      <c r="A4834" s="2">
        <f>IFERROR(__xludf.DUMMYFUNCTION("""COMPUTED_VALUE"""),43543.66666666667)</f>
        <v>43543.66667</v>
      </c>
      <c r="B4834" s="1">
        <f>IFERROR(__xludf.DUMMYFUNCTION("""COMPUTED_VALUE"""),101.91)</f>
        <v>101.91</v>
      </c>
      <c r="C4834" s="1">
        <f>IFERROR(__xludf.DUMMYFUNCTION("""COMPUTED_VALUE"""),102.14)</f>
        <v>102.14</v>
      </c>
      <c r="D4834" s="1">
        <f>IFERROR(__xludf.DUMMYFUNCTION("""COMPUTED_VALUE"""),101.29)</f>
        <v>101.29</v>
      </c>
      <c r="E4834" s="1">
        <f>IFERROR(__xludf.DUMMYFUNCTION("""COMPUTED_VALUE"""),101.9)</f>
        <v>101.9</v>
      </c>
      <c r="F4834" s="1">
        <f>IFERROR(__xludf.DUMMYFUNCTION("""COMPUTED_VALUE"""),7334116.0)</f>
        <v>7334116</v>
      </c>
    </row>
    <row r="4835">
      <c r="A4835" s="2">
        <f>IFERROR(__xludf.DUMMYFUNCTION("""COMPUTED_VALUE"""),43544.66666666667)</f>
        <v>43544.66667</v>
      </c>
      <c r="B4835" s="1">
        <f>IFERROR(__xludf.DUMMYFUNCTION("""COMPUTED_VALUE"""),101.73)</f>
        <v>101.73</v>
      </c>
      <c r="C4835" s="1">
        <f>IFERROR(__xludf.DUMMYFUNCTION("""COMPUTED_VALUE"""),102.31)</f>
        <v>102.31</v>
      </c>
      <c r="D4835" s="1">
        <f>IFERROR(__xludf.DUMMYFUNCTION("""COMPUTED_VALUE"""),101.05)</f>
        <v>101.05</v>
      </c>
      <c r="E4835" s="1">
        <f>IFERROR(__xludf.DUMMYFUNCTION("""COMPUTED_VALUE"""),101.72)</f>
        <v>101.72</v>
      </c>
      <c r="F4835" s="1">
        <f>IFERROR(__xludf.DUMMYFUNCTION("""COMPUTED_VALUE"""),7513966.0)</f>
        <v>7513966</v>
      </c>
    </row>
    <row r="4836">
      <c r="A4836" s="2">
        <f>IFERROR(__xludf.DUMMYFUNCTION("""COMPUTED_VALUE"""),43545.66666666667)</f>
        <v>43545.66667</v>
      </c>
      <c r="B4836" s="1">
        <f>IFERROR(__xludf.DUMMYFUNCTION("""COMPUTED_VALUE"""),101.28)</f>
        <v>101.28</v>
      </c>
      <c r="C4836" s="1">
        <f>IFERROR(__xludf.DUMMYFUNCTION("""COMPUTED_VALUE"""),102.91)</f>
        <v>102.91</v>
      </c>
      <c r="D4836" s="1">
        <f>IFERROR(__xludf.DUMMYFUNCTION("""COMPUTED_VALUE"""),101.28)</f>
        <v>101.28</v>
      </c>
      <c r="E4836" s="1">
        <f>IFERROR(__xludf.DUMMYFUNCTION("""COMPUTED_VALUE"""),102.49)</f>
        <v>102.49</v>
      </c>
      <c r="F4836" s="1">
        <f>IFERROR(__xludf.DUMMYFUNCTION("""COMPUTED_VALUE"""),8221041.0)</f>
        <v>8221041</v>
      </c>
    </row>
    <row r="4837">
      <c r="A4837" s="2">
        <f>IFERROR(__xludf.DUMMYFUNCTION("""COMPUTED_VALUE"""),43546.66666666667)</f>
        <v>43546.66667</v>
      </c>
      <c r="B4837" s="1">
        <f>IFERROR(__xludf.DUMMYFUNCTION("""COMPUTED_VALUE"""),102.48)</f>
        <v>102.48</v>
      </c>
      <c r="C4837" s="1">
        <f>IFERROR(__xludf.DUMMYFUNCTION("""COMPUTED_VALUE"""),103.15)</f>
        <v>103.15</v>
      </c>
      <c r="D4837" s="1">
        <f>IFERROR(__xludf.DUMMYFUNCTION("""COMPUTED_VALUE"""),99.09)</f>
        <v>99.09</v>
      </c>
      <c r="E4837" s="1">
        <f>IFERROR(__xludf.DUMMYFUNCTION("""COMPUTED_VALUE"""),101.66)</f>
        <v>101.66</v>
      </c>
      <c r="F4837" s="1">
        <f>IFERROR(__xludf.DUMMYFUNCTION("""COMPUTED_VALUE"""),1.1036296E7)</f>
        <v>11036296</v>
      </c>
    </row>
    <row r="4838">
      <c r="A4838" s="2">
        <f>IFERROR(__xludf.DUMMYFUNCTION("""COMPUTED_VALUE"""),43549.66666666667)</f>
        <v>43549.66667</v>
      </c>
      <c r="B4838" s="1">
        <f>IFERROR(__xludf.DUMMYFUNCTION("""COMPUTED_VALUE"""),101.66)</f>
        <v>101.66</v>
      </c>
      <c r="C4838" s="1">
        <f>IFERROR(__xludf.DUMMYFUNCTION("""COMPUTED_VALUE"""),102.34)</f>
        <v>102.34</v>
      </c>
      <c r="D4838" s="1">
        <f>IFERROR(__xludf.DUMMYFUNCTION("""COMPUTED_VALUE"""),101.26)</f>
        <v>101.26</v>
      </c>
      <c r="E4838" s="1">
        <f>IFERROR(__xludf.DUMMYFUNCTION("""COMPUTED_VALUE"""),101.96)</f>
        <v>101.96</v>
      </c>
      <c r="F4838" s="1">
        <f>IFERROR(__xludf.DUMMYFUNCTION("""COMPUTED_VALUE"""),6955549.0)</f>
        <v>6955549</v>
      </c>
    </row>
    <row r="4839">
      <c r="A4839" s="2">
        <f>IFERROR(__xludf.DUMMYFUNCTION("""COMPUTED_VALUE"""),43550.66666666667)</f>
        <v>43550.66667</v>
      </c>
      <c r="B4839" s="1">
        <f>IFERROR(__xludf.DUMMYFUNCTION("""COMPUTED_VALUE"""),102.44)</f>
        <v>102.44</v>
      </c>
      <c r="C4839" s="1">
        <f>IFERROR(__xludf.DUMMYFUNCTION("""COMPUTED_VALUE"""),103.48)</f>
        <v>103.48</v>
      </c>
      <c r="D4839" s="1">
        <f>IFERROR(__xludf.DUMMYFUNCTION("""COMPUTED_VALUE"""),102.4)</f>
        <v>102.4</v>
      </c>
      <c r="E4839" s="1">
        <f>IFERROR(__xludf.DUMMYFUNCTION("""COMPUTED_VALUE"""),103.02)</f>
        <v>103.02</v>
      </c>
      <c r="F4839" s="1">
        <f>IFERROR(__xludf.DUMMYFUNCTION("""COMPUTED_VALUE"""),6909519.0)</f>
        <v>6909519</v>
      </c>
    </row>
    <row r="4840">
      <c r="A4840" s="2">
        <f>IFERROR(__xludf.DUMMYFUNCTION("""COMPUTED_VALUE"""),43551.66666666667)</f>
        <v>43551.66667</v>
      </c>
      <c r="B4840" s="1">
        <f>IFERROR(__xludf.DUMMYFUNCTION("""COMPUTED_VALUE"""),102.76)</f>
        <v>102.76</v>
      </c>
      <c r="C4840" s="1">
        <f>IFERROR(__xludf.DUMMYFUNCTION("""COMPUTED_VALUE"""),103.02)</f>
        <v>103.02</v>
      </c>
      <c r="D4840" s="1">
        <f>IFERROR(__xludf.DUMMYFUNCTION("""COMPUTED_VALUE"""),102.04)</f>
        <v>102.04</v>
      </c>
      <c r="E4840" s="1">
        <f>IFERROR(__xludf.DUMMYFUNCTION("""COMPUTED_VALUE"""),102.9)</f>
        <v>102.9</v>
      </c>
      <c r="F4840" s="1">
        <f>IFERROR(__xludf.DUMMYFUNCTION("""COMPUTED_VALUE"""),6037090.0)</f>
        <v>6037090</v>
      </c>
    </row>
    <row r="4841">
      <c r="A4841" s="2">
        <f>IFERROR(__xludf.DUMMYFUNCTION("""COMPUTED_VALUE"""),43552.66666666667)</f>
        <v>43552.66667</v>
      </c>
      <c r="B4841" s="1">
        <f>IFERROR(__xludf.DUMMYFUNCTION("""COMPUTED_VALUE"""),103.31)</f>
        <v>103.31</v>
      </c>
      <c r="C4841" s="1">
        <f>IFERROR(__xludf.DUMMYFUNCTION("""COMPUTED_VALUE"""),103.68)</f>
        <v>103.68</v>
      </c>
      <c r="D4841" s="1">
        <f>IFERROR(__xludf.DUMMYFUNCTION("""COMPUTED_VALUE"""),103.11)</f>
        <v>103.11</v>
      </c>
      <c r="E4841" s="1">
        <f>IFERROR(__xludf.DUMMYFUNCTION("""COMPUTED_VALUE"""),103.55)</f>
        <v>103.55</v>
      </c>
      <c r="F4841" s="1">
        <f>IFERROR(__xludf.DUMMYFUNCTION("""COMPUTED_VALUE"""),6793681.0)</f>
        <v>6793681</v>
      </c>
    </row>
    <row r="4842">
      <c r="A4842" s="2">
        <f>IFERROR(__xludf.DUMMYFUNCTION("""COMPUTED_VALUE"""),43553.66666666667)</f>
        <v>43553.66667</v>
      </c>
      <c r="B4842" s="1">
        <f>IFERROR(__xludf.DUMMYFUNCTION("""COMPUTED_VALUE"""),103.86)</f>
        <v>103.86</v>
      </c>
      <c r="C4842" s="1">
        <f>IFERROR(__xludf.DUMMYFUNCTION("""COMPUTED_VALUE"""),104.15)</f>
        <v>104.15</v>
      </c>
      <c r="D4842" s="1">
        <f>IFERROR(__xludf.DUMMYFUNCTION("""COMPUTED_VALUE"""),103.11)</f>
        <v>103.11</v>
      </c>
      <c r="E4842" s="1">
        <f>IFERROR(__xludf.DUMMYFUNCTION("""COMPUTED_VALUE"""),104.05)</f>
        <v>104.05</v>
      </c>
      <c r="F4842" s="1">
        <f>IFERROR(__xludf.DUMMYFUNCTION("""COMPUTED_VALUE"""),7535489.0)</f>
        <v>7535489</v>
      </c>
    </row>
    <row r="4843">
      <c r="A4843" s="2">
        <f>IFERROR(__xludf.DUMMYFUNCTION("""COMPUTED_VALUE"""),43556.66666666667)</f>
        <v>43556.66667</v>
      </c>
      <c r="B4843" s="1">
        <f>IFERROR(__xludf.DUMMYFUNCTION("""COMPUTED_VALUE"""),104.23)</f>
        <v>104.23</v>
      </c>
      <c r="C4843" s="1">
        <f>IFERROR(__xludf.DUMMYFUNCTION("""COMPUTED_VALUE"""),104.23)</f>
        <v>104.23</v>
      </c>
      <c r="D4843" s="1">
        <f>IFERROR(__xludf.DUMMYFUNCTION("""COMPUTED_VALUE"""),103.14)</f>
        <v>103.14</v>
      </c>
      <c r="E4843" s="1">
        <f>IFERROR(__xludf.DUMMYFUNCTION("""COMPUTED_VALUE"""),103.64)</f>
        <v>103.64</v>
      </c>
      <c r="F4843" s="1">
        <f>IFERROR(__xludf.DUMMYFUNCTION("""COMPUTED_VALUE"""),6626516.0)</f>
        <v>6626516</v>
      </c>
    </row>
    <row r="4844">
      <c r="A4844" s="2">
        <f>IFERROR(__xludf.DUMMYFUNCTION("""COMPUTED_VALUE"""),43557.66666666667)</f>
        <v>43557.66667</v>
      </c>
      <c r="B4844" s="1">
        <f>IFERROR(__xludf.DUMMYFUNCTION("""COMPUTED_VALUE"""),103.61)</f>
        <v>103.61</v>
      </c>
      <c r="C4844" s="1">
        <f>IFERROR(__xludf.DUMMYFUNCTION("""COMPUTED_VALUE"""),104.02)</f>
        <v>104.02</v>
      </c>
      <c r="D4844" s="1">
        <f>IFERROR(__xludf.DUMMYFUNCTION("""COMPUTED_VALUE"""),103.26)</f>
        <v>103.26</v>
      </c>
      <c r="E4844" s="1">
        <f>IFERROR(__xludf.DUMMYFUNCTION("""COMPUTED_VALUE"""),103.75)</f>
        <v>103.75</v>
      </c>
      <c r="F4844" s="1">
        <f>IFERROR(__xludf.DUMMYFUNCTION("""COMPUTED_VALUE"""),6088847.0)</f>
        <v>6088847</v>
      </c>
    </row>
    <row r="4845">
      <c r="A4845" s="2">
        <f>IFERROR(__xludf.DUMMYFUNCTION("""COMPUTED_VALUE"""),43558.66666666667)</f>
        <v>43558.66667</v>
      </c>
      <c r="B4845" s="1">
        <f>IFERROR(__xludf.DUMMYFUNCTION("""COMPUTED_VALUE"""),103.58)</f>
        <v>103.58</v>
      </c>
      <c r="C4845" s="1">
        <f>IFERROR(__xludf.DUMMYFUNCTION("""COMPUTED_VALUE"""),103.89)</f>
        <v>103.89</v>
      </c>
      <c r="D4845" s="1">
        <f>IFERROR(__xludf.DUMMYFUNCTION("""COMPUTED_VALUE"""),102.75)</f>
        <v>102.75</v>
      </c>
      <c r="E4845" s="1">
        <f>IFERROR(__xludf.DUMMYFUNCTION("""COMPUTED_VALUE"""),103.69)</f>
        <v>103.69</v>
      </c>
      <c r="F4845" s="1">
        <f>IFERROR(__xludf.DUMMYFUNCTION("""COMPUTED_VALUE"""),5226529.0)</f>
        <v>5226529</v>
      </c>
    </row>
    <row r="4846">
      <c r="A4846" s="2">
        <f>IFERROR(__xludf.DUMMYFUNCTION("""COMPUTED_VALUE"""),43559.66666666667)</f>
        <v>43559.66667</v>
      </c>
      <c r="B4846" s="1">
        <f>IFERROR(__xludf.DUMMYFUNCTION("""COMPUTED_VALUE"""),103.48)</f>
        <v>103.48</v>
      </c>
      <c r="C4846" s="1">
        <f>IFERROR(__xludf.DUMMYFUNCTION("""COMPUTED_VALUE"""),103.67)</f>
        <v>103.67</v>
      </c>
      <c r="D4846" s="1">
        <f>IFERROR(__xludf.DUMMYFUNCTION("""COMPUTED_VALUE"""),102.79)</f>
        <v>102.79</v>
      </c>
      <c r="E4846" s="1">
        <f>IFERROR(__xludf.DUMMYFUNCTION("""COMPUTED_VALUE"""),103.43)</f>
        <v>103.43</v>
      </c>
      <c r="F4846" s="1">
        <f>IFERROR(__xludf.DUMMYFUNCTION("""COMPUTED_VALUE"""),4786164.0)</f>
        <v>4786164</v>
      </c>
    </row>
    <row r="4847">
      <c r="A4847" s="2">
        <f>IFERROR(__xludf.DUMMYFUNCTION("""COMPUTED_VALUE"""),43560.66666666667)</f>
        <v>43560.66667</v>
      </c>
      <c r="B4847" s="1">
        <f>IFERROR(__xludf.DUMMYFUNCTION("""COMPUTED_VALUE"""),103.61)</f>
        <v>103.61</v>
      </c>
      <c r="C4847" s="1">
        <f>IFERROR(__xludf.DUMMYFUNCTION("""COMPUTED_VALUE"""),103.69)</f>
        <v>103.69</v>
      </c>
      <c r="D4847" s="1">
        <f>IFERROR(__xludf.DUMMYFUNCTION("""COMPUTED_VALUE"""),103.17)</f>
        <v>103.17</v>
      </c>
      <c r="E4847" s="1">
        <f>IFERROR(__xludf.DUMMYFUNCTION("""COMPUTED_VALUE"""),103.65)</f>
        <v>103.65</v>
      </c>
      <c r="F4847" s="1">
        <f>IFERROR(__xludf.DUMMYFUNCTION("""COMPUTED_VALUE"""),4281790.0)</f>
        <v>4281790</v>
      </c>
    </row>
    <row r="4848">
      <c r="A4848" s="2">
        <f>IFERROR(__xludf.DUMMYFUNCTION("""COMPUTED_VALUE"""),43563.66666666667)</f>
        <v>43563.66667</v>
      </c>
      <c r="B4848" s="1">
        <f>IFERROR(__xludf.DUMMYFUNCTION("""COMPUTED_VALUE"""),103.93)</f>
        <v>103.93</v>
      </c>
      <c r="C4848" s="1">
        <f>IFERROR(__xludf.DUMMYFUNCTION("""COMPUTED_VALUE"""),105.14)</f>
        <v>105.14</v>
      </c>
      <c r="D4848" s="1">
        <f>IFERROR(__xludf.DUMMYFUNCTION("""COMPUTED_VALUE"""),103.5)</f>
        <v>103.5</v>
      </c>
      <c r="E4848" s="1">
        <f>IFERROR(__xludf.DUMMYFUNCTION("""COMPUTED_VALUE"""),104.97)</f>
        <v>104.97</v>
      </c>
      <c r="F4848" s="1">
        <f>IFERROR(__xludf.DUMMYFUNCTION("""COMPUTED_VALUE"""),8468598.0)</f>
        <v>8468598</v>
      </c>
    </row>
    <row r="4849">
      <c r="A4849" s="2">
        <f>IFERROR(__xludf.DUMMYFUNCTION("""COMPUTED_VALUE"""),43564.66666666667)</f>
        <v>43564.66667</v>
      </c>
      <c r="B4849" s="1">
        <f>IFERROR(__xludf.DUMMYFUNCTION("""COMPUTED_VALUE"""),104.55)</f>
        <v>104.55</v>
      </c>
      <c r="C4849" s="1">
        <f>IFERROR(__xludf.DUMMYFUNCTION("""COMPUTED_VALUE"""),104.76)</f>
        <v>104.76</v>
      </c>
      <c r="D4849" s="1">
        <f>IFERROR(__xludf.DUMMYFUNCTION("""COMPUTED_VALUE"""),104.14)</f>
        <v>104.14</v>
      </c>
      <c r="E4849" s="1">
        <f>IFERROR(__xludf.DUMMYFUNCTION("""COMPUTED_VALUE"""),104.66)</f>
        <v>104.66</v>
      </c>
      <c r="F4849" s="1">
        <f>IFERROR(__xludf.DUMMYFUNCTION("""COMPUTED_VALUE"""),5820336.0)</f>
        <v>5820336</v>
      </c>
    </row>
    <row r="4850">
      <c r="A4850" s="2">
        <f>IFERROR(__xludf.DUMMYFUNCTION("""COMPUTED_VALUE"""),43565.66666666667)</f>
        <v>43565.66667</v>
      </c>
      <c r="B4850" s="1">
        <f>IFERROR(__xludf.DUMMYFUNCTION("""COMPUTED_VALUE"""),104.66)</f>
        <v>104.66</v>
      </c>
      <c r="C4850" s="1">
        <f>IFERROR(__xludf.DUMMYFUNCTION("""COMPUTED_VALUE"""),105.0)</f>
        <v>105</v>
      </c>
      <c r="D4850" s="1">
        <f>IFERROR(__xludf.DUMMYFUNCTION("""COMPUTED_VALUE"""),104.24)</f>
        <v>104.24</v>
      </c>
      <c r="E4850" s="1">
        <f>IFERROR(__xludf.DUMMYFUNCTION("""COMPUTED_VALUE"""),104.65)</f>
        <v>104.65</v>
      </c>
      <c r="F4850" s="1">
        <f>IFERROR(__xludf.DUMMYFUNCTION("""COMPUTED_VALUE"""),5394253.0)</f>
        <v>5394253</v>
      </c>
    </row>
    <row r="4851">
      <c r="A4851" s="2">
        <f>IFERROR(__xludf.DUMMYFUNCTION("""COMPUTED_VALUE"""),43566.66666666667)</f>
        <v>43566.66667</v>
      </c>
      <c r="B4851" s="1">
        <f>IFERROR(__xludf.DUMMYFUNCTION("""COMPUTED_VALUE"""),104.58)</f>
        <v>104.58</v>
      </c>
      <c r="C4851" s="1">
        <f>IFERROR(__xludf.DUMMYFUNCTION("""COMPUTED_VALUE"""),105.05)</f>
        <v>105.05</v>
      </c>
      <c r="D4851" s="1">
        <f>IFERROR(__xludf.DUMMYFUNCTION("""COMPUTED_VALUE"""),104.37)</f>
        <v>104.37</v>
      </c>
      <c r="E4851" s="1">
        <f>IFERROR(__xludf.DUMMYFUNCTION("""COMPUTED_VALUE"""),104.75)</f>
        <v>104.75</v>
      </c>
      <c r="F4851" s="1">
        <f>IFERROR(__xludf.DUMMYFUNCTION("""COMPUTED_VALUE"""),5078440.0)</f>
        <v>5078440</v>
      </c>
    </row>
    <row r="4852">
      <c r="A4852" s="2">
        <f>IFERROR(__xludf.DUMMYFUNCTION("""COMPUTED_VALUE"""),43567.66666666667)</f>
        <v>43567.66667</v>
      </c>
      <c r="B4852" s="1">
        <f>IFERROR(__xludf.DUMMYFUNCTION("""COMPUTED_VALUE"""),104.75)</f>
        <v>104.75</v>
      </c>
      <c r="C4852" s="1">
        <f>IFERROR(__xludf.DUMMYFUNCTION("""COMPUTED_VALUE"""),105.06)</f>
        <v>105.06</v>
      </c>
      <c r="D4852" s="1">
        <f>IFERROR(__xludf.DUMMYFUNCTION("""COMPUTED_VALUE"""),104.17)</f>
        <v>104.17</v>
      </c>
      <c r="E4852" s="1">
        <f>IFERROR(__xludf.DUMMYFUNCTION("""COMPUTED_VALUE"""),105.06)</f>
        <v>105.06</v>
      </c>
      <c r="F4852" s="1">
        <f>IFERROR(__xludf.DUMMYFUNCTION("""COMPUTED_VALUE"""),6707889.0)</f>
        <v>6707889</v>
      </c>
    </row>
    <row r="4853">
      <c r="A4853" s="2">
        <f>IFERROR(__xludf.DUMMYFUNCTION("""COMPUTED_VALUE"""),43570.66666666667)</f>
        <v>43570.66667</v>
      </c>
      <c r="B4853" s="1">
        <f>IFERROR(__xludf.DUMMYFUNCTION("""COMPUTED_VALUE"""),104.98)</f>
        <v>104.98</v>
      </c>
      <c r="C4853" s="1">
        <f>IFERROR(__xludf.DUMMYFUNCTION("""COMPUTED_VALUE"""),105.78)</f>
        <v>105.78</v>
      </c>
      <c r="D4853" s="1">
        <f>IFERROR(__xludf.DUMMYFUNCTION("""COMPUTED_VALUE"""),104.79)</f>
        <v>104.79</v>
      </c>
      <c r="E4853" s="1">
        <f>IFERROR(__xludf.DUMMYFUNCTION("""COMPUTED_VALUE"""),105.73)</f>
        <v>105.73</v>
      </c>
      <c r="F4853" s="1">
        <f>IFERROR(__xludf.DUMMYFUNCTION("""COMPUTED_VALUE"""),5639476.0)</f>
        <v>5639476</v>
      </c>
    </row>
    <row r="4854">
      <c r="A4854" s="2">
        <f>IFERROR(__xludf.DUMMYFUNCTION("""COMPUTED_VALUE"""),43571.66666666667)</f>
        <v>43571.66667</v>
      </c>
      <c r="B4854" s="1">
        <f>IFERROR(__xludf.DUMMYFUNCTION("""COMPUTED_VALUE"""),105.98)</f>
        <v>105.98</v>
      </c>
      <c r="C4854" s="1">
        <f>IFERROR(__xludf.DUMMYFUNCTION("""COMPUTED_VALUE"""),106.5)</f>
        <v>106.5</v>
      </c>
      <c r="D4854" s="1">
        <f>IFERROR(__xludf.DUMMYFUNCTION("""COMPUTED_VALUE"""),105.65)</f>
        <v>105.65</v>
      </c>
      <c r="E4854" s="1">
        <f>IFERROR(__xludf.DUMMYFUNCTION("""COMPUTED_VALUE"""),106.42)</f>
        <v>106.42</v>
      </c>
      <c r="F4854" s="1">
        <f>IFERROR(__xludf.DUMMYFUNCTION("""COMPUTED_VALUE"""),8136106.0)</f>
        <v>8136106</v>
      </c>
    </row>
    <row r="4855">
      <c r="A4855" s="2">
        <f>IFERROR(__xludf.DUMMYFUNCTION("""COMPUTED_VALUE"""),43572.66666666667)</f>
        <v>43572.66667</v>
      </c>
      <c r="B4855" s="1">
        <f>IFERROR(__xludf.DUMMYFUNCTION("""COMPUTED_VALUE"""),106.27)</f>
        <v>106.27</v>
      </c>
      <c r="C4855" s="1">
        <f>IFERROR(__xludf.DUMMYFUNCTION("""COMPUTED_VALUE"""),106.51)</f>
        <v>106.51</v>
      </c>
      <c r="D4855" s="1">
        <f>IFERROR(__xludf.DUMMYFUNCTION("""COMPUTED_VALUE"""),105.35)</f>
        <v>105.35</v>
      </c>
      <c r="E4855" s="1">
        <f>IFERROR(__xludf.DUMMYFUNCTION("""COMPUTED_VALUE"""),105.85)</f>
        <v>105.85</v>
      </c>
      <c r="F4855" s="1">
        <f>IFERROR(__xludf.DUMMYFUNCTION("""COMPUTED_VALUE"""),6778175.0)</f>
        <v>6778175</v>
      </c>
    </row>
    <row r="4856">
      <c r="A4856" s="2">
        <f>IFERROR(__xludf.DUMMYFUNCTION("""COMPUTED_VALUE"""),43573.66666666667)</f>
        <v>43573.66667</v>
      </c>
      <c r="B4856" s="1">
        <f>IFERROR(__xludf.DUMMYFUNCTION("""COMPUTED_VALUE"""),106.02)</f>
        <v>106.02</v>
      </c>
      <c r="C4856" s="1">
        <f>IFERROR(__xludf.DUMMYFUNCTION("""COMPUTED_VALUE"""),106.71)</f>
        <v>106.71</v>
      </c>
      <c r="D4856" s="1">
        <f>IFERROR(__xludf.DUMMYFUNCTION("""COMPUTED_VALUE"""),105.83)</f>
        <v>105.83</v>
      </c>
      <c r="E4856" s="1">
        <f>IFERROR(__xludf.DUMMYFUNCTION("""COMPUTED_VALUE"""),106.05)</f>
        <v>106.05</v>
      </c>
      <c r="F4856" s="1">
        <f>IFERROR(__xludf.DUMMYFUNCTION("""COMPUTED_VALUE"""),7249033.0)</f>
        <v>7249033</v>
      </c>
    </row>
    <row r="4857">
      <c r="A4857" s="2">
        <f>IFERROR(__xludf.DUMMYFUNCTION("""COMPUTED_VALUE"""),43577.66666666667)</f>
        <v>43577.66667</v>
      </c>
      <c r="B4857" s="1">
        <f>IFERROR(__xludf.DUMMYFUNCTION("""COMPUTED_VALUE"""),106.13)</f>
        <v>106.13</v>
      </c>
      <c r="C4857" s="1">
        <f>IFERROR(__xludf.DUMMYFUNCTION("""COMPUTED_VALUE"""),107.2)</f>
        <v>107.2</v>
      </c>
      <c r="D4857" s="1">
        <f>IFERROR(__xludf.DUMMYFUNCTION("""COMPUTED_VALUE"""),105.74)</f>
        <v>105.74</v>
      </c>
      <c r="E4857" s="1">
        <f>IFERROR(__xludf.DUMMYFUNCTION("""COMPUTED_VALUE"""),106.01)</f>
        <v>106.01</v>
      </c>
      <c r="F4857" s="1">
        <f>IFERROR(__xludf.DUMMYFUNCTION("""COMPUTED_VALUE"""),9057246.0)</f>
        <v>9057246</v>
      </c>
    </row>
    <row r="4858">
      <c r="A4858" s="2">
        <f>IFERROR(__xludf.DUMMYFUNCTION("""COMPUTED_VALUE"""),43578.66666666667)</f>
        <v>43578.66667</v>
      </c>
      <c r="B4858" s="1">
        <f>IFERROR(__xludf.DUMMYFUNCTION("""COMPUTED_VALUE"""),104.01)</f>
        <v>104.01</v>
      </c>
      <c r="C4858" s="1">
        <f>IFERROR(__xludf.DUMMYFUNCTION("""COMPUTED_VALUE"""),104.11)</f>
        <v>104.11</v>
      </c>
      <c r="D4858" s="1">
        <f>IFERROR(__xludf.DUMMYFUNCTION("""COMPUTED_VALUE"""),102.13)</f>
        <v>102.13</v>
      </c>
      <c r="E4858" s="1">
        <f>IFERROR(__xludf.DUMMYFUNCTION("""COMPUTED_VALUE"""),103.16)</f>
        <v>103.16</v>
      </c>
      <c r="F4858" s="1">
        <f>IFERROR(__xludf.DUMMYFUNCTION("""COMPUTED_VALUE"""),1.5979844E7)</f>
        <v>15979844</v>
      </c>
    </row>
    <row r="4859">
      <c r="A4859" s="2">
        <f>IFERROR(__xludf.DUMMYFUNCTION("""COMPUTED_VALUE"""),43579.66666666667)</f>
        <v>43579.66667</v>
      </c>
      <c r="B4859" s="1">
        <f>IFERROR(__xludf.DUMMYFUNCTION("""COMPUTED_VALUE"""),103.32)</f>
        <v>103.32</v>
      </c>
      <c r="C4859" s="1">
        <f>IFERROR(__xludf.DUMMYFUNCTION("""COMPUTED_VALUE"""),104.65)</f>
        <v>104.65</v>
      </c>
      <c r="D4859" s="1">
        <f>IFERROR(__xludf.DUMMYFUNCTION("""COMPUTED_VALUE"""),102.79)</f>
        <v>102.79</v>
      </c>
      <c r="E4859" s="1">
        <f>IFERROR(__xludf.DUMMYFUNCTION("""COMPUTED_VALUE"""),103.69)</f>
        <v>103.69</v>
      </c>
      <c r="F4859" s="1">
        <f>IFERROR(__xludf.DUMMYFUNCTION("""COMPUTED_VALUE"""),1.0094777E7)</f>
        <v>10094777</v>
      </c>
    </row>
    <row r="4860">
      <c r="A4860" s="2">
        <f>IFERROR(__xludf.DUMMYFUNCTION("""COMPUTED_VALUE"""),43580.66666666667)</f>
        <v>43580.66667</v>
      </c>
      <c r="B4860" s="1">
        <f>IFERROR(__xludf.DUMMYFUNCTION("""COMPUTED_VALUE"""),103.1)</f>
        <v>103.1</v>
      </c>
      <c r="C4860" s="1">
        <f>IFERROR(__xludf.DUMMYFUNCTION("""COMPUTED_VALUE"""),103.57)</f>
        <v>103.57</v>
      </c>
      <c r="D4860" s="1">
        <f>IFERROR(__xludf.DUMMYFUNCTION("""COMPUTED_VALUE"""),102.59)</f>
        <v>102.59</v>
      </c>
      <c r="E4860" s="1">
        <f>IFERROR(__xludf.DUMMYFUNCTION("""COMPUTED_VALUE"""),103.28)</f>
        <v>103.28</v>
      </c>
      <c r="F4860" s="1">
        <f>IFERROR(__xludf.DUMMYFUNCTION("""COMPUTED_VALUE"""),6085314.0)</f>
        <v>6085314</v>
      </c>
    </row>
    <row r="4861">
      <c r="A4861" s="2">
        <f>IFERROR(__xludf.DUMMYFUNCTION("""COMPUTED_VALUE"""),43581.66666666667)</f>
        <v>43581.66667</v>
      </c>
      <c r="B4861" s="1">
        <f>IFERROR(__xludf.DUMMYFUNCTION("""COMPUTED_VALUE"""),103.95)</f>
        <v>103.95</v>
      </c>
      <c r="C4861" s="1">
        <f>IFERROR(__xludf.DUMMYFUNCTION("""COMPUTED_VALUE"""),105.88)</f>
        <v>105.88</v>
      </c>
      <c r="D4861" s="1">
        <f>IFERROR(__xludf.DUMMYFUNCTION("""COMPUTED_VALUE"""),103.91)</f>
        <v>103.91</v>
      </c>
      <c r="E4861" s="1">
        <f>IFERROR(__xludf.DUMMYFUNCTION("""COMPUTED_VALUE"""),105.86)</f>
        <v>105.86</v>
      </c>
      <c r="F4861" s="1">
        <f>IFERROR(__xludf.DUMMYFUNCTION("""COMPUTED_VALUE"""),7747682.0)</f>
        <v>7747682</v>
      </c>
    </row>
    <row r="4862">
      <c r="A4862" s="2">
        <f>IFERROR(__xludf.DUMMYFUNCTION("""COMPUTED_VALUE"""),43584.66666666667)</f>
        <v>43584.66667</v>
      </c>
      <c r="B4862" s="1">
        <f>IFERROR(__xludf.DUMMYFUNCTION("""COMPUTED_VALUE"""),105.57)</f>
        <v>105.57</v>
      </c>
      <c r="C4862" s="1">
        <f>IFERROR(__xludf.DUMMYFUNCTION("""COMPUTED_VALUE"""),105.75)</f>
        <v>105.75</v>
      </c>
      <c r="D4862" s="1">
        <f>IFERROR(__xludf.DUMMYFUNCTION("""COMPUTED_VALUE"""),104.72)</f>
        <v>104.72</v>
      </c>
      <c r="E4862" s="1">
        <f>IFERROR(__xludf.DUMMYFUNCTION("""COMPUTED_VALUE"""),104.78)</f>
        <v>104.78</v>
      </c>
      <c r="F4862" s="1">
        <f>IFERROR(__xludf.DUMMYFUNCTION("""COMPUTED_VALUE"""),4787561.0)</f>
        <v>4787561</v>
      </c>
    </row>
    <row r="4863">
      <c r="A4863" s="2">
        <f>IFERROR(__xludf.DUMMYFUNCTION("""COMPUTED_VALUE"""),43585.66666666667)</f>
        <v>43585.66667</v>
      </c>
      <c r="B4863" s="1">
        <f>IFERROR(__xludf.DUMMYFUNCTION("""COMPUTED_VALUE"""),104.86)</f>
        <v>104.86</v>
      </c>
      <c r="C4863" s="1">
        <f>IFERROR(__xludf.DUMMYFUNCTION("""COMPUTED_VALUE"""),106.62)</f>
        <v>106.62</v>
      </c>
      <c r="D4863" s="1">
        <f>IFERROR(__xludf.DUMMYFUNCTION("""COMPUTED_VALUE"""),104.66)</f>
        <v>104.66</v>
      </c>
      <c r="E4863" s="1">
        <f>IFERROR(__xludf.DUMMYFUNCTION("""COMPUTED_VALUE"""),106.48)</f>
        <v>106.48</v>
      </c>
      <c r="F4863" s="1">
        <f>IFERROR(__xludf.DUMMYFUNCTION("""COMPUTED_VALUE"""),8251321.0)</f>
        <v>8251321</v>
      </c>
    </row>
    <row r="4864">
      <c r="A4864" s="2">
        <f>IFERROR(__xludf.DUMMYFUNCTION("""COMPUTED_VALUE"""),43586.66666666667)</f>
        <v>43586.66667</v>
      </c>
      <c r="B4864" s="1">
        <f>IFERROR(__xludf.DUMMYFUNCTION("""COMPUTED_VALUE"""),106.15)</f>
        <v>106.15</v>
      </c>
      <c r="C4864" s="1">
        <f>IFERROR(__xludf.DUMMYFUNCTION("""COMPUTED_VALUE"""),106.39)</f>
        <v>106.39</v>
      </c>
      <c r="D4864" s="1">
        <f>IFERROR(__xludf.DUMMYFUNCTION("""COMPUTED_VALUE"""),104.81)</f>
        <v>104.81</v>
      </c>
      <c r="E4864" s="1">
        <f>IFERROR(__xludf.DUMMYFUNCTION("""COMPUTED_VALUE"""),104.93)</f>
        <v>104.93</v>
      </c>
      <c r="F4864" s="1">
        <f>IFERROR(__xludf.DUMMYFUNCTION("""COMPUTED_VALUE"""),6734075.0)</f>
        <v>6734075</v>
      </c>
    </row>
    <row r="4865">
      <c r="A4865" s="2">
        <f>IFERROR(__xludf.DUMMYFUNCTION("""COMPUTED_VALUE"""),43587.66666666667)</f>
        <v>43587.66667</v>
      </c>
      <c r="B4865" s="1">
        <f>IFERROR(__xludf.DUMMYFUNCTION("""COMPUTED_VALUE"""),105.2)</f>
        <v>105.2</v>
      </c>
      <c r="C4865" s="1">
        <f>IFERROR(__xludf.DUMMYFUNCTION("""COMPUTED_VALUE"""),105.76)</f>
        <v>105.76</v>
      </c>
      <c r="D4865" s="1">
        <f>IFERROR(__xludf.DUMMYFUNCTION("""COMPUTED_VALUE"""),105.05)</f>
        <v>105.05</v>
      </c>
      <c r="E4865" s="1">
        <f>IFERROR(__xludf.DUMMYFUNCTION("""COMPUTED_VALUE"""),105.56)</f>
        <v>105.56</v>
      </c>
      <c r="F4865" s="1">
        <f>IFERROR(__xludf.DUMMYFUNCTION("""COMPUTED_VALUE"""),6270323.0)</f>
        <v>6270323</v>
      </c>
    </row>
    <row r="4866">
      <c r="A4866" s="2">
        <f>IFERROR(__xludf.DUMMYFUNCTION("""COMPUTED_VALUE"""),43588.66666666667)</f>
        <v>43588.66667</v>
      </c>
      <c r="B4866" s="1">
        <f>IFERROR(__xludf.DUMMYFUNCTION("""COMPUTED_VALUE"""),105.99)</f>
        <v>105.99</v>
      </c>
      <c r="C4866" s="1">
        <f>IFERROR(__xludf.DUMMYFUNCTION("""COMPUTED_VALUE"""),106.41)</f>
        <v>106.41</v>
      </c>
      <c r="D4866" s="1">
        <f>IFERROR(__xludf.DUMMYFUNCTION("""COMPUTED_VALUE"""),105.58)</f>
        <v>105.58</v>
      </c>
      <c r="E4866" s="1">
        <f>IFERROR(__xludf.DUMMYFUNCTION("""COMPUTED_VALUE"""),106.08)</f>
        <v>106.08</v>
      </c>
      <c r="F4866" s="1">
        <f>IFERROR(__xludf.DUMMYFUNCTION("""COMPUTED_VALUE"""),4793454.0)</f>
        <v>4793454</v>
      </c>
    </row>
    <row r="4867">
      <c r="A4867" s="2">
        <f>IFERROR(__xludf.DUMMYFUNCTION("""COMPUTED_VALUE"""),43591.66666666667)</f>
        <v>43591.66667</v>
      </c>
      <c r="B4867" s="1">
        <f>IFERROR(__xludf.DUMMYFUNCTION("""COMPUTED_VALUE"""),105.12)</f>
        <v>105.12</v>
      </c>
      <c r="C4867" s="1">
        <f>IFERROR(__xludf.DUMMYFUNCTION("""COMPUTED_VALUE"""),105.82)</f>
        <v>105.82</v>
      </c>
      <c r="D4867" s="1">
        <f>IFERROR(__xludf.DUMMYFUNCTION("""COMPUTED_VALUE"""),105.04)</f>
        <v>105.04</v>
      </c>
      <c r="E4867" s="1">
        <f>IFERROR(__xludf.DUMMYFUNCTION("""COMPUTED_VALUE"""),105.68)</f>
        <v>105.68</v>
      </c>
      <c r="F4867" s="1">
        <f>IFERROR(__xludf.DUMMYFUNCTION("""COMPUTED_VALUE"""),4890716.0)</f>
        <v>4890716</v>
      </c>
    </row>
    <row r="4868">
      <c r="A4868" s="2">
        <f>IFERROR(__xludf.DUMMYFUNCTION("""COMPUTED_VALUE"""),43592.66666666667)</f>
        <v>43592.66667</v>
      </c>
      <c r="B4868" s="1">
        <f>IFERROR(__xludf.DUMMYFUNCTION("""COMPUTED_VALUE"""),105.03)</f>
        <v>105.03</v>
      </c>
      <c r="C4868" s="1">
        <f>IFERROR(__xludf.DUMMYFUNCTION("""COMPUTED_VALUE"""),105.58)</f>
        <v>105.58</v>
      </c>
      <c r="D4868" s="1">
        <f>IFERROR(__xludf.DUMMYFUNCTION("""COMPUTED_VALUE"""),104.1)</f>
        <v>104.1</v>
      </c>
      <c r="E4868" s="1">
        <f>IFERROR(__xludf.DUMMYFUNCTION("""COMPUTED_VALUE"""),104.7)</f>
        <v>104.7</v>
      </c>
      <c r="F4868" s="1">
        <f>IFERROR(__xludf.DUMMYFUNCTION("""COMPUTED_VALUE"""),6021728.0)</f>
        <v>6021728</v>
      </c>
    </row>
    <row r="4869">
      <c r="A4869" s="2">
        <f>IFERROR(__xludf.DUMMYFUNCTION("""COMPUTED_VALUE"""),43593.66666666667)</f>
        <v>43593.66667</v>
      </c>
      <c r="B4869" s="1">
        <f>IFERROR(__xludf.DUMMYFUNCTION("""COMPUTED_VALUE"""),104.99)</f>
        <v>104.99</v>
      </c>
      <c r="C4869" s="1">
        <f>IFERROR(__xludf.DUMMYFUNCTION("""COMPUTED_VALUE"""),105.77)</f>
        <v>105.77</v>
      </c>
      <c r="D4869" s="1">
        <f>IFERROR(__xludf.DUMMYFUNCTION("""COMPUTED_VALUE"""),104.16)</f>
        <v>104.16</v>
      </c>
      <c r="E4869" s="1">
        <f>IFERROR(__xludf.DUMMYFUNCTION("""COMPUTED_VALUE"""),105.07)</f>
        <v>105.07</v>
      </c>
      <c r="F4869" s="1">
        <f>IFERROR(__xludf.DUMMYFUNCTION("""COMPUTED_VALUE"""),5392600.0)</f>
        <v>5392600</v>
      </c>
    </row>
    <row r="4870">
      <c r="A4870" s="2">
        <f>IFERROR(__xludf.DUMMYFUNCTION("""COMPUTED_VALUE"""),43594.66666666667)</f>
        <v>43594.66667</v>
      </c>
      <c r="B4870" s="1">
        <f>IFERROR(__xludf.DUMMYFUNCTION("""COMPUTED_VALUE"""),104.67)</f>
        <v>104.67</v>
      </c>
      <c r="C4870" s="1">
        <f>IFERROR(__xludf.DUMMYFUNCTION("""COMPUTED_VALUE"""),105.04)</f>
        <v>105.04</v>
      </c>
      <c r="D4870" s="1">
        <f>IFERROR(__xludf.DUMMYFUNCTION("""COMPUTED_VALUE"""),103.78)</f>
        <v>103.78</v>
      </c>
      <c r="E4870" s="1">
        <f>IFERROR(__xludf.DUMMYFUNCTION("""COMPUTED_VALUE"""),104.24)</f>
        <v>104.24</v>
      </c>
      <c r="F4870" s="1">
        <f>IFERROR(__xludf.DUMMYFUNCTION("""COMPUTED_VALUE"""),6901721.0)</f>
        <v>6901721</v>
      </c>
    </row>
    <row r="4871">
      <c r="A4871" s="2">
        <f>IFERROR(__xludf.DUMMYFUNCTION("""COMPUTED_VALUE"""),43595.66666666667)</f>
        <v>43595.66667</v>
      </c>
      <c r="B4871" s="1">
        <f>IFERROR(__xludf.DUMMYFUNCTION("""COMPUTED_VALUE"""),103.98)</f>
        <v>103.98</v>
      </c>
      <c r="C4871" s="1">
        <f>IFERROR(__xludf.DUMMYFUNCTION("""COMPUTED_VALUE"""),106.15)</f>
        <v>106.15</v>
      </c>
      <c r="D4871" s="1">
        <f>IFERROR(__xludf.DUMMYFUNCTION("""COMPUTED_VALUE"""),103.92)</f>
        <v>103.92</v>
      </c>
      <c r="E4871" s="1">
        <f>IFERROR(__xludf.DUMMYFUNCTION("""COMPUTED_VALUE"""),106.01)</f>
        <v>106.01</v>
      </c>
      <c r="F4871" s="1">
        <f>IFERROR(__xludf.DUMMYFUNCTION("""COMPUTED_VALUE"""),5815774.0)</f>
        <v>5815774</v>
      </c>
    </row>
    <row r="4872">
      <c r="A4872" s="2">
        <f>IFERROR(__xludf.DUMMYFUNCTION("""COMPUTED_VALUE"""),43598.66666666667)</f>
        <v>43598.66667</v>
      </c>
      <c r="B4872" s="1">
        <f>IFERROR(__xludf.DUMMYFUNCTION("""COMPUTED_VALUE"""),105.14)</f>
        <v>105.14</v>
      </c>
      <c r="C4872" s="1">
        <f>IFERROR(__xludf.DUMMYFUNCTION("""COMPUTED_VALUE"""),106.59)</f>
        <v>106.59</v>
      </c>
      <c r="D4872" s="1">
        <f>IFERROR(__xludf.DUMMYFUNCTION("""COMPUTED_VALUE"""),104.85)</f>
        <v>104.85</v>
      </c>
      <c r="E4872" s="1">
        <f>IFERROR(__xludf.DUMMYFUNCTION("""COMPUTED_VALUE"""),106.11)</f>
        <v>106.11</v>
      </c>
      <c r="F4872" s="1">
        <f>IFERROR(__xludf.DUMMYFUNCTION("""COMPUTED_VALUE"""),7575536.0)</f>
        <v>7575536</v>
      </c>
    </row>
    <row r="4873">
      <c r="A4873" s="2">
        <f>IFERROR(__xludf.DUMMYFUNCTION("""COMPUTED_VALUE"""),43599.66666666667)</f>
        <v>43599.66667</v>
      </c>
      <c r="B4873" s="1">
        <f>IFERROR(__xludf.DUMMYFUNCTION("""COMPUTED_VALUE"""),105.77)</f>
        <v>105.77</v>
      </c>
      <c r="C4873" s="1">
        <f>IFERROR(__xludf.DUMMYFUNCTION("""COMPUTED_VALUE"""),106.5)</f>
        <v>106.5</v>
      </c>
      <c r="D4873" s="1">
        <f>IFERROR(__xludf.DUMMYFUNCTION("""COMPUTED_VALUE"""),105.57)</f>
        <v>105.57</v>
      </c>
      <c r="E4873" s="1">
        <f>IFERROR(__xludf.DUMMYFUNCTION("""COMPUTED_VALUE"""),105.6)</f>
        <v>105.6</v>
      </c>
      <c r="F4873" s="1">
        <f>IFERROR(__xludf.DUMMYFUNCTION("""COMPUTED_VALUE"""),7004005.0)</f>
        <v>7004005</v>
      </c>
    </row>
    <row r="4874">
      <c r="A4874" s="2">
        <f>IFERROR(__xludf.DUMMYFUNCTION("""COMPUTED_VALUE"""),43600.66666666667)</f>
        <v>43600.66667</v>
      </c>
      <c r="B4874" s="1">
        <f>IFERROR(__xludf.DUMMYFUNCTION("""COMPUTED_VALUE"""),105.61)</f>
        <v>105.61</v>
      </c>
      <c r="C4874" s="1">
        <f>IFERROR(__xludf.DUMMYFUNCTION("""COMPUTED_VALUE"""),107.0)</f>
        <v>107</v>
      </c>
      <c r="D4874" s="1">
        <f>IFERROR(__xludf.DUMMYFUNCTION("""COMPUTED_VALUE"""),105.5)</f>
        <v>105.5</v>
      </c>
      <c r="E4874" s="1">
        <f>IFERROR(__xludf.DUMMYFUNCTION("""COMPUTED_VALUE"""),106.7)</f>
        <v>106.7</v>
      </c>
      <c r="F4874" s="1">
        <f>IFERROR(__xludf.DUMMYFUNCTION("""COMPUTED_VALUE"""),5535601.0)</f>
        <v>5535601</v>
      </c>
    </row>
    <row r="4875">
      <c r="A4875" s="2">
        <f>IFERROR(__xludf.DUMMYFUNCTION("""COMPUTED_VALUE"""),43601.66666666667)</f>
        <v>43601.66667</v>
      </c>
      <c r="B4875" s="1">
        <f>IFERROR(__xludf.DUMMYFUNCTION("""COMPUTED_VALUE"""),106.74)</f>
        <v>106.74</v>
      </c>
      <c r="C4875" s="1">
        <f>IFERROR(__xludf.DUMMYFUNCTION("""COMPUTED_VALUE"""),108.68)</f>
        <v>108.68</v>
      </c>
      <c r="D4875" s="1">
        <f>IFERROR(__xludf.DUMMYFUNCTION("""COMPUTED_VALUE"""),106.59)</f>
        <v>106.59</v>
      </c>
      <c r="E4875" s="1">
        <f>IFERROR(__xludf.DUMMYFUNCTION("""COMPUTED_VALUE"""),108.11)</f>
        <v>108.11</v>
      </c>
      <c r="F4875" s="1">
        <f>IFERROR(__xludf.DUMMYFUNCTION("""COMPUTED_VALUE"""),9284175.0)</f>
        <v>9284175</v>
      </c>
    </row>
    <row r="4876">
      <c r="A4876" s="2">
        <f>IFERROR(__xludf.DUMMYFUNCTION("""COMPUTED_VALUE"""),43602.66666666667)</f>
        <v>43602.66667</v>
      </c>
      <c r="B4876" s="1">
        <f>IFERROR(__xludf.DUMMYFUNCTION("""COMPUTED_VALUE"""),107.27)</f>
        <v>107.27</v>
      </c>
      <c r="C4876" s="1">
        <f>IFERROR(__xludf.DUMMYFUNCTION("""COMPUTED_VALUE"""),108.0)</f>
        <v>108</v>
      </c>
      <c r="D4876" s="1">
        <f>IFERROR(__xludf.DUMMYFUNCTION("""COMPUTED_VALUE"""),107.26)</f>
        <v>107.26</v>
      </c>
      <c r="E4876" s="1">
        <f>IFERROR(__xludf.DUMMYFUNCTION("""COMPUTED_VALUE"""),107.45)</f>
        <v>107.45</v>
      </c>
      <c r="F4876" s="1">
        <f>IFERROR(__xludf.DUMMYFUNCTION("""COMPUTED_VALUE"""),6370167.0)</f>
        <v>6370167</v>
      </c>
    </row>
    <row r="4877">
      <c r="A4877" s="2">
        <f>IFERROR(__xludf.DUMMYFUNCTION("""COMPUTED_VALUE"""),43605.66666666667)</f>
        <v>43605.66667</v>
      </c>
      <c r="B4877" s="1">
        <f>IFERROR(__xludf.DUMMYFUNCTION("""COMPUTED_VALUE"""),107.44)</f>
        <v>107.44</v>
      </c>
      <c r="C4877" s="1">
        <f>IFERROR(__xludf.DUMMYFUNCTION("""COMPUTED_VALUE"""),108.13)</f>
        <v>108.13</v>
      </c>
      <c r="D4877" s="1">
        <f>IFERROR(__xludf.DUMMYFUNCTION("""COMPUTED_VALUE"""),107.14)</f>
        <v>107.14</v>
      </c>
      <c r="E4877" s="1">
        <f>IFERROR(__xludf.DUMMYFUNCTION("""COMPUTED_VALUE"""),107.33)</f>
        <v>107.33</v>
      </c>
      <c r="F4877" s="1">
        <f>IFERROR(__xludf.DUMMYFUNCTION("""COMPUTED_VALUE"""),6565331.0)</f>
        <v>6565331</v>
      </c>
    </row>
    <row r="4878">
      <c r="A4878" s="2">
        <f>IFERROR(__xludf.DUMMYFUNCTION("""COMPUTED_VALUE"""),43606.66666666667)</f>
        <v>43606.66667</v>
      </c>
      <c r="B4878" s="1">
        <f>IFERROR(__xludf.DUMMYFUNCTION("""COMPUTED_VALUE"""),107.47)</f>
        <v>107.47</v>
      </c>
      <c r="C4878" s="1">
        <f>IFERROR(__xludf.DUMMYFUNCTION("""COMPUTED_VALUE"""),107.54)</f>
        <v>107.54</v>
      </c>
      <c r="D4878" s="1">
        <f>IFERROR(__xludf.DUMMYFUNCTION("""COMPUTED_VALUE"""),106.29)</f>
        <v>106.29</v>
      </c>
      <c r="E4878" s="1">
        <f>IFERROR(__xludf.DUMMYFUNCTION("""COMPUTED_VALUE"""),106.37)</f>
        <v>106.37</v>
      </c>
      <c r="F4878" s="1">
        <f>IFERROR(__xludf.DUMMYFUNCTION("""COMPUTED_VALUE"""),5226391.0)</f>
        <v>5226391</v>
      </c>
    </row>
    <row r="4879">
      <c r="A4879" s="2">
        <f>IFERROR(__xludf.DUMMYFUNCTION("""COMPUTED_VALUE"""),43607.66666666667)</f>
        <v>43607.66667</v>
      </c>
      <c r="B4879" s="1">
        <f>IFERROR(__xludf.DUMMYFUNCTION("""COMPUTED_VALUE"""),106.09)</f>
        <v>106.09</v>
      </c>
      <c r="C4879" s="1">
        <f>IFERROR(__xludf.DUMMYFUNCTION("""COMPUTED_VALUE"""),107.05)</f>
        <v>107.05</v>
      </c>
      <c r="D4879" s="1">
        <f>IFERROR(__xludf.DUMMYFUNCTION("""COMPUTED_VALUE"""),105.94)</f>
        <v>105.94</v>
      </c>
      <c r="E4879" s="1">
        <f>IFERROR(__xludf.DUMMYFUNCTION("""COMPUTED_VALUE"""),106.72)</f>
        <v>106.72</v>
      </c>
      <c r="F4879" s="1">
        <f>IFERROR(__xludf.DUMMYFUNCTION("""COMPUTED_VALUE"""),4889697.0)</f>
        <v>4889697</v>
      </c>
    </row>
    <row r="4880">
      <c r="A4880" s="2">
        <f>IFERROR(__xludf.DUMMYFUNCTION("""COMPUTED_VALUE"""),43608.66666666667)</f>
        <v>43608.66667</v>
      </c>
      <c r="B4880" s="1">
        <f>IFERROR(__xludf.DUMMYFUNCTION("""COMPUTED_VALUE"""),106.68)</f>
        <v>106.68</v>
      </c>
      <c r="C4880" s="1">
        <f>IFERROR(__xludf.DUMMYFUNCTION("""COMPUTED_VALUE"""),107.03)</f>
        <v>107.03</v>
      </c>
      <c r="D4880" s="1">
        <f>IFERROR(__xludf.DUMMYFUNCTION("""COMPUTED_VALUE"""),105.89)</f>
        <v>105.89</v>
      </c>
      <c r="E4880" s="1">
        <f>IFERROR(__xludf.DUMMYFUNCTION("""COMPUTED_VALUE"""),106.76)</f>
        <v>106.76</v>
      </c>
      <c r="F4880" s="1">
        <f>IFERROR(__xludf.DUMMYFUNCTION("""COMPUTED_VALUE"""),6175566.0)</f>
        <v>6175566</v>
      </c>
    </row>
    <row r="4881">
      <c r="A4881" s="2">
        <f>IFERROR(__xludf.DUMMYFUNCTION("""COMPUTED_VALUE"""),43609.66666666667)</f>
        <v>43609.66667</v>
      </c>
      <c r="B4881" s="1">
        <f>IFERROR(__xludf.DUMMYFUNCTION("""COMPUTED_VALUE"""),107.15)</f>
        <v>107.15</v>
      </c>
      <c r="C4881" s="1">
        <f>IFERROR(__xludf.DUMMYFUNCTION("""COMPUTED_VALUE"""),107.44)</f>
        <v>107.44</v>
      </c>
      <c r="D4881" s="1">
        <f>IFERROR(__xludf.DUMMYFUNCTION("""COMPUTED_VALUE"""),106.54)</f>
        <v>106.54</v>
      </c>
      <c r="E4881" s="1">
        <f>IFERROR(__xludf.DUMMYFUNCTION("""COMPUTED_VALUE"""),106.69)</f>
        <v>106.69</v>
      </c>
      <c r="F4881" s="1">
        <f>IFERROR(__xludf.DUMMYFUNCTION("""COMPUTED_VALUE"""),4372083.0)</f>
        <v>4372083</v>
      </c>
    </row>
    <row r="4882">
      <c r="A4882" s="2">
        <f>IFERROR(__xludf.DUMMYFUNCTION("""COMPUTED_VALUE"""),43613.66666666667)</f>
        <v>43613.66667</v>
      </c>
      <c r="B4882" s="1">
        <f>IFERROR(__xludf.DUMMYFUNCTION("""COMPUTED_VALUE"""),106.7)</f>
        <v>106.7</v>
      </c>
      <c r="C4882" s="1">
        <f>IFERROR(__xludf.DUMMYFUNCTION("""COMPUTED_VALUE"""),107.25)</f>
        <v>107.25</v>
      </c>
      <c r="D4882" s="1">
        <f>IFERROR(__xludf.DUMMYFUNCTION("""COMPUTED_VALUE"""),104.42)</f>
        <v>104.42</v>
      </c>
      <c r="E4882" s="1">
        <f>IFERROR(__xludf.DUMMYFUNCTION("""COMPUTED_VALUE"""),104.46)</f>
        <v>104.46</v>
      </c>
      <c r="F4882" s="1">
        <f>IFERROR(__xludf.DUMMYFUNCTION("""COMPUTED_VALUE"""),7615505.0)</f>
        <v>7615505</v>
      </c>
    </row>
    <row r="4883">
      <c r="A4883" s="2">
        <f>IFERROR(__xludf.DUMMYFUNCTION("""COMPUTED_VALUE"""),43614.66666666667)</f>
        <v>43614.66667</v>
      </c>
      <c r="B4883" s="1">
        <f>IFERROR(__xludf.DUMMYFUNCTION("""COMPUTED_VALUE"""),103.96)</f>
        <v>103.96</v>
      </c>
      <c r="C4883" s="1">
        <f>IFERROR(__xludf.DUMMYFUNCTION("""COMPUTED_VALUE"""),104.81)</f>
        <v>104.81</v>
      </c>
      <c r="D4883" s="1">
        <f>IFERROR(__xludf.DUMMYFUNCTION("""COMPUTED_VALUE"""),103.7)</f>
        <v>103.7</v>
      </c>
      <c r="E4883" s="1">
        <f>IFERROR(__xludf.DUMMYFUNCTION("""COMPUTED_VALUE"""),104.19)</f>
        <v>104.19</v>
      </c>
      <c r="F4883" s="1">
        <f>IFERROR(__xludf.DUMMYFUNCTION("""COMPUTED_VALUE"""),7137275.0)</f>
        <v>7137275</v>
      </c>
    </row>
    <row r="4884">
      <c r="A4884" s="2">
        <f>IFERROR(__xludf.DUMMYFUNCTION("""COMPUTED_VALUE"""),43615.66666666667)</f>
        <v>43615.66667</v>
      </c>
      <c r="B4884" s="1">
        <f>IFERROR(__xludf.DUMMYFUNCTION("""COMPUTED_VALUE"""),104.37)</f>
        <v>104.37</v>
      </c>
      <c r="C4884" s="1">
        <f>IFERROR(__xludf.DUMMYFUNCTION("""COMPUTED_VALUE"""),105.37)</f>
        <v>105.37</v>
      </c>
      <c r="D4884" s="1">
        <f>IFERROR(__xludf.DUMMYFUNCTION("""COMPUTED_VALUE"""),104.37)</f>
        <v>104.37</v>
      </c>
      <c r="E4884" s="1">
        <f>IFERROR(__xludf.DUMMYFUNCTION("""COMPUTED_VALUE"""),105.33)</f>
        <v>105.33</v>
      </c>
      <c r="F4884" s="1">
        <f>IFERROR(__xludf.DUMMYFUNCTION("""COMPUTED_VALUE"""),4729193.0)</f>
        <v>4729193</v>
      </c>
    </row>
    <row r="4885">
      <c r="A4885" s="2">
        <f>IFERROR(__xludf.DUMMYFUNCTION("""COMPUTED_VALUE"""),43616.66666666667)</f>
        <v>43616.66667</v>
      </c>
      <c r="B4885" s="1">
        <f>IFERROR(__xludf.DUMMYFUNCTION("""COMPUTED_VALUE"""),104.89)</f>
        <v>104.89</v>
      </c>
      <c r="C4885" s="1">
        <f>IFERROR(__xludf.DUMMYFUNCTION("""COMPUTED_VALUE"""),104.9)</f>
        <v>104.9</v>
      </c>
      <c r="D4885" s="1">
        <f>IFERROR(__xludf.DUMMYFUNCTION("""COMPUTED_VALUE"""),102.41)</f>
        <v>102.41</v>
      </c>
      <c r="E4885" s="1">
        <f>IFERROR(__xludf.DUMMYFUNCTION("""COMPUTED_VALUE"""),102.91)</f>
        <v>102.91</v>
      </c>
      <c r="F4885" s="1">
        <f>IFERROR(__xludf.DUMMYFUNCTION("""COMPUTED_VALUE"""),1.028239E7)</f>
        <v>10282390</v>
      </c>
    </row>
    <row r="4886">
      <c r="A4886" s="2">
        <f>IFERROR(__xludf.DUMMYFUNCTION("""COMPUTED_VALUE"""),43619.66666666667)</f>
        <v>43619.66667</v>
      </c>
      <c r="B4886" s="1">
        <f>IFERROR(__xludf.DUMMYFUNCTION("""COMPUTED_VALUE"""),103.15)</f>
        <v>103.15</v>
      </c>
      <c r="C4886" s="1">
        <f>IFERROR(__xludf.DUMMYFUNCTION("""COMPUTED_VALUE"""),103.96)</f>
        <v>103.96</v>
      </c>
      <c r="D4886" s="1">
        <f>IFERROR(__xludf.DUMMYFUNCTION("""COMPUTED_VALUE"""),102.4)</f>
        <v>102.4</v>
      </c>
      <c r="E4886" s="1">
        <f>IFERROR(__xludf.DUMMYFUNCTION("""COMPUTED_VALUE"""),103.8)</f>
        <v>103.8</v>
      </c>
      <c r="F4886" s="1">
        <f>IFERROR(__xludf.DUMMYFUNCTION("""COMPUTED_VALUE"""),8533213.0)</f>
        <v>8533213</v>
      </c>
    </row>
    <row r="4887">
      <c r="A4887" s="2">
        <f>IFERROR(__xludf.DUMMYFUNCTION("""COMPUTED_VALUE"""),43620.66666666667)</f>
        <v>43620.66667</v>
      </c>
      <c r="B4887" s="1">
        <f>IFERROR(__xludf.DUMMYFUNCTION("""COMPUTED_VALUE"""),104.01)</f>
        <v>104.01</v>
      </c>
      <c r="C4887" s="1">
        <f>IFERROR(__xludf.DUMMYFUNCTION("""COMPUTED_VALUE"""),105.1)</f>
        <v>105.1</v>
      </c>
      <c r="D4887" s="1">
        <f>IFERROR(__xludf.DUMMYFUNCTION("""COMPUTED_VALUE"""),103.85)</f>
        <v>103.85</v>
      </c>
      <c r="E4887" s="1">
        <f>IFERROR(__xludf.DUMMYFUNCTION("""COMPUTED_VALUE"""),104.68)</f>
        <v>104.68</v>
      </c>
      <c r="F4887" s="1">
        <f>IFERROR(__xludf.DUMMYFUNCTION("""COMPUTED_VALUE"""),6906462.0)</f>
        <v>6906462</v>
      </c>
    </row>
    <row r="4888">
      <c r="A4888" s="2">
        <f>IFERROR(__xludf.DUMMYFUNCTION("""COMPUTED_VALUE"""),43621.66666666667)</f>
        <v>43621.66667</v>
      </c>
      <c r="B4888" s="1">
        <f>IFERROR(__xludf.DUMMYFUNCTION("""COMPUTED_VALUE"""),105.24)</f>
        <v>105.24</v>
      </c>
      <c r="C4888" s="1">
        <f>IFERROR(__xludf.DUMMYFUNCTION("""COMPUTED_VALUE"""),106.75)</f>
        <v>106.75</v>
      </c>
      <c r="D4888" s="1">
        <f>IFERROR(__xludf.DUMMYFUNCTION("""COMPUTED_VALUE"""),104.89)</f>
        <v>104.89</v>
      </c>
      <c r="E4888" s="1">
        <f>IFERROR(__xludf.DUMMYFUNCTION("""COMPUTED_VALUE"""),106.73)</f>
        <v>106.73</v>
      </c>
      <c r="F4888" s="1">
        <f>IFERROR(__xludf.DUMMYFUNCTION("""COMPUTED_VALUE"""),6481709.0)</f>
        <v>6481709</v>
      </c>
    </row>
    <row r="4889">
      <c r="A4889" s="2">
        <f>IFERROR(__xludf.DUMMYFUNCTION("""COMPUTED_VALUE"""),43622.66666666667)</f>
        <v>43622.66667</v>
      </c>
      <c r="B4889" s="1">
        <f>IFERROR(__xludf.DUMMYFUNCTION("""COMPUTED_VALUE"""),106.85)</f>
        <v>106.85</v>
      </c>
      <c r="C4889" s="1">
        <f>IFERROR(__xludf.DUMMYFUNCTION("""COMPUTED_VALUE"""),107.68)</f>
        <v>107.68</v>
      </c>
      <c r="D4889" s="1">
        <f>IFERROR(__xludf.DUMMYFUNCTION("""COMPUTED_VALUE"""),106.33)</f>
        <v>106.33</v>
      </c>
      <c r="E4889" s="1">
        <f>IFERROR(__xludf.DUMMYFUNCTION("""COMPUTED_VALUE"""),107.38)</f>
        <v>107.38</v>
      </c>
      <c r="F4889" s="1">
        <f>IFERROR(__xludf.DUMMYFUNCTION("""COMPUTED_VALUE"""),6681557.0)</f>
        <v>6681557</v>
      </c>
    </row>
    <row r="4890">
      <c r="A4890" s="2">
        <f>IFERROR(__xludf.DUMMYFUNCTION("""COMPUTED_VALUE"""),43623.66666666667)</f>
        <v>43623.66667</v>
      </c>
      <c r="B4890" s="1">
        <f>IFERROR(__xludf.DUMMYFUNCTION("""COMPUTED_VALUE"""),107.74)</f>
        <v>107.74</v>
      </c>
      <c r="C4890" s="1">
        <f>IFERROR(__xludf.DUMMYFUNCTION("""COMPUTED_VALUE"""),109.38)</f>
        <v>109.38</v>
      </c>
      <c r="D4890" s="1">
        <f>IFERROR(__xludf.DUMMYFUNCTION("""COMPUTED_VALUE"""),107.74)</f>
        <v>107.74</v>
      </c>
      <c r="E4890" s="1">
        <f>IFERROR(__xludf.DUMMYFUNCTION("""COMPUTED_VALUE"""),108.77)</f>
        <v>108.77</v>
      </c>
      <c r="F4890" s="1">
        <f>IFERROR(__xludf.DUMMYFUNCTION("""COMPUTED_VALUE"""),8063464.0)</f>
        <v>8063464</v>
      </c>
    </row>
    <row r="4891">
      <c r="A4891" s="2">
        <f>IFERROR(__xludf.DUMMYFUNCTION("""COMPUTED_VALUE"""),43626.66666666667)</f>
        <v>43626.66667</v>
      </c>
      <c r="B4891" s="1">
        <f>IFERROR(__xludf.DUMMYFUNCTION("""COMPUTED_VALUE"""),108.32)</f>
        <v>108.32</v>
      </c>
      <c r="C4891" s="1">
        <f>IFERROR(__xludf.DUMMYFUNCTION("""COMPUTED_VALUE"""),109.02)</f>
        <v>109.02</v>
      </c>
      <c r="D4891" s="1">
        <f>IFERROR(__xludf.DUMMYFUNCTION("""COMPUTED_VALUE"""),107.46)</f>
        <v>107.46</v>
      </c>
      <c r="E4891" s="1">
        <f>IFERROR(__xludf.DUMMYFUNCTION("""COMPUTED_VALUE"""),108.72)</f>
        <v>108.72</v>
      </c>
      <c r="F4891" s="1">
        <f>IFERROR(__xludf.DUMMYFUNCTION("""COMPUTED_VALUE"""),4766963.0)</f>
        <v>4766963</v>
      </c>
    </row>
    <row r="4892">
      <c r="A4892" s="2">
        <f>IFERROR(__xludf.DUMMYFUNCTION("""COMPUTED_VALUE"""),43627.66666666667)</f>
        <v>43627.66667</v>
      </c>
      <c r="B4892" s="1">
        <f>IFERROR(__xludf.DUMMYFUNCTION("""COMPUTED_VALUE"""),108.94)</f>
        <v>108.94</v>
      </c>
      <c r="C4892" s="1">
        <f>IFERROR(__xludf.DUMMYFUNCTION("""COMPUTED_VALUE"""),109.6)</f>
        <v>109.6</v>
      </c>
      <c r="D4892" s="1">
        <f>IFERROR(__xludf.DUMMYFUNCTION("""COMPUTED_VALUE"""),108.87)</f>
        <v>108.87</v>
      </c>
      <c r="E4892" s="1">
        <f>IFERROR(__xludf.DUMMYFUNCTION("""COMPUTED_VALUE"""),109.38)</f>
        <v>109.38</v>
      </c>
      <c r="F4892" s="1">
        <f>IFERROR(__xludf.DUMMYFUNCTION("""COMPUTED_VALUE"""),8074439.0)</f>
        <v>8074439</v>
      </c>
    </row>
    <row r="4893">
      <c r="A4893" s="2">
        <f>IFERROR(__xludf.DUMMYFUNCTION("""COMPUTED_VALUE"""),43628.66666666667)</f>
        <v>43628.66667</v>
      </c>
      <c r="B4893" s="1">
        <f>IFERROR(__xludf.DUMMYFUNCTION("""COMPUTED_VALUE"""),109.6)</f>
        <v>109.6</v>
      </c>
      <c r="C4893" s="1">
        <f>IFERROR(__xludf.DUMMYFUNCTION("""COMPUTED_VALUE"""),110.66)</f>
        <v>110.66</v>
      </c>
      <c r="D4893" s="1">
        <f>IFERROR(__xludf.DUMMYFUNCTION("""COMPUTED_VALUE"""),109.58)</f>
        <v>109.58</v>
      </c>
      <c r="E4893" s="1">
        <f>IFERROR(__xludf.DUMMYFUNCTION("""COMPUTED_VALUE"""),109.68)</f>
        <v>109.68</v>
      </c>
      <c r="F4893" s="1">
        <f>IFERROR(__xludf.DUMMYFUNCTION("""COMPUTED_VALUE"""),7687876.0)</f>
        <v>7687876</v>
      </c>
    </row>
    <row r="4894">
      <c r="A4894" s="2">
        <f>IFERROR(__xludf.DUMMYFUNCTION("""COMPUTED_VALUE"""),43629.66666666667)</f>
        <v>43629.66667</v>
      </c>
      <c r="B4894" s="1">
        <f>IFERROR(__xludf.DUMMYFUNCTION("""COMPUTED_VALUE"""),109.98)</f>
        <v>109.98</v>
      </c>
      <c r="C4894" s="1">
        <f>IFERROR(__xludf.DUMMYFUNCTION("""COMPUTED_VALUE"""),110.95)</f>
        <v>110.95</v>
      </c>
      <c r="D4894" s="1">
        <f>IFERROR(__xludf.DUMMYFUNCTION("""COMPUTED_VALUE"""),109.86)</f>
        <v>109.86</v>
      </c>
      <c r="E4894" s="1">
        <f>IFERROR(__xludf.DUMMYFUNCTION("""COMPUTED_VALUE"""),110.91)</f>
        <v>110.91</v>
      </c>
      <c r="F4894" s="1">
        <f>IFERROR(__xludf.DUMMYFUNCTION("""COMPUTED_VALUE"""),8611441.0)</f>
        <v>8611441</v>
      </c>
    </row>
    <row r="4895">
      <c r="A4895" s="2">
        <f>IFERROR(__xludf.DUMMYFUNCTION("""COMPUTED_VALUE"""),43630.66666666667)</f>
        <v>43630.66667</v>
      </c>
      <c r="B4895" s="1">
        <f>IFERROR(__xludf.DUMMYFUNCTION("""COMPUTED_VALUE"""),110.97)</f>
        <v>110.97</v>
      </c>
      <c r="C4895" s="1">
        <f>IFERROR(__xludf.DUMMYFUNCTION("""COMPUTED_VALUE"""),111.75)</f>
        <v>111.75</v>
      </c>
      <c r="D4895" s="1">
        <f>IFERROR(__xludf.DUMMYFUNCTION("""COMPUTED_VALUE"""),110.65)</f>
        <v>110.65</v>
      </c>
      <c r="E4895" s="1">
        <f>IFERROR(__xludf.DUMMYFUNCTION("""COMPUTED_VALUE"""),111.2)</f>
        <v>111.2</v>
      </c>
      <c r="F4895" s="1">
        <f>IFERROR(__xludf.DUMMYFUNCTION("""COMPUTED_VALUE"""),6438192.0)</f>
        <v>6438192</v>
      </c>
    </row>
    <row r="4896">
      <c r="A4896" s="2">
        <f>IFERROR(__xludf.DUMMYFUNCTION("""COMPUTED_VALUE"""),43633.66666666667)</f>
        <v>43633.66667</v>
      </c>
      <c r="B4896" s="1">
        <f>IFERROR(__xludf.DUMMYFUNCTION("""COMPUTED_VALUE"""),111.16)</f>
        <v>111.16</v>
      </c>
      <c r="C4896" s="1">
        <f>IFERROR(__xludf.DUMMYFUNCTION("""COMPUTED_VALUE"""),111.21)</f>
        <v>111.21</v>
      </c>
      <c r="D4896" s="1">
        <f>IFERROR(__xludf.DUMMYFUNCTION("""COMPUTED_VALUE"""),110.24)</f>
        <v>110.24</v>
      </c>
      <c r="E4896" s="1">
        <f>IFERROR(__xludf.DUMMYFUNCTION("""COMPUTED_VALUE"""),110.99)</f>
        <v>110.99</v>
      </c>
      <c r="F4896" s="1">
        <f>IFERROR(__xludf.DUMMYFUNCTION("""COMPUTED_VALUE"""),6020025.0)</f>
        <v>6020025</v>
      </c>
    </row>
    <row r="4897">
      <c r="A4897" s="2">
        <f>IFERROR(__xludf.DUMMYFUNCTION("""COMPUTED_VALUE"""),43634.66666666667)</f>
        <v>43634.66667</v>
      </c>
      <c r="B4897" s="1">
        <f>IFERROR(__xludf.DUMMYFUNCTION("""COMPUTED_VALUE"""),111.45)</f>
        <v>111.45</v>
      </c>
      <c r="C4897" s="1">
        <f>IFERROR(__xludf.DUMMYFUNCTION("""COMPUTED_VALUE"""),111.56)</f>
        <v>111.56</v>
      </c>
      <c r="D4897" s="1">
        <f>IFERROR(__xludf.DUMMYFUNCTION("""COMPUTED_VALUE"""),109.43)</f>
        <v>109.43</v>
      </c>
      <c r="E4897" s="1">
        <f>IFERROR(__xludf.DUMMYFUNCTION("""COMPUTED_VALUE"""),109.6)</f>
        <v>109.6</v>
      </c>
      <c r="F4897" s="1">
        <f>IFERROR(__xludf.DUMMYFUNCTION("""COMPUTED_VALUE"""),7731179.0)</f>
        <v>7731179</v>
      </c>
    </row>
    <row r="4898">
      <c r="A4898" s="2">
        <f>IFERROR(__xludf.DUMMYFUNCTION("""COMPUTED_VALUE"""),43635.66666666667)</f>
        <v>43635.66667</v>
      </c>
      <c r="B4898" s="1">
        <f>IFERROR(__xludf.DUMMYFUNCTION("""COMPUTED_VALUE"""),109.5)</f>
        <v>109.5</v>
      </c>
      <c r="C4898" s="1">
        <f>IFERROR(__xludf.DUMMYFUNCTION("""COMPUTED_VALUE"""),110.73)</f>
        <v>110.73</v>
      </c>
      <c r="D4898" s="1">
        <f>IFERROR(__xludf.DUMMYFUNCTION("""COMPUTED_VALUE"""),109.26)</f>
        <v>109.26</v>
      </c>
      <c r="E4898" s="1">
        <f>IFERROR(__xludf.DUMMYFUNCTION("""COMPUTED_VALUE"""),110.42)</f>
        <v>110.42</v>
      </c>
      <c r="F4898" s="1">
        <f>IFERROR(__xludf.DUMMYFUNCTION("""COMPUTED_VALUE"""),7028013.0)</f>
        <v>7028013</v>
      </c>
    </row>
    <row r="4899">
      <c r="A4899" s="2">
        <f>IFERROR(__xludf.DUMMYFUNCTION("""COMPUTED_VALUE"""),43636.66666666667)</f>
        <v>43636.66667</v>
      </c>
      <c r="B4899" s="1">
        <f>IFERROR(__xludf.DUMMYFUNCTION("""COMPUTED_VALUE"""),110.78)</f>
        <v>110.78</v>
      </c>
      <c r="C4899" s="1">
        <f>IFERROR(__xludf.DUMMYFUNCTION("""COMPUTED_VALUE"""),112.02)</f>
        <v>112.02</v>
      </c>
      <c r="D4899" s="1">
        <f>IFERROR(__xludf.DUMMYFUNCTION("""COMPUTED_VALUE"""),110.5)</f>
        <v>110.5</v>
      </c>
      <c r="E4899" s="1">
        <f>IFERROR(__xludf.DUMMYFUNCTION("""COMPUTED_VALUE"""),111.74)</f>
        <v>111.74</v>
      </c>
      <c r="F4899" s="1">
        <f>IFERROR(__xludf.DUMMYFUNCTION("""COMPUTED_VALUE"""),7044211.0)</f>
        <v>7044211</v>
      </c>
    </row>
    <row r="4900">
      <c r="A4900" s="2">
        <f>IFERROR(__xludf.DUMMYFUNCTION("""COMPUTED_VALUE"""),43637.66666666667)</f>
        <v>43637.66667</v>
      </c>
      <c r="B4900" s="1">
        <f>IFERROR(__xludf.DUMMYFUNCTION("""COMPUTED_VALUE"""),111.62)</f>
        <v>111.62</v>
      </c>
      <c r="C4900" s="1">
        <f>IFERROR(__xludf.DUMMYFUNCTION("""COMPUTED_VALUE"""),112.47)</f>
        <v>112.47</v>
      </c>
      <c r="D4900" s="1">
        <f>IFERROR(__xludf.DUMMYFUNCTION("""COMPUTED_VALUE"""),111.02)</f>
        <v>111.02</v>
      </c>
      <c r="E4900" s="1">
        <f>IFERROR(__xludf.DUMMYFUNCTION("""COMPUTED_VALUE"""),111.2)</f>
        <v>111.2</v>
      </c>
      <c r="F4900" s="1">
        <f>IFERROR(__xludf.DUMMYFUNCTION("""COMPUTED_VALUE"""),1.3799392E7)</f>
        <v>13799392</v>
      </c>
    </row>
    <row r="4901">
      <c r="A4901" s="2">
        <f>IFERROR(__xludf.DUMMYFUNCTION("""COMPUTED_VALUE"""),43640.66666666667)</f>
        <v>43640.66667</v>
      </c>
      <c r="B4901" s="1">
        <f>IFERROR(__xludf.DUMMYFUNCTION("""COMPUTED_VALUE"""),111.82)</f>
        <v>111.82</v>
      </c>
      <c r="C4901" s="1">
        <f>IFERROR(__xludf.DUMMYFUNCTION("""COMPUTED_VALUE"""),112.5)</f>
        <v>112.5</v>
      </c>
      <c r="D4901" s="1">
        <f>IFERROR(__xludf.DUMMYFUNCTION("""COMPUTED_VALUE"""),111.4)</f>
        <v>111.4</v>
      </c>
      <c r="E4901" s="1">
        <f>IFERROR(__xludf.DUMMYFUNCTION("""COMPUTED_VALUE"""),112.33)</f>
        <v>112.33</v>
      </c>
      <c r="F4901" s="1">
        <f>IFERROR(__xludf.DUMMYFUNCTION("""COMPUTED_VALUE"""),5518103.0)</f>
        <v>5518103</v>
      </c>
    </row>
    <row r="4902">
      <c r="A4902" s="2">
        <f>IFERROR(__xludf.DUMMYFUNCTION("""COMPUTED_VALUE"""),43641.66666666667)</f>
        <v>43641.66667</v>
      </c>
      <c r="B4902" s="1">
        <f>IFERROR(__xludf.DUMMYFUNCTION("""COMPUTED_VALUE"""),112.11)</f>
        <v>112.11</v>
      </c>
      <c r="C4902" s="1">
        <f>IFERROR(__xludf.DUMMYFUNCTION("""COMPUTED_VALUE"""),112.63)</f>
        <v>112.63</v>
      </c>
      <c r="D4902" s="1">
        <f>IFERROR(__xludf.DUMMYFUNCTION("""COMPUTED_VALUE"""),111.31)</f>
        <v>111.31</v>
      </c>
      <c r="E4902" s="1">
        <f>IFERROR(__xludf.DUMMYFUNCTION("""COMPUTED_VALUE"""),111.72)</f>
        <v>111.72</v>
      </c>
      <c r="F4902" s="1">
        <f>IFERROR(__xludf.DUMMYFUNCTION("""COMPUTED_VALUE"""),6805592.0)</f>
        <v>6805592</v>
      </c>
    </row>
    <row r="4903">
      <c r="A4903" s="2">
        <f>IFERROR(__xludf.DUMMYFUNCTION("""COMPUTED_VALUE"""),43642.66666666667)</f>
        <v>43642.66667</v>
      </c>
      <c r="B4903" s="1">
        <f>IFERROR(__xludf.DUMMYFUNCTION("""COMPUTED_VALUE"""),111.39)</f>
        <v>111.39</v>
      </c>
      <c r="C4903" s="1">
        <f>IFERROR(__xludf.DUMMYFUNCTION("""COMPUTED_VALUE"""),111.44)</f>
        <v>111.44</v>
      </c>
      <c r="D4903" s="1">
        <f>IFERROR(__xludf.DUMMYFUNCTION("""COMPUTED_VALUE"""),109.66)</f>
        <v>109.66</v>
      </c>
      <c r="E4903" s="1">
        <f>IFERROR(__xludf.DUMMYFUNCTION("""COMPUTED_VALUE"""),109.73)</f>
        <v>109.73</v>
      </c>
      <c r="F4903" s="1">
        <f>IFERROR(__xludf.DUMMYFUNCTION("""COMPUTED_VALUE"""),7170284.0)</f>
        <v>7170284</v>
      </c>
    </row>
    <row r="4904">
      <c r="A4904" s="2">
        <f>IFERROR(__xludf.DUMMYFUNCTION("""COMPUTED_VALUE"""),43643.66666666667)</f>
        <v>43643.66667</v>
      </c>
      <c r="B4904" s="1">
        <f>IFERROR(__xludf.DUMMYFUNCTION("""COMPUTED_VALUE"""),109.92)</f>
        <v>109.92</v>
      </c>
      <c r="C4904" s="1">
        <f>IFERROR(__xludf.DUMMYFUNCTION("""COMPUTED_VALUE"""),110.27)</f>
        <v>110.27</v>
      </c>
      <c r="D4904" s="1">
        <f>IFERROR(__xludf.DUMMYFUNCTION("""COMPUTED_VALUE"""),109.29)</f>
        <v>109.29</v>
      </c>
      <c r="E4904" s="1">
        <f>IFERROR(__xludf.DUMMYFUNCTION("""COMPUTED_VALUE"""),109.78)</f>
        <v>109.78</v>
      </c>
      <c r="F4904" s="1">
        <f>IFERROR(__xludf.DUMMYFUNCTION("""COMPUTED_VALUE"""),5613266.0)</f>
        <v>5613266</v>
      </c>
    </row>
    <row r="4905">
      <c r="A4905" s="2">
        <f>IFERROR(__xludf.DUMMYFUNCTION("""COMPUTED_VALUE"""),43644.66666666667)</f>
        <v>43644.66667</v>
      </c>
      <c r="B4905" s="1">
        <f>IFERROR(__xludf.DUMMYFUNCTION("""COMPUTED_VALUE"""),111.86)</f>
        <v>111.86</v>
      </c>
      <c r="C4905" s="1">
        <f>IFERROR(__xludf.DUMMYFUNCTION("""COMPUTED_VALUE"""),111.96)</f>
        <v>111.96</v>
      </c>
      <c r="D4905" s="1">
        <f>IFERROR(__xludf.DUMMYFUNCTION("""COMPUTED_VALUE"""),109.02)</f>
        <v>109.02</v>
      </c>
      <c r="E4905" s="1">
        <f>IFERROR(__xludf.DUMMYFUNCTION("""COMPUTED_VALUE"""),109.65)</f>
        <v>109.65</v>
      </c>
      <c r="F4905" s="1">
        <f>IFERROR(__xludf.DUMMYFUNCTION("""COMPUTED_VALUE"""),1.2152036E7)</f>
        <v>12152036</v>
      </c>
    </row>
    <row r="4906">
      <c r="A4906" s="2">
        <f>IFERROR(__xludf.DUMMYFUNCTION("""COMPUTED_VALUE"""),43647.66666666667)</f>
        <v>43647.66667</v>
      </c>
      <c r="B4906" s="1">
        <f>IFERROR(__xludf.DUMMYFUNCTION("""COMPUTED_VALUE"""),109.92)</f>
        <v>109.92</v>
      </c>
      <c r="C4906" s="1">
        <f>IFERROR(__xludf.DUMMYFUNCTION("""COMPUTED_VALUE"""),110.7)</f>
        <v>110.7</v>
      </c>
      <c r="D4906" s="1">
        <f>IFERROR(__xludf.DUMMYFUNCTION("""COMPUTED_VALUE"""),109.61)</f>
        <v>109.61</v>
      </c>
      <c r="E4906" s="1">
        <f>IFERROR(__xludf.DUMMYFUNCTION("""COMPUTED_VALUE"""),110.49)</f>
        <v>110.49</v>
      </c>
      <c r="F4906" s="1">
        <f>IFERROR(__xludf.DUMMYFUNCTION("""COMPUTED_VALUE"""),6780298.0)</f>
        <v>6780298</v>
      </c>
    </row>
    <row r="4907">
      <c r="A4907" s="2">
        <f>IFERROR(__xludf.DUMMYFUNCTION("""COMPUTED_VALUE"""),43648.66666666667)</f>
        <v>43648.66667</v>
      </c>
      <c r="B4907" s="1">
        <f>IFERROR(__xludf.DUMMYFUNCTION("""COMPUTED_VALUE"""),110.61)</f>
        <v>110.61</v>
      </c>
      <c r="C4907" s="1">
        <f>IFERROR(__xludf.DUMMYFUNCTION("""COMPUTED_VALUE"""),111.5)</f>
        <v>111.5</v>
      </c>
      <c r="D4907" s="1">
        <f>IFERROR(__xludf.DUMMYFUNCTION("""COMPUTED_VALUE"""),110.29)</f>
        <v>110.29</v>
      </c>
      <c r="E4907" s="1">
        <f>IFERROR(__xludf.DUMMYFUNCTION("""COMPUTED_VALUE"""),111.48)</f>
        <v>111.48</v>
      </c>
      <c r="F4907" s="1">
        <f>IFERROR(__xludf.DUMMYFUNCTION("""COMPUTED_VALUE"""),6578561.0)</f>
        <v>6578561</v>
      </c>
    </row>
    <row r="4908">
      <c r="A4908" s="2">
        <f>IFERROR(__xludf.DUMMYFUNCTION("""COMPUTED_VALUE"""),43649.54166666667)</f>
        <v>43649.54167</v>
      </c>
      <c r="B4908" s="1">
        <f>IFERROR(__xludf.DUMMYFUNCTION("""COMPUTED_VALUE"""),111.96)</f>
        <v>111.96</v>
      </c>
      <c r="C4908" s="1">
        <f>IFERROR(__xludf.DUMMYFUNCTION("""COMPUTED_VALUE"""),114.27)</f>
        <v>114.27</v>
      </c>
      <c r="D4908" s="1">
        <f>IFERROR(__xludf.DUMMYFUNCTION("""COMPUTED_VALUE"""),111.84)</f>
        <v>111.84</v>
      </c>
      <c r="E4908" s="1">
        <f>IFERROR(__xludf.DUMMYFUNCTION("""COMPUTED_VALUE"""),114.08)</f>
        <v>114.08</v>
      </c>
      <c r="F4908" s="1">
        <f>IFERROR(__xludf.DUMMYFUNCTION("""COMPUTED_VALUE"""),6223327.0)</f>
        <v>6223327</v>
      </c>
    </row>
    <row r="4909">
      <c r="A4909" s="2">
        <f>IFERROR(__xludf.DUMMYFUNCTION("""COMPUTED_VALUE"""),43651.66666666667)</f>
        <v>43651.66667</v>
      </c>
      <c r="B4909" s="1">
        <f>IFERROR(__xludf.DUMMYFUNCTION("""COMPUTED_VALUE"""),112.97)</f>
        <v>112.97</v>
      </c>
      <c r="C4909" s="1">
        <f>IFERROR(__xludf.DUMMYFUNCTION("""COMPUTED_VALUE"""),113.45)</f>
        <v>113.45</v>
      </c>
      <c r="D4909" s="1">
        <f>IFERROR(__xludf.DUMMYFUNCTION("""COMPUTED_VALUE"""),112.23)</f>
        <v>112.23</v>
      </c>
      <c r="E4909" s="1">
        <f>IFERROR(__xludf.DUMMYFUNCTION("""COMPUTED_VALUE"""),113.15)</f>
        <v>113.15</v>
      </c>
      <c r="F4909" s="1">
        <f>IFERROR(__xludf.DUMMYFUNCTION("""COMPUTED_VALUE"""),8694810.0)</f>
        <v>8694810</v>
      </c>
    </row>
    <row r="4910">
      <c r="A4910" s="2">
        <f>IFERROR(__xludf.DUMMYFUNCTION("""COMPUTED_VALUE"""),43654.66666666667)</f>
        <v>43654.66667</v>
      </c>
      <c r="B4910" s="1">
        <f>IFERROR(__xludf.DUMMYFUNCTION("""COMPUTED_VALUE"""),113.34)</f>
        <v>113.34</v>
      </c>
      <c r="C4910" s="1">
        <f>IFERROR(__xludf.DUMMYFUNCTION("""COMPUTED_VALUE"""),114.23)</f>
        <v>114.23</v>
      </c>
      <c r="D4910" s="1">
        <f>IFERROR(__xludf.DUMMYFUNCTION("""COMPUTED_VALUE"""),113.3)</f>
        <v>113.3</v>
      </c>
      <c r="E4910" s="1">
        <f>IFERROR(__xludf.DUMMYFUNCTION("""COMPUTED_VALUE"""),114.05)</f>
        <v>114.05</v>
      </c>
      <c r="F4910" s="1">
        <f>IFERROR(__xludf.DUMMYFUNCTION("""COMPUTED_VALUE"""),5317783.0)</f>
        <v>5317783</v>
      </c>
    </row>
    <row r="4911">
      <c r="A4911" s="2">
        <f>IFERROR(__xludf.DUMMYFUNCTION("""COMPUTED_VALUE"""),43655.66666666667)</f>
        <v>43655.66667</v>
      </c>
      <c r="B4911" s="1">
        <f>IFERROR(__xludf.DUMMYFUNCTION("""COMPUTED_VALUE"""),113.9)</f>
        <v>113.9</v>
      </c>
      <c r="C4911" s="1">
        <f>IFERROR(__xludf.DUMMYFUNCTION("""COMPUTED_VALUE"""),113.91)</f>
        <v>113.91</v>
      </c>
      <c r="D4911" s="1">
        <f>IFERROR(__xludf.DUMMYFUNCTION("""COMPUTED_VALUE"""),112.32)</f>
        <v>112.32</v>
      </c>
      <c r="E4911" s="1">
        <f>IFERROR(__xludf.DUMMYFUNCTION("""COMPUTED_VALUE"""),112.91)</f>
        <v>112.91</v>
      </c>
      <c r="F4911" s="1">
        <f>IFERROR(__xludf.DUMMYFUNCTION("""COMPUTED_VALUE"""),7537695.0)</f>
        <v>7537695</v>
      </c>
    </row>
    <row r="4912">
      <c r="A4912" s="2">
        <f>IFERROR(__xludf.DUMMYFUNCTION("""COMPUTED_VALUE"""),43656.66666666667)</f>
        <v>43656.66667</v>
      </c>
      <c r="B4912" s="1">
        <f>IFERROR(__xludf.DUMMYFUNCTION("""COMPUTED_VALUE"""),113.46)</f>
        <v>113.46</v>
      </c>
      <c r="C4912" s="1">
        <f>IFERROR(__xludf.DUMMYFUNCTION("""COMPUTED_VALUE"""),114.5)</f>
        <v>114.5</v>
      </c>
      <c r="D4912" s="1">
        <f>IFERROR(__xludf.DUMMYFUNCTION("""COMPUTED_VALUE"""),113.4)</f>
        <v>113.4</v>
      </c>
      <c r="E4912" s="1">
        <f>IFERROR(__xludf.DUMMYFUNCTION("""COMPUTED_VALUE"""),113.75)</f>
        <v>113.75</v>
      </c>
      <c r="F4912" s="1">
        <f>IFERROR(__xludf.DUMMYFUNCTION("""COMPUTED_VALUE"""),5600655.0)</f>
        <v>5600655</v>
      </c>
    </row>
    <row r="4913">
      <c r="A4913" s="2">
        <f>IFERROR(__xludf.DUMMYFUNCTION("""COMPUTED_VALUE"""),43657.66666666667)</f>
        <v>43657.66667</v>
      </c>
      <c r="B4913" s="1">
        <f>IFERROR(__xludf.DUMMYFUNCTION("""COMPUTED_VALUE"""),113.66)</f>
        <v>113.66</v>
      </c>
      <c r="C4913" s="1">
        <f>IFERROR(__xludf.DUMMYFUNCTION("""COMPUTED_VALUE"""),114.4)</f>
        <v>114.4</v>
      </c>
      <c r="D4913" s="1">
        <f>IFERROR(__xludf.DUMMYFUNCTION("""COMPUTED_VALUE"""),113.44)</f>
        <v>113.44</v>
      </c>
      <c r="E4913" s="1">
        <f>IFERROR(__xludf.DUMMYFUNCTION("""COMPUTED_VALUE"""),114.38)</f>
        <v>114.38</v>
      </c>
      <c r="F4913" s="1">
        <f>IFERROR(__xludf.DUMMYFUNCTION("""COMPUTED_VALUE"""),4625301.0)</f>
        <v>4625301</v>
      </c>
    </row>
    <row r="4914">
      <c r="A4914" s="2">
        <f>IFERROR(__xludf.DUMMYFUNCTION("""COMPUTED_VALUE"""),43658.66666666667)</f>
        <v>43658.66667</v>
      </c>
      <c r="B4914" s="1">
        <f>IFERROR(__xludf.DUMMYFUNCTION("""COMPUTED_VALUE"""),114.07)</f>
        <v>114.07</v>
      </c>
      <c r="C4914" s="1">
        <f>IFERROR(__xludf.DUMMYFUNCTION("""COMPUTED_VALUE"""),115.21)</f>
        <v>115.21</v>
      </c>
      <c r="D4914" s="1">
        <f>IFERROR(__xludf.DUMMYFUNCTION("""COMPUTED_VALUE"""),114.07)</f>
        <v>114.07</v>
      </c>
      <c r="E4914" s="1">
        <f>IFERROR(__xludf.DUMMYFUNCTION("""COMPUTED_VALUE"""),114.99)</f>
        <v>114.99</v>
      </c>
      <c r="F4914" s="1">
        <f>IFERROR(__xludf.DUMMYFUNCTION("""COMPUTED_VALUE"""),7058570.0)</f>
        <v>7058570</v>
      </c>
    </row>
    <row r="4915">
      <c r="A4915" s="2">
        <f>IFERROR(__xludf.DUMMYFUNCTION("""COMPUTED_VALUE"""),43661.66666666667)</f>
        <v>43661.66667</v>
      </c>
      <c r="B4915" s="1">
        <f>IFERROR(__xludf.DUMMYFUNCTION("""COMPUTED_VALUE"""),115.07)</f>
        <v>115.07</v>
      </c>
      <c r="C4915" s="1">
        <f>IFERROR(__xludf.DUMMYFUNCTION("""COMPUTED_VALUE"""),115.88)</f>
        <v>115.88</v>
      </c>
      <c r="D4915" s="1">
        <f>IFERROR(__xludf.DUMMYFUNCTION("""COMPUTED_VALUE"""),114.79)</f>
        <v>114.79</v>
      </c>
      <c r="E4915" s="1">
        <f>IFERROR(__xludf.DUMMYFUNCTION("""COMPUTED_VALUE"""),115.48)</f>
        <v>115.48</v>
      </c>
      <c r="F4915" s="1">
        <f>IFERROR(__xludf.DUMMYFUNCTION("""COMPUTED_VALUE"""),6240874.0)</f>
        <v>6240874</v>
      </c>
    </row>
    <row r="4916">
      <c r="A4916" s="2">
        <f>IFERROR(__xludf.DUMMYFUNCTION("""COMPUTED_VALUE"""),43662.66666666667)</f>
        <v>43662.66667</v>
      </c>
      <c r="B4916" s="1">
        <f>IFERROR(__xludf.DUMMYFUNCTION("""COMPUTED_VALUE"""),115.72)</f>
        <v>115.72</v>
      </c>
      <c r="C4916" s="1">
        <f>IFERROR(__xludf.DUMMYFUNCTION("""COMPUTED_VALUE"""),116.52)</f>
        <v>116.52</v>
      </c>
      <c r="D4916" s="1">
        <f>IFERROR(__xludf.DUMMYFUNCTION("""COMPUTED_VALUE"""),115.45)</f>
        <v>115.45</v>
      </c>
      <c r="E4916" s="1">
        <f>IFERROR(__xludf.DUMMYFUNCTION("""COMPUTED_VALUE"""),115.89)</f>
        <v>115.89</v>
      </c>
      <c r="F4916" s="1">
        <f>IFERROR(__xludf.DUMMYFUNCTION("""COMPUTED_VALUE"""),7644578.0)</f>
        <v>7644578</v>
      </c>
    </row>
    <row r="4917">
      <c r="A4917" s="2">
        <f>IFERROR(__xludf.DUMMYFUNCTION("""COMPUTED_VALUE"""),43663.66666666667)</f>
        <v>43663.66667</v>
      </c>
      <c r="B4917" s="1">
        <f>IFERROR(__xludf.DUMMYFUNCTION("""COMPUTED_VALUE"""),115.73)</f>
        <v>115.73</v>
      </c>
      <c r="C4917" s="1">
        <f>IFERROR(__xludf.DUMMYFUNCTION("""COMPUTED_VALUE"""),116.29)</f>
        <v>116.29</v>
      </c>
      <c r="D4917" s="1">
        <f>IFERROR(__xludf.DUMMYFUNCTION("""COMPUTED_VALUE"""),115.73)</f>
        <v>115.73</v>
      </c>
      <c r="E4917" s="1">
        <f>IFERROR(__xludf.DUMMYFUNCTION("""COMPUTED_VALUE"""),115.94)</f>
        <v>115.94</v>
      </c>
      <c r="F4917" s="1">
        <f>IFERROR(__xludf.DUMMYFUNCTION("""COMPUTED_VALUE"""),7862148.0)</f>
        <v>7862148</v>
      </c>
    </row>
    <row r="4918">
      <c r="A4918" s="2">
        <f>IFERROR(__xludf.DUMMYFUNCTION("""COMPUTED_VALUE"""),43664.66666666667)</f>
        <v>43664.66667</v>
      </c>
      <c r="B4918" s="1">
        <f>IFERROR(__xludf.DUMMYFUNCTION("""COMPUTED_VALUE"""),114.93)</f>
        <v>114.93</v>
      </c>
      <c r="C4918" s="1">
        <f>IFERROR(__xludf.DUMMYFUNCTION("""COMPUTED_VALUE"""),115.77)</f>
        <v>115.77</v>
      </c>
      <c r="D4918" s="1">
        <f>IFERROR(__xludf.DUMMYFUNCTION("""COMPUTED_VALUE"""),114.79)</f>
        <v>114.79</v>
      </c>
      <c r="E4918" s="1">
        <f>IFERROR(__xludf.DUMMYFUNCTION("""COMPUTED_VALUE"""),115.44)</f>
        <v>115.44</v>
      </c>
      <c r="F4918" s="1">
        <f>IFERROR(__xludf.DUMMYFUNCTION("""COMPUTED_VALUE"""),5828782.0)</f>
        <v>5828782</v>
      </c>
    </row>
    <row r="4919">
      <c r="A4919" s="2">
        <f>IFERROR(__xludf.DUMMYFUNCTION("""COMPUTED_VALUE"""),43665.66666666667)</f>
        <v>43665.66667</v>
      </c>
      <c r="B4919" s="1">
        <f>IFERROR(__xludf.DUMMYFUNCTION("""COMPUTED_VALUE"""),115.5)</f>
        <v>115.5</v>
      </c>
      <c r="C4919" s="1">
        <f>IFERROR(__xludf.DUMMYFUNCTION("""COMPUTED_VALUE"""),115.95)</f>
        <v>115.95</v>
      </c>
      <c r="D4919" s="1">
        <f>IFERROR(__xludf.DUMMYFUNCTION("""COMPUTED_VALUE"""),115.01)</f>
        <v>115.01</v>
      </c>
      <c r="E4919" s="1">
        <f>IFERROR(__xludf.DUMMYFUNCTION("""COMPUTED_VALUE"""),115.01)</f>
        <v>115.01</v>
      </c>
      <c r="F4919" s="1">
        <f>IFERROR(__xludf.DUMMYFUNCTION("""COMPUTED_VALUE"""),6547213.0)</f>
        <v>6547213</v>
      </c>
    </row>
    <row r="4920">
      <c r="A4920" s="2">
        <f>IFERROR(__xludf.DUMMYFUNCTION("""COMPUTED_VALUE"""),43668.66666666667)</f>
        <v>43668.66667</v>
      </c>
      <c r="B4920" s="1">
        <f>IFERROR(__xludf.DUMMYFUNCTION("""COMPUTED_VALUE"""),115.04)</f>
        <v>115.04</v>
      </c>
      <c r="C4920" s="1">
        <f>IFERROR(__xludf.DUMMYFUNCTION("""COMPUTED_VALUE"""),115.45)</f>
        <v>115.45</v>
      </c>
      <c r="D4920" s="1">
        <f>IFERROR(__xludf.DUMMYFUNCTION("""COMPUTED_VALUE"""),114.58)</f>
        <v>114.58</v>
      </c>
      <c r="E4920" s="1">
        <f>IFERROR(__xludf.DUMMYFUNCTION("""COMPUTED_VALUE"""),115.3)</f>
        <v>115.3</v>
      </c>
      <c r="F4920" s="1">
        <f>IFERROR(__xludf.DUMMYFUNCTION("""COMPUTED_VALUE"""),4018769.0)</f>
        <v>4018769</v>
      </c>
    </row>
    <row r="4921">
      <c r="A4921" s="2">
        <f>IFERROR(__xludf.DUMMYFUNCTION("""COMPUTED_VALUE"""),43669.66666666667)</f>
        <v>43669.66667</v>
      </c>
      <c r="B4921" s="1">
        <f>IFERROR(__xludf.DUMMYFUNCTION("""COMPUTED_VALUE"""),115.71)</f>
        <v>115.71</v>
      </c>
      <c r="C4921" s="1">
        <f>IFERROR(__xludf.DUMMYFUNCTION("""COMPUTED_VALUE"""),116.05)</f>
        <v>116.05</v>
      </c>
      <c r="D4921" s="1">
        <f>IFERROR(__xludf.DUMMYFUNCTION("""COMPUTED_VALUE"""),113.84)</f>
        <v>113.84</v>
      </c>
      <c r="E4921" s="1">
        <f>IFERROR(__xludf.DUMMYFUNCTION("""COMPUTED_VALUE"""),113.85)</f>
        <v>113.85</v>
      </c>
      <c r="F4921" s="1">
        <f>IFERROR(__xludf.DUMMYFUNCTION("""COMPUTED_VALUE"""),8194573.0)</f>
        <v>8194573</v>
      </c>
    </row>
    <row r="4922">
      <c r="A4922" s="2">
        <f>IFERROR(__xludf.DUMMYFUNCTION("""COMPUTED_VALUE"""),43670.66666666667)</f>
        <v>43670.66667</v>
      </c>
      <c r="B4922" s="1">
        <f>IFERROR(__xludf.DUMMYFUNCTION("""COMPUTED_VALUE"""),113.85)</f>
        <v>113.85</v>
      </c>
      <c r="C4922" s="1">
        <f>IFERROR(__xludf.DUMMYFUNCTION("""COMPUTED_VALUE"""),113.88)</f>
        <v>113.88</v>
      </c>
      <c r="D4922" s="1">
        <f>IFERROR(__xludf.DUMMYFUNCTION("""COMPUTED_VALUE"""),112.28)</f>
        <v>112.28</v>
      </c>
      <c r="E4922" s="1">
        <f>IFERROR(__xludf.DUMMYFUNCTION("""COMPUTED_VALUE"""),112.6)</f>
        <v>112.6</v>
      </c>
      <c r="F4922" s="1">
        <f>IFERROR(__xludf.DUMMYFUNCTION("""COMPUTED_VALUE"""),9636008.0)</f>
        <v>9636008</v>
      </c>
    </row>
    <row r="4923">
      <c r="A4923" s="2">
        <f>IFERROR(__xludf.DUMMYFUNCTION("""COMPUTED_VALUE"""),43671.66666666667)</f>
        <v>43671.66667</v>
      </c>
      <c r="B4923" s="1">
        <f>IFERROR(__xludf.DUMMYFUNCTION("""COMPUTED_VALUE"""),111.48)</f>
        <v>111.48</v>
      </c>
      <c r="C4923" s="1">
        <f>IFERROR(__xludf.DUMMYFUNCTION("""COMPUTED_VALUE"""),112.98)</f>
        <v>112.98</v>
      </c>
      <c r="D4923" s="1">
        <f>IFERROR(__xludf.DUMMYFUNCTION("""COMPUTED_VALUE"""),111.38)</f>
        <v>111.38</v>
      </c>
      <c r="E4923" s="1">
        <f>IFERROR(__xludf.DUMMYFUNCTION("""COMPUTED_VALUE"""),112.77)</f>
        <v>112.77</v>
      </c>
      <c r="F4923" s="1">
        <f>IFERROR(__xludf.DUMMYFUNCTION("""COMPUTED_VALUE"""),7809607.0)</f>
        <v>7809607</v>
      </c>
    </row>
    <row r="4924">
      <c r="A4924" s="2">
        <f>IFERROR(__xludf.DUMMYFUNCTION("""COMPUTED_VALUE"""),43672.66666666667)</f>
        <v>43672.66667</v>
      </c>
      <c r="B4924" s="1">
        <f>IFERROR(__xludf.DUMMYFUNCTION("""COMPUTED_VALUE"""),113.21)</f>
        <v>113.21</v>
      </c>
      <c r="C4924" s="1">
        <f>IFERROR(__xludf.DUMMYFUNCTION("""COMPUTED_VALUE"""),114.88)</f>
        <v>114.88</v>
      </c>
      <c r="D4924" s="1">
        <f>IFERROR(__xludf.DUMMYFUNCTION("""COMPUTED_VALUE"""),112.88)</f>
        <v>112.88</v>
      </c>
      <c r="E4924" s="1">
        <f>IFERROR(__xludf.DUMMYFUNCTION("""COMPUTED_VALUE"""),114.73)</f>
        <v>114.73</v>
      </c>
      <c r="F4924" s="1">
        <f>IFERROR(__xludf.DUMMYFUNCTION("""COMPUTED_VALUE"""),5559578.0)</f>
        <v>5559578</v>
      </c>
    </row>
    <row r="4925">
      <c r="A4925" s="2">
        <f>IFERROR(__xludf.DUMMYFUNCTION("""COMPUTED_VALUE"""),43675.66666666667)</f>
        <v>43675.66667</v>
      </c>
      <c r="B4925" s="1">
        <f>IFERROR(__xludf.DUMMYFUNCTION("""COMPUTED_VALUE"""),114.73)</f>
        <v>114.73</v>
      </c>
      <c r="C4925" s="1">
        <f>IFERROR(__xludf.DUMMYFUNCTION("""COMPUTED_VALUE"""),116.21)</f>
        <v>116.21</v>
      </c>
      <c r="D4925" s="1">
        <f>IFERROR(__xludf.DUMMYFUNCTION("""COMPUTED_VALUE"""),114.62)</f>
        <v>114.62</v>
      </c>
      <c r="E4925" s="1">
        <f>IFERROR(__xludf.DUMMYFUNCTION("""COMPUTED_VALUE"""),116.0)</f>
        <v>116</v>
      </c>
      <c r="F4925" s="1">
        <f>IFERROR(__xludf.DUMMYFUNCTION("""COMPUTED_VALUE"""),7768672.0)</f>
        <v>7768672</v>
      </c>
    </row>
    <row r="4926">
      <c r="A4926" s="2">
        <f>IFERROR(__xludf.DUMMYFUNCTION("""COMPUTED_VALUE"""),43676.66666666667)</f>
        <v>43676.66667</v>
      </c>
      <c r="B4926" s="1">
        <f>IFERROR(__xludf.DUMMYFUNCTION("""COMPUTED_VALUE"""),119.82)</f>
        <v>119.82</v>
      </c>
      <c r="C4926" s="1">
        <f>IFERROR(__xludf.DUMMYFUNCTION("""COMPUTED_VALUE"""),121.76)</f>
        <v>121.76</v>
      </c>
      <c r="D4926" s="1">
        <f>IFERROR(__xludf.DUMMYFUNCTION("""COMPUTED_VALUE"""),118.8)</f>
        <v>118.8</v>
      </c>
      <c r="E4926" s="1">
        <f>IFERROR(__xludf.DUMMYFUNCTION("""COMPUTED_VALUE"""),120.41)</f>
        <v>120.41</v>
      </c>
      <c r="F4926" s="1">
        <f>IFERROR(__xludf.DUMMYFUNCTION("""COMPUTED_VALUE"""),1.8788812E7)</f>
        <v>18788812</v>
      </c>
    </row>
    <row r="4927">
      <c r="A4927" s="2">
        <f>IFERROR(__xludf.DUMMYFUNCTION("""COMPUTED_VALUE"""),43677.66666666667)</f>
        <v>43677.66667</v>
      </c>
      <c r="B4927" s="1">
        <f>IFERROR(__xludf.DUMMYFUNCTION("""COMPUTED_VALUE"""),119.66)</f>
        <v>119.66</v>
      </c>
      <c r="C4927" s="1">
        <f>IFERROR(__xludf.DUMMYFUNCTION("""COMPUTED_VALUE"""),120.68)</f>
        <v>120.68</v>
      </c>
      <c r="D4927" s="1">
        <f>IFERROR(__xludf.DUMMYFUNCTION("""COMPUTED_VALUE"""),117.07)</f>
        <v>117.07</v>
      </c>
      <c r="E4927" s="1">
        <f>IFERROR(__xludf.DUMMYFUNCTION("""COMPUTED_VALUE"""),118.04)</f>
        <v>118.04</v>
      </c>
      <c r="F4927" s="1">
        <f>IFERROR(__xludf.DUMMYFUNCTION("""COMPUTED_VALUE"""),1.2641806E7)</f>
        <v>12641806</v>
      </c>
    </row>
    <row r="4928">
      <c r="A4928" s="2">
        <f>IFERROR(__xludf.DUMMYFUNCTION("""COMPUTED_VALUE"""),43678.66666666667)</f>
        <v>43678.66667</v>
      </c>
      <c r="B4928" s="1">
        <f>IFERROR(__xludf.DUMMYFUNCTION("""COMPUTED_VALUE"""),118.56)</f>
        <v>118.56</v>
      </c>
      <c r="C4928" s="1">
        <f>IFERROR(__xludf.DUMMYFUNCTION("""COMPUTED_VALUE"""),119.17)</f>
        <v>119.17</v>
      </c>
      <c r="D4928" s="1">
        <f>IFERROR(__xludf.DUMMYFUNCTION("""COMPUTED_VALUE"""),116.73)</f>
        <v>116.73</v>
      </c>
      <c r="E4928" s="1">
        <f>IFERROR(__xludf.DUMMYFUNCTION("""COMPUTED_VALUE"""),116.73)</f>
        <v>116.73</v>
      </c>
      <c r="F4928" s="1">
        <f>IFERROR(__xludf.DUMMYFUNCTION("""COMPUTED_VALUE"""),1.1308631E7)</f>
        <v>11308631</v>
      </c>
    </row>
    <row r="4929">
      <c r="A4929" s="2">
        <f>IFERROR(__xludf.DUMMYFUNCTION("""COMPUTED_VALUE"""),43679.66666666667)</f>
        <v>43679.66667</v>
      </c>
      <c r="B4929" s="1">
        <f>IFERROR(__xludf.DUMMYFUNCTION("""COMPUTED_VALUE"""),116.51)</f>
        <v>116.51</v>
      </c>
      <c r="C4929" s="1">
        <f>IFERROR(__xludf.DUMMYFUNCTION("""COMPUTED_VALUE"""),117.08)</f>
        <v>117.08</v>
      </c>
      <c r="D4929" s="1">
        <f>IFERROR(__xludf.DUMMYFUNCTION("""COMPUTED_VALUE"""),115.69)</f>
        <v>115.69</v>
      </c>
      <c r="E4929" s="1">
        <f>IFERROR(__xludf.DUMMYFUNCTION("""COMPUTED_VALUE"""),116.44)</f>
        <v>116.44</v>
      </c>
      <c r="F4929" s="1">
        <f>IFERROR(__xludf.DUMMYFUNCTION("""COMPUTED_VALUE"""),1.2266112E7)</f>
        <v>12266112</v>
      </c>
    </row>
    <row r="4930">
      <c r="A4930" s="2">
        <f>IFERROR(__xludf.DUMMYFUNCTION("""COMPUTED_VALUE"""),43682.66666666667)</f>
        <v>43682.66667</v>
      </c>
      <c r="B4930" s="1">
        <f>IFERROR(__xludf.DUMMYFUNCTION("""COMPUTED_VALUE"""),116.09)</f>
        <v>116.09</v>
      </c>
      <c r="C4930" s="1">
        <f>IFERROR(__xludf.DUMMYFUNCTION("""COMPUTED_VALUE"""),116.3)</f>
        <v>116.3</v>
      </c>
      <c r="D4930" s="1">
        <f>IFERROR(__xludf.DUMMYFUNCTION("""COMPUTED_VALUE"""),112.83)</f>
        <v>112.83</v>
      </c>
      <c r="E4930" s="1">
        <f>IFERROR(__xludf.DUMMYFUNCTION("""COMPUTED_VALUE"""),113.08)</f>
        <v>113.08</v>
      </c>
      <c r="F4930" s="1">
        <f>IFERROR(__xludf.DUMMYFUNCTION("""COMPUTED_VALUE"""),1.2974788E7)</f>
        <v>12974788</v>
      </c>
    </row>
    <row r="4931">
      <c r="A4931" s="2">
        <f>IFERROR(__xludf.DUMMYFUNCTION("""COMPUTED_VALUE"""),43683.66666666667)</f>
        <v>43683.66667</v>
      </c>
      <c r="B4931" s="1">
        <f>IFERROR(__xludf.DUMMYFUNCTION("""COMPUTED_VALUE"""),113.65)</f>
        <v>113.65</v>
      </c>
      <c r="C4931" s="1">
        <f>IFERROR(__xludf.DUMMYFUNCTION("""COMPUTED_VALUE"""),115.0)</f>
        <v>115</v>
      </c>
      <c r="D4931" s="1">
        <f>IFERROR(__xludf.DUMMYFUNCTION("""COMPUTED_VALUE"""),113.18)</f>
        <v>113.18</v>
      </c>
      <c r="E4931" s="1">
        <f>IFERROR(__xludf.DUMMYFUNCTION("""COMPUTED_VALUE"""),114.28)</f>
        <v>114.28</v>
      </c>
      <c r="F4931" s="1">
        <f>IFERROR(__xludf.DUMMYFUNCTION("""COMPUTED_VALUE"""),9490555.0)</f>
        <v>9490555</v>
      </c>
    </row>
    <row r="4932">
      <c r="A4932" s="2">
        <f>IFERROR(__xludf.DUMMYFUNCTION("""COMPUTED_VALUE"""),43684.66666666667)</f>
        <v>43684.66667</v>
      </c>
      <c r="B4932" s="1">
        <f>IFERROR(__xludf.DUMMYFUNCTION("""COMPUTED_VALUE"""),113.75)</f>
        <v>113.75</v>
      </c>
      <c r="C4932" s="1">
        <f>IFERROR(__xludf.DUMMYFUNCTION("""COMPUTED_VALUE"""),116.24)</f>
        <v>116.24</v>
      </c>
      <c r="D4932" s="1">
        <f>IFERROR(__xludf.DUMMYFUNCTION("""COMPUTED_VALUE"""),112.68)</f>
        <v>112.68</v>
      </c>
      <c r="E4932" s="1">
        <f>IFERROR(__xludf.DUMMYFUNCTION("""COMPUTED_VALUE"""),115.52)</f>
        <v>115.52</v>
      </c>
      <c r="F4932" s="1">
        <f>IFERROR(__xludf.DUMMYFUNCTION("""COMPUTED_VALUE"""),9507607.0)</f>
        <v>9507607</v>
      </c>
    </row>
    <row r="4933">
      <c r="A4933" s="2">
        <f>IFERROR(__xludf.DUMMYFUNCTION("""COMPUTED_VALUE"""),43685.66666666667)</f>
        <v>43685.66667</v>
      </c>
      <c r="B4933" s="1">
        <f>IFERROR(__xludf.DUMMYFUNCTION("""COMPUTED_VALUE"""),115.52)</f>
        <v>115.52</v>
      </c>
      <c r="C4933" s="1">
        <f>IFERROR(__xludf.DUMMYFUNCTION("""COMPUTED_VALUE"""),117.49)</f>
        <v>117.49</v>
      </c>
      <c r="D4933" s="1">
        <f>IFERROR(__xludf.DUMMYFUNCTION("""COMPUTED_VALUE"""),115.34)</f>
        <v>115.34</v>
      </c>
      <c r="E4933" s="1">
        <f>IFERROR(__xludf.DUMMYFUNCTION("""COMPUTED_VALUE"""),117.44)</f>
        <v>117.44</v>
      </c>
      <c r="F4933" s="1">
        <f>IFERROR(__xludf.DUMMYFUNCTION("""COMPUTED_VALUE"""),7416622.0)</f>
        <v>7416622</v>
      </c>
    </row>
    <row r="4934">
      <c r="A4934" s="2">
        <f>IFERROR(__xludf.DUMMYFUNCTION("""COMPUTED_VALUE"""),43686.66666666667)</f>
        <v>43686.66667</v>
      </c>
      <c r="B4934" s="1">
        <f>IFERROR(__xludf.DUMMYFUNCTION("""COMPUTED_VALUE"""),117.62)</f>
        <v>117.62</v>
      </c>
      <c r="C4934" s="1">
        <f>IFERROR(__xludf.DUMMYFUNCTION("""COMPUTED_VALUE"""),118.04)</f>
        <v>118.04</v>
      </c>
      <c r="D4934" s="1">
        <f>IFERROR(__xludf.DUMMYFUNCTION("""COMPUTED_VALUE"""),115.85)</f>
        <v>115.85</v>
      </c>
      <c r="E4934" s="1">
        <f>IFERROR(__xludf.DUMMYFUNCTION("""COMPUTED_VALUE"""),116.78)</f>
        <v>116.78</v>
      </c>
      <c r="F4934" s="1">
        <f>IFERROR(__xludf.DUMMYFUNCTION("""COMPUTED_VALUE"""),6939535.0)</f>
        <v>6939535</v>
      </c>
    </row>
    <row r="4935">
      <c r="A4935" s="2">
        <f>IFERROR(__xludf.DUMMYFUNCTION("""COMPUTED_VALUE"""),43689.66666666667)</f>
        <v>43689.66667</v>
      </c>
      <c r="B4935" s="1">
        <f>IFERROR(__xludf.DUMMYFUNCTION("""COMPUTED_VALUE"""),116.78)</f>
        <v>116.78</v>
      </c>
      <c r="C4935" s="1">
        <f>IFERROR(__xludf.DUMMYFUNCTION("""COMPUTED_VALUE"""),117.67)</f>
        <v>117.67</v>
      </c>
      <c r="D4935" s="1">
        <f>IFERROR(__xludf.DUMMYFUNCTION("""COMPUTED_VALUE"""),115.59)</f>
        <v>115.59</v>
      </c>
      <c r="E4935" s="1">
        <f>IFERROR(__xludf.DUMMYFUNCTION("""COMPUTED_VALUE"""),116.03)</f>
        <v>116.03</v>
      </c>
      <c r="F4935" s="1">
        <f>IFERROR(__xludf.DUMMYFUNCTION("""COMPUTED_VALUE"""),4875895.0)</f>
        <v>4875895</v>
      </c>
    </row>
    <row r="4936">
      <c r="A4936" s="2">
        <f>IFERROR(__xludf.DUMMYFUNCTION("""COMPUTED_VALUE"""),43690.66666666667)</f>
        <v>43690.66667</v>
      </c>
      <c r="B4936" s="1">
        <f>IFERROR(__xludf.DUMMYFUNCTION("""COMPUTED_VALUE"""),116.51)</f>
        <v>116.51</v>
      </c>
      <c r="C4936" s="1">
        <f>IFERROR(__xludf.DUMMYFUNCTION("""COMPUTED_VALUE"""),118.07)</f>
        <v>118.07</v>
      </c>
      <c r="D4936" s="1">
        <f>IFERROR(__xludf.DUMMYFUNCTION("""COMPUTED_VALUE"""),116.34)</f>
        <v>116.34</v>
      </c>
      <c r="E4936" s="1">
        <f>IFERROR(__xludf.DUMMYFUNCTION("""COMPUTED_VALUE"""),117.25)</f>
        <v>117.25</v>
      </c>
      <c r="F4936" s="1">
        <f>IFERROR(__xludf.DUMMYFUNCTION("""COMPUTED_VALUE"""),6757704.0)</f>
        <v>6757704</v>
      </c>
    </row>
    <row r="4937">
      <c r="A4937" s="2">
        <f>IFERROR(__xludf.DUMMYFUNCTION("""COMPUTED_VALUE"""),43691.66666666667)</f>
        <v>43691.66667</v>
      </c>
      <c r="B4937" s="1">
        <f>IFERROR(__xludf.DUMMYFUNCTION("""COMPUTED_VALUE"""),116.46)</f>
        <v>116.46</v>
      </c>
      <c r="C4937" s="1">
        <f>IFERROR(__xludf.DUMMYFUNCTION("""COMPUTED_VALUE"""),117.94)</f>
        <v>117.94</v>
      </c>
      <c r="D4937" s="1">
        <f>IFERROR(__xludf.DUMMYFUNCTION("""COMPUTED_VALUE"""),115.66)</f>
        <v>115.66</v>
      </c>
      <c r="E4937" s="1">
        <f>IFERROR(__xludf.DUMMYFUNCTION("""COMPUTED_VALUE"""),115.79)</f>
        <v>115.79</v>
      </c>
      <c r="F4937" s="1">
        <f>IFERROR(__xludf.DUMMYFUNCTION("""COMPUTED_VALUE"""),1.0148261E7)</f>
        <v>10148261</v>
      </c>
    </row>
    <row r="4938">
      <c r="A4938" s="2">
        <f>IFERROR(__xludf.DUMMYFUNCTION("""COMPUTED_VALUE"""),43692.66666666667)</f>
        <v>43692.66667</v>
      </c>
      <c r="B4938" s="1">
        <f>IFERROR(__xludf.DUMMYFUNCTION("""COMPUTED_VALUE"""),116.8)</f>
        <v>116.8</v>
      </c>
      <c r="C4938" s="1">
        <f>IFERROR(__xludf.DUMMYFUNCTION("""COMPUTED_VALUE"""),118.09)</f>
        <v>118.09</v>
      </c>
      <c r="D4938" s="1">
        <f>IFERROR(__xludf.DUMMYFUNCTION("""COMPUTED_VALUE"""),116.44)</f>
        <v>116.44</v>
      </c>
      <c r="E4938" s="1">
        <f>IFERROR(__xludf.DUMMYFUNCTION("""COMPUTED_VALUE"""),117.39)</f>
        <v>117.39</v>
      </c>
      <c r="F4938" s="1">
        <f>IFERROR(__xludf.DUMMYFUNCTION("""COMPUTED_VALUE"""),7758035.0)</f>
        <v>7758035</v>
      </c>
    </row>
    <row r="4939">
      <c r="A4939" s="2">
        <f>IFERROR(__xludf.DUMMYFUNCTION("""COMPUTED_VALUE"""),43693.66666666667)</f>
        <v>43693.66667</v>
      </c>
      <c r="B4939" s="1">
        <f>IFERROR(__xludf.DUMMYFUNCTION("""COMPUTED_VALUE"""),118.06)</f>
        <v>118.06</v>
      </c>
      <c r="C4939" s="1">
        <f>IFERROR(__xludf.DUMMYFUNCTION("""COMPUTED_VALUE"""),119.54)</f>
        <v>119.54</v>
      </c>
      <c r="D4939" s="1">
        <f>IFERROR(__xludf.DUMMYFUNCTION("""COMPUTED_VALUE"""),117.6)</f>
        <v>117.6</v>
      </c>
      <c r="E4939" s="1">
        <f>IFERROR(__xludf.DUMMYFUNCTION("""COMPUTED_VALUE"""),119.18)</f>
        <v>119.18</v>
      </c>
      <c r="F4939" s="1">
        <f>IFERROR(__xludf.DUMMYFUNCTION("""COMPUTED_VALUE"""),8302368.0)</f>
        <v>8302368</v>
      </c>
    </row>
    <row r="4940">
      <c r="A4940" s="2">
        <f>IFERROR(__xludf.DUMMYFUNCTION("""COMPUTED_VALUE"""),43696.66666666667)</f>
        <v>43696.66667</v>
      </c>
      <c r="B4940" s="1">
        <f>IFERROR(__xludf.DUMMYFUNCTION("""COMPUTED_VALUE"""),119.97)</f>
        <v>119.97</v>
      </c>
      <c r="C4940" s="1">
        <f>IFERROR(__xludf.DUMMYFUNCTION("""COMPUTED_VALUE"""),120.45)</f>
        <v>120.45</v>
      </c>
      <c r="D4940" s="1">
        <f>IFERROR(__xludf.DUMMYFUNCTION("""COMPUTED_VALUE"""),119.11)</f>
        <v>119.11</v>
      </c>
      <c r="E4940" s="1">
        <f>IFERROR(__xludf.DUMMYFUNCTION("""COMPUTED_VALUE"""),120.24)</f>
        <v>120.24</v>
      </c>
      <c r="F4940" s="1">
        <f>IFERROR(__xludf.DUMMYFUNCTION("""COMPUTED_VALUE"""),5867224.0)</f>
        <v>5867224</v>
      </c>
    </row>
    <row r="4941">
      <c r="A4941" s="2">
        <f>IFERROR(__xludf.DUMMYFUNCTION("""COMPUTED_VALUE"""),43697.66666666667)</f>
        <v>43697.66667</v>
      </c>
      <c r="B4941" s="1">
        <f>IFERROR(__xludf.DUMMYFUNCTION("""COMPUTED_VALUE"""),120.05)</f>
        <v>120.05</v>
      </c>
      <c r="C4941" s="1">
        <f>IFERROR(__xludf.DUMMYFUNCTION("""COMPUTED_VALUE"""),120.26)</f>
        <v>120.26</v>
      </c>
      <c r="D4941" s="1">
        <f>IFERROR(__xludf.DUMMYFUNCTION("""COMPUTED_VALUE"""),118.79)</f>
        <v>118.79</v>
      </c>
      <c r="E4941" s="1">
        <f>IFERROR(__xludf.DUMMYFUNCTION("""COMPUTED_VALUE"""),118.9)</f>
        <v>118.9</v>
      </c>
      <c r="F4941" s="1">
        <f>IFERROR(__xludf.DUMMYFUNCTION("""COMPUTED_VALUE"""),6744298.0)</f>
        <v>6744298</v>
      </c>
    </row>
    <row r="4942">
      <c r="A4942" s="2">
        <f>IFERROR(__xludf.DUMMYFUNCTION("""COMPUTED_VALUE"""),43698.66666666667)</f>
        <v>43698.66667</v>
      </c>
      <c r="B4942" s="1">
        <f>IFERROR(__xludf.DUMMYFUNCTION("""COMPUTED_VALUE"""),119.27)</f>
        <v>119.27</v>
      </c>
      <c r="C4942" s="1">
        <f>IFERROR(__xludf.DUMMYFUNCTION("""COMPUTED_VALUE"""),119.65)</f>
        <v>119.65</v>
      </c>
      <c r="D4942" s="1">
        <f>IFERROR(__xludf.DUMMYFUNCTION("""COMPUTED_VALUE"""),118.68)</f>
        <v>118.68</v>
      </c>
      <c r="E4942" s="1">
        <f>IFERROR(__xludf.DUMMYFUNCTION("""COMPUTED_VALUE"""),119.2)</f>
        <v>119.2</v>
      </c>
      <c r="F4942" s="1">
        <f>IFERROR(__xludf.DUMMYFUNCTION("""COMPUTED_VALUE"""),4037412.0)</f>
        <v>4037412</v>
      </c>
    </row>
    <row r="4943">
      <c r="A4943" s="2">
        <f>IFERROR(__xludf.DUMMYFUNCTION("""COMPUTED_VALUE"""),43699.66666666667)</f>
        <v>43699.66667</v>
      </c>
      <c r="B4943" s="1">
        <f>IFERROR(__xludf.DUMMYFUNCTION("""COMPUTED_VALUE"""),119.08)</f>
        <v>119.08</v>
      </c>
      <c r="C4943" s="1">
        <f>IFERROR(__xludf.DUMMYFUNCTION("""COMPUTED_VALUE"""),119.79)</f>
        <v>119.79</v>
      </c>
      <c r="D4943" s="1">
        <f>IFERROR(__xludf.DUMMYFUNCTION("""COMPUTED_VALUE"""),118.7)</f>
        <v>118.7</v>
      </c>
      <c r="E4943" s="1">
        <f>IFERROR(__xludf.DUMMYFUNCTION("""COMPUTED_VALUE"""),119.42)</f>
        <v>119.42</v>
      </c>
      <c r="F4943" s="1">
        <f>IFERROR(__xludf.DUMMYFUNCTION("""COMPUTED_VALUE"""),4558457.0)</f>
        <v>4558457</v>
      </c>
    </row>
    <row r="4944">
      <c r="A4944" s="2">
        <f>IFERROR(__xludf.DUMMYFUNCTION("""COMPUTED_VALUE"""),43700.66666666667)</f>
        <v>43700.66667</v>
      </c>
      <c r="B4944" s="1">
        <f>IFERROR(__xludf.DUMMYFUNCTION("""COMPUTED_VALUE"""),119.14)</f>
        <v>119.14</v>
      </c>
      <c r="C4944" s="1">
        <f>IFERROR(__xludf.DUMMYFUNCTION("""COMPUTED_VALUE"""),120.11)</f>
        <v>120.11</v>
      </c>
      <c r="D4944" s="1">
        <f>IFERROR(__xludf.DUMMYFUNCTION("""COMPUTED_VALUE"""),116.43)</f>
        <v>116.43</v>
      </c>
      <c r="E4944" s="1">
        <f>IFERROR(__xludf.DUMMYFUNCTION("""COMPUTED_VALUE"""),117.32)</f>
        <v>117.32</v>
      </c>
      <c r="F4944" s="1">
        <f>IFERROR(__xludf.DUMMYFUNCTION("""COMPUTED_VALUE"""),7336907.0)</f>
        <v>7336907</v>
      </c>
    </row>
    <row r="4945">
      <c r="A4945" s="2">
        <f>IFERROR(__xludf.DUMMYFUNCTION("""COMPUTED_VALUE"""),43703.66666666667)</f>
        <v>43703.66667</v>
      </c>
      <c r="B4945" s="1">
        <f>IFERROR(__xludf.DUMMYFUNCTION("""COMPUTED_VALUE"""),117.75)</f>
        <v>117.75</v>
      </c>
      <c r="C4945" s="1">
        <f>IFERROR(__xludf.DUMMYFUNCTION("""COMPUTED_VALUE"""),119.6)</f>
        <v>119.6</v>
      </c>
      <c r="D4945" s="1">
        <f>IFERROR(__xludf.DUMMYFUNCTION("""COMPUTED_VALUE"""),117.22)</f>
        <v>117.22</v>
      </c>
      <c r="E4945" s="1">
        <f>IFERROR(__xludf.DUMMYFUNCTION("""COMPUTED_VALUE"""),119.32)</f>
        <v>119.32</v>
      </c>
      <c r="F4945" s="1">
        <f>IFERROR(__xludf.DUMMYFUNCTION("""COMPUTED_VALUE"""),5661841.0)</f>
        <v>5661841</v>
      </c>
    </row>
    <row r="4946">
      <c r="A4946" s="2">
        <f>IFERROR(__xludf.DUMMYFUNCTION("""COMPUTED_VALUE"""),43704.66666666667)</f>
        <v>43704.66667</v>
      </c>
      <c r="B4946" s="1">
        <f>IFERROR(__xludf.DUMMYFUNCTION("""COMPUTED_VALUE"""),119.99)</f>
        <v>119.99</v>
      </c>
      <c r="C4946" s="1">
        <f>IFERROR(__xludf.DUMMYFUNCTION("""COMPUTED_VALUE"""),121.05)</f>
        <v>121.05</v>
      </c>
      <c r="D4946" s="1">
        <f>IFERROR(__xludf.DUMMYFUNCTION("""COMPUTED_VALUE"""),119.78)</f>
        <v>119.78</v>
      </c>
      <c r="E4946" s="1">
        <f>IFERROR(__xludf.DUMMYFUNCTION("""COMPUTED_VALUE"""),120.55)</f>
        <v>120.55</v>
      </c>
      <c r="F4946" s="1">
        <f>IFERROR(__xludf.DUMMYFUNCTION("""COMPUTED_VALUE"""),6996550.0)</f>
        <v>6996550</v>
      </c>
    </row>
    <row r="4947">
      <c r="A4947" s="2">
        <f>IFERROR(__xludf.DUMMYFUNCTION("""COMPUTED_VALUE"""),43705.66666666667)</f>
        <v>43705.66667</v>
      </c>
      <c r="B4947" s="1">
        <f>IFERROR(__xludf.DUMMYFUNCTION("""COMPUTED_VALUE"""),120.46)</f>
        <v>120.46</v>
      </c>
      <c r="C4947" s="1">
        <f>IFERROR(__xludf.DUMMYFUNCTION("""COMPUTED_VALUE"""),121.43)</f>
        <v>121.43</v>
      </c>
      <c r="D4947" s="1">
        <f>IFERROR(__xludf.DUMMYFUNCTION("""COMPUTED_VALUE"""),119.63)</f>
        <v>119.63</v>
      </c>
      <c r="E4947" s="1">
        <f>IFERROR(__xludf.DUMMYFUNCTION("""COMPUTED_VALUE"""),121.4)</f>
        <v>121.4</v>
      </c>
      <c r="F4947" s="1">
        <f>IFERROR(__xludf.DUMMYFUNCTION("""COMPUTED_VALUE"""),4606400.0)</f>
        <v>4606400</v>
      </c>
    </row>
    <row r="4948">
      <c r="A4948" s="2">
        <f>IFERROR(__xludf.DUMMYFUNCTION("""COMPUTED_VALUE"""),43706.66666666667)</f>
        <v>43706.66667</v>
      </c>
      <c r="B4948" s="1">
        <f>IFERROR(__xludf.DUMMYFUNCTION("""COMPUTED_VALUE"""),121.79)</f>
        <v>121.79</v>
      </c>
      <c r="C4948" s="1">
        <f>IFERROR(__xludf.DUMMYFUNCTION("""COMPUTED_VALUE"""),122.0)</f>
        <v>122</v>
      </c>
      <c r="D4948" s="1">
        <f>IFERROR(__xludf.DUMMYFUNCTION("""COMPUTED_VALUE"""),120.32)</f>
        <v>120.32</v>
      </c>
      <c r="E4948" s="1">
        <f>IFERROR(__xludf.DUMMYFUNCTION("""COMPUTED_VALUE"""),121.18)</f>
        <v>121.18</v>
      </c>
      <c r="F4948" s="1">
        <f>IFERROR(__xludf.DUMMYFUNCTION("""COMPUTED_VALUE"""),5011487.0)</f>
        <v>5011487</v>
      </c>
    </row>
    <row r="4949">
      <c r="A4949" s="2">
        <f>IFERROR(__xludf.DUMMYFUNCTION("""COMPUTED_VALUE"""),43707.66666666667)</f>
        <v>43707.66667</v>
      </c>
      <c r="B4949" s="1">
        <f>IFERROR(__xludf.DUMMYFUNCTION("""COMPUTED_VALUE"""),121.96)</f>
        <v>121.96</v>
      </c>
      <c r="C4949" s="1">
        <f>IFERROR(__xludf.DUMMYFUNCTION("""COMPUTED_VALUE"""),122.0)</f>
        <v>122</v>
      </c>
      <c r="D4949" s="1">
        <f>IFERROR(__xludf.DUMMYFUNCTION("""COMPUTED_VALUE"""),119.51)</f>
        <v>119.51</v>
      </c>
      <c r="E4949" s="1">
        <f>IFERROR(__xludf.DUMMYFUNCTION("""COMPUTED_VALUE"""),120.23)</f>
        <v>120.23</v>
      </c>
      <c r="F4949" s="1">
        <f>IFERROR(__xludf.DUMMYFUNCTION("""COMPUTED_VALUE"""),6007112.0)</f>
        <v>6007112</v>
      </c>
    </row>
    <row r="4950">
      <c r="A4950" s="2">
        <f>IFERROR(__xludf.DUMMYFUNCTION("""COMPUTED_VALUE"""),43711.66666666667)</f>
        <v>43711.66667</v>
      </c>
      <c r="B4950" s="1">
        <f>IFERROR(__xludf.DUMMYFUNCTION("""COMPUTED_VALUE"""),119.79)</f>
        <v>119.79</v>
      </c>
      <c r="C4950" s="1">
        <f>IFERROR(__xludf.DUMMYFUNCTION("""COMPUTED_VALUE"""),121.54)</f>
        <v>121.54</v>
      </c>
      <c r="D4950" s="1">
        <f>IFERROR(__xludf.DUMMYFUNCTION("""COMPUTED_VALUE"""),119.63)</f>
        <v>119.63</v>
      </c>
      <c r="E4950" s="1">
        <f>IFERROR(__xludf.DUMMYFUNCTION("""COMPUTED_VALUE"""),121.36)</f>
        <v>121.36</v>
      </c>
      <c r="F4950" s="1">
        <f>IFERROR(__xludf.DUMMYFUNCTION("""COMPUTED_VALUE"""),4959617.0)</f>
        <v>4959617</v>
      </c>
    </row>
    <row r="4951">
      <c r="A4951" s="2">
        <f>IFERROR(__xludf.DUMMYFUNCTION("""COMPUTED_VALUE"""),43712.66666666667)</f>
        <v>43712.66667</v>
      </c>
      <c r="B4951" s="1">
        <f>IFERROR(__xludf.DUMMYFUNCTION("""COMPUTED_VALUE"""),121.85)</f>
        <v>121.85</v>
      </c>
      <c r="C4951" s="1">
        <f>IFERROR(__xludf.DUMMYFUNCTION("""COMPUTED_VALUE"""),123.28)</f>
        <v>123.28</v>
      </c>
      <c r="D4951" s="1">
        <f>IFERROR(__xludf.DUMMYFUNCTION("""COMPUTED_VALUE"""),121.46)</f>
        <v>121.46</v>
      </c>
      <c r="E4951" s="1">
        <f>IFERROR(__xludf.DUMMYFUNCTION("""COMPUTED_VALUE"""),123.21)</f>
        <v>123.21</v>
      </c>
      <c r="F4951" s="1">
        <f>IFERROR(__xludf.DUMMYFUNCTION("""COMPUTED_VALUE"""),5602005.0)</f>
        <v>5602005</v>
      </c>
    </row>
    <row r="4952">
      <c r="A4952" s="2">
        <f>IFERROR(__xludf.DUMMYFUNCTION("""COMPUTED_VALUE"""),43713.66666666667)</f>
        <v>43713.66667</v>
      </c>
      <c r="B4952" s="1">
        <f>IFERROR(__xludf.DUMMYFUNCTION("""COMPUTED_VALUE"""),123.24)</f>
        <v>123.24</v>
      </c>
      <c r="C4952" s="1">
        <f>IFERROR(__xludf.DUMMYFUNCTION("""COMPUTED_VALUE"""),123.43)</f>
        <v>123.43</v>
      </c>
      <c r="D4952" s="1">
        <f>IFERROR(__xludf.DUMMYFUNCTION("""COMPUTED_VALUE"""),122.18)</f>
        <v>122.18</v>
      </c>
      <c r="E4952" s="1">
        <f>IFERROR(__xludf.DUMMYFUNCTION("""COMPUTED_VALUE"""),122.76)</f>
        <v>122.76</v>
      </c>
      <c r="F4952" s="1">
        <f>IFERROR(__xludf.DUMMYFUNCTION("""COMPUTED_VALUE"""),7491860.0)</f>
        <v>7491860</v>
      </c>
    </row>
    <row r="4953">
      <c r="A4953" s="2">
        <f>IFERROR(__xludf.DUMMYFUNCTION("""COMPUTED_VALUE"""),43714.66666666667)</f>
        <v>43714.66667</v>
      </c>
      <c r="B4953" s="1">
        <f>IFERROR(__xludf.DUMMYFUNCTION("""COMPUTED_VALUE"""),123.0)</f>
        <v>123</v>
      </c>
      <c r="C4953" s="1">
        <f>IFERROR(__xludf.DUMMYFUNCTION("""COMPUTED_VALUE"""),123.38)</f>
        <v>123.38</v>
      </c>
      <c r="D4953" s="1">
        <f>IFERROR(__xludf.DUMMYFUNCTION("""COMPUTED_VALUE"""),122.54)</f>
        <v>122.54</v>
      </c>
      <c r="E4953" s="1">
        <f>IFERROR(__xludf.DUMMYFUNCTION("""COMPUTED_VALUE"""),122.87)</f>
        <v>122.87</v>
      </c>
      <c r="F4953" s="1">
        <f>IFERROR(__xludf.DUMMYFUNCTION("""COMPUTED_VALUE"""),5307301.0)</f>
        <v>5307301</v>
      </c>
    </row>
    <row r="4954">
      <c r="A4954" s="2">
        <f>IFERROR(__xludf.DUMMYFUNCTION("""COMPUTED_VALUE"""),43717.66666666667)</f>
        <v>43717.66667</v>
      </c>
      <c r="B4954" s="1">
        <f>IFERROR(__xludf.DUMMYFUNCTION("""COMPUTED_VALUE"""),122.71)</f>
        <v>122.71</v>
      </c>
      <c r="C4954" s="1">
        <f>IFERROR(__xludf.DUMMYFUNCTION("""COMPUTED_VALUE"""),122.78)</f>
        <v>122.78</v>
      </c>
      <c r="D4954" s="1">
        <f>IFERROR(__xludf.DUMMYFUNCTION("""COMPUTED_VALUE"""),121.78)</f>
        <v>121.78</v>
      </c>
      <c r="E4954" s="1">
        <f>IFERROR(__xludf.DUMMYFUNCTION("""COMPUTED_VALUE"""),122.17)</f>
        <v>122.17</v>
      </c>
      <c r="F4954" s="1">
        <f>IFERROR(__xludf.DUMMYFUNCTION("""COMPUTED_VALUE"""),7662430.0)</f>
        <v>7662430</v>
      </c>
    </row>
    <row r="4955">
      <c r="A4955" s="2">
        <f>IFERROR(__xludf.DUMMYFUNCTION("""COMPUTED_VALUE"""),43718.66666666667)</f>
        <v>43718.66667</v>
      </c>
      <c r="B4955" s="1">
        <f>IFERROR(__xludf.DUMMYFUNCTION("""COMPUTED_VALUE"""),121.03)</f>
        <v>121.03</v>
      </c>
      <c r="C4955" s="1">
        <f>IFERROR(__xludf.DUMMYFUNCTION("""COMPUTED_VALUE"""),121.18)</f>
        <v>121.18</v>
      </c>
      <c r="D4955" s="1">
        <f>IFERROR(__xludf.DUMMYFUNCTION("""COMPUTED_VALUE"""),119.58)</f>
        <v>119.58</v>
      </c>
      <c r="E4955" s="1">
        <f>IFERROR(__xludf.DUMMYFUNCTION("""COMPUTED_VALUE"""),119.88)</f>
        <v>119.88</v>
      </c>
      <c r="F4955" s="1">
        <f>IFERROR(__xludf.DUMMYFUNCTION("""COMPUTED_VALUE"""),9582183.0)</f>
        <v>9582183</v>
      </c>
    </row>
    <row r="4956">
      <c r="A4956" s="2">
        <f>IFERROR(__xludf.DUMMYFUNCTION("""COMPUTED_VALUE"""),43719.66666666667)</f>
        <v>43719.66667</v>
      </c>
      <c r="B4956" s="1">
        <f>IFERROR(__xludf.DUMMYFUNCTION("""COMPUTED_VALUE"""),119.86)</f>
        <v>119.86</v>
      </c>
      <c r="C4956" s="1">
        <f>IFERROR(__xludf.DUMMYFUNCTION("""COMPUTED_VALUE"""),121.34)</f>
        <v>121.34</v>
      </c>
      <c r="D4956" s="1">
        <f>IFERROR(__xludf.DUMMYFUNCTION("""COMPUTED_VALUE"""),119.36)</f>
        <v>119.36</v>
      </c>
      <c r="E4956" s="1">
        <f>IFERROR(__xludf.DUMMYFUNCTION("""COMPUTED_VALUE"""),121.27)</f>
        <v>121.27</v>
      </c>
      <c r="F4956" s="1">
        <f>IFERROR(__xludf.DUMMYFUNCTION("""COMPUTED_VALUE"""),7565510.0)</f>
        <v>7565510</v>
      </c>
    </row>
    <row r="4957">
      <c r="A4957" s="2">
        <f>IFERROR(__xludf.DUMMYFUNCTION("""COMPUTED_VALUE"""),43720.66666666667)</f>
        <v>43720.66667</v>
      </c>
      <c r="B4957" s="1">
        <f>IFERROR(__xludf.DUMMYFUNCTION("""COMPUTED_VALUE"""),122.65)</f>
        <v>122.65</v>
      </c>
      <c r="C4957" s="1">
        <f>IFERROR(__xludf.DUMMYFUNCTION("""COMPUTED_VALUE"""),123.21)</f>
        <v>123.21</v>
      </c>
      <c r="D4957" s="1">
        <f>IFERROR(__xludf.DUMMYFUNCTION("""COMPUTED_VALUE"""),121.62)</f>
        <v>121.62</v>
      </c>
      <c r="E4957" s="1">
        <f>IFERROR(__xludf.DUMMYFUNCTION("""COMPUTED_VALUE"""),122.77)</f>
        <v>122.77</v>
      </c>
      <c r="F4957" s="1">
        <f>IFERROR(__xludf.DUMMYFUNCTION("""COMPUTED_VALUE"""),6194325.0)</f>
        <v>6194325</v>
      </c>
    </row>
    <row r="4958">
      <c r="A4958" s="2">
        <f>IFERROR(__xludf.DUMMYFUNCTION("""COMPUTED_VALUE"""),43721.66666666667)</f>
        <v>43721.66667</v>
      </c>
      <c r="B4958" s="1">
        <f>IFERROR(__xludf.DUMMYFUNCTION("""COMPUTED_VALUE"""),121.82)</f>
        <v>121.82</v>
      </c>
      <c r="C4958" s="1">
        <f>IFERROR(__xludf.DUMMYFUNCTION("""COMPUTED_VALUE"""),122.58)</f>
        <v>122.58</v>
      </c>
      <c r="D4958" s="1">
        <f>IFERROR(__xludf.DUMMYFUNCTION("""COMPUTED_VALUE"""),121.5)</f>
        <v>121.5</v>
      </c>
      <c r="E4958" s="1">
        <f>IFERROR(__xludf.DUMMYFUNCTION("""COMPUTED_VALUE"""),122.12)</f>
        <v>122.12</v>
      </c>
      <c r="F4958" s="1">
        <f>IFERROR(__xludf.DUMMYFUNCTION("""COMPUTED_VALUE"""),6777400.0)</f>
        <v>6777400</v>
      </c>
    </row>
    <row r="4959">
      <c r="A4959" s="2">
        <f>IFERROR(__xludf.DUMMYFUNCTION("""COMPUTED_VALUE"""),43724.66666666667)</f>
        <v>43724.66667</v>
      </c>
      <c r="B4959" s="1">
        <f>IFERROR(__xludf.DUMMYFUNCTION("""COMPUTED_VALUE"""),121.81)</f>
        <v>121.81</v>
      </c>
      <c r="C4959" s="1">
        <f>IFERROR(__xludf.DUMMYFUNCTION("""COMPUTED_VALUE"""),121.96)</f>
        <v>121.96</v>
      </c>
      <c r="D4959" s="1">
        <f>IFERROR(__xludf.DUMMYFUNCTION("""COMPUTED_VALUE"""),119.02)</f>
        <v>119.02</v>
      </c>
      <c r="E4959" s="1">
        <f>IFERROR(__xludf.DUMMYFUNCTION("""COMPUTED_VALUE"""),119.75)</f>
        <v>119.75</v>
      </c>
      <c r="F4959" s="1">
        <f>IFERROR(__xludf.DUMMYFUNCTION("""COMPUTED_VALUE"""),9626736.0)</f>
        <v>9626736</v>
      </c>
    </row>
    <row r="4960">
      <c r="A4960" s="2">
        <f>IFERROR(__xludf.DUMMYFUNCTION("""COMPUTED_VALUE"""),43725.66666666667)</f>
        <v>43725.66667</v>
      </c>
      <c r="B4960" s="1">
        <f>IFERROR(__xludf.DUMMYFUNCTION("""COMPUTED_VALUE"""),119.63)</f>
        <v>119.63</v>
      </c>
      <c r="C4960" s="1">
        <f>IFERROR(__xludf.DUMMYFUNCTION("""COMPUTED_VALUE"""),121.99)</f>
        <v>121.99</v>
      </c>
      <c r="D4960" s="1">
        <f>IFERROR(__xludf.DUMMYFUNCTION("""COMPUTED_VALUE"""),119.44)</f>
        <v>119.44</v>
      </c>
      <c r="E4960" s="1">
        <f>IFERROR(__xludf.DUMMYFUNCTION("""COMPUTED_VALUE"""),121.16)</f>
        <v>121.16</v>
      </c>
      <c r="F4960" s="1">
        <f>IFERROR(__xludf.DUMMYFUNCTION("""COMPUTED_VALUE"""),6403020.0)</f>
        <v>6403020</v>
      </c>
    </row>
    <row r="4961">
      <c r="A4961" s="2">
        <f>IFERROR(__xludf.DUMMYFUNCTION("""COMPUTED_VALUE"""),43726.66666666667)</f>
        <v>43726.66667</v>
      </c>
      <c r="B4961" s="1">
        <f>IFERROR(__xludf.DUMMYFUNCTION("""COMPUTED_VALUE"""),121.27)</f>
        <v>121.27</v>
      </c>
      <c r="C4961" s="1">
        <f>IFERROR(__xludf.DUMMYFUNCTION("""COMPUTED_VALUE"""),121.96)</f>
        <v>121.96</v>
      </c>
      <c r="D4961" s="1">
        <f>IFERROR(__xludf.DUMMYFUNCTION("""COMPUTED_VALUE"""),120.77)</f>
        <v>120.77</v>
      </c>
      <c r="E4961" s="1">
        <f>IFERROR(__xludf.DUMMYFUNCTION("""COMPUTED_VALUE"""),121.41)</f>
        <v>121.41</v>
      </c>
      <c r="F4961" s="1">
        <f>IFERROR(__xludf.DUMMYFUNCTION("""COMPUTED_VALUE"""),5788412.0)</f>
        <v>5788412</v>
      </c>
    </row>
    <row r="4962">
      <c r="A4962" s="2">
        <f>IFERROR(__xludf.DUMMYFUNCTION("""COMPUTED_VALUE"""),43727.66666666667)</f>
        <v>43727.66667</v>
      </c>
      <c r="B4962" s="1">
        <f>IFERROR(__xludf.DUMMYFUNCTION("""COMPUTED_VALUE"""),121.39)</f>
        <v>121.39</v>
      </c>
      <c r="C4962" s="1">
        <f>IFERROR(__xludf.DUMMYFUNCTION("""COMPUTED_VALUE"""),122.23)</f>
        <v>122.23</v>
      </c>
      <c r="D4962" s="1">
        <f>IFERROR(__xludf.DUMMYFUNCTION("""COMPUTED_VALUE"""),121.24)</f>
        <v>121.24</v>
      </c>
      <c r="E4962" s="1">
        <f>IFERROR(__xludf.DUMMYFUNCTION("""COMPUTED_VALUE"""),121.9)</f>
        <v>121.9</v>
      </c>
      <c r="F4962" s="1">
        <f>IFERROR(__xludf.DUMMYFUNCTION("""COMPUTED_VALUE"""),4752602.0)</f>
        <v>4752602</v>
      </c>
    </row>
    <row r="4963">
      <c r="A4963" s="2">
        <f>IFERROR(__xludf.DUMMYFUNCTION("""COMPUTED_VALUE"""),43728.66666666667)</f>
        <v>43728.66667</v>
      </c>
      <c r="B4963" s="1">
        <f>IFERROR(__xludf.DUMMYFUNCTION("""COMPUTED_VALUE"""),122.13)</f>
        <v>122.13</v>
      </c>
      <c r="C4963" s="1">
        <f>IFERROR(__xludf.DUMMYFUNCTION("""COMPUTED_VALUE"""),122.6)</f>
        <v>122.6</v>
      </c>
      <c r="D4963" s="1">
        <f>IFERROR(__xludf.DUMMYFUNCTION("""COMPUTED_VALUE"""),121.75)</f>
        <v>121.75</v>
      </c>
      <c r="E4963" s="1">
        <f>IFERROR(__xludf.DUMMYFUNCTION("""COMPUTED_VALUE"""),122.24)</f>
        <v>122.24</v>
      </c>
      <c r="F4963" s="1">
        <f>IFERROR(__xludf.DUMMYFUNCTION("""COMPUTED_VALUE"""),1.5437267E7)</f>
        <v>15437267</v>
      </c>
    </row>
    <row r="4964">
      <c r="A4964" s="2">
        <f>IFERROR(__xludf.DUMMYFUNCTION("""COMPUTED_VALUE"""),43731.66666666667)</f>
        <v>43731.66667</v>
      </c>
      <c r="B4964" s="1">
        <f>IFERROR(__xludf.DUMMYFUNCTION("""COMPUTED_VALUE"""),122.2)</f>
        <v>122.2</v>
      </c>
      <c r="C4964" s="1">
        <f>IFERROR(__xludf.DUMMYFUNCTION("""COMPUTED_VALUE"""),123.77)</f>
        <v>123.77</v>
      </c>
      <c r="D4964" s="1">
        <f>IFERROR(__xludf.DUMMYFUNCTION("""COMPUTED_VALUE"""),121.97)</f>
        <v>121.97</v>
      </c>
      <c r="E4964" s="1">
        <f>IFERROR(__xludf.DUMMYFUNCTION("""COMPUTED_VALUE"""),123.22)</f>
        <v>123.22</v>
      </c>
      <c r="F4964" s="1">
        <f>IFERROR(__xludf.DUMMYFUNCTION("""COMPUTED_VALUE"""),6255907.0)</f>
        <v>6255907</v>
      </c>
    </row>
    <row r="4965">
      <c r="A4965" s="2">
        <f>IFERROR(__xludf.DUMMYFUNCTION("""COMPUTED_VALUE"""),43732.66666666667)</f>
        <v>43732.66667</v>
      </c>
      <c r="B4965" s="1">
        <f>IFERROR(__xludf.DUMMYFUNCTION("""COMPUTED_VALUE"""),123.7)</f>
        <v>123.7</v>
      </c>
      <c r="C4965" s="1">
        <f>IFERROR(__xludf.DUMMYFUNCTION("""COMPUTED_VALUE"""),124.73)</f>
        <v>124.73</v>
      </c>
      <c r="D4965" s="1">
        <f>IFERROR(__xludf.DUMMYFUNCTION("""COMPUTED_VALUE"""),123.36)</f>
        <v>123.36</v>
      </c>
      <c r="E4965" s="1">
        <f>IFERROR(__xludf.DUMMYFUNCTION("""COMPUTED_VALUE"""),123.61)</f>
        <v>123.61</v>
      </c>
      <c r="F4965" s="1">
        <f>IFERROR(__xludf.DUMMYFUNCTION("""COMPUTED_VALUE"""),7810750.0)</f>
        <v>7810750</v>
      </c>
    </row>
    <row r="4966">
      <c r="A4966" s="2">
        <f>IFERROR(__xludf.DUMMYFUNCTION("""COMPUTED_VALUE"""),43733.66666666667)</f>
        <v>43733.66667</v>
      </c>
      <c r="B4966" s="1">
        <f>IFERROR(__xludf.DUMMYFUNCTION("""COMPUTED_VALUE"""),123.56)</f>
        <v>123.56</v>
      </c>
      <c r="C4966" s="1">
        <f>IFERROR(__xludf.DUMMYFUNCTION("""COMPUTED_VALUE"""),123.83)</f>
        <v>123.83</v>
      </c>
      <c r="D4966" s="1">
        <f>IFERROR(__xludf.DUMMYFUNCTION("""COMPUTED_VALUE"""),122.95)</f>
        <v>122.95</v>
      </c>
      <c r="E4966" s="1">
        <f>IFERROR(__xludf.DUMMYFUNCTION("""COMPUTED_VALUE"""),123.02)</f>
        <v>123.02</v>
      </c>
      <c r="F4966" s="1">
        <f>IFERROR(__xludf.DUMMYFUNCTION("""COMPUTED_VALUE"""),5842298.0)</f>
        <v>5842298</v>
      </c>
    </row>
    <row r="4967">
      <c r="A4967" s="2">
        <f>IFERROR(__xludf.DUMMYFUNCTION("""COMPUTED_VALUE"""),43734.66666666667)</f>
        <v>43734.66667</v>
      </c>
      <c r="B4967" s="1">
        <f>IFERROR(__xludf.DUMMYFUNCTION("""COMPUTED_VALUE"""),123.64)</f>
        <v>123.64</v>
      </c>
      <c r="C4967" s="1">
        <f>IFERROR(__xludf.DUMMYFUNCTION("""COMPUTED_VALUE"""),125.0)</f>
        <v>125</v>
      </c>
      <c r="D4967" s="1">
        <f>IFERROR(__xludf.DUMMYFUNCTION("""COMPUTED_VALUE"""),123.53)</f>
        <v>123.53</v>
      </c>
      <c r="E4967" s="1">
        <f>IFERROR(__xludf.DUMMYFUNCTION("""COMPUTED_VALUE"""),124.31)</f>
        <v>124.31</v>
      </c>
      <c r="F4967" s="1">
        <f>IFERROR(__xludf.DUMMYFUNCTION("""COMPUTED_VALUE"""),7058120.0)</f>
        <v>7058120</v>
      </c>
    </row>
    <row r="4968">
      <c r="A4968" s="2">
        <f>IFERROR(__xludf.DUMMYFUNCTION("""COMPUTED_VALUE"""),43735.66666666667)</f>
        <v>43735.66667</v>
      </c>
      <c r="B4968" s="1">
        <f>IFERROR(__xludf.DUMMYFUNCTION("""COMPUTED_VALUE"""),124.41)</f>
        <v>124.41</v>
      </c>
      <c r="C4968" s="1">
        <f>IFERROR(__xludf.DUMMYFUNCTION("""COMPUTED_VALUE"""),124.88)</f>
        <v>124.88</v>
      </c>
      <c r="D4968" s="1">
        <f>IFERROR(__xludf.DUMMYFUNCTION("""COMPUTED_VALUE"""),123.72)</f>
        <v>123.72</v>
      </c>
      <c r="E4968" s="1">
        <f>IFERROR(__xludf.DUMMYFUNCTION("""COMPUTED_VALUE"""),124.57)</f>
        <v>124.57</v>
      </c>
      <c r="F4968" s="1">
        <f>IFERROR(__xludf.DUMMYFUNCTION("""COMPUTED_VALUE"""),5590415.0)</f>
        <v>5590415</v>
      </c>
    </row>
    <row r="4969">
      <c r="A4969" s="2">
        <f>IFERROR(__xludf.DUMMYFUNCTION("""COMPUTED_VALUE"""),43738.66666666667)</f>
        <v>43738.66667</v>
      </c>
      <c r="B4969" s="1">
        <f>IFERROR(__xludf.DUMMYFUNCTION("""COMPUTED_VALUE"""),124.57)</f>
        <v>124.57</v>
      </c>
      <c r="C4969" s="1">
        <f>IFERROR(__xludf.DUMMYFUNCTION("""COMPUTED_VALUE"""),125.36)</f>
        <v>125.36</v>
      </c>
      <c r="D4969" s="1">
        <f>IFERROR(__xludf.DUMMYFUNCTION("""COMPUTED_VALUE"""),124.13)</f>
        <v>124.13</v>
      </c>
      <c r="E4969" s="1">
        <f>IFERROR(__xludf.DUMMYFUNCTION("""COMPUTED_VALUE"""),124.38)</f>
        <v>124.38</v>
      </c>
      <c r="F4969" s="1">
        <f>IFERROR(__xludf.DUMMYFUNCTION("""COMPUTED_VALUE"""),5227313.0)</f>
        <v>5227313</v>
      </c>
    </row>
    <row r="4970">
      <c r="A4970" s="2">
        <f>IFERROR(__xludf.DUMMYFUNCTION("""COMPUTED_VALUE"""),43739.66666666667)</f>
        <v>43739.66667</v>
      </c>
      <c r="B4970" s="1">
        <f>IFERROR(__xludf.DUMMYFUNCTION("""COMPUTED_VALUE"""),124.36)</f>
        <v>124.36</v>
      </c>
      <c r="C4970" s="1">
        <f>IFERROR(__xludf.DUMMYFUNCTION("""COMPUTED_VALUE"""),124.64)</f>
        <v>124.64</v>
      </c>
      <c r="D4970" s="1">
        <f>IFERROR(__xludf.DUMMYFUNCTION("""COMPUTED_VALUE"""),123.2)</f>
        <v>123.2</v>
      </c>
      <c r="E4970" s="1">
        <f>IFERROR(__xludf.DUMMYFUNCTION("""COMPUTED_VALUE"""),123.85)</f>
        <v>123.85</v>
      </c>
      <c r="F4970" s="1">
        <f>IFERROR(__xludf.DUMMYFUNCTION("""COMPUTED_VALUE"""),5456228.0)</f>
        <v>5456228</v>
      </c>
    </row>
    <row r="4971">
      <c r="A4971" s="2">
        <f>IFERROR(__xludf.DUMMYFUNCTION("""COMPUTED_VALUE"""),43740.66666666667)</f>
        <v>43740.66667</v>
      </c>
      <c r="B4971" s="1">
        <f>IFERROR(__xludf.DUMMYFUNCTION("""COMPUTED_VALUE"""),123.2)</f>
        <v>123.2</v>
      </c>
      <c r="C4971" s="1">
        <f>IFERROR(__xludf.DUMMYFUNCTION("""COMPUTED_VALUE"""),123.65)</f>
        <v>123.65</v>
      </c>
      <c r="D4971" s="1">
        <f>IFERROR(__xludf.DUMMYFUNCTION("""COMPUTED_VALUE"""),120.21)</f>
        <v>120.21</v>
      </c>
      <c r="E4971" s="1">
        <f>IFERROR(__xludf.DUMMYFUNCTION("""COMPUTED_VALUE"""),121.08)</f>
        <v>121.08</v>
      </c>
      <c r="F4971" s="1">
        <f>IFERROR(__xludf.DUMMYFUNCTION("""COMPUTED_VALUE"""),6800669.0)</f>
        <v>6800669</v>
      </c>
    </row>
    <row r="4972">
      <c r="A4972" s="2">
        <f>IFERROR(__xludf.DUMMYFUNCTION("""COMPUTED_VALUE"""),43741.66666666667)</f>
        <v>43741.66667</v>
      </c>
      <c r="B4972" s="1">
        <f>IFERROR(__xludf.DUMMYFUNCTION("""COMPUTED_VALUE"""),121.67)</f>
        <v>121.67</v>
      </c>
      <c r="C4972" s="1">
        <f>IFERROR(__xludf.DUMMYFUNCTION("""COMPUTED_VALUE"""),122.54)</f>
        <v>122.54</v>
      </c>
      <c r="D4972" s="1">
        <f>IFERROR(__xludf.DUMMYFUNCTION("""COMPUTED_VALUE"""),120.84)</f>
        <v>120.84</v>
      </c>
      <c r="E4972" s="1">
        <f>IFERROR(__xludf.DUMMYFUNCTION("""COMPUTED_VALUE"""),121.74)</f>
        <v>121.74</v>
      </c>
      <c r="F4972" s="1">
        <f>IFERROR(__xludf.DUMMYFUNCTION("""COMPUTED_VALUE"""),5235240.0)</f>
        <v>5235240</v>
      </c>
    </row>
    <row r="4973">
      <c r="A4973" s="2">
        <f>IFERROR(__xludf.DUMMYFUNCTION("""COMPUTED_VALUE"""),43742.66666666667)</f>
        <v>43742.66667</v>
      </c>
      <c r="B4973" s="1">
        <f>IFERROR(__xludf.DUMMYFUNCTION("""COMPUTED_VALUE"""),122.19)</f>
        <v>122.19</v>
      </c>
      <c r="C4973" s="1">
        <f>IFERROR(__xludf.DUMMYFUNCTION("""COMPUTED_VALUE"""),124.06)</f>
        <v>124.06</v>
      </c>
      <c r="D4973" s="1">
        <f>IFERROR(__xludf.DUMMYFUNCTION("""COMPUTED_VALUE"""),121.99)</f>
        <v>121.99</v>
      </c>
      <c r="E4973" s="1">
        <f>IFERROR(__xludf.DUMMYFUNCTION("""COMPUTED_VALUE"""),124.0)</f>
        <v>124</v>
      </c>
      <c r="F4973" s="1">
        <f>IFERROR(__xludf.DUMMYFUNCTION("""COMPUTED_VALUE"""),4405651.0)</f>
        <v>4405651</v>
      </c>
    </row>
    <row r="4974">
      <c r="A4974" s="2">
        <f>IFERROR(__xludf.DUMMYFUNCTION("""COMPUTED_VALUE"""),43745.66666666667)</f>
        <v>43745.66667</v>
      </c>
      <c r="B4974" s="1">
        <f>IFERROR(__xludf.DUMMYFUNCTION("""COMPUTED_VALUE"""),123.53)</f>
        <v>123.53</v>
      </c>
      <c r="C4974" s="1">
        <f>IFERROR(__xludf.DUMMYFUNCTION("""COMPUTED_VALUE"""),123.89)</f>
        <v>123.89</v>
      </c>
      <c r="D4974" s="1">
        <f>IFERROR(__xludf.DUMMYFUNCTION("""COMPUTED_VALUE"""),122.68)</f>
        <v>122.68</v>
      </c>
      <c r="E4974" s="1">
        <f>IFERROR(__xludf.DUMMYFUNCTION("""COMPUTED_VALUE"""),122.84)</f>
        <v>122.84</v>
      </c>
      <c r="F4974" s="1">
        <f>IFERROR(__xludf.DUMMYFUNCTION("""COMPUTED_VALUE"""),4783975.0)</f>
        <v>4783975</v>
      </c>
    </row>
    <row r="4975">
      <c r="A4975" s="2">
        <f>IFERROR(__xludf.DUMMYFUNCTION("""COMPUTED_VALUE"""),43746.66666666667)</f>
        <v>43746.66667</v>
      </c>
      <c r="B4975" s="1">
        <f>IFERROR(__xludf.DUMMYFUNCTION("""COMPUTED_VALUE"""),122.66)</f>
        <v>122.66</v>
      </c>
      <c r="C4975" s="1">
        <f>IFERROR(__xludf.DUMMYFUNCTION("""COMPUTED_VALUE"""),122.93)</f>
        <v>122.93</v>
      </c>
      <c r="D4975" s="1">
        <f>IFERROR(__xludf.DUMMYFUNCTION("""COMPUTED_VALUE"""),120.88)</f>
        <v>120.88</v>
      </c>
      <c r="E4975" s="1">
        <f>IFERROR(__xludf.DUMMYFUNCTION("""COMPUTED_VALUE"""),120.93)</f>
        <v>120.93</v>
      </c>
      <c r="F4975" s="1">
        <f>IFERROR(__xludf.DUMMYFUNCTION("""COMPUTED_VALUE"""),6194271.0)</f>
        <v>6194271</v>
      </c>
    </row>
    <row r="4976">
      <c r="A4976" s="2">
        <f>IFERROR(__xludf.DUMMYFUNCTION("""COMPUTED_VALUE"""),43747.66666666667)</f>
        <v>43747.66667</v>
      </c>
      <c r="B4976" s="1">
        <f>IFERROR(__xludf.DUMMYFUNCTION("""COMPUTED_VALUE"""),121.81)</f>
        <v>121.81</v>
      </c>
      <c r="C4976" s="1">
        <f>IFERROR(__xludf.DUMMYFUNCTION("""COMPUTED_VALUE"""),122.39)</f>
        <v>122.39</v>
      </c>
      <c r="D4976" s="1">
        <f>IFERROR(__xludf.DUMMYFUNCTION("""COMPUTED_VALUE"""),121.43)</f>
        <v>121.43</v>
      </c>
      <c r="E4976" s="1">
        <f>IFERROR(__xludf.DUMMYFUNCTION("""COMPUTED_VALUE"""),121.98)</f>
        <v>121.98</v>
      </c>
      <c r="F4976" s="1">
        <f>IFERROR(__xludf.DUMMYFUNCTION("""COMPUTED_VALUE"""),3793246.0)</f>
        <v>3793246</v>
      </c>
    </row>
    <row r="4977">
      <c r="A4977" s="2">
        <f>IFERROR(__xludf.DUMMYFUNCTION("""COMPUTED_VALUE"""),43748.66666666667)</f>
        <v>43748.66667</v>
      </c>
      <c r="B4977" s="1">
        <f>IFERROR(__xludf.DUMMYFUNCTION("""COMPUTED_VALUE"""),121.33)</f>
        <v>121.33</v>
      </c>
      <c r="C4977" s="1">
        <f>IFERROR(__xludf.DUMMYFUNCTION("""COMPUTED_VALUE"""),122.19)</f>
        <v>122.19</v>
      </c>
      <c r="D4977" s="1">
        <f>IFERROR(__xludf.DUMMYFUNCTION("""COMPUTED_VALUE"""),120.8)</f>
        <v>120.8</v>
      </c>
      <c r="E4977" s="1">
        <f>IFERROR(__xludf.DUMMYFUNCTION("""COMPUTED_VALUE"""),121.94)</f>
        <v>121.94</v>
      </c>
      <c r="F4977" s="1">
        <f>IFERROR(__xludf.DUMMYFUNCTION("""COMPUTED_VALUE"""),4117940.0)</f>
        <v>4117940</v>
      </c>
    </row>
    <row r="4978">
      <c r="A4978" s="2">
        <f>IFERROR(__xludf.DUMMYFUNCTION("""COMPUTED_VALUE"""),43749.66666666667)</f>
        <v>43749.66667</v>
      </c>
      <c r="B4978" s="1">
        <f>IFERROR(__xludf.DUMMYFUNCTION("""COMPUTED_VALUE"""),122.04)</f>
        <v>122.04</v>
      </c>
      <c r="C4978" s="1">
        <f>IFERROR(__xludf.DUMMYFUNCTION("""COMPUTED_VALUE"""),122.06)</f>
        <v>122.06</v>
      </c>
      <c r="D4978" s="1">
        <f>IFERROR(__xludf.DUMMYFUNCTION("""COMPUTED_VALUE"""),120.82)</f>
        <v>120.82</v>
      </c>
      <c r="E4978" s="1">
        <f>IFERROR(__xludf.DUMMYFUNCTION("""COMPUTED_VALUE"""),121.09)</f>
        <v>121.09</v>
      </c>
      <c r="F4978" s="1">
        <f>IFERROR(__xludf.DUMMYFUNCTION("""COMPUTED_VALUE"""),6301624.0)</f>
        <v>6301624</v>
      </c>
    </row>
    <row r="4979">
      <c r="A4979" s="2">
        <f>IFERROR(__xludf.DUMMYFUNCTION("""COMPUTED_VALUE"""),43752.66666666667)</f>
        <v>43752.66667</v>
      </c>
      <c r="B4979" s="1">
        <f>IFERROR(__xludf.DUMMYFUNCTION("""COMPUTED_VALUE"""),121.62)</f>
        <v>121.62</v>
      </c>
      <c r="C4979" s="1">
        <f>IFERROR(__xludf.DUMMYFUNCTION("""COMPUTED_VALUE"""),121.62)</f>
        <v>121.62</v>
      </c>
      <c r="D4979" s="1">
        <f>IFERROR(__xludf.DUMMYFUNCTION("""COMPUTED_VALUE"""),119.58)</f>
        <v>119.58</v>
      </c>
      <c r="E4979" s="1">
        <f>IFERROR(__xludf.DUMMYFUNCTION("""COMPUTED_VALUE"""),120.05)</f>
        <v>120.05</v>
      </c>
      <c r="F4979" s="1">
        <f>IFERROR(__xludf.DUMMYFUNCTION("""COMPUTED_VALUE"""),7383513.0)</f>
        <v>7383513</v>
      </c>
    </row>
    <row r="4980">
      <c r="A4980" s="2">
        <f>IFERROR(__xludf.DUMMYFUNCTION("""COMPUTED_VALUE"""),43753.66666666667)</f>
        <v>43753.66667</v>
      </c>
      <c r="B4980" s="1">
        <f>IFERROR(__xludf.DUMMYFUNCTION("""COMPUTED_VALUE"""),120.19)</f>
        <v>120.19</v>
      </c>
      <c r="C4980" s="1">
        <f>IFERROR(__xludf.DUMMYFUNCTION("""COMPUTED_VALUE"""),120.56)</f>
        <v>120.56</v>
      </c>
      <c r="D4980" s="1">
        <f>IFERROR(__xludf.DUMMYFUNCTION("""COMPUTED_VALUE"""),116.7)</f>
        <v>116.7</v>
      </c>
      <c r="E4980" s="1">
        <f>IFERROR(__xludf.DUMMYFUNCTION("""COMPUTED_VALUE"""),117.2)</f>
        <v>117.2</v>
      </c>
      <c r="F4980" s="1">
        <f>IFERROR(__xludf.DUMMYFUNCTION("""COMPUTED_VALUE"""),1.1176209E7)</f>
        <v>11176209</v>
      </c>
    </row>
    <row r="4981">
      <c r="A4981" s="2">
        <f>IFERROR(__xludf.DUMMYFUNCTION("""COMPUTED_VALUE"""),43754.66666666667)</f>
        <v>43754.66667</v>
      </c>
      <c r="B4981" s="1">
        <f>IFERROR(__xludf.DUMMYFUNCTION("""COMPUTED_VALUE"""),117.67)</f>
        <v>117.67</v>
      </c>
      <c r="C4981" s="1">
        <f>IFERROR(__xludf.DUMMYFUNCTION("""COMPUTED_VALUE"""),117.77)</f>
        <v>117.77</v>
      </c>
      <c r="D4981" s="1">
        <f>IFERROR(__xludf.DUMMYFUNCTION("""COMPUTED_VALUE"""),116.51)</f>
        <v>116.51</v>
      </c>
      <c r="E4981" s="1">
        <f>IFERROR(__xludf.DUMMYFUNCTION("""COMPUTED_VALUE"""),117.53)</f>
        <v>117.53</v>
      </c>
      <c r="F4981" s="1">
        <f>IFERROR(__xludf.DUMMYFUNCTION("""COMPUTED_VALUE"""),8000126.0)</f>
        <v>8000126</v>
      </c>
    </row>
    <row r="4982">
      <c r="A4982" s="2">
        <f>IFERROR(__xludf.DUMMYFUNCTION("""COMPUTED_VALUE"""),43755.66666666667)</f>
        <v>43755.66667</v>
      </c>
      <c r="B4982" s="1">
        <f>IFERROR(__xludf.DUMMYFUNCTION("""COMPUTED_VALUE"""),117.31)</f>
        <v>117.31</v>
      </c>
      <c r="C4982" s="1">
        <f>IFERROR(__xludf.DUMMYFUNCTION("""COMPUTED_VALUE"""),117.64)</f>
        <v>117.64</v>
      </c>
      <c r="D4982" s="1">
        <f>IFERROR(__xludf.DUMMYFUNCTION("""COMPUTED_VALUE"""),116.55)</f>
        <v>116.55</v>
      </c>
      <c r="E4982" s="1">
        <f>IFERROR(__xludf.DUMMYFUNCTION("""COMPUTED_VALUE"""),116.63)</f>
        <v>116.63</v>
      </c>
      <c r="F4982" s="1">
        <f>IFERROR(__xludf.DUMMYFUNCTION("""COMPUTED_VALUE"""),5994308.0)</f>
        <v>5994308</v>
      </c>
    </row>
    <row r="4983">
      <c r="A4983" s="2">
        <f>IFERROR(__xludf.DUMMYFUNCTION("""COMPUTED_VALUE"""),43756.66666666667)</f>
        <v>43756.66667</v>
      </c>
      <c r="B4983" s="1">
        <f>IFERROR(__xludf.DUMMYFUNCTION("""COMPUTED_VALUE"""),116.55)</f>
        <v>116.55</v>
      </c>
      <c r="C4983" s="1">
        <f>IFERROR(__xludf.DUMMYFUNCTION("""COMPUTED_VALUE"""),117.75)</f>
        <v>117.75</v>
      </c>
      <c r="D4983" s="1">
        <f>IFERROR(__xludf.DUMMYFUNCTION("""COMPUTED_VALUE"""),116.17)</f>
        <v>116.17</v>
      </c>
      <c r="E4983" s="1">
        <f>IFERROR(__xludf.DUMMYFUNCTION("""COMPUTED_VALUE"""),117.47)</f>
        <v>117.47</v>
      </c>
      <c r="F4983" s="1">
        <f>IFERROR(__xludf.DUMMYFUNCTION("""COMPUTED_VALUE"""),9016947.0)</f>
        <v>9016947</v>
      </c>
    </row>
    <row r="4984">
      <c r="A4984" s="2">
        <f>IFERROR(__xludf.DUMMYFUNCTION("""COMPUTED_VALUE"""),43759.66666666667)</f>
        <v>43759.66667</v>
      </c>
      <c r="B4984" s="1">
        <f>IFERROR(__xludf.DUMMYFUNCTION("""COMPUTED_VALUE"""),117.42)</f>
        <v>117.42</v>
      </c>
      <c r="C4984" s="1">
        <f>IFERROR(__xludf.DUMMYFUNCTION("""COMPUTED_VALUE"""),119.12)</f>
        <v>119.12</v>
      </c>
      <c r="D4984" s="1">
        <f>IFERROR(__xludf.DUMMYFUNCTION("""COMPUTED_VALUE"""),117.35)</f>
        <v>117.35</v>
      </c>
      <c r="E4984" s="1">
        <f>IFERROR(__xludf.DUMMYFUNCTION("""COMPUTED_VALUE"""),119.08)</f>
        <v>119.08</v>
      </c>
      <c r="F4984" s="1">
        <f>IFERROR(__xludf.DUMMYFUNCTION("""COMPUTED_VALUE"""),7232768.0)</f>
        <v>7232768</v>
      </c>
    </row>
    <row r="4985">
      <c r="A4985" s="2">
        <f>IFERROR(__xludf.DUMMYFUNCTION("""COMPUTED_VALUE"""),43760.66666666667)</f>
        <v>43760.66667</v>
      </c>
      <c r="B4985" s="1">
        <f>IFERROR(__xludf.DUMMYFUNCTION("""COMPUTED_VALUE"""),124.0)</f>
        <v>124</v>
      </c>
      <c r="C4985" s="1">
        <f>IFERROR(__xludf.DUMMYFUNCTION("""COMPUTED_VALUE"""),124.22)</f>
        <v>124.22</v>
      </c>
      <c r="D4985" s="1">
        <f>IFERROR(__xludf.DUMMYFUNCTION("""COMPUTED_VALUE"""),121.6)</f>
        <v>121.6</v>
      </c>
      <c r="E4985" s="1">
        <f>IFERROR(__xludf.DUMMYFUNCTION("""COMPUTED_VALUE"""),122.18)</f>
        <v>122.18</v>
      </c>
      <c r="F4985" s="1">
        <f>IFERROR(__xludf.DUMMYFUNCTION("""COMPUTED_VALUE"""),1.4489876E7)</f>
        <v>14489876</v>
      </c>
    </row>
    <row r="4986">
      <c r="A4986" s="2">
        <f>IFERROR(__xludf.DUMMYFUNCTION("""COMPUTED_VALUE"""),43761.66666666667)</f>
        <v>43761.66667</v>
      </c>
      <c r="B4986" s="1">
        <f>IFERROR(__xludf.DUMMYFUNCTION("""COMPUTED_VALUE"""),121.99)</f>
        <v>121.99</v>
      </c>
      <c r="C4986" s="1">
        <f>IFERROR(__xludf.DUMMYFUNCTION("""COMPUTED_VALUE"""),123.73)</f>
        <v>123.73</v>
      </c>
      <c r="D4986" s="1">
        <f>IFERROR(__xludf.DUMMYFUNCTION("""COMPUTED_VALUE"""),121.84)</f>
        <v>121.84</v>
      </c>
      <c r="E4986" s="1">
        <f>IFERROR(__xludf.DUMMYFUNCTION("""COMPUTED_VALUE"""),123.0)</f>
        <v>123</v>
      </c>
      <c r="F4986" s="1">
        <f>IFERROR(__xludf.DUMMYFUNCTION("""COMPUTED_VALUE"""),8320038.0)</f>
        <v>8320038</v>
      </c>
    </row>
    <row r="4987">
      <c r="A4987" s="2">
        <f>IFERROR(__xludf.DUMMYFUNCTION("""COMPUTED_VALUE"""),43762.66666666667)</f>
        <v>43762.66667</v>
      </c>
      <c r="B4987" s="1">
        <f>IFERROR(__xludf.DUMMYFUNCTION("""COMPUTED_VALUE"""),123.76)</f>
        <v>123.76</v>
      </c>
      <c r="C4987" s="1">
        <f>IFERROR(__xludf.DUMMYFUNCTION("""COMPUTED_VALUE"""),125.77)</f>
        <v>125.77</v>
      </c>
      <c r="D4987" s="1">
        <f>IFERROR(__xludf.DUMMYFUNCTION("""COMPUTED_VALUE"""),123.34)</f>
        <v>123.34</v>
      </c>
      <c r="E4987" s="1">
        <f>IFERROR(__xludf.DUMMYFUNCTION("""COMPUTED_VALUE"""),124.79)</f>
        <v>124.79</v>
      </c>
      <c r="F4987" s="1">
        <f>IFERROR(__xludf.DUMMYFUNCTION("""COMPUTED_VALUE"""),6746318.0)</f>
        <v>6746318</v>
      </c>
    </row>
    <row r="4988">
      <c r="A4988" s="2">
        <f>IFERROR(__xludf.DUMMYFUNCTION("""COMPUTED_VALUE"""),43763.66666666667)</f>
        <v>43763.66667</v>
      </c>
      <c r="B4988" s="1">
        <f>IFERROR(__xludf.DUMMYFUNCTION("""COMPUTED_VALUE"""),124.82)</f>
        <v>124.82</v>
      </c>
      <c r="C4988" s="1">
        <f>IFERROR(__xludf.DUMMYFUNCTION("""COMPUTED_VALUE"""),124.82)</f>
        <v>124.82</v>
      </c>
      <c r="D4988" s="1">
        <f>IFERROR(__xludf.DUMMYFUNCTION("""COMPUTED_VALUE"""),123.17)</f>
        <v>123.17</v>
      </c>
      <c r="E4988" s="1">
        <f>IFERROR(__xludf.DUMMYFUNCTION("""COMPUTED_VALUE"""),123.25)</f>
        <v>123.25</v>
      </c>
      <c r="F4988" s="1">
        <f>IFERROR(__xludf.DUMMYFUNCTION("""COMPUTED_VALUE"""),6093305.0)</f>
        <v>6093305</v>
      </c>
    </row>
    <row r="4989">
      <c r="A4989" s="2">
        <f>IFERROR(__xludf.DUMMYFUNCTION("""COMPUTED_VALUE"""),43766.66666666667)</f>
        <v>43766.66667</v>
      </c>
      <c r="B4989" s="1">
        <f>IFERROR(__xludf.DUMMYFUNCTION("""COMPUTED_VALUE"""),123.48)</f>
        <v>123.48</v>
      </c>
      <c r="C4989" s="1">
        <f>IFERROR(__xludf.DUMMYFUNCTION("""COMPUTED_VALUE"""),124.12)</f>
        <v>124.12</v>
      </c>
      <c r="D4989" s="1">
        <f>IFERROR(__xludf.DUMMYFUNCTION("""COMPUTED_VALUE"""),122.6)</f>
        <v>122.6</v>
      </c>
      <c r="E4989" s="1">
        <f>IFERROR(__xludf.DUMMYFUNCTION("""COMPUTED_VALUE"""),123.48)</f>
        <v>123.48</v>
      </c>
      <c r="F4989" s="1">
        <f>IFERROR(__xludf.DUMMYFUNCTION("""COMPUTED_VALUE"""),5459510.0)</f>
        <v>5459510</v>
      </c>
    </row>
    <row r="4990">
      <c r="A4990" s="2">
        <f>IFERROR(__xludf.DUMMYFUNCTION("""COMPUTED_VALUE"""),43767.66666666667)</f>
        <v>43767.66667</v>
      </c>
      <c r="B4990" s="1">
        <f>IFERROR(__xludf.DUMMYFUNCTION("""COMPUTED_VALUE"""),123.2)</f>
        <v>123.2</v>
      </c>
      <c r="C4990" s="1">
        <f>IFERROR(__xludf.DUMMYFUNCTION("""COMPUTED_VALUE"""),124.56)</f>
        <v>124.56</v>
      </c>
      <c r="D4990" s="1">
        <f>IFERROR(__xludf.DUMMYFUNCTION("""COMPUTED_VALUE"""),123.1)</f>
        <v>123.1</v>
      </c>
      <c r="E4990" s="1">
        <f>IFERROR(__xludf.DUMMYFUNCTION("""COMPUTED_VALUE"""),123.6)</f>
        <v>123.6</v>
      </c>
      <c r="F4990" s="1">
        <f>IFERROR(__xludf.DUMMYFUNCTION("""COMPUTED_VALUE"""),5659836.0)</f>
        <v>5659836</v>
      </c>
    </row>
    <row r="4991">
      <c r="A4991" s="2">
        <f>IFERROR(__xludf.DUMMYFUNCTION("""COMPUTED_VALUE"""),43768.66666666667)</f>
        <v>43768.66667</v>
      </c>
      <c r="B4991" s="1">
        <f>IFERROR(__xludf.DUMMYFUNCTION("""COMPUTED_VALUE"""),123.99)</f>
        <v>123.99</v>
      </c>
      <c r="C4991" s="1">
        <f>IFERROR(__xludf.DUMMYFUNCTION("""COMPUTED_VALUE"""),125.17)</f>
        <v>125.17</v>
      </c>
      <c r="D4991" s="1">
        <f>IFERROR(__xludf.DUMMYFUNCTION("""COMPUTED_VALUE"""),123.5)</f>
        <v>123.5</v>
      </c>
      <c r="E4991" s="1">
        <f>IFERROR(__xludf.DUMMYFUNCTION("""COMPUTED_VALUE"""),124.94)</f>
        <v>124.94</v>
      </c>
      <c r="F4991" s="1">
        <f>IFERROR(__xludf.DUMMYFUNCTION("""COMPUTED_VALUE"""),4734450.0)</f>
        <v>4734450</v>
      </c>
    </row>
    <row r="4992">
      <c r="A4992" s="2">
        <f>IFERROR(__xludf.DUMMYFUNCTION("""COMPUTED_VALUE"""),43769.66666666667)</f>
        <v>43769.66667</v>
      </c>
      <c r="B4992" s="1">
        <f>IFERROR(__xludf.DUMMYFUNCTION("""COMPUTED_VALUE"""),124.79)</f>
        <v>124.79</v>
      </c>
      <c r="C4992" s="1">
        <f>IFERROR(__xludf.DUMMYFUNCTION("""COMPUTED_VALUE"""),125.45)</f>
        <v>125.45</v>
      </c>
      <c r="D4992" s="1">
        <f>IFERROR(__xludf.DUMMYFUNCTION("""COMPUTED_VALUE"""),123.36)</f>
        <v>123.36</v>
      </c>
      <c r="E4992" s="1">
        <f>IFERROR(__xludf.DUMMYFUNCTION("""COMPUTED_VALUE"""),124.51)</f>
        <v>124.51</v>
      </c>
      <c r="F4992" s="1">
        <f>IFERROR(__xludf.DUMMYFUNCTION("""COMPUTED_VALUE"""),6399499.0)</f>
        <v>6399499</v>
      </c>
    </row>
    <row r="4993">
      <c r="A4993" s="2">
        <f>IFERROR(__xludf.DUMMYFUNCTION("""COMPUTED_VALUE"""),43770.66666666667)</f>
        <v>43770.66667</v>
      </c>
      <c r="B4993" s="1">
        <f>IFERROR(__xludf.DUMMYFUNCTION("""COMPUTED_VALUE"""),124.83)</f>
        <v>124.83</v>
      </c>
      <c r="C4993" s="1">
        <f>IFERROR(__xludf.DUMMYFUNCTION("""COMPUTED_VALUE"""),125.14)</f>
        <v>125.14</v>
      </c>
      <c r="D4993" s="1">
        <f>IFERROR(__xludf.DUMMYFUNCTION("""COMPUTED_VALUE"""),123.25)</f>
        <v>123.25</v>
      </c>
      <c r="E4993" s="1">
        <f>IFERROR(__xludf.DUMMYFUNCTION("""COMPUTED_VALUE"""),123.87)</f>
        <v>123.87</v>
      </c>
      <c r="F4993" s="1">
        <f>IFERROR(__xludf.DUMMYFUNCTION("""COMPUTED_VALUE"""),6010150.0)</f>
        <v>6010150</v>
      </c>
    </row>
    <row r="4994">
      <c r="A4994" s="2">
        <f>IFERROR(__xludf.DUMMYFUNCTION("""COMPUTED_VALUE"""),43773.66666666667)</f>
        <v>43773.66667</v>
      </c>
      <c r="B4994" s="1">
        <f>IFERROR(__xludf.DUMMYFUNCTION("""COMPUTED_VALUE"""),123.92)</f>
        <v>123.92</v>
      </c>
      <c r="C4994" s="1">
        <f>IFERROR(__xludf.DUMMYFUNCTION("""COMPUTED_VALUE"""),123.92)</f>
        <v>123.92</v>
      </c>
      <c r="D4994" s="1">
        <f>IFERROR(__xludf.DUMMYFUNCTION("""COMPUTED_VALUE"""),118.64)</f>
        <v>118.64</v>
      </c>
      <c r="E4994" s="1">
        <f>IFERROR(__xludf.DUMMYFUNCTION("""COMPUTED_VALUE"""),119.07)</f>
        <v>119.07</v>
      </c>
      <c r="F4994" s="1">
        <f>IFERROR(__xludf.DUMMYFUNCTION("""COMPUTED_VALUE"""),1.0351372E7)</f>
        <v>10351372</v>
      </c>
    </row>
    <row r="4995">
      <c r="A4995" s="2">
        <f>IFERROR(__xludf.DUMMYFUNCTION("""COMPUTED_VALUE"""),43774.66666666667)</f>
        <v>43774.66667</v>
      </c>
      <c r="B4995" s="1">
        <f>IFERROR(__xludf.DUMMYFUNCTION("""COMPUTED_VALUE"""),118.83)</f>
        <v>118.83</v>
      </c>
      <c r="C4995" s="1">
        <f>IFERROR(__xludf.DUMMYFUNCTION("""COMPUTED_VALUE"""),119.59)</f>
        <v>119.59</v>
      </c>
      <c r="D4995" s="1">
        <f>IFERROR(__xludf.DUMMYFUNCTION("""COMPUTED_VALUE"""),118.24)</f>
        <v>118.24</v>
      </c>
      <c r="E4995" s="1">
        <f>IFERROR(__xludf.DUMMYFUNCTION("""COMPUTED_VALUE"""),118.9)</f>
        <v>118.9</v>
      </c>
      <c r="F4995" s="1">
        <f>IFERROR(__xludf.DUMMYFUNCTION("""COMPUTED_VALUE"""),9239611.0)</f>
        <v>9239611</v>
      </c>
    </row>
    <row r="4996">
      <c r="A4996" s="2">
        <f>IFERROR(__xludf.DUMMYFUNCTION("""COMPUTED_VALUE"""),43775.66666666667)</f>
        <v>43775.66667</v>
      </c>
      <c r="B4996" s="1">
        <f>IFERROR(__xludf.DUMMYFUNCTION("""COMPUTED_VALUE"""),119.1)</f>
        <v>119.1</v>
      </c>
      <c r="C4996" s="1">
        <f>IFERROR(__xludf.DUMMYFUNCTION("""COMPUTED_VALUE"""),120.35)</f>
        <v>120.35</v>
      </c>
      <c r="D4996" s="1">
        <f>IFERROR(__xludf.DUMMYFUNCTION("""COMPUTED_VALUE"""),118.66)</f>
        <v>118.66</v>
      </c>
      <c r="E4996" s="1">
        <f>IFERROR(__xludf.DUMMYFUNCTION("""COMPUTED_VALUE"""),120.32)</f>
        <v>120.32</v>
      </c>
      <c r="F4996" s="1">
        <f>IFERROR(__xludf.DUMMYFUNCTION("""COMPUTED_VALUE"""),6756251.0)</f>
        <v>6756251</v>
      </c>
    </row>
    <row r="4997">
      <c r="A4997" s="2">
        <f>IFERROR(__xludf.DUMMYFUNCTION("""COMPUTED_VALUE"""),43776.66666666667)</f>
        <v>43776.66667</v>
      </c>
      <c r="B4997" s="1">
        <f>IFERROR(__xludf.DUMMYFUNCTION("""COMPUTED_VALUE"""),119.1)</f>
        <v>119.1</v>
      </c>
      <c r="C4997" s="1">
        <f>IFERROR(__xludf.DUMMYFUNCTION("""COMPUTED_VALUE"""),120.35)</f>
        <v>120.35</v>
      </c>
      <c r="D4997" s="1">
        <f>IFERROR(__xludf.DUMMYFUNCTION("""COMPUTED_VALUE"""),118.66)</f>
        <v>118.66</v>
      </c>
      <c r="E4997" s="1">
        <f>IFERROR(__xludf.DUMMYFUNCTION("""COMPUTED_VALUE"""),120.32)</f>
        <v>120.32</v>
      </c>
      <c r="F4997" s="1">
        <f>IFERROR(__xludf.DUMMYFUNCTION("""COMPUTED_VALUE"""),11409.0)</f>
        <v>11409</v>
      </c>
    </row>
    <row r="4998">
      <c r="A4998" s="2">
        <f>IFERROR(__xludf.DUMMYFUNCTION("""COMPUTED_VALUE"""),43777.66666666667)</f>
        <v>43777.66667</v>
      </c>
      <c r="B4998" s="1">
        <f>IFERROR(__xludf.DUMMYFUNCTION("""COMPUTED_VALUE"""),119.85)</f>
        <v>119.85</v>
      </c>
      <c r="C4998" s="1">
        <f>IFERROR(__xludf.DUMMYFUNCTION("""COMPUTED_VALUE"""),120.59)</f>
        <v>120.59</v>
      </c>
      <c r="D4998" s="1">
        <f>IFERROR(__xludf.DUMMYFUNCTION("""COMPUTED_VALUE"""),119.16)</f>
        <v>119.16</v>
      </c>
      <c r="E4998" s="1">
        <f>IFERROR(__xludf.DUMMYFUNCTION("""COMPUTED_VALUE"""),119.7)</f>
        <v>119.7</v>
      </c>
      <c r="F4998" s="1">
        <f>IFERROR(__xludf.DUMMYFUNCTION("""COMPUTED_VALUE"""),4250112.0)</f>
        <v>4250112</v>
      </c>
    </row>
    <row r="4999">
      <c r="A4999" s="2">
        <f>IFERROR(__xludf.DUMMYFUNCTION("""COMPUTED_VALUE"""),43780.66666666667)</f>
        <v>43780.66667</v>
      </c>
      <c r="B4999" s="1">
        <f>IFERROR(__xludf.DUMMYFUNCTION("""COMPUTED_VALUE"""),119.48)</f>
        <v>119.48</v>
      </c>
      <c r="C4999" s="1">
        <f>IFERROR(__xludf.DUMMYFUNCTION("""COMPUTED_VALUE"""),120.0)</f>
        <v>120</v>
      </c>
      <c r="D4999" s="1">
        <f>IFERROR(__xludf.DUMMYFUNCTION("""COMPUTED_VALUE"""),119.09)</f>
        <v>119.09</v>
      </c>
      <c r="E4999" s="1">
        <f>IFERROR(__xludf.DUMMYFUNCTION("""COMPUTED_VALUE"""),119.33)</f>
        <v>119.33</v>
      </c>
      <c r="F4999" s="1">
        <f>IFERROR(__xludf.DUMMYFUNCTION("""COMPUTED_VALUE"""),3850393.0)</f>
        <v>3850393</v>
      </c>
    </row>
    <row r="5000">
      <c r="A5000" s="2">
        <f>IFERROR(__xludf.DUMMYFUNCTION("""COMPUTED_VALUE"""),43781.66666666667)</f>
        <v>43781.66667</v>
      </c>
      <c r="B5000" s="1">
        <f>IFERROR(__xludf.DUMMYFUNCTION("""COMPUTED_VALUE"""),119.49)</f>
        <v>119.49</v>
      </c>
      <c r="C5000" s="1">
        <f>IFERROR(__xludf.DUMMYFUNCTION("""COMPUTED_VALUE"""),119.6)</f>
        <v>119.6</v>
      </c>
      <c r="D5000" s="1">
        <f>IFERROR(__xludf.DUMMYFUNCTION("""COMPUTED_VALUE"""),118.55)</f>
        <v>118.55</v>
      </c>
      <c r="E5000" s="1">
        <f>IFERROR(__xludf.DUMMYFUNCTION("""COMPUTED_VALUE"""),119.27)</f>
        <v>119.27</v>
      </c>
      <c r="F5000" s="1">
        <f>IFERROR(__xludf.DUMMYFUNCTION("""COMPUTED_VALUE"""),4759870.0)</f>
        <v>4759870</v>
      </c>
    </row>
    <row r="5001">
      <c r="A5001" s="2">
        <f>IFERROR(__xludf.DUMMYFUNCTION("""COMPUTED_VALUE"""),43782.66666666667)</f>
        <v>43782.66667</v>
      </c>
      <c r="B5001" s="1">
        <f>IFERROR(__xludf.DUMMYFUNCTION("""COMPUTED_VALUE"""),119.9)</f>
        <v>119.9</v>
      </c>
      <c r="C5001" s="1">
        <f>IFERROR(__xludf.DUMMYFUNCTION("""COMPUTED_VALUE"""),121.05)</f>
        <v>121.05</v>
      </c>
      <c r="D5001" s="1">
        <f>IFERROR(__xludf.DUMMYFUNCTION("""COMPUTED_VALUE"""),119.87)</f>
        <v>119.87</v>
      </c>
      <c r="E5001" s="1">
        <f>IFERROR(__xludf.DUMMYFUNCTION("""COMPUTED_VALUE"""),120.65)</f>
        <v>120.65</v>
      </c>
      <c r="F5001" s="1">
        <f>IFERROR(__xludf.DUMMYFUNCTION("""COMPUTED_VALUE"""),7279556.0)</f>
        <v>7279556</v>
      </c>
    </row>
    <row r="5002">
      <c r="A5002" s="2">
        <f>IFERROR(__xludf.DUMMYFUNCTION("""COMPUTED_VALUE"""),43783.66666666667)</f>
        <v>43783.66667</v>
      </c>
      <c r="B5002" s="1">
        <f>IFERROR(__xludf.DUMMYFUNCTION("""COMPUTED_VALUE"""),120.62)</f>
        <v>120.62</v>
      </c>
      <c r="C5002" s="1">
        <f>IFERROR(__xludf.DUMMYFUNCTION("""COMPUTED_VALUE"""),121.17)</f>
        <v>121.17</v>
      </c>
      <c r="D5002" s="1">
        <f>IFERROR(__xludf.DUMMYFUNCTION("""COMPUTED_VALUE"""),120.11)</f>
        <v>120.11</v>
      </c>
      <c r="E5002" s="1">
        <f>IFERROR(__xludf.DUMMYFUNCTION("""COMPUTED_VALUE"""),120.5)</f>
        <v>120.5</v>
      </c>
      <c r="F5002" s="1">
        <f>IFERROR(__xludf.DUMMYFUNCTION("""COMPUTED_VALUE"""),5188323.0)</f>
        <v>5188323</v>
      </c>
    </row>
    <row r="5003">
      <c r="A5003" s="2">
        <f>IFERROR(__xludf.DUMMYFUNCTION("""COMPUTED_VALUE"""),43784.66666666667)</f>
        <v>43784.66667</v>
      </c>
      <c r="B5003" s="1">
        <f>IFERROR(__xludf.DUMMYFUNCTION("""COMPUTED_VALUE"""),120.99)</f>
        <v>120.99</v>
      </c>
      <c r="C5003" s="1">
        <f>IFERROR(__xludf.DUMMYFUNCTION("""COMPUTED_VALUE"""),120.99)</f>
        <v>120.99</v>
      </c>
      <c r="D5003" s="1">
        <f>IFERROR(__xludf.DUMMYFUNCTION("""COMPUTED_VALUE"""),119.97)</f>
        <v>119.97</v>
      </c>
      <c r="E5003" s="1">
        <f>IFERROR(__xludf.DUMMYFUNCTION("""COMPUTED_VALUE"""),120.54)</f>
        <v>120.54</v>
      </c>
      <c r="F5003" s="1">
        <f>IFERROR(__xludf.DUMMYFUNCTION("""COMPUTED_VALUE"""),7108595.0)</f>
        <v>7108595</v>
      </c>
    </row>
    <row r="5004">
      <c r="A5004" s="2">
        <f>IFERROR(__xludf.DUMMYFUNCTION("""COMPUTED_VALUE"""),43787.66666666667)</f>
        <v>43787.66667</v>
      </c>
      <c r="B5004" s="1">
        <f>IFERROR(__xludf.DUMMYFUNCTION("""COMPUTED_VALUE"""),120.25)</f>
        <v>120.25</v>
      </c>
      <c r="C5004" s="1">
        <f>IFERROR(__xludf.DUMMYFUNCTION("""COMPUTED_VALUE"""),122.56)</f>
        <v>122.56</v>
      </c>
      <c r="D5004" s="1">
        <f>IFERROR(__xludf.DUMMYFUNCTION("""COMPUTED_VALUE"""),120.17)</f>
        <v>120.17</v>
      </c>
      <c r="E5004" s="1">
        <f>IFERROR(__xludf.DUMMYFUNCTION("""COMPUTED_VALUE"""),121.89)</f>
        <v>121.89</v>
      </c>
      <c r="F5004" s="1">
        <f>IFERROR(__xludf.DUMMYFUNCTION("""COMPUTED_VALUE"""),7493702.0)</f>
        <v>7493702</v>
      </c>
    </row>
    <row r="5005">
      <c r="A5005" s="2">
        <f>IFERROR(__xludf.DUMMYFUNCTION("""COMPUTED_VALUE"""),43788.66666666667)</f>
        <v>43788.66667</v>
      </c>
      <c r="B5005" s="1">
        <f>IFERROR(__xludf.DUMMYFUNCTION("""COMPUTED_VALUE"""),121.93)</f>
        <v>121.93</v>
      </c>
      <c r="C5005" s="1">
        <f>IFERROR(__xludf.DUMMYFUNCTION("""COMPUTED_VALUE"""),122.78)</f>
        <v>122.78</v>
      </c>
      <c r="D5005" s="1">
        <f>IFERROR(__xludf.DUMMYFUNCTION("""COMPUTED_VALUE"""),121.13)</f>
        <v>121.13</v>
      </c>
      <c r="E5005" s="1">
        <f>IFERROR(__xludf.DUMMYFUNCTION("""COMPUTED_VALUE"""),121.42)</f>
        <v>121.42</v>
      </c>
      <c r="F5005" s="1">
        <f>IFERROR(__xludf.DUMMYFUNCTION("""COMPUTED_VALUE"""),5989318.0)</f>
        <v>5989318</v>
      </c>
    </row>
    <row r="5006">
      <c r="A5006" s="2">
        <f>IFERROR(__xludf.DUMMYFUNCTION("""COMPUTED_VALUE"""),43789.66666666667)</f>
        <v>43789.66667</v>
      </c>
      <c r="B5006" s="1">
        <f>IFERROR(__xludf.DUMMYFUNCTION("""COMPUTED_VALUE"""),121.42)</f>
        <v>121.42</v>
      </c>
      <c r="C5006" s="1">
        <f>IFERROR(__xludf.DUMMYFUNCTION("""COMPUTED_VALUE"""),122.38)</f>
        <v>122.38</v>
      </c>
      <c r="D5006" s="1">
        <f>IFERROR(__xludf.DUMMYFUNCTION("""COMPUTED_VALUE"""),120.93)</f>
        <v>120.93</v>
      </c>
      <c r="E5006" s="1">
        <f>IFERROR(__xludf.DUMMYFUNCTION("""COMPUTED_VALUE"""),122.29)</f>
        <v>122.29</v>
      </c>
      <c r="F5006" s="1">
        <f>IFERROR(__xludf.DUMMYFUNCTION("""COMPUTED_VALUE"""),6479982.0)</f>
        <v>6479982</v>
      </c>
    </row>
    <row r="5007">
      <c r="A5007" s="2">
        <f>IFERROR(__xludf.DUMMYFUNCTION("""COMPUTED_VALUE"""),43790.66666666667)</f>
        <v>43790.66667</v>
      </c>
      <c r="B5007" s="1">
        <f>IFERROR(__xludf.DUMMYFUNCTION("""COMPUTED_VALUE"""),121.78)</f>
        <v>121.78</v>
      </c>
      <c r="C5007" s="1">
        <f>IFERROR(__xludf.DUMMYFUNCTION("""COMPUTED_VALUE"""),122.54)</f>
        <v>122.54</v>
      </c>
      <c r="D5007" s="1">
        <f>IFERROR(__xludf.DUMMYFUNCTION("""COMPUTED_VALUE"""),120.28)</f>
        <v>120.28</v>
      </c>
      <c r="E5007" s="1">
        <f>IFERROR(__xludf.DUMMYFUNCTION("""COMPUTED_VALUE"""),120.34)</f>
        <v>120.34</v>
      </c>
      <c r="F5007" s="1">
        <f>IFERROR(__xludf.DUMMYFUNCTION("""COMPUTED_VALUE"""),7094212.0)</f>
        <v>7094212</v>
      </c>
    </row>
    <row r="5008">
      <c r="A5008" s="2">
        <f>IFERROR(__xludf.DUMMYFUNCTION("""COMPUTED_VALUE"""),43791.66666666667)</f>
        <v>43791.66667</v>
      </c>
      <c r="B5008" s="1">
        <f>IFERROR(__xludf.DUMMYFUNCTION("""COMPUTED_VALUE"""),120.23)</f>
        <v>120.23</v>
      </c>
      <c r="C5008" s="1">
        <f>IFERROR(__xludf.DUMMYFUNCTION("""COMPUTED_VALUE"""),120.61)</f>
        <v>120.61</v>
      </c>
      <c r="D5008" s="1">
        <f>IFERROR(__xludf.DUMMYFUNCTION("""COMPUTED_VALUE"""),119.39)</f>
        <v>119.39</v>
      </c>
      <c r="E5008" s="1">
        <f>IFERROR(__xludf.DUMMYFUNCTION("""COMPUTED_VALUE"""),120.29)</f>
        <v>120.29</v>
      </c>
      <c r="F5008" s="1">
        <f>IFERROR(__xludf.DUMMYFUNCTION("""COMPUTED_VALUE"""),4414949.0)</f>
        <v>4414949</v>
      </c>
    </row>
    <row r="5009">
      <c r="A5009" s="2">
        <f>IFERROR(__xludf.DUMMYFUNCTION("""COMPUTED_VALUE"""),43794.66666666667)</f>
        <v>43794.66667</v>
      </c>
      <c r="B5009" s="1">
        <f>IFERROR(__xludf.DUMMYFUNCTION("""COMPUTED_VALUE"""),120.44)</f>
        <v>120.44</v>
      </c>
      <c r="C5009" s="1">
        <f>IFERROR(__xludf.DUMMYFUNCTION("""COMPUTED_VALUE"""),120.92)</f>
        <v>120.92</v>
      </c>
      <c r="D5009" s="1">
        <f>IFERROR(__xludf.DUMMYFUNCTION("""COMPUTED_VALUE"""),120.02)</f>
        <v>120.02</v>
      </c>
      <c r="E5009" s="1">
        <f>IFERROR(__xludf.DUMMYFUNCTION("""COMPUTED_VALUE"""),120.51)</f>
        <v>120.51</v>
      </c>
      <c r="F5009" s="1">
        <f>IFERROR(__xludf.DUMMYFUNCTION("""COMPUTED_VALUE"""),5134272.0)</f>
        <v>5134272</v>
      </c>
    </row>
    <row r="5010">
      <c r="A5010" s="2">
        <f>IFERROR(__xludf.DUMMYFUNCTION("""COMPUTED_VALUE"""),43795.66666666667)</f>
        <v>43795.66667</v>
      </c>
      <c r="B5010" s="1">
        <f>IFERROR(__xludf.DUMMYFUNCTION("""COMPUTED_VALUE"""),120.73)</f>
        <v>120.73</v>
      </c>
      <c r="C5010" s="1">
        <f>IFERROR(__xludf.DUMMYFUNCTION("""COMPUTED_VALUE"""),122.35)</f>
        <v>122.35</v>
      </c>
      <c r="D5010" s="1">
        <f>IFERROR(__xludf.DUMMYFUNCTION("""COMPUTED_VALUE"""),120.41)</f>
        <v>120.41</v>
      </c>
      <c r="E5010" s="1">
        <f>IFERROR(__xludf.DUMMYFUNCTION("""COMPUTED_VALUE"""),122.26)</f>
        <v>122.26</v>
      </c>
      <c r="F5010" s="1">
        <f>IFERROR(__xludf.DUMMYFUNCTION("""COMPUTED_VALUE"""),8235886.0)</f>
        <v>8235886</v>
      </c>
    </row>
    <row r="5011">
      <c r="A5011" s="2">
        <f>IFERROR(__xludf.DUMMYFUNCTION("""COMPUTED_VALUE"""),43796.66666666667)</f>
        <v>43796.66667</v>
      </c>
      <c r="B5011" s="1">
        <f>IFERROR(__xludf.DUMMYFUNCTION("""COMPUTED_VALUE"""),122.42)</f>
        <v>122.42</v>
      </c>
      <c r="C5011" s="1">
        <f>IFERROR(__xludf.DUMMYFUNCTION("""COMPUTED_VALUE"""),122.44)</f>
        <v>122.44</v>
      </c>
      <c r="D5011" s="1">
        <f>IFERROR(__xludf.DUMMYFUNCTION("""COMPUTED_VALUE"""),120.96)</f>
        <v>120.96</v>
      </c>
      <c r="E5011" s="1">
        <f>IFERROR(__xludf.DUMMYFUNCTION("""COMPUTED_VALUE"""),121.76)</f>
        <v>121.76</v>
      </c>
      <c r="F5011" s="1">
        <f>IFERROR(__xludf.DUMMYFUNCTION("""COMPUTED_VALUE"""),3751362.0)</f>
        <v>3751362</v>
      </c>
    </row>
    <row r="5012">
      <c r="A5012" s="2">
        <f>IFERROR(__xludf.DUMMYFUNCTION("""COMPUTED_VALUE"""),43798.54166666667)</f>
        <v>43798.54167</v>
      </c>
      <c r="B5012" s="1">
        <f>IFERROR(__xludf.DUMMYFUNCTION("""COMPUTED_VALUE"""),121.99)</f>
        <v>121.99</v>
      </c>
      <c r="C5012" s="1">
        <f>IFERROR(__xludf.DUMMYFUNCTION("""COMPUTED_VALUE"""),122.63)</f>
        <v>122.63</v>
      </c>
      <c r="D5012" s="1">
        <f>IFERROR(__xludf.DUMMYFUNCTION("""COMPUTED_VALUE"""),121.71)</f>
        <v>121.71</v>
      </c>
      <c r="E5012" s="1">
        <f>IFERROR(__xludf.DUMMYFUNCTION("""COMPUTED_VALUE"""),122.06)</f>
        <v>122.06</v>
      </c>
      <c r="F5012" s="1">
        <f>IFERROR(__xludf.DUMMYFUNCTION("""COMPUTED_VALUE"""),2927290.0)</f>
        <v>2927290</v>
      </c>
    </row>
    <row r="5013">
      <c r="A5013" s="2">
        <f>IFERROR(__xludf.DUMMYFUNCTION("""COMPUTED_VALUE"""),43801.66666666667)</f>
        <v>43801.66667</v>
      </c>
      <c r="B5013" s="1">
        <f>IFERROR(__xludf.DUMMYFUNCTION("""COMPUTED_VALUE"""),121.94)</f>
        <v>121.94</v>
      </c>
      <c r="C5013" s="1">
        <f>IFERROR(__xludf.DUMMYFUNCTION("""COMPUTED_VALUE"""),122.78)</f>
        <v>122.78</v>
      </c>
      <c r="D5013" s="1">
        <f>IFERROR(__xludf.DUMMYFUNCTION("""COMPUTED_VALUE"""),120.96)</f>
        <v>120.96</v>
      </c>
      <c r="E5013" s="1">
        <f>IFERROR(__xludf.DUMMYFUNCTION("""COMPUTED_VALUE"""),122.72)</f>
        <v>122.72</v>
      </c>
      <c r="F5013" s="1">
        <f>IFERROR(__xludf.DUMMYFUNCTION("""COMPUTED_VALUE"""),6146378.0)</f>
        <v>6146378</v>
      </c>
    </row>
    <row r="5014">
      <c r="A5014" s="2">
        <f>IFERROR(__xludf.DUMMYFUNCTION("""COMPUTED_VALUE"""),43802.66666666667)</f>
        <v>43802.66667</v>
      </c>
      <c r="B5014" s="1">
        <f>IFERROR(__xludf.DUMMYFUNCTION("""COMPUTED_VALUE"""),122.31)</f>
        <v>122.31</v>
      </c>
      <c r="C5014" s="1">
        <f>IFERROR(__xludf.DUMMYFUNCTION("""COMPUTED_VALUE"""),122.96)</f>
        <v>122.96</v>
      </c>
      <c r="D5014" s="1">
        <f>IFERROR(__xludf.DUMMYFUNCTION("""COMPUTED_VALUE"""),121.8)</f>
        <v>121.8</v>
      </c>
      <c r="E5014" s="1">
        <f>IFERROR(__xludf.DUMMYFUNCTION("""COMPUTED_VALUE"""),122.95)</f>
        <v>122.95</v>
      </c>
      <c r="F5014" s="1">
        <f>IFERROR(__xludf.DUMMYFUNCTION("""COMPUTED_VALUE"""),6496162.0)</f>
        <v>6496162</v>
      </c>
    </row>
    <row r="5015">
      <c r="A5015" s="2">
        <f>IFERROR(__xludf.DUMMYFUNCTION("""COMPUTED_VALUE"""),43803.66666666667)</f>
        <v>43803.66667</v>
      </c>
      <c r="B5015" s="1">
        <f>IFERROR(__xludf.DUMMYFUNCTION("""COMPUTED_VALUE"""),122.75)</f>
        <v>122.75</v>
      </c>
      <c r="C5015" s="1">
        <f>IFERROR(__xludf.DUMMYFUNCTION("""COMPUTED_VALUE"""),124.58)</f>
        <v>124.58</v>
      </c>
      <c r="D5015" s="1">
        <f>IFERROR(__xludf.DUMMYFUNCTION("""COMPUTED_VALUE"""),122.69)</f>
        <v>122.69</v>
      </c>
      <c r="E5015" s="1">
        <f>IFERROR(__xludf.DUMMYFUNCTION("""COMPUTED_VALUE"""),124.53)</f>
        <v>124.53</v>
      </c>
      <c r="F5015" s="1">
        <f>IFERROR(__xludf.DUMMYFUNCTION("""COMPUTED_VALUE"""),6857412.0)</f>
        <v>6857412</v>
      </c>
    </row>
    <row r="5016">
      <c r="A5016" s="2">
        <f>IFERROR(__xludf.DUMMYFUNCTION("""COMPUTED_VALUE"""),43804.66666666667)</f>
        <v>43804.66667</v>
      </c>
      <c r="B5016" s="1">
        <f>IFERROR(__xludf.DUMMYFUNCTION("""COMPUTED_VALUE"""),124.27)</f>
        <v>124.27</v>
      </c>
      <c r="C5016" s="1">
        <f>IFERROR(__xludf.DUMMYFUNCTION("""COMPUTED_VALUE"""),124.63)</f>
        <v>124.63</v>
      </c>
      <c r="D5016" s="1">
        <f>IFERROR(__xludf.DUMMYFUNCTION("""COMPUTED_VALUE"""),123.66)</f>
        <v>123.66</v>
      </c>
      <c r="E5016" s="1">
        <f>IFERROR(__xludf.DUMMYFUNCTION("""COMPUTED_VALUE"""),124.62)</f>
        <v>124.62</v>
      </c>
      <c r="F5016" s="1">
        <f>IFERROR(__xludf.DUMMYFUNCTION("""COMPUTED_VALUE"""),7029456.0)</f>
        <v>7029456</v>
      </c>
    </row>
    <row r="5017">
      <c r="A5017" s="2">
        <f>IFERROR(__xludf.DUMMYFUNCTION("""COMPUTED_VALUE"""),43805.66666666667)</f>
        <v>43805.66667</v>
      </c>
      <c r="B5017" s="1">
        <f>IFERROR(__xludf.DUMMYFUNCTION("""COMPUTED_VALUE"""),124.73)</f>
        <v>124.73</v>
      </c>
      <c r="C5017" s="1">
        <f>IFERROR(__xludf.DUMMYFUNCTION("""COMPUTED_VALUE"""),125.45)</f>
        <v>125.45</v>
      </c>
      <c r="D5017" s="1">
        <f>IFERROR(__xludf.DUMMYFUNCTION("""COMPUTED_VALUE"""),123.89)</f>
        <v>123.89</v>
      </c>
      <c r="E5017" s="1">
        <f>IFERROR(__xludf.DUMMYFUNCTION("""COMPUTED_VALUE"""),124.19)</f>
        <v>124.19</v>
      </c>
      <c r="F5017" s="1">
        <f>IFERROR(__xludf.DUMMYFUNCTION("""COMPUTED_VALUE"""),7150877.0)</f>
        <v>7150877</v>
      </c>
    </row>
    <row r="5018">
      <c r="A5018" s="2">
        <f>IFERROR(__xludf.DUMMYFUNCTION("""COMPUTED_VALUE"""),43808.66666666667)</f>
        <v>43808.66667</v>
      </c>
      <c r="B5018" s="1">
        <f>IFERROR(__xludf.DUMMYFUNCTION("""COMPUTED_VALUE"""),124.31)</f>
        <v>124.31</v>
      </c>
      <c r="C5018" s="1">
        <f>IFERROR(__xludf.DUMMYFUNCTION("""COMPUTED_VALUE"""),125.14)</f>
        <v>125.14</v>
      </c>
      <c r="D5018" s="1">
        <f>IFERROR(__xludf.DUMMYFUNCTION("""COMPUTED_VALUE"""),124.18)</f>
        <v>124.18</v>
      </c>
      <c r="E5018" s="1">
        <f>IFERROR(__xludf.DUMMYFUNCTION("""COMPUTED_VALUE"""),124.87)</f>
        <v>124.87</v>
      </c>
      <c r="F5018" s="1">
        <f>IFERROR(__xludf.DUMMYFUNCTION("""COMPUTED_VALUE"""),7478083.0)</f>
        <v>7478083</v>
      </c>
    </row>
    <row r="5019">
      <c r="A5019" s="2">
        <f>IFERROR(__xludf.DUMMYFUNCTION("""COMPUTED_VALUE"""),43809.66666666667)</f>
        <v>43809.66667</v>
      </c>
      <c r="B5019" s="1">
        <f>IFERROR(__xludf.DUMMYFUNCTION("""COMPUTED_VALUE"""),124.78)</f>
        <v>124.78</v>
      </c>
      <c r="C5019" s="1">
        <f>IFERROR(__xludf.DUMMYFUNCTION("""COMPUTED_VALUE"""),124.87)</f>
        <v>124.87</v>
      </c>
      <c r="D5019" s="1">
        <f>IFERROR(__xludf.DUMMYFUNCTION("""COMPUTED_VALUE"""),124.12)</f>
        <v>124.12</v>
      </c>
      <c r="E5019" s="1">
        <f>IFERROR(__xludf.DUMMYFUNCTION("""COMPUTED_VALUE"""),124.27)</f>
        <v>124.27</v>
      </c>
      <c r="F5019" s="1">
        <f>IFERROR(__xludf.DUMMYFUNCTION("""COMPUTED_VALUE"""),4740135.0)</f>
        <v>4740135</v>
      </c>
    </row>
    <row r="5020">
      <c r="A5020" s="2">
        <f>IFERROR(__xludf.DUMMYFUNCTION("""COMPUTED_VALUE"""),43810.66666666667)</f>
        <v>43810.66667</v>
      </c>
      <c r="B5020" s="1">
        <f>IFERROR(__xludf.DUMMYFUNCTION("""COMPUTED_VALUE"""),124.27)</f>
        <v>124.27</v>
      </c>
      <c r="C5020" s="1">
        <f>IFERROR(__xludf.DUMMYFUNCTION("""COMPUTED_VALUE"""),125.27)</f>
        <v>125.27</v>
      </c>
      <c r="D5020" s="1">
        <f>IFERROR(__xludf.DUMMYFUNCTION("""COMPUTED_VALUE"""),124.07)</f>
        <v>124.07</v>
      </c>
      <c r="E5020" s="1">
        <f>IFERROR(__xludf.DUMMYFUNCTION("""COMPUTED_VALUE"""),124.66)</f>
        <v>124.66</v>
      </c>
      <c r="F5020" s="1">
        <f>IFERROR(__xludf.DUMMYFUNCTION("""COMPUTED_VALUE"""),4823359.0)</f>
        <v>4823359</v>
      </c>
    </row>
    <row r="5021">
      <c r="A5021" s="2">
        <f>IFERROR(__xludf.DUMMYFUNCTION("""COMPUTED_VALUE"""),43811.66666666667)</f>
        <v>43811.66667</v>
      </c>
      <c r="B5021" s="1">
        <f>IFERROR(__xludf.DUMMYFUNCTION("""COMPUTED_VALUE"""),124.78)</f>
        <v>124.78</v>
      </c>
      <c r="C5021" s="1">
        <f>IFERROR(__xludf.DUMMYFUNCTION("""COMPUTED_VALUE"""),125.76)</f>
        <v>125.76</v>
      </c>
      <c r="D5021" s="1">
        <f>IFERROR(__xludf.DUMMYFUNCTION("""COMPUTED_VALUE"""),123.88)</f>
        <v>123.88</v>
      </c>
      <c r="E5021" s="1">
        <f>IFERROR(__xludf.DUMMYFUNCTION("""COMPUTED_VALUE"""),124.57)</f>
        <v>124.57</v>
      </c>
      <c r="F5021" s="1">
        <f>IFERROR(__xludf.DUMMYFUNCTION("""COMPUTED_VALUE"""),5897786.0)</f>
        <v>5897786</v>
      </c>
    </row>
    <row r="5022">
      <c r="A5022" s="2">
        <f>IFERROR(__xludf.DUMMYFUNCTION("""COMPUTED_VALUE"""),43812.66666666667)</f>
        <v>43812.66667</v>
      </c>
      <c r="B5022" s="1">
        <f>IFERROR(__xludf.DUMMYFUNCTION("""COMPUTED_VALUE"""),124.21)</f>
        <v>124.21</v>
      </c>
      <c r="C5022" s="1">
        <f>IFERROR(__xludf.DUMMYFUNCTION("""COMPUTED_VALUE"""),125.74)</f>
        <v>125.74</v>
      </c>
      <c r="D5022" s="1">
        <f>IFERROR(__xludf.DUMMYFUNCTION("""COMPUTED_VALUE"""),123.79)</f>
        <v>123.79</v>
      </c>
      <c r="E5022" s="1">
        <f>IFERROR(__xludf.DUMMYFUNCTION("""COMPUTED_VALUE"""),125.47)</f>
        <v>125.47</v>
      </c>
      <c r="F5022" s="1">
        <f>IFERROR(__xludf.DUMMYFUNCTION("""COMPUTED_VALUE"""),5471590.0)</f>
        <v>5471590</v>
      </c>
    </row>
    <row r="5023">
      <c r="A5023" s="2">
        <f>IFERROR(__xludf.DUMMYFUNCTION("""COMPUTED_VALUE"""),43815.66666666667)</f>
        <v>43815.66667</v>
      </c>
      <c r="B5023" s="1">
        <f>IFERROR(__xludf.DUMMYFUNCTION("""COMPUTED_VALUE"""),125.47)</f>
        <v>125.47</v>
      </c>
      <c r="C5023" s="1">
        <f>IFERROR(__xludf.DUMMYFUNCTION("""COMPUTED_VALUE"""),126.35)</f>
        <v>126.35</v>
      </c>
      <c r="D5023" s="1">
        <f>IFERROR(__xludf.DUMMYFUNCTION("""COMPUTED_VALUE"""),125.35)</f>
        <v>125.35</v>
      </c>
      <c r="E5023" s="1">
        <f>IFERROR(__xludf.DUMMYFUNCTION("""COMPUTED_VALUE"""),125.56)</f>
        <v>125.56</v>
      </c>
      <c r="F5023" s="1">
        <f>IFERROR(__xludf.DUMMYFUNCTION("""COMPUTED_VALUE"""),8281922.0)</f>
        <v>8281922</v>
      </c>
    </row>
    <row r="5024">
      <c r="A5024" s="2">
        <f>IFERROR(__xludf.DUMMYFUNCTION("""COMPUTED_VALUE"""),43816.66666666667)</f>
        <v>43816.66667</v>
      </c>
      <c r="B5024" s="1">
        <f>IFERROR(__xludf.DUMMYFUNCTION("""COMPUTED_VALUE"""),125.59)</f>
        <v>125.59</v>
      </c>
      <c r="C5024" s="1">
        <f>IFERROR(__xludf.DUMMYFUNCTION("""COMPUTED_VALUE"""),125.98)</f>
        <v>125.98</v>
      </c>
      <c r="D5024" s="1">
        <f>IFERROR(__xludf.DUMMYFUNCTION("""COMPUTED_VALUE"""),124.31)</f>
        <v>124.31</v>
      </c>
      <c r="E5024" s="1">
        <f>IFERROR(__xludf.DUMMYFUNCTION("""COMPUTED_VALUE"""),125.31)</f>
        <v>125.31</v>
      </c>
      <c r="F5024" s="1">
        <f>IFERROR(__xludf.DUMMYFUNCTION("""COMPUTED_VALUE"""),8832197.0)</f>
        <v>8832197</v>
      </c>
    </row>
    <row r="5025">
      <c r="A5025" s="2">
        <f>IFERROR(__xludf.DUMMYFUNCTION("""COMPUTED_VALUE"""),43817.66666666667)</f>
        <v>43817.66667</v>
      </c>
      <c r="B5025" s="1">
        <f>IFERROR(__xludf.DUMMYFUNCTION("""COMPUTED_VALUE"""),125.31)</f>
        <v>125.31</v>
      </c>
      <c r="C5025" s="1">
        <f>IFERROR(__xludf.DUMMYFUNCTION("""COMPUTED_VALUE"""),125.87)</f>
        <v>125.87</v>
      </c>
      <c r="D5025" s="1">
        <f>IFERROR(__xludf.DUMMYFUNCTION("""COMPUTED_VALUE"""),123.69)</f>
        <v>123.69</v>
      </c>
      <c r="E5025" s="1">
        <f>IFERROR(__xludf.DUMMYFUNCTION("""COMPUTED_VALUE"""),124.01)</f>
        <v>124.01</v>
      </c>
      <c r="F5025" s="1">
        <f>IFERROR(__xludf.DUMMYFUNCTION("""COMPUTED_VALUE"""),8608450.0)</f>
        <v>8608450</v>
      </c>
    </row>
    <row r="5026">
      <c r="A5026" s="2">
        <f>IFERROR(__xludf.DUMMYFUNCTION("""COMPUTED_VALUE"""),43818.66666666667)</f>
        <v>43818.66667</v>
      </c>
      <c r="B5026" s="1">
        <f>IFERROR(__xludf.DUMMYFUNCTION("""COMPUTED_VALUE"""),124.16)</f>
        <v>124.16</v>
      </c>
      <c r="C5026" s="1">
        <f>IFERROR(__xludf.DUMMYFUNCTION("""COMPUTED_VALUE"""),125.2)</f>
        <v>125.2</v>
      </c>
      <c r="D5026" s="1">
        <f>IFERROR(__xludf.DUMMYFUNCTION("""COMPUTED_VALUE"""),123.9)</f>
        <v>123.9</v>
      </c>
      <c r="E5026" s="1">
        <f>IFERROR(__xludf.DUMMYFUNCTION("""COMPUTED_VALUE"""),124.92)</f>
        <v>124.92</v>
      </c>
      <c r="F5026" s="1">
        <f>IFERROR(__xludf.DUMMYFUNCTION("""COMPUTED_VALUE"""),6630198.0)</f>
        <v>6630198</v>
      </c>
    </row>
    <row r="5027">
      <c r="A5027" s="2">
        <f>IFERROR(__xludf.DUMMYFUNCTION("""COMPUTED_VALUE"""),43819.66666666667)</f>
        <v>43819.66667</v>
      </c>
      <c r="B5027" s="1">
        <f>IFERROR(__xludf.DUMMYFUNCTION("""COMPUTED_VALUE"""),126.15)</f>
        <v>126.15</v>
      </c>
      <c r="C5027" s="1">
        <f>IFERROR(__xludf.DUMMYFUNCTION("""COMPUTED_VALUE"""),126.6)</f>
        <v>126.6</v>
      </c>
      <c r="D5027" s="1">
        <f>IFERROR(__xludf.DUMMYFUNCTION("""COMPUTED_VALUE"""),125.03)</f>
        <v>125.03</v>
      </c>
      <c r="E5027" s="1">
        <f>IFERROR(__xludf.DUMMYFUNCTION("""COMPUTED_VALUE"""),125.36)</f>
        <v>125.36</v>
      </c>
      <c r="F5027" s="1">
        <f>IFERROR(__xludf.DUMMYFUNCTION("""COMPUTED_VALUE"""),1.6250521E7)</f>
        <v>16250521</v>
      </c>
    </row>
    <row r="5028">
      <c r="A5028" s="2">
        <f>IFERROR(__xludf.DUMMYFUNCTION("""COMPUTED_VALUE"""),43822.66666666667)</f>
        <v>43822.66667</v>
      </c>
      <c r="B5028" s="1">
        <f>IFERROR(__xludf.DUMMYFUNCTION("""COMPUTED_VALUE"""),125.52)</f>
        <v>125.52</v>
      </c>
      <c r="C5028" s="1">
        <f>IFERROR(__xludf.DUMMYFUNCTION("""COMPUTED_VALUE"""),125.82)</f>
        <v>125.82</v>
      </c>
      <c r="D5028" s="1">
        <f>IFERROR(__xludf.DUMMYFUNCTION("""COMPUTED_VALUE"""),124.69)</f>
        <v>124.69</v>
      </c>
      <c r="E5028" s="1">
        <f>IFERROR(__xludf.DUMMYFUNCTION("""COMPUTED_VALUE"""),124.9)</f>
        <v>124.9</v>
      </c>
      <c r="F5028" s="1">
        <f>IFERROR(__xludf.DUMMYFUNCTION("""COMPUTED_VALUE"""),6619662.0)</f>
        <v>6619662</v>
      </c>
    </row>
    <row r="5029">
      <c r="A5029" s="2">
        <f>IFERROR(__xludf.DUMMYFUNCTION("""COMPUTED_VALUE"""),43823.54166666667)</f>
        <v>43823.54167</v>
      </c>
      <c r="B5029" s="1">
        <f>IFERROR(__xludf.DUMMYFUNCTION("""COMPUTED_VALUE"""),124.79)</f>
        <v>124.79</v>
      </c>
      <c r="C5029" s="1">
        <f>IFERROR(__xludf.DUMMYFUNCTION("""COMPUTED_VALUE"""),125.31)</f>
        <v>125.31</v>
      </c>
      <c r="D5029" s="1">
        <f>IFERROR(__xludf.DUMMYFUNCTION("""COMPUTED_VALUE"""),124.58)</f>
        <v>124.58</v>
      </c>
      <c r="E5029" s="1">
        <f>IFERROR(__xludf.DUMMYFUNCTION("""COMPUTED_VALUE"""),125.22)</f>
        <v>125.22</v>
      </c>
      <c r="F5029" s="1">
        <f>IFERROR(__xludf.DUMMYFUNCTION("""COMPUTED_VALUE"""),2022053.0)</f>
        <v>2022053</v>
      </c>
    </row>
    <row r="5030">
      <c r="A5030" s="2">
        <f>IFERROR(__xludf.DUMMYFUNCTION("""COMPUTED_VALUE"""),43825.66666666667)</f>
        <v>43825.66667</v>
      </c>
      <c r="B5030" s="1">
        <f>IFERROR(__xludf.DUMMYFUNCTION("""COMPUTED_VALUE"""),125.1)</f>
        <v>125.1</v>
      </c>
      <c r="C5030" s="1">
        <f>IFERROR(__xludf.DUMMYFUNCTION("""COMPUTED_VALUE"""),125.75)</f>
        <v>125.75</v>
      </c>
      <c r="D5030" s="1">
        <f>IFERROR(__xludf.DUMMYFUNCTION("""COMPUTED_VALUE"""),124.87)</f>
        <v>124.87</v>
      </c>
      <c r="E5030" s="1">
        <f>IFERROR(__xludf.DUMMYFUNCTION("""COMPUTED_VALUE"""),125.22)</f>
        <v>125.22</v>
      </c>
      <c r="F5030" s="1">
        <f>IFERROR(__xludf.DUMMYFUNCTION("""COMPUTED_VALUE"""),4761436.0)</f>
        <v>4761436</v>
      </c>
    </row>
    <row r="5031">
      <c r="A5031" s="2">
        <f>IFERROR(__xludf.DUMMYFUNCTION("""COMPUTED_VALUE"""),43826.66666666667)</f>
        <v>43826.66667</v>
      </c>
      <c r="B5031" s="1">
        <f>IFERROR(__xludf.DUMMYFUNCTION("""COMPUTED_VALUE"""),125.56)</f>
        <v>125.56</v>
      </c>
      <c r="C5031" s="1">
        <f>IFERROR(__xludf.DUMMYFUNCTION("""COMPUTED_VALUE"""),126.3)</f>
        <v>126.3</v>
      </c>
      <c r="D5031" s="1">
        <f>IFERROR(__xludf.DUMMYFUNCTION("""COMPUTED_VALUE"""),125.39)</f>
        <v>125.39</v>
      </c>
      <c r="E5031" s="1">
        <f>IFERROR(__xludf.DUMMYFUNCTION("""COMPUTED_VALUE"""),126.09)</f>
        <v>126.09</v>
      </c>
      <c r="F5031" s="1">
        <f>IFERROR(__xludf.DUMMYFUNCTION("""COMPUTED_VALUE"""),5192015.0)</f>
        <v>5192015</v>
      </c>
    </row>
    <row r="5032">
      <c r="A5032" s="2">
        <f>IFERROR(__xludf.DUMMYFUNCTION("""COMPUTED_VALUE"""),43829.66666666667)</f>
        <v>43829.66667</v>
      </c>
      <c r="B5032" s="1">
        <f>IFERROR(__xludf.DUMMYFUNCTION("""COMPUTED_VALUE"""),125.76)</f>
        <v>125.76</v>
      </c>
      <c r="C5032" s="1">
        <f>IFERROR(__xludf.DUMMYFUNCTION("""COMPUTED_VALUE"""),125.98)</f>
        <v>125.98</v>
      </c>
      <c r="D5032" s="1">
        <f>IFERROR(__xludf.DUMMYFUNCTION("""COMPUTED_VALUE"""),124.14)</f>
        <v>124.14</v>
      </c>
      <c r="E5032" s="1">
        <f>IFERROR(__xludf.DUMMYFUNCTION("""COMPUTED_VALUE"""),124.47)</f>
        <v>124.47</v>
      </c>
      <c r="F5032" s="1">
        <f>IFERROR(__xludf.DUMMYFUNCTION("""COMPUTED_VALUE"""),3884445.0)</f>
        <v>3884445</v>
      </c>
    </row>
    <row r="5033">
      <c r="A5033" s="2">
        <f>IFERROR(__xludf.DUMMYFUNCTION("""COMPUTED_VALUE"""),43830.66666666667)</f>
        <v>43830.66667</v>
      </c>
      <c r="B5033" s="1">
        <f>IFERROR(__xludf.DUMMYFUNCTION("""COMPUTED_VALUE"""),124.43)</f>
        <v>124.43</v>
      </c>
      <c r="C5033" s="1">
        <f>IFERROR(__xludf.DUMMYFUNCTION("""COMPUTED_VALUE"""),124.99)</f>
        <v>124.99</v>
      </c>
      <c r="D5033" s="1">
        <f>IFERROR(__xludf.DUMMYFUNCTION("""COMPUTED_VALUE"""),123.95)</f>
        <v>123.95</v>
      </c>
      <c r="E5033" s="1">
        <f>IFERROR(__xludf.DUMMYFUNCTION("""COMPUTED_VALUE"""),124.9)</f>
        <v>124.9</v>
      </c>
      <c r="F5033" s="1">
        <f>IFERROR(__xludf.DUMMYFUNCTION("""COMPUTED_VALUE"""),4798914.0)</f>
        <v>4798914</v>
      </c>
    </row>
    <row r="5034">
      <c r="A5034" s="2">
        <f>IFERROR(__xludf.DUMMYFUNCTION("""COMPUTED_VALUE"""),43832.66666666667)</f>
        <v>43832.66667</v>
      </c>
      <c r="B5034" s="1">
        <f>IFERROR(__xludf.DUMMYFUNCTION("""COMPUTED_VALUE"""),124.5)</f>
        <v>124.5</v>
      </c>
      <c r="C5034" s="1">
        <f>IFERROR(__xludf.DUMMYFUNCTION("""COMPUTED_VALUE"""),124.73)</f>
        <v>124.73</v>
      </c>
      <c r="D5034" s="1">
        <f>IFERROR(__xludf.DUMMYFUNCTION("""COMPUTED_VALUE"""),122.94)</f>
        <v>122.94</v>
      </c>
      <c r="E5034" s="1">
        <f>IFERROR(__xludf.DUMMYFUNCTION("""COMPUTED_VALUE"""),123.41)</f>
        <v>123.41</v>
      </c>
      <c r="F5034" s="1">
        <f>IFERROR(__xludf.DUMMYFUNCTION("""COMPUTED_VALUE"""),7647890.0)</f>
        <v>7647890</v>
      </c>
    </row>
    <row r="5035">
      <c r="A5035" s="2">
        <f>IFERROR(__xludf.DUMMYFUNCTION("""COMPUTED_VALUE"""),43833.66666666667)</f>
        <v>43833.66667</v>
      </c>
      <c r="B5035" s="1">
        <f>IFERROR(__xludf.DUMMYFUNCTION("""COMPUTED_VALUE"""),122.16)</f>
        <v>122.16</v>
      </c>
      <c r="C5035" s="1">
        <f>IFERROR(__xludf.DUMMYFUNCTION("""COMPUTED_VALUE"""),123.53)</f>
        <v>123.53</v>
      </c>
      <c r="D5035" s="1">
        <f>IFERROR(__xludf.DUMMYFUNCTION("""COMPUTED_VALUE"""),121.86)</f>
        <v>121.86</v>
      </c>
      <c r="E5035" s="1">
        <f>IFERROR(__xludf.DUMMYFUNCTION("""COMPUTED_VALUE"""),122.58)</f>
        <v>122.58</v>
      </c>
      <c r="F5035" s="1">
        <f>IFERROR(__xludf.DUMMYFUNCTION("""COMPUTED_VALUE"""),7971799.0)</f>
        <v>7971799</v>
      </c>
    </row>
    <row r="5036">
      <c r="A5036" s="2">
        <f>IFERROR(__xludf.DUMMYFUNCTION("""COMPUTED_VALUE"""),43836.66666666667)</f>
        <v>43836.66667</v>
      </c>
      <c r="B5036" s="1">
        <f>IFERROR(__xludf.DUMMYFUNCTION("""COMPUTED_VALUE"""),122.57)</f>
        <v>122.57</v>
      </c>
      <c r="C5036" s="1">
        <f>IFERROR(__xludf.DUMMYFUNCTION("""COMPUTED_VALUE"""),123.19)</f>
        <v>123.19</v>
      </c>
      <c r="D5036" s="1">
        <f>IFERROR(__xludf.DUMMYFUNCTION("""COMPUTED_VALUE"""),122.38)</f>
        <v>122.38</v>
      </c>
      <c r="E5036" s="1">
        <f>IFERROR(__xludf.DUMMYFUNCTION("""COMPUTED_VALUE"""),122.75)</f>
        <v>122.75</v>
      </c>
      <c r="F5036" s="1">
        <f>IFERROR(__xludf.DUMMYFUNCTION("""COMPUTED_VALUE"""),6674659.0)</f>
        <v>6674659</v>
      </c>
    </row>
    <row r="5037">
      <c r="A5037" s="2">
        <f>IFERROR(__xludf.DUMMYFUNCTION("""COMPUTED_VALUE"""),43837.66666666667)</f>
        <v>43837.66667</v>
      </c>
      <c r="B5037" s="1">
        <f>IFERROR(__xludf.DUMMYFUNCTION("""COMPUTED_VALUE"""),122.88)</f>
        <v>122.88</v>
      </c>
      <c r="C5037" s="1">
        <f>IFERROR(__xludf.DUMMYFUNCTION("""COMPUTED_VALUE"""),123.21)</f>
        <v>123.21</v>
      </c>
      <c r="D5037" s="1">
        <f>IFERROR(__xludf.DUMMYFUNCTION("""COMPUTED_VALUE"""),121.87)</f>
        <v>121.87</v>
      </c>
      <c r="E5037" s="1">
        <f>IFERROR(__xludf.DUMMYFUNCTION("""COMPUTED_VALUE"""),121.99)</f>
        <v>121.99</v>
      </c>
      <c r="F5037" s="1">
        <f>IFERROR(__xludf.DUMMYFUNCTION("""COMPUTED_VALUE"""),7585870.0)</f>
        <v>7585870</v>
      </c>
    </row>
    <row r="5038">
      <c r="A5038" s="2">
        <f>IFERROR(__xludf.DUMMYFUNCTION("""COMPUTED_VALUE"""),43838.66666666667)</f>
        <v>43838.66667</v>
      </c>
      <c r="B5038" s="1">
        <f>IFERROR(__xludf.DUMMYFUNCTION("""COMPUTED_VALUE"""),122.19)</f>
        <v>122.19</v>
      </c>
      <c r="C5038" s="1">
        <f>IFERROR(__xludf.DUMMYFUNCTION("""COMPUTED_VALUE"""),123.43)</f>
        <v>123.43</v>
      </c>
      <c r="D5038" s="1">
        <f>IFERROR(__xludf.DUMMYFUNCTION("""COMPUTED_VALUE"""),122.0)</f>
        <v>122</v>
      </c>
      <c r="E5038" s="1">
        <f>IFERROR(__xludf.DUMMYFUNCTION("""COMPUTED_VALUE"""),122.51)</f>
        <v>122.51</v>
      </c>
      <c r="F5038" s="1">
        <f>IFERROR(__xludf.DUMMYFUNCTION("""COMPUTED_VALUE"""),5385065.0)</f>
        <v>5385065</v>
      </c>
    </row>
    <row r="5039">
      <c r="A5039" s="2">
        <f>IFERROR(__xludf.DUMMYFUNCTION("""COMPUTED_VALUE"""),43839.66666666667)</f>
        <v>43839.66667</v>
      </c>
      <c r="B5039" s="1">
        <f>IFERROR(__xludf.DUMMYFUNCTION("""COMPUTED_VALUE"""),122.51)</f>
        <v>122.51</v>
      </c>
      <c r="C5039" s="1">
        <f>IFERROR(__xludf.DUMMYFUNCTION("""COMPUTED_VALUE"""),123.88)</f>
        <v>123.88</v>
      </c>
      <c r="D5039" s="1">
        <f>IFERROR(__xludf.DUMMYFUNCTION("""COMPUTED_VALUE"""),122.51)</f>
        <v>122.51</v>
      </c>
      <c r="E5039" s="1">
        <f>IFERROR(__xludf.DUMMYFUNCTION("""COMPUTED_VALUE"""),123.85)</f>
        <v>123.85</v>
      </c>
      <c r="F5039" s="1">
        <f>IFERROR(__xludf.DUMMYFUNCTION("""COMPUTED_VALUE"""),5944318.0)</f>
        <v>5944318</v>
      </c>
    </row>
    <row r="5040">
      <c r="A5040" s="2">
        <f>IFERROR(__xludf.DUMMYFUNCTION("""COMPUTED_VALUE"""),43840.66666666667)</f>
        <v>43840.66667</v>
      </c>
      <c r="B5040" s="1">
        <f>IFERROR(__xludf.DUMMYFUNCTION("""COMPUTED_VALUE"""),123.9)</f>
        <v>123.9</v>
      </c>
      <c r="C5040" s="1">
        <f>IFERROR(__xludf.DUMMYFUNCTION("""COMPUTED_VALUE"""),124.32)</f>
        <v>124.32</v>
      </c>
      <c r="D5040" s="1">
        <f>IFERROR(__xludf.DUMMYFUNCTION("""COMPUTED_VALUE"""),123.3)</f>
        <v>123.3</v>
      </c>
      <c r="E5040" s="1">
        <f>IFERROR(__xludf.DUMMYFUNCTION("""COMPUTED_VALUE"""),123.97)</f>
        <v>123.97</v>
      </c>
      <c r="F5040" s="1">
        <f>IFERROR(__xludf.DUMMYFUNCTION("""COMPUTED_VALUE"""),3927077.0)</f>
        <v>3927077</v>
      </c>
    </row>
    <row r="5041">
      <c r="A5041" s="2">
        <f>IFERROR(__xludf.DUMMYFUNCTION("""COMPUTED_VALUE"""),43843.66666666667)</f>
        <v>43843.66667</v>
      </c>
      <c r="B5041" s="1">
        <f>IFERROR(__xludf.DUMMYFUNCTION("""COMPUTED_VALUE"""),124.0)</f>
        <v>124</v>
      </c>
      <c r="C5041" s="1">
        <f>IFERROR(__xludf.DUMMYFUNCTION("""COMPUTED_VALUE"""),124.9)</f>
        <v>124.9</v>
      </c>
      <c r="D5041" s="1">
        <f>IFERROR(__xludf.DUMMYFUNCTION("""COMPUTED_VALUE"""),123.81)</f>
        <v>123.81</v>
      </c>
      <c r="E5041" s="1">
        <f>IFERROR(__xludf.DUMMYFUNCTION("""COMPUTED_VALUE"""),124.88)</f>
        <v>124.88</v>
      </c>
      <c r="F5041" s="1">
        <f>IFERROR(__xludf.DUMMYFUNCTION("""COMPUTED_VALUE"""),8410341.0)</f>
        <v>8410341</v>
      </c>
    </row>
    <row r="5042">
      <c r="A5042" s="2">
        <f>IFERROR(__xludf.DUMMYFUNCTION("""COMPUTED_VALUE"""),43844.66666666667)</f>
        <v>43844.66667</v>
      </c>
      <c r="B5042" s="1">
        <f>IFERROR(__xludf.DUMMYFUNCTION("""COMPUTED_VALUE"""),124.65)</f>
        <v>124.65</v>
      </c>
      <c r="C5042" s="1">
        <f>IFERROR(__xludf.DUMMYFUNCTION("""COMPUTED_VALUE"""),125.2)</f>
        <v>125.2</v>
      </c>
      <c r="D5042" s="1">
        <f>IFERROR(__xludf.DUMMYFUNCTION("""COMPUTED_VALUE"""),124.48)</f>
        <v>124.48</v>
      </c>
      <c r="E5042" s="1">
        <f>IFERROR(__xludf.DUMMYFUNCTION("""COMPUTED_VALUE"""),124.69)</f>
        <v>124.69</v>
      </c>
      <c r="F5042" s="1">
        <f>IFERROR(__xludf.DUMMYFUNCTION("""COMPUTED_VALUE"""),7829663.0)</f>
        <v>7829663</v>
      </c>
    </row>
    <row r="5043">
      <c r="A5043" s="2">
        <f>IFERROR(__xludf.DUMMYFUNCTION("""COMPUTED_VALUE"""),43845.66666666667)</f>
        <v>43845.66667</v>
      </c>
      <c r="B5043" s="1">
        <f>IFERROR(__xludf.DUMMYFUNCTION("""COMPUTED_VALUE"""),125.06)</f>
        <v>125.06</v>
      </c>
      <c r="C5043" s="1">
        <f>IFERROR(__xludf.DUMMYFUNCTION("""COMPUTED_VALUE"""),126.12)</f>
        <v>126.12</v>
      </c>
      <c r="D5043" s="1">
        <f>IFERROR(__xludf.DUMMYFUNCTION("""COMPUTED_VALUE"""),125.01)</f>
        <v>125.01</v>
      </c>
      <c r="E5043" s="1">
        <f>IFERROR(__xludf.DUMMYFUNCTION("""COMPUTED_VALUE"""),125.96)</f>
        <v>125.96</v>
      </c>
      <c r="F5043" s="1">
        <f>IFERROR(__xludf.DUMMYFUNCTION("""COMPUTED_VALUE"""),4844149.0)</f>
        <v>4844149</v>
      </c>
    </row>
    <row r="5044">
      <c r="A5044" s="2">
        <f>IFERROR(__xludf.DUMMYFUNCTION("""COMPUTED_VALUE"""),43846.66666666667)</f>
        <v>43846.66667</v>
      </c>
      <c r="B5044" s="1">
        <f>IFERROR(__xludf.DUMMYFUNCTION("""COMPUTED_VALUE"""),126.11)</f>
        <v>126.11</v>
      </c>
      <c r="C5044" s="1">
        <f>IFERROR(__xludf.DUMMYFUNCTION("""COMPUTED_VALUE"""),126.78)</f>
        <v>126.78</v>
      </c>
      <c r="D5044" s="1">
        <f>IFERROR(__xludf.DUMMYFUNCTION("""COMPUTED_VALUE"""),125.59)</f>
        <v>125.59</v>
      </c>
      <c r="E5044" s="1">
        <f>IFERROR(__xludf.DUMMYFUNCTION("""COMPUTED_VALUE"""),126.07)</f>
        <v>126.07</v>
      </c>
      <c r="F5044" s="1">
        <f>IFERROR(__xludf.DUMMYFUNCTION("""COMPUTED_VALUE"""),6234012.0)</f>
        <v>6234012</v>
      </c>
    </row>
    <row r="5045">
      <c r="A5045" s="2">
        <f>IFERROR(__xludf.DUMMYFUNCTION("""COMPUTED_VALUE"""),43847.66666666667)</f>
        <v>43847.66667</v>
      </c>
      <c r="B5045" s="1">
        <f>IFERROR(__xludf.DUMMYFUNCTION("""COMPUTED_VALUE"""),126.35)</f>
        <v>126.35</v>
      </c>
      <c r="C5045" s="1">
        <f>IFERROR(__xludf.DUMMYFUNCTION("""COMPUTED_VALUE"""),127.0)</f>
        <v>127</v>
      </c>
      <c r="D5045" s="1">
        <f>IFERROR(__xludf.DUMMYFUNCTION("""COMPUTED_VALUE"""),125.88)</f>
        <v>125.88</v>
      </c>
      <c r="E5045" s="1">
        <f>IFERROR(__xludf.DUMMYFUNCTION("""COMPUTED_VALUE"""),126.41)</f>
        <v>126.41</v>
      </c>
      <c r="F5045" s="1">
        <f>IFERROR(__xludf.DUMMYFUNCTION("""COMPUTED_VALUE"""),1.1315186E7)</f>
        <v>11315186</v>
      </c>
    </row>
    <row r="5046">
      <c r="A5046" s="2">
        <f>IFERROR(__xludf.DUMMYFUNCTION("""COMPUTED_VALUE"""),43851.66666666667)</f>
        <v>43851.66667</v>
      </c>
      <c r="B5046" s="1">
        <f>IFERROR(__xludf.DUMMYFUNCTION("""COMPUTED_VALUE"""),126.41)</f>
        <v>126.41</v>
      </c>
      <c r="C5046" s="1">
        <f>IFERROR(__xludf.DUMMYFUNCTION("""COMPUTED_VALUE"""),126.62)</f>
        <v>126.62</v>
      </c>
      <c r="D5046" s="1">
        <f>IFERROR(__xludf.DUMMYFUNCTION("""COMPUTED_VALUE"""),124.84)</f>
        <v>124.84</v>
      </c>
      <c r="E5046" s="1">
        <f>IFERROR(__xludf.DUMMYFUNCTION("""COMPUTED_VALUE"""),126.09)</f>
        <v>126.09</v>
      </c>
      <c r="F5046" s="1">
        <f>IFERROR(__xludf.DUMMYFUNCTION("""COMPUTED_VALUE"""),8553166.0)</f>
        <v>8553166</v>
      </c>
    </row>
    <row r="5047">
      <c r="A5047" s="2">
        <f>IFERROR(__xludf.DUMMYFUNCTION("""COMPUTED_VALUE"""),43852.66666666667)</f>
        <v>43852.66667</v>
      </c>
      <c r="B5047" s="1">
        <f>IFERROR(__xludf.DUMMYFUNCTION("""COMPUTED_VALUE"""),126.33)</f>
        <v>126.33</v>
      </c>
      <c r="C5047" s="1">
        <f>IFERROR(__xludf.DUMMYFUNCTION("""COMPUTED_VALUE"""),126.68)</f>
        <v>126.68</v>
      </c>
      <c r="D5047" s="1">
        <f>IFERROR(__xludf.DUMMYFUNCTION("""COMPUTED_VALUE"""),125.83)</f>
        <v>125.83</v>
      </c>
      <c r="E5047" s="1">
        <f>IFERROR(__xludf.DUMMYFUNCTION("""COMPUTED_VALUE"""),126.31)</f>
        <v>126.31</v>
      </c>
      <c r="F5047" s="1">
        <f>IFERROR(__xludf.DUMMYFUNCTION("""COMPUTED_VALUE"""),7396746.0)</f>
        <v>7396746</v>
      </c>
    </row>
    <row r="5048">
      <c r="A5048" s="2">
        <f>IFERROR(__xludf.DUMMYFUNCTION("""COMPUTED_VALUE"""),43853.66666666667)</f>
        <v>43853.66667</v>
      </c>
      <c r="B5048" s="1">
        <f>IFERROR(__xludf.DUMMYFUNCTION("""COMPUTED_VALUE"""),124.3)</f>
        <v>124.3</v>
      </c>
      <c r="C5048" s="1">
        <f>IFERROR(__xludf.DUMMYFUNCTION("""COMPUTED_VALUE"""),126.55)</f>
        <v>126.55</v>
      </c>
      <c r="D5048" s="1">
        <f>IFERROR(__xludf.DUMMYFUNCTION("""COMPUTED_VALUE"""),123.65)</f>
        <v>123.65</v>
      </c>
      <c r="E5048" s="1">
        <f>IFERROR(__xludf.DUMMYFUNCTION("""COMPUTED_VALUE"""),124.99)</f>
        <v>124.99</v>
      </c>
      <c r="F5048" s="1">
        <f>IFERROR(__xludf.DUMMYFUNCTION("""COMPUTED_VALUE"""),1.1096732E7)</f>
        <v>11096732</v>
      </c>
    </row>
    <row r="5049">
      <c r="A5049" s="2">
        <f>IFERROR(__xludf.DUMMYFUNCTION("""COMPUTED_VALUE"""),43854.66666666667)</f>
        <v>43854.66667</v>
      </c>
      <c r="B5049" s="1">
        <f>IFERROR(__xludf.DUMMYFUNCTION("""COMPUTED_VALUE"""),125.22)</f>
        <v>125.22</v>
      </c>
      <c r="C5049" s="1">
        <f>IFERROR(__xludf.DUMMYFUNCTION("""COMPUTED_VALUE"""),126.79)</f>
        <v>126.79</v>
      </c>
      <c r="D5049" s="1">
        <f>IFERROR(__xludf.DUMMYFUNCTION("""COMPUTED_VALUE"""),124.77)</f>
        <v>124.77</v>
      </c>
      <c r="E5049" s="1">
        <f>IFERROR(__xludf.DUMMYFUNCTION("""COMPUTED_VALUE"""),125.14)</f>
        <v>125.14</v>
      </c>
      <c r="F5049" s="1">
        <f>IFERROR(__xludf.DUMMYFUNCTION("""COMPUTED_VALUE"""),9508631.0)</f>
        <v>9508631</v>
      </c>
    </row>
    <row r="5050">
      <c r="A5050" s="2">
        <f>IFERROR(__xludf.DUMMYFUNCTION("""COMPUTED_VALUE"""),43857.66666666667)</f>
        <v>43857.66667</v>
      </c>
      <c r="B5050" s="1">
        <f>IFERROR(__xludf.DUMMYFUNCTION("""COMPUTED_VALUE"""),124.75)</f>
        <v>124.75</v>
      </c>
      <c r="C5050" s="1">
        <f>IFERROR(__xludf.DUMMYFUNCTION("""COMPUTED_VALUE"""),126.39)</f>
        <v>126.39</v>
      </c>
      <c r="D5050" s="1">
        <f>IFERROR(__xludf.DUMMYFUNCTION("""COMPUTED_VALUE"""),124.75)</f>
        <v>124.75</v>
      </c>
      <c r="E5050" s="1">
        <f>IFERROR(__xludf.DUMMYFUNCTION("""COMPUTED_VALUE"""),125.69)</f>
        <v>125.69</v>
      </c>
      <c r="F5050" s="1">
        <f>IFERROR(__xludf.DUMMYFUNCTION("""COMPUTED_VALUE"""),9338515.0)</f>
        <v>9338515</v>
      </c>
    </row>
    <row r="5051">
      <c r="A5051" s="2">
        <f>IFERROR(__xludf.DUMMYFUNCTION("""COMPUTED_VALUE"""),43858.66666666667)</f>
        <v>43858.66667</v>
      </c>
      <c r="B5051" s="1">
        <f>IFERROR(__xludf.DUMMYFUNCTION("""COMPUTED_VALUE"""),125.93)</f>
        <v>125.93</v>
      </c>
      <c r="C5051" s="1">
        <f>IFERROR(__xludf.DUMMYFUNCTION("""COMPUTED_VALUE"""),126.98)</f>
        <v>126.98</v>
      </c>
      <c r="D5051" s="1">
        <f>IFERROR(__xludf.DUMMYFUNCTION("""COMPUTED_VALUE"""),125.72)</f>
        <v>125.72</v>
      </c>
      <c r="E5051" s="1">
        <f>IFERROR(__xludf.DUMMYFUNCTION("""COMPUTED_VALUE"""),126.03)</f>
        <v>126.03</v>
      </c>
      <c r="F5051" s="1">
        <f>IFERROR(__xludf.DUMMYFUNCTION("""COMPUTED_VALUE"""),6200303.0)</f>
        <v>6200303</v>
      </c>
    </row>
    <row r="5052">
      <c r="A5052" s="2">
        <f>IFERROR(__xludf.DUMMYFUNCTION("""COMPUTED_VALUE"""),43859.66666666667)</f>
        <v>43859.66667</v>
      </c>
      <c r="B5052" s="1">
        <f>IFERROR(__xludf.DUMMYFUNCTION("""COMPUTED_VALUE"""),125.91)</f>
        <v>125.91</v>
      </c>
      <c r="C5052" s="1">
        <f>IFERROR(__xludf.DUMMYFUNCTION("""COMPUTED_VALUE"""),126.07)</f>
        <v>126.07</v>
      </c>
      <c r="D5052" s="1">
        <f>IFERROR(__xludf.DUMMYFUNCTION("""COMPUTED_VALUE"""),125.03)</f>
        <v>125.03</v>
      </c>
      <c r="E5052" s="1">
        <f>IFERROR(__xludf.DUMMYFUNCTION("""COMPUTED_VALUE"""),125.06)</f>
        <v>125.06</v>
      </c>
      <c r="F5052" s="1">
        <f>IFERROR(__xludf.DUMMYFUNCTION("""COMPUTED_VALUE"""),5271098.0)</f>
        <v>5271098</v>
      </c>
    </row>
    <row r="5053">
      <c r="A5053" s="2">
        <f>IFERROR(__xludf.DUMMYFUNCTION("""COMPUTED_VALUE"""),43860.66666666667)</f>
        <v>43860.66667</v>
      </c>
      <c r="B5053" s="1">
        <f>IFERROR(__xludf.DUMMYFUNCTION("""COMPUTED_VALUE"""),124.79)</f>
        <v>124.79</v>
      </c>
      <c r="C5053" s="1">
        <f>IFERROR(__xludf.DUMMYFUNCTION("""COMPUTED_VALUE"""),126.06)</f>
        <v>126.06</v>
      </c>
      <c r="D5053" s="1">
        <f>IFERROR(__xludf.DUMMYFUNCTION("""COMPUTED_VALUE"""),124.42)</f>
        <v>124.42</v>
      </c>
      <c r="E5053" s="1">
        <f>IFERROR(__xludf.DUMMYFUNCTION("""COMPUTED_VALUE"""),125.95)</f>
        <v>125.95</v>
      </c>
      <c r="F5053" s="1">
        <f>IFERROR(__xludf.DUMMYFUNCTION("""COMPUTED_VALUE"""),5894789.0)</f>
        <v>5894789</v>
      </c>
    </row>
    <row r="5054">
      <c r="A5054" s="2">
        <f>IFERROR(__xludf.DUMMYFUNCTION("""COMPUTED_VALUE"""),43861.66666666667)</f>
        <v>43861.66667</v>
      </c>
      <c r="B5054" s="1">
        <f>IFERROR(__xludf.DUMMYFUNCTION("""COMPUTED_VALUE"""),125.99)</f>
        <v>125.99</v>
      </c>
      <c r="C5054" s="1">
        <f>IFERROR(__xludf.DUMMYFUNCTION("""COMPUTED_VALUE"""),126.95)</f>
        <v>126.95</v>
      </c>
      <c r="D5054" s="1">
        <f>IFERROR(__xludf.DUMMYFUNCTION("""COMPUTED_VALUE"""),124.46)</f>
        <v>124.46</v>
      </c>
      <c r="E5054" s="1">
        <f>IFERROR(__xludf.DUMMYFUNCTION("""COMPUTED_VALUE"""),124.62)</f>
        <v>124.62</v>
      </c>
      <c r="F5054" s="1">
        <f>IFERROR(__xludf.DUMMYFUNCTION("""COMPUTED_VALUE"""),6612874.0)</f>
        <v>6612874</v>
      </c>
    </row>
    <row r="5055">
      <c r="A5055" s="2">
        <f>IFERROR(__xludf.DUMMYFUNCTION("""COMPUTED_VALUE"""),43864.66666666667)</f>
        <v>43864.66667</v>
      </c>
      <c r="B5055" s="1">
        <f>IFERROR(__xludf.DUMMYFUNCTION("""COMPUTED_VALUE"""),124.66)</f>
        <v>124.66</v>
      </c>
      <c r="C5055" s="1">
        <f>IFERROR(__xludf.DUMMYFUNCTION("""COMPUTED_VALUE"""),125.95)</f>
        <v>125.95</v>
      </c>
      <c r="D5055" s="1">
        <f>IFERROR(__xludf.DUMMYFUNCTION("""COMPUTED_VALUE"""),124.49)</f>
        <v>124.49</v>
      </c>
      <c r="E5055" s="1">
        <f>IFERROR(__xludf.DUMMYFUNCTION("""COMPUTED_VALUE"""),125.11)</f>
        <v>125.11</v>
      </c>
      <c r="F5055" s="1">
        <f>IFERROR(__xludf.DUMMYFUNCTION("""COMPUTED_VALUE"""),6052373.0)</f>
        <v>6052373</v>
      </c>
    </row>
    <row r="5056">
      <c r="A5056" s="2">
        <f>IFERROR(__xludf.DUMMYFUNCTION("""COMPUTED_VALUE"""),43865.66666666667)</f>
        <v>43865.66667</v>
      </c>
      <c r="B5056" s="1">
        <f>IFERROR(__xludf.DUMMYFUNCTION("""COMPUTED_VALUE"""),125.71)</f>
        <v>125.71</v>
      </c>
      <c r="C5056" s="1">
        <f>IFERROR(__xludf.DUMMYFUNCTION("""COMPUTED_VALUE"""),127.35)</f>
        <v>127.35</v>
      </c>
      <c r="D5056" s="1">
        <f>IFERROR(__xludf.DUMMYFUNCTION("""COMPUTED_VALUE"""),125.36)</f>
        <v>125.36</v>
      </c>
      <c r="E5056" s="1">
        <f>IFERROR(__xludf.DUMMYFUNCTION("""COMPUTED_VALUE"""),125.66)</f>
        <v>125.66</v>
      </c>
      <c r="F5056" s="1">
        <f>IFERROR(__xludf.DUMMYFUNCTION("""COMPUTED_VALUE"""),6512208.0)</f>
        <v>6512208</v>
      </c>
    </row>
    <row r="5057">
      <c r="A5057" s="2">
        <f>IFERROR(__xludf.DUMMYFUNCTION("""COMPUTED_VALUE"""),43866.66666666667)</f>
        <v>43866.66667</v>
      </c>
      <c r="B5057" s="1">
        <f>IFERROR(__xludf.DUMMYFUNCTION("""COMPUTED_VALUE"""),125.91)</f>
        <v>125.91</v>
      </c>
      <c r="C5057" s="1">
        <f>IFERROR(__xludf.DUMMYFUNCTION("""COMPUTED_VALUE"""),127.06)</f>
        <v>127.06</v>
      </c>
      <c r="D5057" s="1">
        <f>IFERROR(__xludf.DUMMYFUNCTION("""COMPUTED_VALUE"""),125.4)</f>
        <v>125.4</v>
      </c>
      <c r="E5057" s="1">
        <f>IFERROR(__xludf.DUMMYFUNCTION("""COMPUTED_VALUE"""),126.81)</f>
        <v>126.81</v>
      </c>
      <c r="F5057" s="1">
        <f>IFERROR(__xludf.DUMMYFUNCTION("""COMPUTED_VALUE"""),6125436.0)</f>
        <v>6125436</v>
      </c>
    </row>
    <row r="5058">
      <c r="A5058" s="2">
        <f>IFERROR(__xludf.DUMMYFUNCTION("""COMPUTED_VALUE"""),43867.66666666667)</f>
        <v>43867.66667</v>
      </c>
      <c r="B5058" s="1">
        <f>IFERROR(__xludf.DUMMYFUNCTION("""COMPUTED_VALUE"""),126.9)</f>
        <v>126.9</v>
      </c>
      <c r="C5058" s="1">
        <f>IFERROR(__xludf.DUMMYFUNCTION("""COMPUTED_VALUE"""),128.09)</f>
        <v>128.09</v>
      </c>
      <c r="D5058" s="1">
        <f>IFERROR(__xludf.DUMMYFUNCTION("""COMPUTED_VALUE"""),126.6)</f>
        <v>126.6</v>
      </c>
      <c r="E5058" s="1">
        <f>IFERROR(__xludf.DUMMYFUNCTION("""COMPUTED_VALUE"""),127.14)</f>
        <v>127.14</v>
      </c>
      <c r="F5058" s="1">
        <f>IFERROR(__xludf.DUMMYFUNCTION("""COMPUTED_VALUE"""),9102687.0)</f>
        <v>9102687</v>
      </c>
    </row>
    <row r="5059">
      <c r="A5059" s="2">
        <f>IFERROR(__xludf.DUMMYFUNCTION("""COMPUTED_VALUE"""),43868.66666666667)</f>
        <v>43868.66667</v>
      </c>
      <c r="B5059" s="1">
        <f>IFERROR(__xludf.DUMMYFUNCTION("""COMPUTED_VALUE"""),127.19)</f>
        <v>127.19</v>
      </c>
      <c r="C5059" s="1">
        <f>IFERROR(__xludf.DUMMYFUNCTION("""COMPUTED_VALUE"""),127.27)</f>
        <v>127.27</v>
      </c>
      <c r="D5059" s="1">
        <f>IFERROR(__xludf.DUMMYFUNCTION("""COMPUTED_VALUE"""),126.05)</f>
        <v>126.05</v>
      </c>
      <c r="E5059" s="1">
        <f>IFERROR(__xludf.DUMMYFUNCTION("""COMPUTED_VALUE"""),126.08)</f>
        <v>126.08</v>
      </c>
      <c r="F5059" s="1">
        <f>IFERROR(__xludf.DUMMYFUNCTION("""COMPUTED_VALUE"""),5915309.0)</f>
        <v>5915309</v>
      </c>
    </row>
    <row r="5060">
      <c r="A5060" s="2">
        <f>IFERROR(__xludf.DUMMYFUNCTION("""COMPUTED_VALUE"""),43871.66666666667)</f>
        <v>43871.66667</v>
      </c>
      <c r="B5060" s="1">
        <f>IFERROR(__xludf.DUMMYFUNCTION("""COMPUTED_VALUE"""),126.46)</f>
        <v>126.46</v>
      </c>
      <c r="C5060" s="1">
        <f>IFERROR(__xludf.DUMMYFUNCTION("""COMPUTED_VALUE"""),126.83)</f>
        <v>126.83</v>
      </c>
      <c r="D5060" s="1">
        <f>IFERROR(__xludf.DUMMYFUNCTION("""COMPUTED_VALUE"""),125.76)</f>
        <v>125.76</v>
      </c>
      <c r="E5060" s="1">
        <f>IFERROR(__xludf.DUMMYFUNCTION("""COMPUTED_VALUE"""),126.17)</f>
        <v>126.17</v>
      </c>
      <c r="F5060" s="1">
        <f>IFERROR(__xludf.DUMMYFUNCTION("""COMPUTED_VALUE"""),5216077.0)</f>
        <v>5216077</v>
      </c>
    </row>
    <row r="5061">
      <c r="A5061" s="2">
        <f>IFERROR(__xludf.DUMMYFUNCTION("""COMPUTED_VALUE"""),43872.66666666667)</f>
        <v>43872.66667</v>
      </c>
      <c r="B5061" s="1">
        <f>IFERROR(__xludf.DUMMYFUNCTION("""COMPUTED_VALUE"""),126.27)</f>
        <v>126.27</v>
      </c>
      <c r="C5061" s="1">
        <f>IFERROR(__xludf.DUMMYFUNCTION("""COMPUTED_VALUE"""),126.27)</f>
        <v>126.27</v>
      </c>
      <c r="D5061" s="1">
        <f>IFERROR(__xludf.DUMMYFUNCTION("""COMPUTED_VALUE"""),124.03)</f>
        <v>124.03</v>
      </c>
      <c r="E5061" s="1">
        <f>IFERROR(__xludf.DUMMYFUNCTION("""COMPUTED_VALUE"""),124.16)</f>
        <v>124.16</v>
      </c>
      <c r="F5061" s="1">
        <f>IFERROR(__xludf.DUMMYFUNCTION("""COMPUTED_VALUE"""),6105679.0)</f>
        <v>6105679</v>
      </c>
    </row>
    <row r="5062">
      <c r="A5062" s="2">
        <f>IFERROR(__xludf.DUMMYFUNCTION("""COMPUTED_VALUE"""),43873.66666666667)</f>
        <v>43873.66667</v>
      </c>
      <c r="B5062" s="1">
        <f>IFERROR(__xludf.DUMMYFUNCTION("""COMPUTED_VALUE"""),123.68)</f>
        <v>123.68</v>
      </c>
      <c r="C5062" s="1">
        <f>IFERROR(__xludf.DUMMYFUNCTION("""COMPUTED_VALUE"""),123.97)</f>
        <v>123.97</v>
      </c>
      <c r="D5062" s="1">
        <f>IFERROR(__xludf.DUMMYFUNCTION("""COMPUTED_VALUE"""),122.85)</f>
        <v>122.85</v>
      </c>
      <c r="E5062" s="1">
        <f>IFERROR(__xludf.DUMMYFUNCTION("""COMPUTED_VALUE"""),123.45)</f>
        <v>123.45</v>
      </c>
      <c r="F5062" s="1">
        <f>IFERROR(__xludf.DUMMYFUNCTION("""COMPUTED_VALUE"""),6031810.0)</f>
        <v>6031810</v>
      </c>
    </row>
    <row r="5063">
      <c r="A5063" s="2">
        <f>IFERROR(__xludf.DUMMYFUNCTION("""COMPUTED_VALUE"""),43874.66666666667)</f>
        <v>43874.66667</v>
      </c>
      <c r="B5063" s="1">
        <f>IFERROR(__xludf.DUMMYFUNCTION("""COMPUTED_VALUE"""),123.73)</f>
        <v>123.73</v>
      </c>
      <c r="C5063" s="1">
        <f>IFERROR(__xludf.DUMMYFUNCTION("""COMPUTED_VALUE"""),125.28)</f>
        <v>125.28</v>
      </c>
      <c r="D5063" s="1">
        <f>IFERROR(__xludf.DUMMYFUNCTION("""COMPUTED_VALUE"""),123.52)</f>
        <v>123.52</v>
      </c>
      <c r="E5063" s="1">
        <f>IFERROR(__xludf.DUMMYFUNCTION("""COMPUTED_VALUE"""),124.96)</f>
        <v>124.96</v>
      </c>
      <c r="F5063" s="1">
        <f>IFERROR(__xludf.DUMMYFUNCTION("""COMPUTED_VALUE"""),7159394.0)</f>
        <v>7159394</v>
      </c>
    </row>
    <row r="5064">
      <c r="A5064" s="2">
        <f>IFERROR(__xludf.DUMMYFUNCTION("""COMPUTED_VALUE"""),43875.66666666667)</f>
        <v>43875.66667</v>
      </c>
      <c r="B5064" s="1">
        <f>IFERROR(__xludf.DUMMYFUNCTION("""COMPUTED_VALUE"""),125.29)</f>
        <v>125.29</v>
      </c>
      <c r="C5064" s="1">
        <f>IFERROR(__xludf.DUMMYFUNCTION("""COMPUTED_VALUE"""),126.15)</f>
        <v>126.15</v>
      </c>
      <c r="D5064" s="1">
        <f>IFERROR(__xludf.DUMMYFUNCTION("""COMPUTED_VALUE"""),124.79)</f>
        <v>124.79</v>
      </c>
      <c r="E5064" s="1">
        <f>IFERROR(__xludf.DUMMYFUNCTION("""COMPUTED_VALUE"""),126.14)</f>
        <v>126.14</v>
      </c>
      <c r="F5064" s="1">
        <f>IFERROR(__xludf.DUMMYFUNCTION("""COMPUTED_VALUE"""),5889148.0)</f>
        <v>5889148</v>
      </c>
    </row>
    <row r="5065">
      <c r="A5065" s="2">
        <f>IFERROR(__xludf.DUMMYFUNCTION("""COMPUTED_VALUE"""),43879.66666666667)</f>
        <v>43879.66667</v>
      </c>
      <c r="B5065" s="1">
        <f>IFERROR(__xludf.DUMMYFUNCTION("""COMPUTED_VALUE"""),125.83)</f>
        <v>125.83</v>
      </c>
      <c r="C5065" s="1">
        <f>IFERROR(__xludf.DUMMYFUNCTION("""COMPUTED_VALUE"""),126.18)</f>
        <v>126.18</v>
      </c>
      <c r="D5065" s="1">
        <f>IFERROR(__xludf.DUMMYFUNCTION("""COMPUTED_VALUE"""),124.83)</f>
        <v>124.83</v>
      </c>
      <c r="E5065" s="1">
        <f>IFERROR(__xludf.DUMMYFUNCTION("""COMPUTED_VALUE"""),124.87)</f>
        <v>124.87</v>
      </c>
      <c r="F5065" s="1">
        <f>IFERROR(__xludf.DUMMYFUNCTION("""COMPUTED_VALUE"""),6768309.0)</f>
        <v>6768309</v>
      </c>
    </row>
    <row r="5066">
      <c r="A5066" s="2">
        <f>IFERROR(__xludf.DUMMYFUNCTION("""COMPUTED_VALUE"""),43880.66666666667)</f>
        <v>43880.66667</v>
      </c>
      <c r="B5066" s="1">
        <f>IFERROR(__xludf.DUMMYFUNCTION("""COMPUTED_VALUE"""),124.85)</f>
        <v>124.85</v>
      </c>
      <c r="C5066" s="1">
        <f>IFERROR(__xludf.DUMMYFUNCTION("""COMPUTED_VALUE"""),126.47)</f>
        <v>126.47</v>
      </c>
      <c r="D5066" s="1">
        <f>IFERROR(__xludf.DUMMYFUNCTION("""COMPUTED_VALUE"""),124.65)</f>
        <v>124.65</v>
      </c>
      <c r="E5066" s="1">
        <f>IFERROR(__xludf.DUMMYFUNCTION("""COMPUTED_VALUE"""),125.44)</f>
        <v>125.44</v>
      </c>
      <c r="F5066" s="1">
        <f>IFERROR(__xludf.DUMMYFUNCTION("""COMPUTED_VALUE"""),4734009.0)</f>
        <v>4734009</v>
      </c>
    </row>
    <row r="5067">
      <c r="A5067" s="2">
        <f>IFERROR(__xludf.DUMMYFUNCTION("""COMPUTED_VALUE"""),43881.66666666667)</f>
        <v>43881.66667</v>
      </c>
      <c r="B5067" s="1">
        <f>IFERROR(__xludf.DUMMYFUNCTION("""COMPUTED_VALUE"""),125.47)</f>
        <v>125.47</v>
      </c>
      <c r="C5067" s="1">
        <f>IFERROR(__xludf.DUMMYFUNCTION("""COMPUTED_VALUE"""),126.76)</f>
        <v>126.76</v>
      </c>
      <c r="D5067" s="1">
        <f>IFERROR(__xludf.DUMMYFUNCTION("""COMPUTED_VALUE"""),125.13)</f>
        <v>125.13</v>
      </c>
      <c r="E5067" s="1">
        <f>IFERROR(__xludf.DUMMYFUNCTION("""COMPUTED_VALUE"""),126.58)</f>
        <v>126.58</v>
      </c>
      <c r="F5067" s="1">
        <f>IFERROR(__xludf.DUMMYFUNCTION("""COMPUTED_VALUE"""),6094704.0)</f>
        <v>6094704</v>
      </c>
    </row>
    <row r="5068">
      <c r="A5068" s="2">
        <f>IFERROR(__xludf.DUMMYFUNCTION("""COMPUTED_VALUE"""),43882.66666666667)</f>
        <v>43882.66667</v>
      </c>
      <c r="B5068" s="1">
        <f>IFERROR(__xludf.DUMMYFUNCTION("""COMPUTED_VALUE"""),126.13)</f>
        <v>126.13</v>
      </c>
      <c r="C5068" s="1">
        <f>IFERROR(__xludf.DUMMYFUNCTION("""COMPUTED_VALUE"""),128.07)</f>
        <v>128.07</v>
      </c>
      <c r="D5068" s="1">
        <f>IFERROR(__xludf.DUMMYFUNCTION("""COMPUTED_VALUE"""),125.98)</f>
        <v>125.98</v>
      </c>
      <c r="E5068" s="1">
        <f>IFERROR(__xludf.DUMMYFUNCTION("""COMPUTED_VALUE"""),126.7)</f>
        <v>126.7</v>
      </c>
      <c r="F5068" s="1">
        <f>IFERROR(__xludf.DUMMYFUNCTION("""COMPUTED_VALUE"""),8724117.0)</f>
        <v>8724117</v>
      </c>
    </row>
    <row r="5069">
      <c r="A5069" s="2">
        <f>IFERROR(__xludf.DUMMYFUNCTION("""COMPUTED_VALUE"""),43885.66666666667)</f>
        <v>43885.66667</v>
      </c>
      <c r="B5069" s="1">
        <f>IFERROR(__xludf.DUMMYFUNCTION("""COMPUTED_VALUE"""),125.26)</f>
        <v>125.26</v>
      </c>
      <c r="C5069" s="1">
        <f>IFERROR(__xludf.DUMMYFUNCTION("""COMPUTED_VALUE"""),126.59)</f>
        <v>126.59</v>
      </c>
      <c r="D5069" s="1">
        <f>IFERROR(__xludf.DUMMYFUNCTION("""COMPUTED_VALUE"""),123.14)</f>
        <v>123.14</v>
      </c>
      <c r="E5069" s="1">
        <f>IFERROR(__xludf.DUMMYFUNCTION("""COMPUTED_VALUE"""),123.3)</f>
        <v>123.3</v>
      </c>
      <c r="F5069" s="1">
        <f>IFERROR(__xludf.DUMMYFUNCTION("""COMPUTED_VALUE"""),7534127.0)</f>
        <v>7534127</v>
      </c>
    </row>
    <row r="5070">
      <c r="A5070" s="2">
        <f>IFERROR(__xludf.DUMMYFUNCTION("""COMPUTED_VALUE"""),43886.66666666667)</f>
        <v>43886.66667</v>
      </c>
      <c r="B5070" s="1">
        <f>IFERROR(__xludf.DUMMYFUNCTION("""COMPUTED_VALUE"""),123.02)</f>
        <v>123.02</v>
      </c>
      <c r="C5070" s="1">
        <f>IFERROR(__xludf.DUMMYFUNCTION("""COMPUTED_VALUE"""),123.96)</f>
        <v>123.96</v>
      </c>
      <c r="D5070" s="1">
        <f>IFERROR(__xludf.DUMMYFUNCTION("""COMPUTED_VALUE"""),120.88)</f>
        <v>120.88</v>
      </c>
      <c r="E5070" s="1">
        <f>IFERROR(__xludf.DUMMYFUNCTION("""COMPUTED_VALUE"""),121.43)</f>
        <v>121.43</v>
      </c>
      <c r="F5070" s="1">
        <f>IFERROR(__xludf.DUMMYFUNCTION("""COMPUTED_VALUE"""),8903163.0)</f>
        <v>8903163</v>
      </c>
    </row>
    <row r="5071">
      <c r="A5071" s="2">
        <f>IFERROR(__xludf.DUMMYFUNCTION("""COMPUTED_VALUE"""),43887.66666666667)</f>
        <v>43887.66667</v>
      </c>
      <c r="B5071" s="1">
        <f>IFERROR(__xludf.DUMMYFUNCTION("""COMPUTED_VALUE"""),121.42)</f>
        <v>121.42</v>
      </c>
      <c r="C5071" s="1">
        <f>IFERROR(__xludf.DUMMYFUNCTION("""COMPUTED_VALUE"""),122.39)</f>
        <v>122.39</v>
      </c>
      <c r="D5071" s="1">
        <f>IFERROR(__xludf.DUMMYFUNCTION("""COMPUTED_VALUE"""),119.85)</f>
        <v>119.85</v>
      </c>
      <c r="E5071" s="1">
        <f>IFERROR(__xludf.DUMMYFUNCTION("""COMPUTED_VALUE"""),120.16)</f>
        <v>120.16</v>
      </c>
      <c r="F5071" s="1">
        <f>IFERROR(__xludf.DUMMYFUNCTION("""COMPUTED_VALUE"""),6894673.0)</f>
        <v>6894673</v>
      </c>
    </row>
    <row r="5072">
      <c r="A5072" s="2">
        <f>IFERROR(__xludf.DUMMYFUNCTION("""COMPUTED_VALUE"""),43888.66666666667)</f>
        <v>43888.66667</v>
      </c>
      <c r="B5072" s="1">
        <f>IFERROR(__xludf.DUMMYFUNCTION("""COMPUTED_VALUE"""),119.12)</f>
        <v>119.12</v>
      </c>
      <c r="C5072" s="1">
        <f>IFERROR(__xludf.DUMMYFUNCTION("""COMPUTED_VALUE"""),119.92)</f>
        <v>119.92</v>
      </c>
      <c r="D5072" s="1">
        <f>IFERROR(__xludf.DUMMYFUNCTION("""COMPUTED_VALUE"""),113.43)</f>
        <v>113.43</v>
      </c>
      <c r="E5072" s="1">
        <f>IFERROR(__xludf.DUMMYFUNCTION("""COMPUTED_VALUE"""),113.5)</f>
        <v>113.5</v>
      </c>
      <c r="F5072" s="1">
        <f>IFERROR(__xludf.DUMMYFUNCTION("""COMPUTED_VALUE"""),1.329885E7)</f>
        <v>13298850</v>
      </c>
    </row>
    <row r="5073">
      <c r="A5073" s="2">
        <f>IFERROR(__xludf.DUMMYFUNCTION("""COMPUTED_VALUE"""),43889.66666666667)</f>
        <v>43889.66667</v>
      </c>
      <c r="B5073" s="1">
        <f>IFERROR(__xludf.DUMMYFUNCTION("""COMPUTED_VALUE"""),109.46)</f>
        <v>109.46</v>
      </c>
      <c r="C5073" s="1">
        <f>IFERROR(__xludf.DUMMYFUNCTION("""COMPUTED_VALUE"""),113.23)</f>
        <v>113.23</v>
      </c>
      <c r="D5073" s="1">
        <f>IFERROR(__xludf.DUMMYFUNCTION("""COMPUTED_VALUE"""),106.67)</f>
        <v>106.67</v>
      </c>
      <c r="E5073" s="1">
        <f>IFERROR(__xludf.DUMMYFUNCTION("""COMPUTED_VALUE"""),113.23)</f>
        <v>113.23</v>
      </c>
      <c r="F5073" s="1">
        <f>IFERROR(__xludf.DUMMYFUNCTION("""COMPUTED_VALUE"""),2.2788576E7)</f>
        <v>22788576</v>
      </c>
    </row>
    <row r="5074">
      <c r="A5074" s="2">
        <f>IFERROR(__xludf.DUMMYFUNCTION("""COMPUTED_VALUE"""),43892.66666666667)</f>
        <v>43892.66667</v>
      </c>
      <c r="B5074" s="1">
        <f>IFERROR(__xludf.DUMMYFUNCTION("""COMPUTED_VALUE"""),113.19)</f>
        <v>113.19</v>
      </c>
      <c r="C5074" s="1">
        <f>IFERROR(__xludf.DUMMYFUNCTION("""COMPUTED_VALUE"""),119.79)</f>
        <v>119.79</v>
      </c>
      <c r="D5074" s="1">
        <f>IFERROR(__xludf.DUMMYFUNCTION("""COMPUTED_VALUE"""),112.55)</f>
        <v>112.55</v>
      </c>
      <c r="E5074" s="1">
        <f>IFERROR(__xludf.DUMMYFUNCTION("""COMPUTED_VALUE"""),119.56)</f>
        <v>119.56</v>
      </c>
      <c r="F5074" s="1">
        <f>IFERROR(__xludf.DUMMYFUNCTION("""COMPUTED_VALUE"""),1.2399797E7)</f>
        <v>12399797</v>
      </c>
    </row>
    <row r="5075">
      <c r="A5075" s="2">
        <f>IFERROR(__xludf.DUMMYFUNCTION("""COMPUTED_VALUE"""),43893.66666666667)</f>
        <v>43893.66667</v>
      </c>
      <c r="B5075" s="1">
        <f>IFERROR(__xludf.DUMMYFUNCTION("""COMPUTED_VALUE"""),119.73)</f>
        <v>119.73</v>
      </c>
      <c r="C5075" s="1">
        <f>IFERROR(__xludf.DUMMYFUNCTION("""COMPUTED_VALUE"""),121.84)</f>
        <v>121.84</v>
      </c>
      <c r="D5075" s="1">
        <f>IFERROR(__xludf.DUMMYFUNCTION("""COMPUTED_VALUE"""),117.14)</f>
        <v>117.14</v>
      </c>
      <c r="E5075" s="1">
        <f>IFERROR(__xludf.DUMMYFUNCTION("""COMPUTED_VALUE"""),118.17)</f>
        <v>118.17</v>
      </c>
      <c r="F5075" s="1">
        <f>IFERROR(__xludf.DUMMYFUNCTION("""COMPUTED_VALUE"""),1.2510899E7)</f>
        <v>12510899</v>
      </c>
    </row>
    <row r="5076">
      <c r="A5076" s="2">
        <f>IFERROR(__xludf.DUMMYFUNCTION("""COMPUTED_VALUE"""),43894.66666666667)</f>
        <v>43894.66667</v>
      </c>
      <c r="B5076" s="1">
        <f>IFERROR(__xludf.DUMMYFUNCTION("""COMPUTED_VALUE"""),119.88)</f>
        <v>119.88</v>
      </c>
      <c r="C5076" s="1">
        <f>IFERROR(__xludf.DUMMYFUNCTION("""COMPUTED_VALUE"""),124.69)</f>
        <v>124.69</v>
      </c>
      <c r="D5076" s="1">
        <f>IFERROR(__xludf.DUMMYFUNCTION("""COMPUTED_VALUE"""),119.6)</f>
        <v>119.6</v>
      </c>
      <c r="E5076" s="1">
        <f>IFERROR(__xludf.DUMMYFUNCTION("""COMPUTED_VALUE"""),124.5)</f>
        <v>124.5</v>
      </c>
      <c r="F5076" s="1">
        <f>IFERROR(__xludf.DUMMYFUNCTION("""COMPUTED_VALUE"""),9459359.0)</f>
        <v>9459359</v>
      </c>
    </row>
    <row r="5077">
      <c r="A5077" s="2">
        <f>IFERROR(__xludf.DUMMYFUNCTION("""COMPUTED_VALUE"""),43895.66666666667)</f>
        <v>43895.66667</v>
      </c>
      <c r="B5077" s="1">
        <f>IFERROR(__xludf.DUMMYFUNCTION("""COMPUTED_VALUE"""),121.3)</f>
        <v>121.3</v>
      </c>
      <c r="C5077" s="1">
        <f>IFERROR(__xludf.DUMMYFUNCTION("""COMPUTED_VALUE"""),122.9)</f>
        <v>122.9</v>
      </c>
      <c r="D5077" s="1">
        <f>IFERROR(__xludf.DUMMYFUNCTION("""COMPUTED_VALUE"""),120.28)</f>
        <v>120.28</v>
      </c>
      <c r="E5077" s="1">
        <f>IFERROR(__xludf.DUMMYFUNCTION("""COMPUTED_VALUE"""),121.63)</f>
        <v>121.63</v>
      </c>
      <c r="F5077" s="1">
        <f>IFERROR(__xludf.DUMMYFUNCTION("""COMPUTED_VALUE"""),9363678.0)</f>
        <v>9363678</v>
      </c>
    </row>
    <row r="5078">
      <c r="A5078" s="2">
        <f>IFERROR(__xludf.DUMMYFUNCTION("""COMPUTED_VALUE"""),43896.66666666667)</f>
        <v>43896.66667</v>
      </c>
      <c r="B5078" s="1">
        <f>IFERROR(__xludf.DUMMYFUNCTION("""COMPUTED_VALUE"""),118.03)</f>
        <v>118.03</v>
      </c>
      <c r="C5078" s="1">
        <f>IFERROR(__xludf.DUMMYFUNCTION("""COMPUTED_VALUE"""),122.61)</f>
        <v>122.61</v>
      </c>
      <c r="D5078" s="1">
        <f>IFERROR(__xludf.DUMMYFUNCTION("""COMPUTED_VALUE"""),117.55)</f>
        <v>117.55</v>
      </c>
      <c r="E5078" s="1">
        <f>IFERROR(__xludf.DUMMYFUNCTION("""COMPUTED_VALUE"""),121.66)</f>
        <v>121.66</v>
      </c>
      <c r="F5078" s="1">
        <f>IFERROR(__xludf.DUMMYFUNCTION("""COMPUTED_VALUE"""),9817418.0)</f>
        <v>9817418</v>
      </c>
    </row>
    <row r="5079">
      <c r="A5079" s="2">
        <f>IFERROR(__xludf.DUMMYFUNCTION("""COMPUTED_VALUE"""),43899.66666666667)</f>
        <v>43899.66667</v>
      </c>
      <c r="B5079" s="1">
        <f>IFERROR(__xludf.DUMMYFUNCTION("""COMPUTED_VALUE"""),115.27)</f>
        <v>115.27</v>
      </c>
      <c r="C5079" s="1">
        <f>IFERROR(__xludf.DUMMYFUNCTION("""COMPUTED_VALUE"""),120.03)</f>
        <v>120.03</v>
      </c>
      <c r="D5079" s="1">
        <f>IFERROR(__xludf.DUMMYFUNCTION("""COMPUTED_VALUE"""),115.12)</f>
        <v>115.12</v>
      </c>
      <c r="E5079" s="1">
        <f>IFERROR(__xludf.DUMMYFUNCTION("""COMPUTED_VALUE"""),116.06)</f>
        <v>116.06</v>
      </c>
      <c r="F5079" s="1">
        <f>IFERROR(__xludf.DUMMYFUNCTION("""COMPUTED_VALUE"""),1.3116453E7)</f>
        <v>13116453</v>
      </c>
    </row>
    <row r="5080">
      <c r="A5080" s="2">
        <f>IFERROR(__xludf.DUMMYFUNCTION("""COMPUTED_VALUE"""),43900.66666666667)</f>
        <v>43900.66667</v>
      </c>
      <c r="B5080" s="1">
        <f>IFERROR(__xludf.DUMMYFUNCTION("""COMPUTED_VALUE"""),118.96)</f>
        <v>118.96</v>
      </c>
      <c r="C5080" s="1">
        <f>IFERROR(__xludf.DUMMYFUNCTION("""COMPUTED_VALUE"""),120.82)</f>
        <v>120.82</v>
      </c>
      <c r="D5080" s="1">
        <f>IFERROR(__xludf.DUMMYFUNCTION("""COMPUTED_VALUE"""),114.44)</f>
        <v>114.44</v>
      </c>
      <c r="E5080" s="1">
        <f>IFERROR(__xludf.DUMMYFUNCTION("""COMPUTED_VALUE"""),120.55)</f>
        <v>120.55</v>
      </c>
      <c r="F5080" s="1">
        <f>IFERROR(__xludf.DUMMYFUNCTION("""COMPUTED_VALUE"""),1.141912E7)</f>
        <v>11419120</v>
      </c>
    </row>
    <row r="5081">
      <c r="A5081" s="2">
        <f>IFERROR(__xludf.DUMMYFUNCTION("""COMPUTED_VALUE"""),43901.66666666667)</f>
        <v>43901.66667</v>
      </c>
      <c r="B5081" s="1">
        <f>IFERROR(__xludf.DUMMYFUNCTION("""COMPUTED_VALUE"""),117.6)</f>
        <v>117.6</v>
      </c>
      <c r="C5081" s="1">
        <f>IFERROR(__xludf.DUMMYFUNCTION("""COMPUTED_VALUE"""),118.44)</f>
        <v>118.44</v>
      </c>
      <c r="D5081" s="1">
        <f>IFERROR(__xludf.DUMMYFUNCTION("""COMPUTED_VALUE"""),110.68)</f>
        <v>110.68</v>
      </c>
      <c r="E5081" s="1">
        <f>IFERROR(__xludf.DUMMYFUNCTION("""COMPUTED_VALUE"""),111.59)</f>
        <v>111.59</v>
      </c>
      <c r="F5081" s="1">
        <f>IFERROR(__xludf.DUMMYFUNCTION("""COMPUTED_VALUE"""),1.6460655E7)</f>
        <v>16460655</v>
      </c>
    </row>
    <row r="5082">
      <c r="A5082" s="2">
        <f>IFERROR(__xludf.DUMMYFUNCTION("""COMPUTED_VALUE"""),43902.66666666667)</f>
        <v>43902.66667</v>
      </c>
      <c r="B5082" s="1">
        <f>IFERROR(__xludf.DUMMYFUNCTION("""COMPUTED_VALUE"""),103.0)</f>
        <v>103</v>
      </c>
      <c r="C5082" s="1">
        <f>IFERROR(__xludf.DUMMYFUNCTION("""COMPUTED_VALUE"""),111.58)</f>
        <v>111.58</v>
      </c>
      <c r="D5082" s="1">
        <f>IFERROR(__xludf.DUMMYFUNCTION("""COMPUTED_VALUE"""),101.0)</f>
        <v>101</v>
      </c>
      <c r="E5082" s="1">
        <f>IFERROR(__xludf.DUMMYFUNCTION("""COMPUTED_VALUE"""),101.84)</f>
        <v>101.84</v>
      </c>
      <c r="F5082" s="1">
        <f>IFERROR(__xludf.DUMMYFUNCTION("""COMPUTED_VALUE"""),2.098804E7)</f>
        <v>20988040</v>
      </c>
    </row>
    <row r="5083">
      <c r="A5083" s="2">
        <f>IFERROR(__xludf.DUMMYFUNCTION("""COMPUTED_VALUE"""),43903.66666666667)</f>
        <v>43903.66667</v>
      </c>
      <c r="B5083" s="1">
        <f>IFERROR(__xludf.DUMMYFUNCTION("""COMPUTED_VALUE"""),106.5)</f>
        <v>106.5</v>
      </c>
      <c r="C5083" s="1">
        <f>IFERROR(__xludf.DUMMYFUNCTION("""COMPUTED_VALUE"""),114.63)</f>
        <v>114.63</v>
      </c>
      <c r="D5083" s="1">
        <f>IFERROR(__xludf.DUMMYFUNCTION("""COMPUTED_VALUE"""),105.41)</f>
        <v>105.41</v>
      </c>
      <c r="E5083" s="1">
        <f>IFERROR(__xludf.DUMMYFUNCTION("""COMPUTED_VALUE"""),114.07)</f>
        <v>114.07</v>
      </c>
      <c r="F5083" s="1">
        <f>IFERROR(__xludf.DUMMYFUNCTION("""COMPUTED_VALUE"""),1.7378702E7)</f>
        <v>17378702</v>
      </c>
    </row>
    <row r="5084">
      <c r="A5084" s="2">
        <f>IFERROR(__xludf.DUMMYFUNCTION("""COMPUTED_VALUE"""),43906.66666666667)</f>
        <v>43906.66667</v>
      </c>
      <c r="B5084" s="1">
        <f>IFERROR(__xludf.DUMMYFUNCTION("""COMPUTED_VALUE"""),101.75)</f>
        <v>101.75</v>
      </c>
      <c r="C5084" s="1">
        <f>IFERROR(__xludf.DUMMYFUNCTION("""COMPUTED_VALUE"""),115.95)</f>
        <v>115.95</v>
      </c>
      <c r="D5084" s="1">
        <f>IFERROR(__xludf.DUMMYFUNCTION("""COMPUTED_VALUE"""),101.0)</f>
        <v>101</v>
      </c>
      <c r="E5084" s="1">
        <f>IFERROR(__xludf.DUMMYFUNCTION("""COMPUTED_VALUE"""),108.5)</f>
        <v>108.5</v>
      </c>
      <c r="F5084" s="1">
        <f>IFERROR(__xludf.DUMMYFUNCTION("""COMPUTED_VALUE"""),1.7367428E7)</f>
        <v>17367428</v>
      </c>
    </row>
    <row r="5085">
      <c r="A5085" s="2">
        <f>IFERROR(__xludf.DUMMYFUNCTION("""COMPUTED_VALUE"""),43907.66666666667)</f>
        <v>43907.66667</v>
      </c>
      <c r="B5085" s="1">
        <f>IFERROR(__xludf.DUMMYFUNCTION("""COMPUTED_VALUE"""),111.45)</f>
        <v>111.45</v>
      </c>
      <c r="C5085" s="1">
        <f>IFERROR(__xludf.DUMMYFUNCTION("""COMPUTED_VALUE"""),119.7)</f>
        <v>119.7</v>
      </c>
      <c r="D5085" s="1">
        <f>IFERROR(__xludf.DUMMYFUNCTION("""COMPUTED_VALUE"""),110.77)</f>
        <v>110.77</v>
      </c>
      <c r="E5085" s="1">
        <f>IFERROR(__xludf.DUMMYFUNCTION("""COMPUTED_VALUE"""),118.24)</f>
        <v>118.24</v>
      </c>
      <c r="F5085" s="1">
        <f>IFERROR(__xludf.DUMMYFUNCTION("""COMPUTED_VALUE"""),1.9451356E7)</f>
        <v>19451356</v>
      </c>
    </row>
    <row r="5086">
      <c r="A5086" s="2">
        <f>IFERROR(__xludf.DUMMYFUNCTION("""COMPUTED_VALUE"""),43908.66666666667)</f>
        <v>43908.66667</v>
      </c>
      <c r="B5086" s="1">
        <f>IFERROR(__xludf.DUMMYFUNCTION("""COMPUTED_VALUE"""),113.02)</f>
        <v>113.02</v>
      </c>
      <c r="C5086" s="1">
        <f>IFERROR(__xludf.DUMMYFUNCTION("""COMPUTED_VALUE"""),121.5)</f>
        <v>121.5</v>
      </c>
      <c r="D5086" s="1">
        <f>IFERROR(__xludf.DUMMYFUNCTION("""COMPUTED_VALUE"""),112.09)</f>
        <v>112.09</v>
      </c>
      <c r="E5086" s="1">
        <f>IFERROR(__xludf.DUMMYFUNCTION("""COMPUTED_VALUE"""),117.45)</f>
        <v>117.45</v>
      </c>
      <c r="F5086" s="1">
        <f>IFERROR(__xludf.DUMMYFUNCTION("""COMPUTED_VALUE"""),2.3139241E7)</f>
        <v>23139241</v>
      </c>
    </row>
    <row r="5087">
      <c r="A5087" s="2">
        <f>IFERROR(__xludf.DUMMYFUNCTION("""COMPUTED_VALUE"""),43909.66666666667)</f>
        <v>43909.66667</v>
      </c>
      <c r="B5087" s="1">
        <f>IFERROR(__xludf.DUMMYFUNCTION("""COMPUTED_VALUE"""),116.61)</f>
        <v>116.61</v>
      </c>
      <c r="C5087" s="1">
        <f>IFERROR(__xludf.DUMMYFUNCTION("""COMPUTED_VALUE"""),118.0)</f>
        <v>118</v>
      </c>
      <c r="D5087" s="1">
        <f>IFERROR(__xludf.DUMMYFUNCTION("""COMPUTED_VALUE"""),109.79)</f>
        <v>109.79</v>
      </c>
      <c r="E5087" s="1">
        <f>IFERROR(__xludf.DUMMYFUNCTION("""COMPUTED_VALUE"""),110.83)</f>
        <v>110.83</v>
      </c>
      <c r="F5087" s="1">
        <f>IFERROR(__xludf.DUMMYFUNCTION("""COMPUTED_VALUE"""),1.6428077E7)</f>
        <v>16428077</v>
      </c>
    </row>
    <row r="5088">
      <c r="A5088" s="2">
        <f>IFERROR(__xludf.DUMMYFUNCTION("""COMPUTED_VALUE"""),43910.66666666667)</f>
        <v>43910.66667</v>
      </c>
      <c r="B5088" s="1">
        <f>IFERROR(__xludf.DUMMYFUNCTION("""COMPUTED_VALUE"""),109.19)</f>
        <v>109.19</v>
      </c>
      <c r="C5088" s="1">
        <f>IFERROR(__xludf.DUMMYFUNCTION("""COMPUTED_VALUE"""),109.7)</f>
        <v>109.7</v>
      </c>
      <c r="D5088" s="1">
        <f>IFERROR(__xludf.DUMMYFUNCTION("""COMPUTED_VALUE"""),101.59)</f>
        <v>101.59</v>
      </c>
      <c r="E5088" s="1">
        <f>IFERROR(__xludf.DUMMYFUNCTION("""COMPUTED_VALUE"""),102.43)</f>
        <v>102.43</v>
      </c>
      <c r="F5088" s="1">
        <f>IFERROR(__xludf.DUMMYFUNCTION("""COMPUTED_VALUE"""),1.9922936E7)</f>
        <v>19922936</v>
      </c>
    </row>
    <row r="5089">
      <c r="A5089" s="2">
        <f>IFERROR(__xludf.DUMMYFUNCTION("""COMPUTED_VALUE"""),43913.66666666667)</f>
        <v>43913.66667</v>
      </c>
      <c r="B5089" s="1">
        <f>IFERROR(__xludf.DUMMYFUNCTION("""COMPUTED_VALUE"""),100.19)</f>
        <v>100.19</v>
      </c>
      <c r="C5089" s="1">
        <f>IFERROR(__xludf.DUMMYFUNCTION("""COMPUTED_VALUE"""),103.75)</f>
        <v>103.75</v>
      </c>
      <c r="D5089" s="1">
        <f>IFERROR(__xludf.DUMMYFUNCTION("""COMPUTED_VALUE"""),94.34)</f>
        <v>94.34</v>
      </c>
      <c r="E5089" s="1">
        <f>IFERROR(__xludf.DUMMYFUNCTION("""COMPUTED_VALUE"""),97.7)</f>
        <v>97.7</v>
      </c>
      <c r="F5089" s="1">
        <f>IFERROR(__xludf.DUMMYFUNCTION("""COMPUTED_VALUE"""),1.7776754E7)</f>
        <v>17776754</v>
      </c>
    </row>
    <row r="5090">
      <c r="A5090" s="2">
        <f>IFERROR(__xludf.DUMMYFUNCTION("""COMPUTED_VALUE"""),43914.66666666667)</f>
        <v>43914.66667</v>
      </c>
      <c r="B5090" s="1">
        <f>IFERROR(__xludf.DUMMYFUNCTION("""COMPUTED_VALUE"""),101.23)</f>
        <v>101.23</v>
      </c>
      <c r="C5090" s="1">
        <f>IFERROR(__xludf.DUMMYFUNCTION("""COMPUTED_VALUE"""),104.0)</f>
        <v>104</v>
      </c>
      <c r="D5090" s="1">
        <f>IFERROR(__xludf.DUMMYFUNCTION("""COMPUTED_VALUE"""),96.07)</f>
        <v>96.07</v>
      </c>
      <c r="E5090" s="1">
        <f>IFERROR(__xludf.DUMMYFUNCTION("""COMPUTED_VALUE"""),103.27)</f>
        <v>103.27</v>
      </c>
      <c r="F5090" s="1">
        <f>IFERROR(__xludf.DUMMYFUNCTION("""COMPUTED_VALUE"""),1.4625482E7)</f>
        <v>14625482</v>
      </c>
    </row>
    <row r="5091">
      <c r="A5091" s="2">
        <f>IFERROR(__xludf.DUMMYFUNCTION("""COMPUTED_VALUE"""),43915.66666666667)</f>
        <v>43915.66667</v>
      </c>
      <c r="B5091" s="1">
        <f>IFERROR(__xludf.DUMMYFUNCTION("""COMPUTED_VALUE"""),100.51)</f>
        <v>100.51</v>
      </c>
      <c r="C5091" s="1">
        <f>IFERROR(__xludf.DUMMYFUNCTION("""COMPUTED_VALUE"""),104.7)</f>
        <v>104.7</v>
      </c>
      <c r="D5091" s="1">
        <f>IFERROR(__xludf.DUMMYFUNCTION("""COMPUTED_VALUE"""),98.6)</f>
        <v>98.6</v>
      </c>
      <c r="E5091" s="1">
        <f>IFERROR(__xludf.DUMMYFUNCTION("""COMPUTED_VALUE"""),100.92)</f>
        <v>100.92</v>
      </c>
      <c r="F5091" s="1">
        <f>IFERROR(__xludf.DUMMYFUNCTION("""COMPUTED_VALUE"""),1.3789142E7)</f>
        <v>13789142</v>
      </c>
    </row>
    <row r="5092">
      <c r="A5092" s="2">
        <f>IFERROR(__xludf.DUMMYFUNCTION("""COMPUTED_VALUE"""),43916.66666666667)</f>
        <v>43916.66667</v>
      </c>
      <c r="B5092" s="1">
        <f>IFERROR(__xludf.DUMMYFUNCTION("""COMPUTED_VALUE"""),103.88)</f>
        <v>103.88</v>
      </c>
      <c r="C5092" s="1">
        <f>IFERROR(__xludf.DUMMYFUNCTION("""COMPUTED_VALUE"""),108.31)</f>
        <v>108.31</v>
      </c>
      <c r="D5092" s="1">
        <f>IFERROR(__xludf.DUMMYFUNCTION("""COMPUTED_VALUE"""),102.53)</f>
        <v>102.53</v>
      </c>
      <c r="E5092" s="1">
        <f>IFERROR(__xludf.DUMMYFUNCTION("""COMPUTED_VALUE"""),107.38)</f>
        <v>107.38</v>
      </c>
      <c r="F5092" s="1">
        <f>IFERROR(__xludf.DUMMYFUNCTION("""COMPUTED_VALUE"""),1.5799423E7)</f>
        <v>15799423</v>
      </c>
    </row>
    <row r="5093">
      <c r="A5093" s="2">
        <f>IFERROR(__xludf.DUMMYFUNCTION("""COMPUTED_VALUE"""),43917.66666666667)</f>
        <v>43917.66667</v>
      </c>
      <c r="B5093" s="1">
        <f>IFERROR(__xludf.DUMMYFUNCTION("""COMPUTED_VALUE"""),106.49)</f>
        <v>106.49</v>
      </c>
      <c r="C5093" s="1">
        <f>IFERROR(__xludf.DUMMYFUNCTION("""COMPUTED_VALUE"""),114.29)</f>
        <v>114.29</v>
      </c>
      <c r="D5093" s="1">
        <f>IFERROR(__xludf.DUMMYFUNCTION("""COMPUTED_VALUE"""),106.49)</f>
        <v>106.49</v>
      </c>
      <c r="E5093" s="1">
        <f>IFERROR(__xludf.DUMMYFUNCTION("""COMPUTED_VALUE"""),110.17)</f>
        <v>110.17</v>
      </c>
      <c r="F5093" s="1">
        <f>IFERROR(__xludf.DUMMYFUNCTION("""COMPUTED_VALUE"""),1.6073062E7)</f>
        <v>16073062</v>
      </c>
    </row>
    <row r="5094">
      <c r="A5094" s="2">
        <f>IFERROR(__xludf.DUMMYFUNCTION("""COMPUTED_VALUE"""),43920.66666666667)</f>
        <v>43920.66667</v>
      </c>
      <c r="B5094" s="1">
        <f>IFERROR(__xludf.DUMMYFUNCTION("""COMPUTED_VALUE"""),113.9)</f>
        <v>113.9</v>
      </c>
      <c r="C5094" s="1">
        <f>IFERROR(__xludf.DUMMYFUNCTION("""COMPUTED_VALUE"""),115.79)</f>
        <v>115.79</v>
      </c>
      <c r="D5094" s="1">
        <f>IFERROR(__xludf.DUMMYFUNCTION("""COMPUTED_VALUE"""),110.2)</f>
        <v>110.2</v>
      </c>
      <c r="E5094" s="1">
        <f>IFERROR(__xludf.DUMMYFUNCTION("""COMPUTED_VALUE"""),115.0)</f>
        <v>115</v>
      </c>
      <c r="F5094" s="1">
        <f>IFERROR(__xludf.DUMMYFUNCTION("""COMPUTED_VALUE"""),1.4571559E7)</f>
        <v>14571559</v>
      </c>
    </row>
    <row r="5095">
      <c r="A5095" s="2">
        <f>IFERROR(__xludf.DUMMYFUNCTION("""COMPUTED_VALUE"""),43921.66666666667)</f>
        <v>43921.66667</v>
      </c>
      <c r="B5095" s="1">
        <f>IFERROR(__xludf.DUMMYFUNCTION("""COMPUTED_VALUE"""),113.5)</f>
        <v>113.5</v>
      </c>
      <c r="C5095" s="1">
        <f>IFERROR(__xludf.DUMMYFUNCTION("""COMPUTED_VALUE"""),114.29)</f>
        <v>114.29</v>
      </c>
      <c r="D5095" s="1">
        <f>IFERROR(__xludf.DUMMYFUNCTION("""COMPUTED_VALUE"""),108.95)</f>
        <v>108.95</v>
      </c>
      <c r="E5095" s="1">
        <f>IFERROR(__xludf.DUMMYFUNCTION("""COMPUTED_VALUE"""),110.0)</f>
        <v>110</v>
      </c>
      <c r="F5095" s="1">
        <f>IFERROR(__xludf.DUMMYFUNCTION("""COMPUTED_VALUE"""),2.1691678E7)</f>
        <v>21691678</v>
      </c>
    </row>
    <row r="5096">
      <c r="A5096" s="2">
        <f>IFERROR(__xludf.DUMMYFUNCTION("""COMPUTED_VALUE"""),43922.66666666667)</f>
        <v>43922.66667</v>
      </c>
      <c r="B5096" s="1">
        <f>IFERROR(__xludf.DUMMYFUNCTION("""COMPUTED_VALUE"""),107.95)</f>
        <v>107.95</v>
      </c>
      <c r="C5096" s="1">
        <f>IFERROR(__xludf.DUMMYFUNCTION("""COMPUTED_VALUE"""),112.18)</f>
        <v>112.18</v>
      </c>
      <c r="D5096" s="1">
        <f>IFERROR(__xludf.DUMMYFUNCTION("""COMPUTED_VALUE"""),107.0)</f>
        <v>107</v>
      </c>
      <c r="E5096" s="1">
        <f>IFERROR(__xludf.DUMMYFUNCTION("""COMPUTED_VALUE"""),109.33)</f>
        <v>109.33</v>
      </c>
      <c r="F5096" s="1">
        <f>IFERROR(__xludf.DUMMYFUNCTION("""COMPUTED_VALUE"""),1.1095776E7)</f>
        <v>11095776</v>
      </c>
    </row>
    <row r="5097">
      <c r="A5097" s="2">
        <f>IFERROR(__xludf.DUMMYFUNCTION("""COMPUTED_VALUE"""),43923.66666666667)</f>
        <v>43923.66667</v>
      </c>
      <c r="B5097" s="1">
        <f>IFERROR(__xludf.DUMMYFUNCTION("""COMPUTED_VALUE"""),107.69)</f>
        <v>107.69</v>
      </c>
      <c r="C5097" s="1">
        <f>IFERROR(__xludf.DUMMYFUNCTION("""COMPUTED_VALUE"""),114.99)</f>
        <v>114.99</v>
      </c>
      <c r="D5097" s="1">
        <f>IFERROR(__xludf.DUMMYFUNCTION("""COMPUTED_VALUE"""),107.5)</f>
        <v>107.5</v>
      </c>
      <c r="E5097" s="1">
        <f>IFERROR(__xludf.DUMMYFUNCTION("""COMPUTED_VALUE"""),114.4)</f>
        <v>114.4</v>
      </c>
      <c r="F5097" s="1">
        <f>IFERROR(__xludf.DUMMYFUNCTION("""COMPUTED_VALUE"""),9168803.0)</f>
        <v>9168803</v>
      </c>
    </row>
    <row r="5098">
      <c r="A5098" s="2">
        <f>IFERROR(__xludf.DUMMYFUNCTION("""COMPUTED_VALUE"""),43924.66666666667)</f>
        <v>43924.66667</v>
      </c>
      <c r="B5098" s="1">
        <f>IFERROR(__xludf.DUMMYFUNCTION("""COMPUTED_VALUE"""),113.74)</f>
        <v>113.74</v>
      </c>
      <c r="C5098" s="1">
        <f>IFERROR(__xludf.DUMMYFUNCTION("""COMPUTED_VALUE"""),115.9)</f>
        <v>115.9</v>
      </c>
      <c r="D5098" s="1">
        <f>IFERROR(__xludf.DUMMYFUNCTION("""COMPUTED_VALUE"""),113.01)</f>
        <v>113.01</v>
      </c>
      <c r="E5098" s="1">
        <f>IFERROR(__xludf.DUMMYFUNCTION("""COMPUTED_VALUE"""),115.08)</f>
        <v>115.08</v>
      </c>
      <c r="F5098" s="1">
        <f>IFERROR(__xludf.DUMMYFUNCTION("""COMPUTED_VALUE"""),7768786.0)</f>
        <v>7768786</v>
      </c>
    </row>
    <row r="5099">
      <c r="A5099" s="2">
        <f>IFERROR(__xludf.DUMMYFUNCTION("""COMPUTED_VALUE"""),43927.66666666667)</f>
        <v>43927.66667</v>
      </c>
      <c r="B5099" s="1">
        <f>IFERROR(__xludf.DUMMYFUNCTION("""COMPUTED_VALUE"""),117.0)</f>
        <v>117</v>
      </c>
      <c r="C5099" s="1">
        <f>IFERROR(__xludf.DUMMYFUNCTION("""COMPUTED_VALUE"""),119.0)</f>
        <v>119</v>
      </c>
      <c r="D5099" s="1">
        <f>IFERROR(__xludf.DUMMYFUNCTION("""COMPUTED_VALUE"""),114.58)</f>
        <v>114.58</v>
      </c>
      <c r="E5099" s="1">
        <f>IFERROR(__xludf.DUMMYFUNCTION("""COMPUTED_VALUE"""),117.81)</f>
        <v>117.81</v>
      </c>
      <c r="F5099" s="1">
        <f>IFERROR(__xludf.DUMMYFUNCTION("""COMPUTED_VALUE"""),1.6848431E7)</f>
        <v>16848431</v>
      </c>
    </row>
    <row r="5100">
      <c r="A5100" s="2">
        <f>IFERROR(__xludf.DUMMYFUNCTION("""COMPUTED_VALUE"""),43928.66666666667)</f>
        <v>43928.66667</v>
      </c>
      <c r="B5100" s="1">
        <f>IFERROR(__xludf.DUMMYFUNCTION("""COMPUTED_VALUE"""),116.71)</f>
        <v>116.71</v>
      </c>
      <c r="C5100" s="1">
        <f>IFERROR(__xludf.DUMMYFUNCTION("""COMPUTED_VALUE"""),120.06)</f>
        <v>120.06</v>
      </c>
      <c r="D5100" s="1">
        <f>IFERROR(__xludf.DUMMYFUNCTION("""COMPUTED_VALUE"""),112.5)</f>
        <v>112.5</v>
      </c>
      <c r="E5100" s="1">
        <f>IFERROR(__xludf.DUMMYFUNCTION("""COMPUTED_VALUE"""),112.77)</f>
        <v>112.77</v>
      </c>
      <c r="F5100" s="1">
        <f>IFERROR(__xludf.DUMMYFUNCTION("""COMPUTED_VALUE"""),1.443838E7)</f>
        <v>14438380</v>
      </c>
    </row>
    <row r="5101">
      <c r="A5101" s="2">
        <f>IFERROR(__xludf.DUMMYFUNCTION("""COMPUTED_VALUE"""),43929.66666666667)</f>
        <v>43929.66667</v>
      </c>
      <c r="B5101" s="1">
        <f>IFERROR(__xludf.DUMMYFUNCTION("""COMPUTED_VALUE"""),114.39)</f>
        <v>114.39</v>
      </c>
      <c r="C5101" s="1">
        <f>IFERROR(__xludf.DUMMYFUNCTION("""COMPUTED_VALUE"""),117.3)</f>
        <v>117.3</v>
      </c>
      <c r="D5101" s="1">
        <f>IFERROR(__xludf.DUMMYFUNCTION("""COMPUTED_VALUE"""),111.86)</f>
        <v>111.86</v>
      </c>
      <c r="E5101" s="1">
        <f>IFERROR(__xludf.DUMMYFUNCTION("""COMPUTED_VALUE"""),115.1)</f>
        <v>115.1</v>
      </c>
      <c r="F5101" s="1">
        <f>IFERROR(__xludf.DUMMYFUNCTION("""COMPUTED_VALUE"""),1.2564949E7)</f>
        <v>12564949</v>
      </c>
    </row>
    <row r="5102">
      <c r="A5102" s="2">
        <f>IFERROR(__xludf.DUMMYFUNCTION("""COMPUTED_VALUE"""),43930.66666666667)</f>
        <v>43930.66667</v>
      </c>
      <c r="B5102" s="1">
        <f>IFERROR(__xludf.DUMMYFUNCTION("""COMPUTED_VALUE"""),115.26)</f>
        <v>115.26</v>
      </c>
      <c r="C5102" s="1">
        <f>IFERROR(__xludf.DUMMYFUNCTION("""COMPUTED_VALUE"""),118.66)</f>
        <v>118.66</v>
      </c>
      <c r="D5102" s="1">
        <f>IFERROR(__xludf.DUMMYFUNCTION("""COMPUTED_VALUE"""),114.2)</f>
        <v>114.2</v>
      </c>
      <c r="E5102" s="1">
        <f>IFERROR(__xludf.DUMMYFUNCTION("""COMPUTED_VALUE"""),114.66)</f>
        <v>114.66</v>
      </c>
      <c r="F5102" s="1">
        <f>IFERROR(__xludf.DUMMYFUNCTION("""COMPUTED_VALUE"""),1.274864E7)</f>
        <v>12748640</v>
      </c>
    </row>
    <row r="5103">
      <c r="A5103" s="2">
        <f>IFERROR(__xludf.DUMMYFUNCTION("""COMPUTED_VALUE"""),43934.66666666667)</f>
        <v>43934.66667</v>
      </c>
      <c r="B5103" s="1">
        <f>IFERROR(__xludf.DUMMYFUNCTION("""COMPUTED_VALUE"""),113.61)</f>
        <v>113.61</v>
      </c>
      <c r="C5103" s="1">
        <f>IFERROR(__xludf.DUMMYFUNCTION("""COMPUTED_VALUE"""),116.75)</f>
        <v>116.75</v>
      </c>
      <c r="D5103" s="1">
        <f>IFERROR(__xludf.DUMMYFUNCTION("""COMPUTED_VALUE"""),113.16)</f>
        <v>113.16</v>
      </c>
      <c r="E5103" s="1">
        <f>IFERROR(__xludf.DUMMYFUNCTION("""COMPUTED_VALUE"""),115.95)</f>
        <v>115.95</v>
      </c>
      <c r="F5103" s="1">
        <f>IFERROR(__xludf.DUMMYFUNCTION("""COMPUTED_VALUE"""),7926690.0)</f>
        <v>7926690</v>
      </c>
    </row>
    <row r="5104">
      <c r="A5104" s="2">
        <f>IFERROR(__xludf.DUMMYFUNCTION("""COMPUTED_VALUE"""),43935.66666666667)</f>
        <v>43935.66667</v>
      </c>
      <c r="B5104" s="1">
        <f>IFERROR(__xludf.DUMMYFUNCTION("""COMPUTED_VALUE"""),118.76)</f>
        <v>118.76</v>
      </c>
      <c r="C5104" s="1">
        <f>IFERROR(__xludf.DUMMYFUNCTION("""COMPUTED_VALUE"""),121.47)</f>
        <v>121.47</v>
      </c>
      <c r="D5104" s="1">
        <f>IFERROR(__xludf.DUMMYFUNCTION("""COMPUTED_VALUE"""),116.25)</f>
        <v>116.25</v>
      </c>
      <c r="E5104" s="1">
        <f>IFERROR(__xludf.DUMMYFUNCTION("""COMPUTED_VALUE"""),120.96)</f>
        <v>120.96</v>
      </c>
      <c r="F5104" s="1">
        <f>IFERROR(__xludf.DUMMYFUNCTION("""COMPUTED_VALUE"""),1.0474219E7)</f>
        <v>10474219</v>
      </c>
    </row>
    <row r="5105">
      <c r="A5105" s="2">
        <f>IFERROR(__xludf.DUMMYFUNCTION("""COMPUTED_VALUE"""),43936.66666666667)</f>
        <v>43936.66667</v>
      </c>
      <c r="B5105" s="1">
        <f>IFERROR(__xludf.DUMMYFUNCTION("""COMPUTED_VALUE"""),120.86)</f>
        <v>120.86</v>
      </c>
      <c r="C5105" s="1">
        <f>IFERROR(__xludf.DUMMYFUNCTION("""COMPUTED_VALUE"""),123.42)</f>
        <v>123.42</v>
      </c>
      <c r="D5105" s="1">
        <f>IFERROR(__xludf.DUMMYFUNCTION("""COMPUTED_VALUE"""),119.59)</f>
        <v>119.59</v>
      </c>
      <c r="E5105" s="1">
        <f>IFERROR(__xludf.DUMMYFUNCTION("""COMPUTED_VALUE"""),121.22)</f>
        <v>121.22</v>
      </c>
      <c r="F5105" s="1">
        <f>IFERROR(__xludf.DUMMYFUNCTION("""COMPUTED_VALUE"""),1.4192867E7)</f>
        <v>14192867</v>
      </c>
    </row>
    <row r="5106">
      <c r="A5106" s="2">
        <f>IFERROR(__xludf.DUMMYFUNCTION("""COMPUTED_VALUE"""),43937.66666666667)</f>
        <v>43937.66667</v>
      </c>
      <c r="B5106" s="1">
        <f>IFERROR(__xludf.DUMMYFUNCTION("""COMPUTED_VALUE"""),122.35)</f>
        <v>122.35</v>
      </c>
      <c r="C5106" s="1">
        <f>IFERROR(__xludf.DUMMYFUNCTION("""COMPUTED_VALUE"""),122.5)</f>
        <v>122.5</v>
      </c>
      <c r="D5106" s="1">
        <f>IFERROR(__xludf.DUMMYFUNCTION("""COMPUTED_VALUE"""),119.9)</f>
        <v>119.9</v>
      </c>
      <c r="E5106" s="1">
        <f>IFERROR(__xludf.DUMMYFUNCTION("""COMPUTED_VALUE"""),121.5)</f>
        <v>121.5</v>
      </c>
      <c r="F5106" s="1">
        <f>IFERROR(__xludf.DUMMYFUNCTION("""COMPUTED_VALUE"""),1.2020154E7)</f>
        <v>12020154</v>
      </c>
    </row>
    <row r="5107">
      <c r="A5107" s="2">
        <f>IFERROR(__xludf.DUMMYFUNCTION("""COMPUTED_VALUE"""),43938.66666666667)</f>
        <v>43938.66667</v>
      </c>
      <c r="B5107" s="1">
        <f>IFERROR(__xludf.DUMMYFUNCTION("""COMPUTED_VALUE"""),122.45)</f>
        <v>122.45</v>
      </c>
      <c r="C5107" s="1">
        <f>IFERROR(__xludf.DUMMYFUNCTION("""COMPUTED_VALUE"""),124.99)</f>
        <v>124.99</v>
      </c>
      <c r="D5107" s="1">
        <f>IFERROR(__xludf.DUMMYFUNCTION("""COMPUTED_VALUE"""),120.54)</f>
        <v>120.54</v>
      </c>
      <c r="E5107" s="1">
        <f>IFERROR(__xludf.DUMMYFUNCTION("""COMPUTED_VALUE"""),124.69)</f>
        <v>124.69</v>
      </c>
      <c r="F5107" s="1">
        <f>IFERROR(__xludf.DUMMYFUNCTION("""COMPUTED_VALUE"""),1.5899789E7)</f>
        <v>15899789</v>
      </c>
    </row>
    <row r="5108">
      <c r="A5108" s="2">
        <f>IFERROR(__xludf.DUMMYFUNCTION("""COMPUTED_VALUE"""),43941.66666666667)</f>
        <v>43941.66667</v>
      </c>
      <c r="B5108" s="1">
        <f>IFERROR(__xludf.DUMMYFUNCTION("""COMPUTED_VALUE"""),121.47)</f>
        <v>121.47</v>
      </c>
      <c r="C5108" s="1">
        <f>IFERROR(__xludf.DUMMYFUNCTION("""COMPUTED_VALUE"""),123.23)</f>
        <v>123.23</v>
      </c>
      <c r="D5108" s="1">
        <f>IFERROR(__xludf.DUMMYFUNCTION("""COMPUTED_VALUE"""),120.54)</f>
        <v>120.54</v>
      </c>
      <c r="E5108" s="1">
        <f>IFERROR(__xludf.DUMMYFUNCTION("""COMPUTED_VALUE"""),120.6)</f>
        <v>120.6</v>
      </c>
      <c r="F5108" s="1">
        <f>IFERROR(__xludf.DUMMYFUNCTION("""COMPUTED_VALUE"""),1.0832031E7)</f>
        <v>10832031</v>
      </c>
    </row>
    <row r="5109">
      <c r="A5109" s="2">
        <f>IFERROR(__xludf.DUMMYFUNCTION("""COMPUTED_VALUE"""),43942.66666666667)</f>
        <v>43942.66667</v>
      </c>
      <c r="B5109" s="1">
        <f>IFERROR(__xludf.DUMMYFUNCTION("""COMPUTED_VALUE"""),119.5)</f>
        <v>119.5</v>
      </c>
      <c r="C5109" s="1">
        <f>IFERROR(__xludf.DUMMYFUNCTION("""COMPUTED_VALUE"""),120.3)</f>
        <v>120.3</v>
      </c>
      <c r="D5109" s="1">
        <f>IFERROR(__xludf.DUMMYFUNCTION("""COMPUTED_VALUE"""),118.43)</f>
        <v>118.43</v>
      </c>
      <c r="E5109" s="1">
        <f>IFERROR(__xludf.DUMMYFUNCTION("""COMPUTED_VALUE"""),119.68)</f>
        <v>119.68</v>
      </c>
      <c r="F5109" s="1">
        <f>IFERROR(__xludf.DUMMYFUNCTION("""COMPUTED_VALUE"""),9465410.0)</f>
        <v>9465410</v>
      </c>
    </row>
    <row r="5110">
      <c r="A5110" s="2">
        <f>IFERROR(__xludf.DUMMYFUNCTION("""COMPUTED_VALUE"""),43943.66666666667)</f>
        <v>43943.66667</v>
      </c>
      <c r="B5110" s="1">
        <f>IFERROR(__xludf.DUMMYFUNCTION("""COMPUTED_VALUE"""),119.99)</f>
        <v>119.99</v>
      </c>
      <c r="C5110" s="1">
        <f>IFERROR(__xludf.DUMMYFUNCTION("""COMPUTED_VALUE"""),120.28)</f>
        <v>120.28</v>
      </c>
      <c r="D5110" s="1">
        <f>IFERROR(__xludf.DUMMYFUNCTION("""COMPUTED_VALUE"""),118.78)</f>
        <v>118.78</v>
      </c>
      <c r="E5110" s="1">
        <f>IFERROR(__xludf.DUMMYFUNCTION("""COMPUTED_VALUE"""),119.4)</f>
        <v>119.4</v>
      </c>
      <c r="F5110" s="1">
        <f>IFERROR(__xludf.DUMMYFUNCTION("""COMPUTED_VALUE"""),1.026097E7)</f>
        <v>10260970</v>
      </c>
    </row>
    <row r="5111">
      <c r="A5111" s="2">
        <f>IFERROR(__xludf.DUMMYFUNCTION("""COMPUTED_VALUE"""),43944.66666666667)</f>
        <v>43944.66667</v>
      </c>
      <c r="B5111" s="1">
        <f>IFERROR(__xludf.DUMMYFUNCTION("""COMPUTED_VALUE"""),118.65)</f>
        <v>118.65</v>
      </c>
      <c r="C5111" s="1">
        <f>IFERROR(__xludf.DUMMYFUNCTION("""COMPUTED_VALUE"""),119.67)</f>
        <v>119.67</v>
      </c>
      <c r="D5111" s="1">
        <f>IFERROR(__xludf.DUMMYFUNCTION("""COMPUTED_VALUE"""),118.05)</f>
        <v>118.05</v>
      </c>
      <c r="E5111" s="1">
        <f>IFERROR(__xludf.DUMMYFUNCTION("""COMPUTED_VALUE"""),119.4)</f>
        <v>119.4</v>
      </c>
      <c r="F5111" s="1">
        <f>IFERROR(__xludf.DUMMYFUNCTION("""COMPUTED_VALUE"""),1.727701E7)</f>
        <v>17277010</v>
      </c>
    </row>
    <row r="5112">
      <c r="A5112" s="2">
        <f>IFERROR(__xludf.DUMMYFUNCTION("""COMPUTED_VALUE"""),43945.66666666667)</f>
        <v>43945.66667</v>
      </c>
      <c r="B5112" s="1">
        <f>IFERROR(__xludf.DUMMYFUNCTION("""COMPUTED_VALUE"""),119.1)</f>
        <v>119.1</v>
      </c>
      <c r="C5112" s="1">
        <f>IFERROR(__xludf.DUMMYFUNCTION("""COMPUTED_VALUE"""),119.76)</f>
        <v>119.76</v>
      </c>
      <c r="D5112" s="1">
        <f>IFERROR(__xludf.DUMMYFUNCTION("""COMPUTED_VALUE"""),118.62)</f>
        <v>118.62</v>
      </c>
      <c r="E5112" s="1">
        <f>IFERROR(__xludf.DUMMYFUNCTION("""COMPUTED_VALUE"""),118.78)</f>
        <v>118.78</v>
      </c>
      <c r="F5112" s="1">
        <f>IFERROR(__xludf.DUMMYFUNCTION("""COMPUTED_VALUE"""),1.275192E7)</f>
        <v>12751920</v>
      </c>
    </row>
    <row r="5113">
      <c r="A5113" s="2">
        <f>IFERROR(__xludf.DUMMYFUNCTION("""COMPUTED_VALUE"""),43948.66666666667)</f>
        <v>43948.66667</v>
      </c>
      <c r="B5113" s="1">
        <f>IFERROR(__xludf.DUMMYFUNCTION("""COMPUTED_VALUE"""),119.19)</f>
        <v>119.19</v>
      </c>
      <c r="C5113" s="1">
        <f>IFERROR(__xludf.DUMMYFUNCTION("""COMPUTED_VALUE"""),119.19)</f>
        <v>119.19</v>
      </c>
      <c r="D5113" s="1">
        <f>IFERROR(__xludf.DUMMYFUNCTION("""COMPUTED_VALUE"""),116.9)</f>
        <v>116.9</v>
      </c>
      <c r="E5113" s="1">
        <f>IFERROR(__xludf.DUMMYFUNCTION("""COMPUTED_VALUE"""),117.45)</f>
        <v>117.45</v>
      </c>
      <c r="F5113" s="1">
        <f>IFERROR(__xludf.DUMMYFUNCTION("""COMPUTED_VALUE"""),1.0635683E7)</f>
        <v>10635683</v>
      </c>
    </row>
    <row r="5114">
      <c r="A5114" s="2">
        <f>IFERROR(__xludf.DUMMYFUNCTION("""COMPUTED_VALUE"""),43949.66666666667)</f>
        <v>43949.66667</v>
      </c>
      <c r="B5114" s="1">
        <f>IFERROR(__xludf.DUMMYFUNCTION("""COMPUTED_VALUE"""),117.1)</f>
        <v>117.1</v>
      </c>
      <c r="C5114" s="1">
        <f>IFERROR(__xludf.DUMMYFUNCTION("""COMPUTED_VALUE"""),117.91)</f>
        <v>117.91</v>
      </c>
      <c r="D5114" s="1">
        <f>IFERROR(__xludf.DUMMYFUNCTION("""COMPUTED_VALUE"""),116.17)</f>
        <v>116.17</v>
      </c>
      <c r="E5114" s="1">
        <f>IFERROR(__xludf.DUMMYFUNCTION("""COMPUTED_VALUE"""),116.89)</f>
        <v>116.89</v>
      </c>
      <c r="F5114" s="1">
        <f>IFERROR(__xludf.DUMMYFUNCTION("""COMPUTED_VALUE"""),9957960.0)</f>
        <v>9957960</v>
      </c>
    </row>
    <row r="5115">
      <c r="A5115" s="2">
        <f>IFERROR(__xludf.DUMMYFUNCTION("""COMPUTED_VALUE"""),43950.66666666667)</f>
        <v>43950.66667</v>
      </c>
      <c r="B5115" s="1">
        <f>IFERROR(__xludf.DUMMYFUNCTION("""COMPUTED_VALUE"""),117.52)</f>
        <v>117.52</v>
      </c>
      <c r="C5115" s="1">
        <f>IFERROR(__xludf.DUMMYFUNCTION("""COMPUTED_VALUE"""),118.05)</f>
        <v>118.05</v>
      </c>
      <c r="D5115" s="1">
        <f>IFERROR(__xludf.DUMMYFUNCTION("""COMPUTED_VALUE"""),115.08)</f>
        <v>115.08</v>
      </c>
      <c r="E5115" s="1">
        <f>IFERROR(__xludf.DUMMYFUNCTION("""COMPUTED_VALUE"""),117.08)</f>
        <v>117.08</v>
      </c>
      <c r="F5115" s="1">
        <f>IFERROR(__xludf.DUMMYFUNCTION("""COMPUTED_VALUE"""),8707867.0)</f>
        <v>8707867</v>
      </c>
    </row>
    <row r="5116">
      <c r="A5116" s="2">
        <f>IFERROR(__xludf.DUMMYFUNCTION("""COMPUTED_VALUE"""),43951.66666666667)</f>
        <v>43951.66667</v>
      </c>
      <c r="B5116" s="1">
        <f>IFERROR(__xludf.DUMMYFUNCTION("""COMPUTED_VALUE"""),115.92)</f>
        <v>115.92</v>
      </c>
      <c r="C5116" s="1">
        <f>IFERROR(__xludf.DUMMYFUNCTION("""COMPUTED_VALUE"""),118.28)</f>
        <v>118.28</v>
      </c>
      <c r="D5116" s="1">
        <f>IFERROR(__xludf.DUMMYFUNCTION("""COMPUTED_VALUE"""),115.66)</f>
        <v>115.66</v>
      </c>
      <c r="E5116" s="1">
        <f>IFERROR(__xludf.DUMMYFUNCTION("""COMPUTED_VALUE"""),117.87)</f>
        <v>117.87</v>
      </c>
      <c r="F5116" s="1">
        <f>IFERROR(__xludf.DUMMYFUNCTION("""COMPUTED_VALUE"""),1.0026382E7)</f>
        <v>10026382</v>
      </c>
    </row>
    <row r="5117">
      <c r="A5117" s="2">
        <f>IFERROR(__xludf.DUMMYFUNCTION("""COMPUTED_VALUE"""),43952.66666666667)</f>
        <v>43952.66667</v>
      </c>
      <c r="B5117" s="1">
        <f>IFERROR(__xludf.DUMMYFUNCTION("""COMPUTED_VALUE"""),117.6)</f>
        <v>117.6</v>
      </c>
      <c r="C5117" s="1">
        <f>IFERROR(__xludf.DUMMYFUNCTION("""COMPUTED_VALUE"""),118.37)</f>
        <v>118.37</v>
      </c>
      <c r="D5117" s="1">
        <f>IFERROR(__xludf.DUMMYFUNCTION("""COMPUTED_VALUE"""),116.32)</f>
        <v>116.32</v>
      </c>
      <c r="E5117" s="1">
        <f>IFERROR(__xludf.DUMMYFUNCTION("""COMPUTED_VALUE"""),116.82)</f>
        <v>116.82</v>
      </c>
      <c r="F5117" s="1">
        <f>IFERROR(__xludf.DUMMYFUNCTION("""COMPUTED_VALUE"""),7366547.0)</f>
        <v>7366547</v>
      </c>
    </row>
    <row r="5118">
      <c r="A5118" s="2">
        <f>IFERROR(__xludf.DUMMYFUNCTION("""COMPUTED_VALUE"""),43955.66666666667)</f>
        <v>43955.66667</v>
      </c>
      <c r="B5118" s="1">
        <f>IFERROR(__xludf.DUMMYFUNCTION("""COMPUTED_VALUE"""),117.09)</f>
        <v>117.09</v>
      </c>
      <c r="C5118" s="1">
        <f>IFERROR(__xludf.DUMMYFUNCTION("""COMPUTED_VALUE"""),117.2)</f>
        <v>117.2</v>
      </c>
      <c r="D5118" s="1">
        <f>IFERROR(__xludf.DUMMYFUNCTION("""COMPUTED_VALUE"""),115.0)</f>
        <v>115</v>
      </c>
      <c r="E5118" s="1">
        <f>IFERROR(__xludf.DUMMYFUNCTION("""COMPUTED_VALUE"""),115.77)</f>
        <v>115.77</v>
      </c>
      <c r="F5118" s="1">
        <f>IFERROR(__xludf.DUMMYFUNCTION("""COMPUTED_VALUE"""),5635970.0)</f>
        <v>5635970</v>
      </c>
    </row>
    <row r="5119">
      <c r="A5119" s="2">
        <f>IFERROR(__xludf.DUMMYFUNCTION("""COMPUTED_VALUE"""),43956.66666666667)</f>
        <v>43956.66667</v>
      </c>
      <c r="B5119" s="1">
        <f>IFERROR(__xludf.DUMMYFUNCTION("""COMPUTED_VALUE"""),115.8)</f>
        <v>115.8</v>
      </c>
      <c r="C5119" s="1">
        <f>IFERROR(__xludf.DUMMYFUNCTION("""COMPUTED_VALUE"""),117.26)</f>
        <v>117.26</v>
      </c>
      <c r="D5119" s="1">
        <f>IFERROR(__xludf.DUMMYFUNCTION("""COMPUTED_VALUE"""),115.21)</f>
        <v>115.21</v>
      </c>
      <c r="E5119" s="1">
        <f>IFERROR(__xludf.DUMMYFUNCTION("""COMPUTED_VALUE"""),116.01)</f>
        <v>116.01</v>
      </c>
      <c r="F5119" s="1">
        <f>IFERROR(__xludf.DUMMYFUNCTION("""COMPUTED_VALUE"""),5425339.0)</f>
        <v>5425339</v>
      </c>
    </row>
    <row r="5120">
      <c r="A5120" s="2">
        <f>IFERROR(__xludf.DUMMYFUNCTION("""COMPUTED_VALUE"""),43957.66666666667)</f>
        <v>43957.66667</v>
      </c>
      <c r="B5120" s="1">
        <f>IFERROR(__xludf.DUMMYFUNCTION("""COMPUTED_VALUE"""),115.54)</f>
        <v>115.54</v>
      </c>
      <c r="C5120" s="1">
        <f>IFERROR(__xludf.DUMMYFUNCTION("""COMPUTED_VALUE"""),116.14)</f>
        <v>116.14</v>
      </c>
      <c r="D5120" s="1">
        <f>IFERROR(__xludf.DUMMYFUNCTION("""COMPUTED_VALUE"""),112.89)</f>
        <v>112.89</v>
      </c>
      <c r="E5120" s="1">
        <f>IFERROR(__xludf.DUMMYFUNCTION("""COMPUTED_VALUE"""),113.1)</f>
        <v>113.1</v>
      </c>
      <c r="F5120" s="1">
        <f>IFERROR(__xludf.DUMMYFUNCTION("""COMPUTED_VALUE"""),7892197.0)</f>
        <v>7892197</v>
      </c>
    </row>
    <row r="5121">
      <c r="A5121" s="2">
        <f>IFERROR(__xludf.DUMMYFUNCTION("""COMPUTED_VALUE"""),43958.66666666667)</f>
        <v>43958.66667</v>
      </c>
      <c r="B5121" s="1">
        <f>IFERROR(__xludf.DUMMYFUNCTION("""COMPUTED_VALUE"""),114.06)</f>
        <v>114.06</v>
      </c>
      <c r="C5121" s="1">
        <f>IFERROR(__xludf.DUMMYFUNCTION("""COMPUTED_VALUE"""),114.14)</f>
        <v>114.14</v>
      </c>
      <c r="D5121" s="1">
        <f>IFERROR(__xludf.DUMMYFUNCTION("""COMPUTED_VALUE"""),111.82)</f>
        <v>111.82</v>
      </c>
      <c r="E5121" s="1">
        <f>IFERROR(__xludf.DUMMYFUNCTION("""COMPUTED_VALUE"""),112.17)</f>
        <v>112.17</v>
      </c>
      <c r="F5121" s="1">
        <f>IFERROR(__xludf.DUMMYFUNCTION("""COMPUTED_VALUE"""),8764179.0)</f>
        <v>8764179</v>
      </c>
    </row>
    <row r="5122">
      <c r="A5122" s="2">
        <f>IFERROR(__xludf.DUMMYFUNCTION("""COMPUTED_VALUE"""),43959.66666666667)</f>
        <v>43959.66667</v>
      </c>
      <c r="B5122" s="1">
        <f>IFERROR(__xludf.DUMMYFUNCTION("""COMPUTED_VALUE"""),113.52)</f>
        <v>113.52</v>
      </c>
      <c r="C5122" s="1">
        <f>IFERROR(__xludf.DUMMYFUNCTION("""COMPUTED_VALUE"""),116.3)</f>
        <v>116.3</v>
      </c>
      <c r="D5122" s="1">
        <f>IFERROR(__xludf.DUMMYFUNCTION("""COMPUTED_VALUE"""),113.39)</f>
        <v>113.39</v>
      </c>
      <c r="E5122" s="1">
        <f>IFERROR(__xludf.DUMMYFUNCTION("""COMPUTED_VALUE"""),115.95)</f>
        <v>115.95</v>
      </c>
      <c r="F5122" s="1">
        <f>IFERROR(__xludf.DUMMYFUNCTION("""COMPUTED_VALUE"""),9283095.0)</f>
        <v>9283095</v>
      </c>
    </row>
    <row r="5123">
      <c r="A5123" s="2">
        <f>IFERROR(__xludf.DUMMYFUNCTION("""COMPUTED_VALUE"""),43962.66666666667)</f>
        <v>43962.66667</v>
      </c>
      <c r="B5123" s="1">
        <f>IFERROR(__xludf.DUMMYFUNCTION("""COMPUTED_VALUE"""),115.75)</f>
        <v>115.75</v>
      </c>
      <c r="C5123" s="1">
        <f>IFERROR(__xludf.DUMMYFUNCTION("""COMPUTED_VALUE"""),116.01)</f>
        <v>116.01</v>
      </c>
      <c r="D5123" s="1">
        <f>IFERROR(__xludf.DUMMYFUNCTION("""COMPUTED_VALUE"""),114.92)</f>
        <v>114.92</v>
      </c>
      <c r="E5123" s="1">
        <f>IFERROR(__xludf.DUMMYFUNCTION("""COMPUTED_VALUE"""),115.31)</f>
        <v>115.31</v>
      </c>
      <c r="F5123" s="1">
        <f>IFERROR(__xludf.DUMMYFUNCTION("""COMPUTED_VALUE"""),6947540.0)</f>
        <v>6947540</v>
      </c>
    </row>
    <row r="5124">
      <c r="A5124" s="2">
        <f>IFERROR(__xludf.DUMMYFUNCTION("""COMPUTED_VALUE"""),43963.66666666667)</f>
        <v>43963.66667</v>
      </c>
      <c r="B5124" s="1">
        <f>IFERROR(__xludf.DUMMYFUNCTION("""COMPUTED_VALUE"""),115.2)</f>
        <v>115.2</v>
      </c>
      <c r="C5124" s="1">
        <f>IFERROR(__xludf.DUMMYFUNCTION("""COMPUTED_VALUE"""),115.9)</f>
        <v>115.9</v>
      </c>
      <c r="D5124" s="1">
        <f>IFERROR(__xludf.DUMMYFUNCTION("""COMPUTED_VALUE"""),114.14)</f>
        <v>114.14</v>
      </c>
      <c r="E5124" s="1">
        <f>IFERROR(__xludf.DUMMYFUNCTION("""COMPUTED_VALUE"""),114.55)</f>
        <v>114.55</v>
      </c>
      <c r="F5124" s="1">
        <f>IFERROR(__xludf.DUMMYFUNCTION("""COMPUTED_VALUE"""),6734364.0)</f>
        <v>6734364</v>
      </c>
    </row>
    <row r="5125">
      <c r="A5125" s="2">
        <f>IFERROR(__xludf.DUMMYFUNCTION("""COMPUTED_VALUE"""),43964.66666666667)</f>
        <v>43964.66667</v>
      </c>
      <c r="B5125" s="1">
        <f>IFERROR(__xludf.DUMMYFUNCTION("""COMPUTED_VALUE"""),114.28)</f>
        <v>114.28</v>
      </c>
      <c r="C5125" s="1">
        <f>IFERROR(__xludf.DUMMYFUNCTION("""COMPUTED_VALUE"""),115.35)</f>
        <v>115.35</v>
      </c>
      <c r="D5125" s="1">
        <f>IFERROR(__xludf.DUMMYFUNCTION("""COMPUTED_VALUE"""),113.73)</f>
        <v>113.73</v>
      </c>
      <c r="E5125" s="1">
        <f>IFERROR(__xludf.DUMMYFUNCTION("""COMPUTED_VALUE"""),113.92)</f>
        <v>113.92</v>
      </c>
      <c r="F5125" s="1">
        <f>IFERROR(__xludf.DUMMYFUNCTION("""COMPUTED_VALUE"""),9312622.0)</f>
        <v>9312622</v>
      </c>
    </row>
    <row r="5126">
      <c r="A5126" s="2">
        <f>IFERROR(__xludf.DUMMYFUNCTION("""COMPUTED_VALUE"""),43965.66666666667)</f>
        <v>43965.66667</v>
      </c>
      <c r="B5126" s="1">
        <f>IFERROR(__xludf.DUMMYFUNCTION("""COMPUTED_VALUE"""),113.54)</f>
        <v>113.54</v>
      </c>
      <c r="C5126" s="1">
        <f>IFERROR(__xludf.DUMMYFUNCTION("""COMPUTED_VALUE"""),114.45)</f>
        <v>114.45</v>
      </c>
      <c r="D5126" s="1">
        <f>IFERROR(__xludf.DUMMYFUNCTION("""COMPUTED_VALUE"""),111.25)</f>
        <v>111.25</v>
      </c>
      <c r="E5126" s="1">
        <f>IFERROR(__xludf.DUMMYFUNCTION("""COMPUTED_VALUE"""),113.81)</f>
        <v>113.81</v>
      </c>
      <c r="F5126" s="1">
        <f>IFERROR(__xludf.DUMMYFUNCTION("""COMPUTED_VALUE"""),9310039.0)</f>
        <v>9310039</v>
      </c>
    </row>
    <row r="5127">
      <c r="A5127" s="2">
        <f>IFERROR(__xludf.DUMMYFUNCTION("""COMPUTED_VALUE"""),43966.66666666667)</f>
        <v>43966.66667</v>
      </c>
      <c r="B5127" s="1">
        <f>IFERROR(__xludf.DUMMYFUNCTION("""COMPUTED_VALUE"""),113.93)</f>
        <v>113.93</v>
      </c>
      <c r="C5127" s="1">
        <f>IFERROR(__xludf.DUMMYFUNCTION("""COMPUTED_VALUE"""),114.79)</f>
        <v>114.79</v>
      </c>
      <c r="D5127" s="1">
        <f>IFERROR(__xludf.DUMMYFUNCTION("""COMPUTED_VALUE"""),112.05)</f>
        <v>112.05</v>
      </c>
      <c r="E5127" s="1">
        <f>IFERROR(__xludf.DUMMYFUNCTION("""COMPUTED_VALUE"""),114.61)</f>
        <v>114.61</v>
      </c>
      <c r="F5127" s="1">
        <f>IFERROR(__xludf.DUMMYFUNCTION("""COMPUTED_VALUE"""),1.0695105E7)</f>
        <v>10695105</v>
      </c>
    </row>
    <row r="5128">
      <c r="A5128" s="2">
        <f>IFERROR(__xludf.DUMMYFUNCTION("""COMPUTED_VALUE"""),43969.66666666667)</f>
        <v>43969.66667</v>
      </c>
      <c r="B5128" s="1">
        <f>IFERROR(__xludf.DUMMYFUNCTION("""COMPUTED_VALUE"""),116.03)</f>
        <v>116.03</v>
      </c>
      <c r="C5128" s="1">
        <f>IFERROR(__xludf.DUMMYFUNCTION("""COMPUTED_VALUE"""),116.99)</f>
        <v>116.99</v>
      </c>
      <c r="D5128" s="1">
        <f>IFERROR(__xludf.DUMMYFUNCTION("""COMPUTED_VALUE"""),114.71)</f>
        <v>114.71</v>
      </c>
      <c r="E5128" s="1">
        <f>IFERROR(__xludf.DUMMYFUNCTION("""COMPUTED_VALUE"""),116.21)</f>
        <v>116.21</v>
      </c>
      <c r="F5128" s="1">
        <f>IFERROR(__xludf.DUMMYFUNCTION("""COMPUTED_VALUE"""),1.0021012E7)</f>
        <v>10021012</v>
      </c>
    </row>
    <row r="5129">
      <c r="A5129" s="2">
        <f>IFERROR(__xludf.DUMMYFUNCTION("""COMPUTED_VALUE"""),43970.66666666667)</f>
        <v>43970.66667</v>
      </c>
      <c r="B5129" s="1">
        <f>IFERROR(__xludf.DUMMYFUNCTION("""COMPUTED_VALUE"""),115.09)</f>
        <v>115.09</v>
      </c>
      <c r="C5129" s="1">
        <f>IFERROR(__xludf.DUMMYFUNCTION("""COMPUTED_VALUE"""),115.64)</f>
        <v>115.64</v>
      </c>
      <c r="D5129" s="1">
        <f>IFERROR(__xludf.DUMMYFUNCTION("""COMPUTED_VALUE"""),112.34)</f>
        <v>112.34</v>
      </c>
      <c r="E5129" s="1">
        <f>IFERROR(__xludf.DUMMYFUNCTION("""COMPUTED_VALUE"""),112.44)</f>
        <v>112.44</v>
      </c>
      <c r="F5129" s="1">
        <f>IFERROR(__xludf.DUMMYFUNCTION("""COMPUTED_VALUE"""),8047555.0)</f>
        <v>8047555</v>
      </c>
    </row>
    <row r="5130">
      <c r="A5130" s="2">
        <f>IFERROR(__xludf.DUMMYFUNCTION("""COMPUTED_VALUE"""),43971.66666666667)</f>
        <v>43971.66667</v>
      </c>
      <c r="B5130" s="1">
        <f>IFERROR(__xludf.DUMMYFUNCTION("""COMPUTED_VALUE"""),113.0)</f>
        <v>113</v>
      </c>
      <c r="C5130" s="1">
        <f>IFERROR(__xludf.DUMMYFUNCTION("""COMPUTED_VALUE"""),113.77)</f>
        <v>113.77</v>
      </c>
      <c r="D5130" s="1">
        <f>IFERROR(__xludf.DUMMYFUNCTION("""COMPUTED_VALUE"""),112.13)</f>
        <v>112.13</v>
      </c>
      <c r="E5130" s="1">
        <f>IFERROR(__xludf.DUMMYFUNCTION("""COMPUTED_VALUE"""),113.28)</f>
        <v>113.28</v>
      </c>
      <c r="F5130" s="1">
        <f>IFERROR(__xludf.DUMMYFUNCTION("""COMPUTED_VALUE"""),6593798.0)</f>
        <v>6593798</v>
      </c>
    </row>
    <row r="5131">
      <c r="A5131" s="2">
        <f>IFERROR(__xludf.DUMMYFUNCTION("""COMPUTED_VALUE"""),43972.66666666667)</f>
        <v>43972.66667</v>
      </c>
      <c r="B5131" s="1">
        <f>IFERROR(__xludf.DUMMYFUNCTION("""COMPUTED_VALUE"""),112.8)</f>
        <v>112.8</v>
      </c>
      <c r="C5131" s="1">
        <f>IFERROR(__xludf.DUMMYFUNCTION("""COMPUTED_VALUE"""),113.2)</f>
        <v>113.2</v>
      </c>
      <c r="D5131" s="1">
        <f>IFERROR(__xludf.DUMMYFUNCTION("""COMPUTED_VALUE"""),111.43)</f>
        <v>111.43</v>
      </c>
      <c r="E5131" s="1">
        <f>IFERROR(__xludf.DUMMYFUNCTION("""COMPUTED_VALUE"""),111.62)</f>
        <v>111.62</v>
      </c>
      <c r="F5131" s="1">
        <f>IFERROR(__xludf.DUMMYFUNCTION("""COMPUTED_VALUE"""),6552661.0)</f>
        <v>6552661</v>
      </c>
    </row>
    <row r="5132">
      <c r="A5132" s="2">
        <f>IFERROR(__xludf.DUMMYFUNCTION("""COMPUTED_VALUE"""),43973.66666666667)</f>
        <v>43973.66667</v>
      </c>
      <c r="B5132" s="1">
        <f>IFERROR(__xludf.DUMMYFUNCTION("""COMPUTED_VALUE"""),112.29)</f>
        <v>112.29</v>
      </c>
      <c r="C5132" s="1">
        <f>IFERROR(__xludf.DUMMYFUNCTION("""COMPUTED_VALUE"""),113.6)</f>
        <v>113.6</v>
      </c>
      <c r="D5132" s="1">
        <f>IFERROR(__xludf.DUMMYFUNCTION("""COMPUTED_VALUE"""),111.76)</f>
        <v>111.76</v>
      </c>
      <c r="E5132" s="1">
        <f>IFERROR(__xludf.DUMMYFUNCTION("""COMPUTED_VALUE"""),112.6)</f>
        <v>112.6</v>
      </c>
      <c r="F5132" s="1">
        <f>IFERROR(__xludf.DUMMYFUNCTION("""COMPUTED_VALUE"""),5572017.0)</f>
        <v>5572017</v>
      </c>
    </row>
    <row r="5133">
      <c r="A5133" s="2">
        <f>IFERROR(__xludf.DUMMYFUNCTION("""COMPUTED_VALUE"""),43977.66666666667)</f>
        <v>43977.66667</v>
      </c>
      <c r="B5133" s="1">
        <f>IFERROR(__xludf.DUMMYFUNCTION("""COMPUTED_VALUE"""),114.15)</f>
        <v>114.15</v>
      </c>
      <c r="C5133" s="1">
        <f>IFERROR(__xludf.DUMMYFUNCTION("""COMPUTED_VALUE"""),114.15)</f>
        <v>114.15</v>
      </c>
      <c r="D5133" s="1">
        <f>IFERROR(__xludf.DUMMYFUNCTION("""COMPUTED_VALUE"""),111.68)</f>
        <v>111.68</v>
      </c>
      <c r="E5133" s="1">
        <f>IFERROR(__xludf.DUMMYFUNCTION("""COMPUTED_VALUE"""),112.03)</f>
        <v>112.03</v>
      </c>
      <c r="F5133" s="1">
        <f>IFERROR(__xludf.DUMMYFUNCTION("""COMPUTED_VALUE"""),1.0432431E7)</f>
        <v>10432431</v>
      </c>
    </row>
    <row r="5134">
      <c r="A5134" s="2">
        <f>IFERROR(__xludf.DUMMYFUNCTION("""COMPUTED_VALUE"""),43978.66666666667)</f>
        <v>43978.66667</v>
      </c>
      <c r="B5134" s="1">
        <f>IFERROR(__xludf.DUMMYFUNCTION("""COMPUTED_VALUE"""),112.5)</f>
        <v>112.5</v>
      </c>
      <c r="C5134" s="1">
        <f>IFERROR(__xludf.DUMMYFUNCTION("""COMPUTED_VALUE"""),113.97)</f>
        <v>113.97</v>
      </c>
      <c r="D5134" s="1">
        <f>IFERROR(__xludf.DUMMYFUNCTION("""COMPUTED_VALUE"""),111.82)</f>
        <v>111.82</v>
      </c>
      <c r="E5134" s="1">
        <f>IFERROR(__xludf.DUMMYFUNCTION("""COMPUTED_VALUE"""),113.89)</f>
        <v>113.89</v>
      </c>
      <c r="F5134" s="1">
        <f>IFERROR(__xludf.DUMMYFUNCTION("""COMPUTED_VALUE"""),8279675.0)</f>
        <v>8279675</v>
      </c>
    </row>
    <row r="5135">
      <c r="A5135" s="2">
        <f>IFERROR(__xludf.DUMMYFUNCTION("""COMPUTED_VALUE"""),43979.66666666667)</f>
        <v>43979.66667</v>
      </c>
      <c r="B5135" s="1">
        <f>IFERROR(__xludf.DUMMYFUNCTION("""COMPUTED_VALUE"""),115.53)</f>
        <v>115.53</v>
      </c>
      <c r="C5135" s="1">
        <f>IFERROR(__xludf.DUMMYFUNCTION("""COMPUTED_VALUE"""),116.99)</f>
        <v>116.99</v>
      </c>
      <c r="D5135" s="1">
        <f>IFERROR(__xludf.DUMMYFUNCTION("""COMPUTED_VALUE"""),114.9)</f>
        <v>114.9</v>
      </c>
      <c r="E5135" s="1">
        <f>IFERROR(__xludf.DUMMYFUNCTION("""COMPUTED_VALUE"""),116.06)</f>
        <v>116.06</v>
      </c>
      <c r="F5135" s="1">
        <f>IFERROR(__xludf.DUMMYFUNCTION("""COMPUTED_VALUE"""),6593613.0)</f>
        <v>6593613</v>
      </c>
    </row>
    <row r="5136">
      <c r="A5136" s="2">
        <f>IFERROR(__xludf.DUMMYFUNCTION("""COMPUTED_VALUE"""),43980.66666666667)</f>
        <v>43980.66667</v>
      </c>
      <c r="B5136" s="1">
        <f>IFERROR(__xludf.DUMMYFUNCTION("""COMPUTED_VALUE"""),116.13)</f>
        <v>116.13</v>
      </c>
      <c r="C5136" s="1">
        <f>IFERROR(__xludf.DUMMYFUNCTION("""COMPUTED_VALUE"""),116.72)</f>
        <v>116.72</v>
      </c>
      <c r="D5136" s="1">
        <f>IFERROR(__xludf.DUMMYFUNCTION("""COMPUTED_VALUE"""),114.62)</f>
        <v>114.62</v>
      </c>
      <c r="E5136" s="1">
        <f>IFERROR(__xludf.DUMMYFUNCTION("""COMPUTED_VALUE"""),115.92)</f>
        <v>115.92</v>
      </c>
      <c r="F5136" s="1">
        <f>IFERROR(__xludf.DUMMYFUNCTION("""COMPUTED_VALUE"""),7987916.0)</f>
        <v>7987916</v>
      </c>
    </row>
    <row r="5137">
      <c r="A5137" s="2">
        <f>IFERROR(__xludf.DUMMYFUNCTION("""COMPUTED_VALUE"""),43983.66666666667)</f>
        <v>43983.66667</v>
      </c>
      <c r="B5137" s="1">
        <f>IFERROR(__xludf.DUMMYFUNCTION("""COMPUTED_VALUE"""),116.0)</f>
        <v>116</v>
      </c>
      <c r="C5137" s="1">
        <f>IFERROR(__xludf.DUMMYFUNCTION("""COMPUTED_VALUE"""),117.5)</f>
        <v>117.5</v>
      </c>
      <c r="D5137" s="1">
        <f>IFERROR(__xludf.DUMMYFUNCTION("""COMPUTED_VALUE"""),115.26)</f>
        <v>115.26</v>
      </c>
      <c r="E5137" s="1">
        <f>IFERROR(__xludf.DUMMYFUNCTION("""COMPUTED_VALUE"""),117.25)</f>
        <v>117.25</v>
      </c>
      <c r="F5137" s="1">
        <f>IFERROR(__xludf.DUMMYFUNCTION("""COMPUTED_VALUE"""),5106119.0)</f>
        <v>5106119</v>
      </c>
    </row>
    <row r="5138">
      <c r="A5138" s="2">
        <f>IFERROR(__xludf.DUMMYFUNCTION("""COMPUTED_VALUE"""),43984.66666666667)</f>
        <v>43984.66667</v>
      </c>
      <c r="B5138" s="1">
        <f>IFERROR(__xludf.DUMMYFUNCTION("""COMPUTED_VALUE"""),117.07)</f>
        <v>117.07</v>
      </c>
      <c r="C5138" s="1">
        <f>IFERROR(__xludf.DUMMYFUNCTION("""COMPUTED_VALUE"""),118.14)</f>
        <v>118.14</v>
      </c>
      <c r="D5138" s="1">
        <f>IFERROR(__xludf.DUMMYFUNCTION("""COMPUTED_VALUE"""),116.82)</f>
        <v>116.82</v>
      </c>
      <c r="E5138" s="1">
        <f>IFERROR(__xludf.DUMMYFUNCTION("""COMPUTED_VALUE"""),118.06)</f>
        <v>118.06</v>
      </c>
      <c r="F5138" s="1">
        <f>IFERROR(__xludf.DUMMYFUNCTION("""COMPUTED_VALUE"""),6327940.0)</f>
        <v>6327940</v>
      </c>
    </row>
    <row r="5139">
      <c r="A5139" s="2">
        <f>IFERROR(__xludf.DUMMYFUNCTION("""COMPUTED_VALUE"""),43985.66666666667)</f>
        <v>43985.66667</v>
      </c>
      <c r="B5139" s="1">
        <f>IFERROR(__xludf.DUMMYFUNCTION("""COMPUTED_VALUE"""),118.1)</f>
        <v>118.1</v>
      </c>
      <c r="C5139" s="1">
        <f>IFERROR(__xludf.DUMMYFUNCTION("""COMPUTED_VALUE"""),119.19)</f>
        <v>119.19</v>
      </c>
      <c r="D5139" s="1">
        <f>IFERROR(__xludf.DUMMYFUNCTION("""COMPUTED_VALUE"""),117.95)</f>
        <v>117.95</v>
      </c>
      <c r="E5139" s="1">
        <f>IFERROR(__xludf.DUMMYFUNCTION("""COMPUTED_VALUE"""),118.53)</f>
        <v>118.53</v>
      </c>
      <c r="F5139" s="1">
        <f>IFERROR(__xludf.DUMMYFUNCTION("""COMPUTED_VALUE"""),6170999.0)</f>
        <v>6170999</v>
      </c>
    </row>
    <row r="5140">
      <c r="A5140" s="2">
        <f>IFERROR(__xludf.DUMMYFUNCTION("""COMPUTED_VALUE"""),43986.66666666667)</f>
        <v>43986.66667</v>
      </c>
      <c r="B5140" s="1">
        <f>IFERROR(__xludf.DUMMYFUNCTION("""COMPUTED_VALUE"""),118.0)</f>
        <v>118</v>
      </c>
      <c r="C5140" s="1">
        <f>IFERROR(__xludf.DUMMYFUNCTION("""COMPUTED_VALUE"""),118.83)</f>
        <v>118.83</v>
      </c>
      <c r="D5140" s="1">
        <f>IFERROR(__xludf.DUMMYFUNCTION("""COMPUTED_VALUE"""),115.57)</f>
        <v>115.57</v>
      </c>
      <c r="E5140" s="1">
        <f>IFERROR(__xludf.DUMMYFUNCTION("""COMPUTED_VALUE"""),116.05)</f>
        <v>116.05</v>
      </c>
      <c r="F5140" s="1">
        <f>IFERROR(__xludf.DUMMYFUNCTION("""COMPUTED_VALUE"""),6895854.0)</f>
        <v>6895854</v>
      </c>
    </row>
    <row r="5141">
      <c r="A5141" s="2">
        <f>IFERROR(__xludf.DUMMYFUNCTION("""COMPUTED_VALUE"""),43987.66666666667)</f>
        <v>43987.66667</v>
      </c>
      <c r="B5141" s="1">
        <f>IFERROR(__xludf.DUMMYFUNCTION("""COMPUTED_VALUE"""),116.25)</f>
        <v>116.25</v>
      </c>
      <c r="C5141" s="1">
        <f>IFERROR(__xludf.DUMMYFUNCTION("""COMPUTED_VALUE"""),118.83)</f>
        <v>118.83</v>
      </c>
      <c r="D5141" s="1">
        <f>IFERROR(__xludf.DUMMYFUNCTION("""COMPUTED_VALUE"""),116.05)</f>
        <v>116.05</v>
      </c>
      <c r="E5141" s="1">
        <f>IFERROR(__xludf.DUMMYFUNCTION("""COMPUTED_VALUE"""),118.33)</f>
        <v>118.33</v>
      </c>
      <c r="F5141" s="1">
        <f>IFERROR(__xludf.DUMMYFUNCTION("""COMPUTED_VALUE"""),7337829.0)</f>
        <v>7337829</v>
      </c>
    </row>
    <row r="5142">
      <c r="A5142" s="2">
        <f>IFERROR(__xludf.DUMMYFUNCTION("""COMPUTED_VALUE"""),43990.66666666667)</f>
        <v>43990.66667</v>
      </c>
      <c r="B5142" s="1">
        <f>IFERROR(__xludf.DUMMYFUNCTION("""COMPUTED_VALUE"""),117.44)</f>
        <v>117.44</v>
      </c>
      <c r="C5142" s="1">
        <f>IFERROR(__xludf.DUMMYFUNCTION("""COMPUTED_VALUE"""),119.12)</f>
        <v>119.12</v>
      </c>
      <c r="D5142" s="1">
        <f>IFERROR(__xludf.DUMMYFUNCTION("""COMPUTED_VALUE"""),116.84)</f>
        <v>116.84</v>
      </c>
      <c r="E5142" s="1">
        <f>IFERROR(__xludf.DUMMYFUNCTION("""COMPUTED_VALUE"""),119.05)</f>
        <v>119.05</v>
      </c>
      <c r="F5142" s="1">
        <f>IFERROR(__xludf.DUMMYFUNCTION("""COMPUTED_VALUE"""),6926693.0)</f>
        <v>6926693</v>
      </c>
    </row>
    <row r="5143">
      <c r="A5143" s="2">
        <f>IFERROR(__xludf.DUMMYFUNCTION("""COMPUTED_VALUE"""),43991.66666666667)</f>
        <v>43991.66667</v>
      </c>
      <c r="B5143" s="1">
        <f>IFERROR(__xludf.DUMMYFUNCTION("""COMPUTED_VALUE"""),119.4)</f>
        <v>119.4</v>
      </c>
      <c r="C5143" s="1">
        <f>IFERROR(__xludf.DUMMYFUNCTION("""COMPUTED_VALUE"""),119.76)</f>
        <v>119.76</v>
      </c>
      <c r="D5143" s="1">
        <f>IFERROR(__xludf.DUMMYFUNCTION("""COMPUTED_VALUE"""),118.15)</f>
        <v>118.15</v>
      </c>
      <c r="E5143" s="1">
        <f>IFERROR(__xludf.DUMMYFUNCTION("""COMPUTED_VALUE"""),118.34)</f>
        <v>118.34</v>
      </c>
      <c r="F5143" s="1">
        <f>IFERROR(__xludf.DUMMYFUNCTION("""COMPUTED_VALUE"""),5563215.0)</f>
        <v>5563215</v>
      </c>
    </row>
    <row r="5144">
      <c r="A5144" s="2">
        <f>IFERROR(__xludf.DUMMYFUNCTION("""COMPUTED_VALUE"""),43992.66666666667)</f>
        <v>43992.66667</v>
      </c>
      <c r="B5144" s="1">
        <f>IFERROR(__xludf.DUMMYFUNCTION("""COMPUTED_VALUE"""),119.0)</f>
        <v>119</v>
      </c>
      <c r="C5144" s="1">
        <f>IFERROR(__xludf.DUMMYFUNCTION("""COMPUTED_VALUE"""),119.89)</f>
        <v>119.89</v>
      </c>
      <c r="D5144" s="1">
        <f>IFERROR(__xludf.DUMMYFUNCTION("""COMPUTED_VALUE"""),118.11)</f>
        <v>118.11</v>
      </c>
      <c r="E5144" s="1">
        <f>IFERROR(__xludf.DUMMYFUNCTION("""COMPUTED_VALUE"""),119.23)</f>
        <v>119.23</v>
      </c>
      <c r="F5144" s="1">
        <f>IFERROR(__xludf.DUMMYFUNCTION("""COMPUTED_VALUE"""),6678195.0)</f>
        <v>6678195</v>
      </c>
    </row>
    <row r="5145">
      <c r="A5145" s="2">
        <f>IFERROR(__xludf.DUMMYFUNCTION("""COMPUTED_VALUE"""),43993.66666666667)</f>
        <v>43993.66667</v>
      </c>
      <c r="B5145" s="1">
        <f>IFERROR(__xludf.DUMMYFUNCTION("""COMPUTED_VALUE"""),118.81)</f>
        <v>118.81</v>
      </c>
      <c r="C5145" s="1">
        <f>IFERROR(__xludf.DUMMYFUNCTION("""COMPUTED_VALUE"""),119.57)</f>
        <v>119.57</v>
      </c>
      <c r="D5145" s="1">
        <f>IFERROR(__xludf.DUMMYFUNCTION("""COMPUTED_VALUE"""),116.0)</f>
        <v>116</v>
      </c>
      <c r="E5145" s="1">
        <f>IFERROR(__xludf.DUMMYFUNCTION("""COMPUTED_VALUE"""),116.26)</f>
        <v>116.26</v>
      </c>
      <c r="F5145" s="1">
        <f>IFERROR(__xludf.DUMMYFUNCTION("""COMPUTED_VALUE"""),8937510.0)</f>
        <v>8937510</v>
      </c>
    </row>
    <row r="5146">
      <c r="A5146" s="2">
        <f>IFERROR(__xludf.DUMMYFUNCTION("""COMPUTED_VALUE"""),43994.66666666667)</f>
        <v>43994.66667</v>
      </c>
      <c r="B5146" s="1">
        <f>IFERROR(__xludf.DUMMYFUNCTION("""COMPUTED_VALUE"""),116.59)</f>
        <v>116.59</v>
      </c>
      <c r="C5146" s="1">
        <f>IFERROR(__xludf.DUMMYFUNCTION("""COMPUTED_VALUE"""),118.05)</f>
        <v>118.05</v>
      </c>
      <c r="D5146" s="1">
        <f>IFERROR(__xludf.DUMMYFUNCTION("""COMPUTED_VALUE"""),115.26)</f>
        <v>115.26</v>
      </c>
      <c r="E5146" s="1">
        <f>IFERROR(__xludf.DUMMYFUNCTION("""COMPUTED_VALUE"""),115.62)</f>
        <v>115.62</v>
      </c>
      <c r="F5146" s="1">
        <f>IFERROR(__xludf.DUMMYFUNCTION("""COMPUTED_VALUE"""),7998614.0)</f>
        <v>7998614</v>
      </c>
    </row>
    <row r="5147">
      <c r="A5147" s="2">
        <f>IFERROR(__xludf.DUMMYFUNCTION("""COMPUTED_VALUE"""),43997.66666666667)</f>
        <v>43997.66667</v>
      </c>
      <c r="B5147" s="1">
        <f>IFERROR(__xludf.DUMMYFUNCTION("""COMPUTED_VALUE"""),114.55)</f>
        <v>114.55</v>
      </c>
      <c r="C5147" s="1">
        <f>IFERROR(__xludf.DUMMYFUNCTION("""COMPUTED_VALUE"""),117.28)</f>
        <v>117.28</v>
      </c>
      <c r="D5147" s="1">
        <f>IFERROR(__xludf.DUMMYFUNCTION("""COMPUTED_VALUE"""),113.76)</f>
        <v>113.76</v>
      </c>
      <c r="E5147" s="1">
        <f>IFERROR(__xludf.DUMMYFUNCTION("""COMPUTED_VALUE"""),116.69)</f>
        <v>116.69</v>
      </c>
      <c r="F5147" s="1">
        <f>IFERROR(__xludf.DUMMYFUNCTION("""COMPUTED_VALUE"""),8787028.0)</f>
        <v>8787028</v>
      </c>
    </row>
    <row r="5148">
      <c r="A5148" s="2">
        <f>IFERROR(__xludf.DUMMYFUNCTION("""COMPUTED_VALUE"""),43998.66666666667)</f>
        <v>43998.66667</v>
      </c>
      <c r="B5148" s="1">
        <f>IFERROR(__xludf.DUMMYFUNCTION("""COMPUTED_VALUE"""),118.53)</f>
        <v>118.53</v>
      </c>
      <c r="C5148" s="1">
        <f>IFERROR(__xludf.DUMMYFUNCTION("""COMPUTED_VALUE"""),118.97)</f>
        <v>118.97</v>
      </c>
      <c r="D5148" s="1">
        <f>IFERROR(__xludf.DUMMYFUNCTION("""COMPUTED_VALUE"""),116.93)</f>
        <v>116.93</v>
      </c>
      <c r="E5148" s="1">
        <f>IFERROR(__xludf.DUMMYFUNCTION("""COMPUTED_VALUE"""),118.13)</f>
        <v>118.13</v>
      </c>
      <c r="F5148" s="1">
        <f>IFERROR(__xludf.DUMMYFUNCTION("""COMPUTED_VALUE"""),8167289.0)</f>
        <v>8167289</v>
      </c>
    </row>
    <row r="5149">
      <c r="A5149" s="2">
        <f>IFERROR(__xludf.DUMMYFUNCTION("""COMPUTED_VALUE"""),43999.66666666667)</f>
        <v>43999.66667</v>
      </c>
      <c r="B5149" s="1">
        <f>IFERROR(__xludf.DUMMYFUNCTION("""COMPUTED_VALUE"""),118.39)</f>
        <v>118.39</v>
      </c>
      <c r="C5149" s="1">
        <f>IFERROR(__xludf.DUMMYFUNCTION("""COMPUTED_VALUE"""),119.11)</f>
        <v>119.11</v>
      </c>
      <c r="D5149" s="1">
        <f>IFERROR(__xludf.DUMMYFUNCTION("""COMPUTED_VALUE"""),117.44)</f>
        <v>117.44</v>
      </c>
      <c r="E5149" s="1">
        <f>IFERROR(__xludf.DUMMYFUNCTION("""COMPUTED_VALUE"""),117.93)</f>
        <v>117.93</v>
      </c>
      <c r="F5149" s="1">
        <f>IFERROR(__xludf.DUMMYFUNCTION("""COMPUTED_VALUE"""),6321110.0)</f>
        <v>6321110</v>
      </c>
    </row>
    <row r="5150">
      <c r="A5150" s="2">
        <f>IFERROR(__xludf.DUMMYFUNCTION("""COMPUTED_VALUE"""),44000.66666666667)</f>
        <v>44000.66667</v>
      </c>
      <c r="B5150" s="1">
        <f>IFERROR(__xludf.DUMMYFUNCTION("""COMPUTED_VALUE"""),117.46)</f>
        <v>117.46</v>
      </c>
      <c r="C5150" s="1">
        <f>IFERROR(__xludf.DUMMYFUNCTION("""COMPUTED_VALUE"""),119.96)</f>
        <v>119.96</v>
      </c>
      <c r="D5150" s="1">
        <f>IFERROR(__xludf.DUMMYFUNCTION("""COMPUTED_VALUE"""),117.37)</f>
        <v>117.37</v>
      </c>
      <c r="E5150" s="1">
        <f>IFERROR(__xludf.DUMMYFUNCTION("""COMPUTED_VALUE"""),119.28)</f>
        <v>119.28</v>
      </c>
      <c r="F5150" s="1">
        <f>IFERROR(__xludf.DUMMYFUNCTION("""COMPUTED_VALUE"""),6274391.0)</f>
        <v>6274391</v>
      </c>
    </row>
    <row r="5151">
      <c r="A5151" s="2">
        <f>IFERROR(__xludf.DUMMYFUNCTION("""COMPUTED_VALUE"""),44001.66666666667)</f>
        <v>44001.66667</v>
      </c>
      <c r="B5151" s="1">
        <f>IFERROR(__xludf.DUMMYFUNCTION("""COMPUTED_VALUE"""),120.49)</f>
        <v>120.49</v>
      </c>
      <c r="C5151" s="1">
        <f>IFERROR(__xludf.DUMMYFUNCTION("""COMPUTED_VALUE"""),121.82)</f>
        <v>121.82</v>
      </c>
      <c r="D5151" s="1">
        <f>IFERROR(__xludf.DUMMYFUNCTION("""COMPUTED_VALUE"""),118.83)</f>
        <v>118.83</v>
      </c>
      <c r="E5151" s="1">
        <f>IFERROR(__xludf.DUMMYFUNCTION("""COMPUTED_VALUE"""),118.92)</f>
        <v>118.92</v>
      </c>
      <c r="F5151" s="1">
        <f>IFERROR(__xludf.DUMMYFUNCTION("""COMPUTED_VALUE"""),1.7489809E7)</f>
        <v>17489809</v>
      </c>
    </row>
    <row r="5152">
      <c r="A5152" s="2">
        <f>IFERROR(__xludf.DUMMYFUNCTION("""COMPUTED_VALUE"""),44004.66666666667)</f>
        <v>44004.66667</v>
      </c>
      <c r="B5152" s="1">
        <f>IFERROR(__xludf.DUMMYFUNCTION("""COMPUTED_VALUE"""),118.78)</f>
        <v>118.78</v>
      </c>
      <c r="C5152" s="1">
        <f>IFERROR(__xludf.DUMMYFUNCTION("""COMPUTED_VALUE"""),119.08)</f>
        <v>119.08</v>
      </c>
      <c r="D5152" s="1">
        <f>IFERROR(__xludf.DUMMYFUNCTION("""COMPUTED_VALUE"""),117.34)</f>
        <v>117.34</v>
      </c>
      <c r="E5152" s="1">
        <f>IFERROR(__xludf.DUMMYFUNCTION("""COMPUTED_VALUE"""),117.75)</f>
        <v>117.75</v>
      </c>
      <c r="F5152" s="1">
        <f>IFERROR(__xludf.DUMMYFUNCTION("""COMPUTED_VALUE"""),5695640.0)</f>
        <v>5695640</v>
      </c>
    </row>
    <row r="5153">
      <c r="A5153" s="2">
        <f>IFERROR(__xludf.DUMMYFUNCTION("""COMPUTED_VALUE"""),44005.66666666667)</f>
        <v>44005.66667</v>
      </c>
      <c r="B5153" s="1">
        <f>IFERROR(__xludf.DUMMYFUNCTION("""COMPUTED_VALUE"""),118.67)</f>
        <v>118.67</v>
      </c>
      <c r="C5153" s="1">
        <f>IFERROR(__xludf.DUMMYFUNCTION("""COMPUTED_VALUE"""),119.19)</f>
        <v>119.19</v>
      </c>
      <c r="D5153" s="1">
        <f>IFERROR(__xludf.DUMMYFUNCTION("""COMPUTED_VALUE"""),117.65)</f>
        <v>117.65</v>
      </c>
      <c r="E5153" s="1">
        <f>IFERROR(__xludf.DUMMYFUNCTION("""COMPUTED_VALUE"""),117.73)</f>
        <v>117.73</v>
      </c>
      <c r="F5153" s="1">
        <f>IFERROR(__xludf.DUMMYFUNCTION("""COMPUTED_VALUE"""),5340538.0)</f>
        <v>5340538</v>
      </c>
    </row>
    <row r="5154">
      <c r="A5154" s="2">
        <f>IFERROR(__xludf.DUMMYFUNCTION("""COMPUTED_VALUE"""),44006.66666666667)</f>
        <v>44006.66667</v>
      </c>
      <c r="B5154" s="1">
        <f>IFERROR(__xludf.DUMMYFUNCTION("""COMPUTED_VALUE"""),117.22)</f>
        <v>117.22</v>
      </c>
      <c r="C5154" s="1">
        <f>IFERROR(__xludf.DUMMYFUNCTION("""COMPUTED_VALUE"""),117.96)</f>
        <v>117.96</v>
      </c>
      <c r="D5154" s="1">
        <f>IFERROR(__xludf.DUMMYFUNCTION("""COMPUTED_VALUE"""),116.28)</f>
        <v>116.28</v>
      </c>
      <c r="E5154" s="1">
        <f>IFERROR(__xludf.DUMMYFUNCTION("""COMPUTED_VALUE"""),116.42)</f>
        <v>116.42</v>
      </c>
      <c r="F5154" s="1">
        <f>IFERROR(__xludf.DUMMYFUNCTION("""COMPUTED_VALUE"""),6547849.0)</f>
        <v>6547849</v>
      </c>
    </row>
    <row r="5155">
      <c r="A5155" s="2">
        <f>IFERROR(__xludf.DUMMYFUNCTION("""COMPUTED_VALUE"""),44007.66666666667)</f>
        <v>44007.66667</v>
      </c>
      <c r="B5155" s="1">
        <f>IFERROR(__xludf.DUMMYFUNCTION("""COMPUTED_VALUE"""),116.99)</f>
        <v>116.99</v>
      </c>
      <c r="C5155" s="1">
        <f>IFERROR(__xludf.DUMMYFUNCTION("""COMPUTED_VALUE"""),118.03)</f>
        <v>118.03</v>
      </c>
      <c r="D5155" s="1">
        <f>IFERROR(__xludf.DUMMYFUNCTION("""COMPUTED_VALUE"""),116.03)</f>
        <v>116.03</v>
      </c>
      <c r="E5155" s="1">
        <f>IFERROR(__xludf.DUMMYFUNCTION("""COMPUTED_VALUE"""),117.89)</f>
        <v>117.89</v>
      </c>
      <c r="F5155" s="1">
        <f>IFERROR(__xludf.DUMMYFUNCTION("""COMPUTED_VALUE"""),5489336.0)</f>
        <v>5489336</v>
      </c>
    </row>
    <row r="5156">
      <c r="A5156" s="2">
        <f>IFERROR(__xludf.DUMMYFUNCTION("""COMPUTED_VALUE"""),44008.66666666667)</f>
        <v>44008.66667</v>
      </c>
      <c r="B5156" s="1">
        <f>IFERROR(__xludf.DUMMYFUNCTION("""COMPUTED_VALUE"""),117.59)</f>
        <v>117.59</v>
      </c>
      <c r="C5156" s="1">
        <f>IFERROR(__xludf.DUMMYFUNCTION("""COMPUTED_VALUE"""),118.47)</f>
        <v>118.47</v>
      </c>
      <c r="D5156" s="1">
        <f>IFERROR(__xludf.DUMMYFUNCTION("""COMPUTED_VALUE"""),115.04)</f>
        <v>115.04</v>
      </c>
      <c r="E5156" s="1">
        <f>IFERROR(__xludf.DUMMYFUNCTION("""COMPUTED_VALUE"""),115.23)</f>
        <v>115.23</v>
      </c>
      <c r="F5156" s="1">
        <f>IFERROR(__xludf.DUMMYFUNCTION("""COMPUTED_VALUE"""),2.3201706E7)</f>
        <v>23201706</v>
      </c>
    </row>
    <row r="5157">
      <c r="A5157" s="2">
        <f>IFERROR(__xludf.DUMMYFUNCTION("""COMPUTED_VALUE"""),44011.66666666667)</f>
        <v>44011.66667</v>
      </c>
      <c r="B5157" s="1">
        <f>IFERROR(__xludf.DUMMYFUNCTION("""COMPUTED_VALUE"""),116.51)</f>
        <v>116.51</v>
      </c>
      <c r="C5157" s="1">
        <f>IFERROR(__xludf.DUMMYFUNCTION("""COMPUTED_VALUE"""),118.05)</f>
        <v>118.05</v>
      </c>
      <c r="D5157" s="1">
        <f>IFERROR(__xludf.DUMMYFUNCTION("""COMPUTED_VALUE"""),116.35)</f>
        <v>116.35</v>
      </c>
      <c r="E5157" s="1">
        <f>IFERROR(__xludf.DUMMYFUNCTION("""COMPUTED_VALUE"""),117.66)</f>
        <v>117.66</v>
      </c>
      <c r="F5157" s="1">
        <f>IFERROR(__xludf.DUMMYFUNCTION("""COMPUTED_VALUE"""),6866923.0)</f>
        <v>6866923</v>
      </c>
    </row>
    <row r="5158">
      <c r="A5158" s="2">
        <f>IFERROR(__xludf.DUMMYFUNCTION("""COMPUTED_VALUE"""),44012.66666666667)</f>
        <v>44012.66667</v>
      </c>
      <c r="B5158" s="1">
        <f>IFERROR(__xludf.DUMMYFUNCTION("""COMPUTED_VALUE"""),117.97)</f>
        <v>117.97</v>
      </c>
      <c r="C5158" s="1">
        <f>IFERROR(__xludf.DUMMYFUNCTION("""COMPUTED_VALUE"""),119.99)</f>
        <v>119.99</v>
      </c>
      <c r="D5158" s="1">
        <f>IFERROR(__xludf.DUMMYFUNCTION("""COMPUTED_VALUE"""),117.8)</f>
        <v>117.8</v>
      </c>
      <c r="E5158" s="1">
        <f>IFERROR(__xludf.DUMMYFUNCTION("""COMPUTED_VALUE"""),119.57)</f>
        <v>119.57</v>
      </c>
      <c r="F5158" s="1">
        <f>IFERROR(__xludf.DUMMYFUNCTION("""COMPUTED_VALUE"""),7818122.0)</f>
        <v>7818122</v>
      </c>
    </row>
    <row r="5159">
      <c r="A5159" s="2">
        <f>IFERROR(__xludf.DUMMYFUNCTION("""COMPUTED_VALUE"""),44013.66666666667)</f>
        <v>44013.66667</v>
      </c>
      <c r="B5159" s="1">
        <f>IFERROR(__xludf.DUMMYFUNCTION("""COMPUTED_VALUE"""),119.65)</f>
        <v>119.65</v>
      </c>
      <c r="C5159" s="1">
        <f>IFERROR(__xludf.DUMMYFUNCTION("""COMPUTED_VALUE"""),120.39)</f>
        <v>120.39</v>
      </c>
      <c r="D5159" s="1">
        <f>IFERROR(__xludf.DUMMYFUNCTION("""COMPUTED_VALUE"""),118.9)</f>
        <v>118.9</v>
      </c>
      <c r="E5159" s="1">
        <f>IFERROR(__xludf.DUMMYFUNCTION("""COMPUTED_VALUE"""),119.98)</f>
        <v>119.98</v>
      </c>
      <c r="F5159" s="1">
        <f>IFERROR(__xludf.DUMMYFUNCTION("""COMPUTED_VALUE"""),6501237.0)</f>
        <v>6501237</v>
      </c>
    </row>
    <row r="5160">
      <c r="A5160" s="2">
        <f>IFERROR(__xludf.DUMMYFUNCTION("""COMPUTED_VALUE"""),44014.66666666667)</f>
        <v>44014.66667</v>
      </c>
      <c r="B5160" s="1">
        <f>IFERROR(__xludf.DUMMYFUNCTION("""COMPUTED_VALUE"""),121.0)</f>
        <v>121</v>
      </c>
      <c r="C5160" s="1">
        <f>IFERROR(__xludf.DUMMYFUNCTION("""COMPUTED_VALUE"""),122.57)</f>
        <v>122.57</v>
      </c>
      <c r="D5160" s="1">
        <f>IFERROR(__xludf.DUMMYFUNCTION("""COMPUTED_VALUE"""),120.53)</f>
        <v>120.53</v>
      </c>
      <c r="E5160" s="1">
        <f>IFERROR(__xludf.DUMMYFUNCTION("""COMPUTED_VALUE"""),120.88)</f>
        <v>120.88</v>
      </c>
      <c r="F5160" s="1">
        <f>IFERROR(__xludf.DUMMYFUNCTION("""COMPUTED_VALUE"""),6150890.0)</f>
        <v>6150890</v>
      </c>
    </row>
    <row r="5161">
      <c r="A5161" s="2">
        <f>IFERROR(__xludf.DUMMYFUNCTION("""COMPUTED_VALUE"""),44018.66666666667)</f>
        <v>44018.66667</v>
      </c>
      <c r="B5161" s="1">
        <f>IFERROR(__xludf.DUMMYFUNCTION("""COMPUTED_VALUE"""),121.77)</f>
        <v>121.77</v>
      </c>
      <c r="C5161" s="1">
        <f>IFERROR(__xludf.DUMMYFUNCTION("""COMPUTED_VALUE"""),122.41)</f>
        <v>122.41</v>
      </c>
      <c r="D5161" s="1">
        <f>IFERROR(__xludf.DUMMYFUNCTION("""COMPUTED_VALUE"""),120.88)</f>
        <v>120.88</v>
      </c>
      <c r="E5161" s="1">
        <f>IFERROR(__xludf.DUMMYFUNCTION("""COMPUTED_VALUE"""),121.63)</f>
        <v>121.63</v>
      </c>
      <c r="F5161" s="1">
        <f>IFERROR(__xludf.DUMMYFUNCTION("""COMPUTED_VALUE"""),6023276.0)</f>
        <v>6023276</v>
      </c>
    </row>
    <row r="5162">
      <c r="A5162" s="2">
        <f>IFERROR(__xludf.DUMMYFUNCTION("""COMPUTED_VALUE"""),44019.66666666667)</f>
        <v>44019.66667</v>
      </c>
      <c r="B5162" s="1">
        <f>IFERROR(__xludf.DUMMYFUNCTION("""COMPUTED_VALUE"""),121.3)</f>
        <v>121.3</v>
      </c>
      <c r="C5162" s="1">
        <f>IFERROR(__xludf.DUMMYFUNCTION("""COMPUTED_VALUE"""),123.25)</f>
        <v>123.25</v>
      </c>
      <c r="D5162" s="1">
        <f>IFERROR(__xludf.DUMMYFUNCTION("""COMPUTED_VALUE"""),120.89)</f>
        <v>120.89</v>
      </c>
      <c r="E5162" s="1">
        <f>IFERROR(__xludf.DUMMYFUNCTION("""COMPUTED_VALUE"""),122.22)</f>
        <v>122.22</v>
      </c>
      <c r="F5162" s="1">
        <f>IFERROR(__xludf.DUMMYFUNCTION("""COMPUTED_VALUE"""),6866456.0)</f>
        <v>6866456</v>
      </c>
    </row>
    <row r="5163">
      <c r="A5163" s="2">
        <f>IFERROR(__xludf.DUMMYFUNCTION("""COMPUTED_VALUE"""),44020.66666666667)</f>
        <v>44020.66667</v>
      </c>
      <c r="B5163" s="1">
        <f>IFERROR(__xludf.DUMMYFUNCTION("""COMPUTED_VALUE"""),122.15)</f>
        <v>122.15</v>
      </c>
      <c r="C5163" s="1">
        <f>IFERROR(__xludf.DUMMYFUNCTION("""COMPUTED_VALUE"""),123.24)</f>
        <v>123.24</v>
      </c>
      <c r="D5163" s="1">
        <f>IFERROR(__xludf.DUMMYFUNCTION("""COMPUTED_VALUE"""),122.0)</f>
        <v>122</v>
      </c>
      <c r="E5163" s="1">
        <f>IFERROR(__xludf.DUMMYFUNCTION("""COMPUTED_VALUE"""),122.89)</f>
        <v>122.89</v>
      </c>
      <c r="F5163" s="1">
        <f>IFERROR(__xludf.DUMMYFUNCTION("""COMPUTED_VALUE"""),6494002.0)</f>
        <v>6494002</v>
      </c>
    </row>
    <row r="5164">
      <c r="A5164" s="2">
        <f>IFERROR(__xludf.DUMMYFUNCTION("""COMPUTED_VALUE"""),44021.66666666667)</f>
        <v>44021.66667</v>
      </c>
      <c r="B5164" s="1">
        <f>IFERROR(__xludf.DUMMYFUNCTION("""COMPUTED_VALUE"""),122.82)</f>
        <v>122.82</v>
      </c>
      <c r="C5164" s="1">
        <f>IFERROR(__xludf.DUMMYFUNCTION("""COMPUTED_VALUE"""),123.98)</f>
        <v>123.98</v>
      </c>
      <c r="D5164" s="1">
        <f>IFERROR(__xludf.DUMMYFUNCTION("""COMPUTED_VALUE"""),121.81)</f>
        <v>121.81</v>
      </c>
      <c r="E5164" s="1">
        <f>IFERROR(__xludf.DUMMYFUNCTION("""COMPUTED_VALUE"""),122.48)</f>
        <v>122.48</v>
      </c>
      <c r="F5164" s="1">
        <f>IFERROR(__xludf.DUMMYFUNCTION("""COMPUTED_VALUE"""),5341048.0)</f>
        <v>5341048</v>
      </c>
    </row>
    <row r="5165">
      <c r="A5165" s="2">
        <f>IFERROR(__xludf.DUMMYFUNCTION("""COMPUTED_VALUE"""),44022.66666666667)</f>
        <v>44022.66667</v>
      </c>
      <c r="B5165" s="1">
        <f>IFERROR(__xludf.DUMMYFUNCTION("""COMPUTED_VALUE"""),122.57)</f>
        <v>122.57</v>
      </c>
      <c r="C5165" s="1">
        <f>IFERROR(__xludf.DUMMYFUNCTION("""COMPUTED_VALUE"""),124.5)</f>
        <v>124.5</v>
      </c>
      <c r="D5165" s="1">
        <f>IFERROR(__xludf.DUMMYFUNCTION("""COMPUTED_VALUE"""),122.47)</f>
        <v>122.47</v>
      </c>
      <c r="E5165" s="1">
        <f>IFERROR(__xludf.DUMMYFUNCTION("""COMPUTED_VALUE"""),123.89)</f>
        <v>123.89</v>
      </c>
      <c r="F5165" s="1">
        <f>IFERROR(__xludf.DUMMYFUNCTION("""COMPUTED_VALUE"""),6752789.0)</f>
        <v>6752789</v>
      </c>
    </row>
    <row r="5166">
      <c r="A5166" s="2">
        <f>IFERROR(__xludf.DUMMYFUNCTION("""COMPUTED_VALUE"""),44025.66666666667)</f>
        <v>44025.66667</v>
      </c>
      <c r="B5166" s="1">
        <f>IFERROR(__xludf.DUMMYFUNCTION("""COMPUTED_VALUE"""),124.0)</f>
        <v>124</v>
      </c>
      <c r="C5166" s="1">
        <f>IFERROR(__xludf.DUMMYFUNCTION("""COMPUTED_VALUE"""),125.59)</f>
        <v>125.59</v>
      </c>
      <c r="D5166" s="1">
        <f>IFERROR(__xludf.DUMMYFUNCTION("""COMPUTED_VALUE"""),123.34)</f>
        <v>123.34</v>
      </c>
      <c r="E5166" s="1">
        <f>IFERROR(__xludf.DUMMYFUNCTION("""COMPUTED_VALUE"""),124.05)</f>
        <v>124.05</v>
      </c>
      <c r="F5166" s="1">
        <f>IFERROR(__xludf.DUMMYFUNCTION("""COMPUTED_VALUE"""),7681479.0)</f>
        <v>7681479</v>
      </c>
    </row>
    <row r="5167">
      <c r="A5167" s="2">
        <f>IFERROR(__xludf.DUMMYFUNCTION("""COMPUTED_VALUE"""),44026.66666666667)</f>
        <v>44026.66667</v>
      </c>
      <c r="B5167" s="1">
        <f>IFERROR(__xludf.DUMMYFUNCTION("""COMPUTED_VALUE"""),123.99)</f>
        <v>123.99</v>
      </c>
      <c r="C5167" s="1">
        <f>IFERROR(__xludf.DUMMYFUNCTION("""COMPUTED_VALUE"""),125.66)</f>
        <v>125.66</v>
      </c>
      <c r="D5167" s="1">
        <f>IFERROR(__xludf.DUMMYFUNCTION("""COMPUTED_VALUE"""),123.5)</f>
        <v>123.5</v>
      </c>
      <c r="E5167" s="1">
        <f>IFERROR(__xludf.DUMMYFUNCTION("""COMPUTED_VALUE"""),125.09)</f>
        <v>125.09</v>
      </c>
      <c r="F5167" s="1">
        <f>IFERROR(__xludf.DUMMYFUNCTION("""COMPUTED_VALUE"""),6272344.0)</f>
        <v>6272344</v>
      </c>
    </row>
    <row r="5168">
      <c r="A5168" s="2">
        <f>IFERROR(__xludf.DUMMYFUNCTION("""COMPUTED_VALUE"""),44027.66666666667)</f>
        <v>44027.66667</v>
      </c>
      <c r="B5168" s="1">
        <f>IFERROR(__xludf.DUMMYFUNCTION("""COMPUTED_VALUE"""),125.98)</f>
        <v>125.98</v>
      </c>
      <c r="C5168" s="1">
        <f>IFERROR(__xludf.DUMMYFUNCTION("""COMPUTED_VALUE"""),126.9)</f>
        <v>126.9</v>
      </c>
      <c r="D5168" s="1">
        <f>IFERROR(__xludf.DUMMYFUNCTION("""COMPUTED_VALUE"""),124.26)</f>
        <v>124.26</v>
      </c>
      <c r="E5168" s="1">
        <f>IFERROR(__xludf.DUMMYFUNCTION("""COMPUTED_VALUE"""),124.5)</f>
        <v>124.5</v>
      </c>
      <c r="F5168" s="1">
        <f>IFERROR(__xludf.DUMMYFUNCTION("""COMPUTED_VALUE"""),8145042.0)</f>
        <v>8145042</v>
      </c>
    </row>
    <row r="5169">
      <c r="A5169" s="2">
        <f>IFERROR(__xludf.DUMMYFUNCTION("""COMPUTED_VALUE"""),44028.66666666667)</f>
        <v>44028.66667</v>
      </c>
      <c r="B5169" s="1">
        <f>IFERROR(__xludf.DUMMYFUNCTION("""COMPUTED_VALUE"""),125.08)</f>
        <v>125.08</v>
      </c>
      <c r="C5169" s="1">
        <f>IFERROR(__xludf.DUMMYFUNCTION("""COMPUTED_VALUE"""),125.52)</f>
        <v>125.52</v>
      </c>
      <c r="D5169" s="1">
        <f>IFERROR(__xludf.DUMMYFUNCTION("""COMPUTED_VALUE"""),123.91)</f>
        <v>123.91</v>
      </c>
      <c r="E5169" s="1">
        <f>IFERROR(__xludf.DUMMYFUNCTION("""COMPUTED_VALUE"""),124.76)</f>
        <v>124.76</v>
      </c>
      <c r="F5169" s="1">
        <f>IFERROR(__xludf.DUMMYFUNCTION("""COMPUTED_VALUE"""),3959345.0)</f>
        <v>3959345</v>
      </c>
    </row>
    <row r="5170">
      <c r="A5170" s="2">
        <f>IFERROR(__xludf.DUMMYFUNCTION("""COMPUTED_VALUE"""),44029.66666666667)</f>
        <v>44029.66667</v>
      </c>
      <c r="B5170" s="1">
        <f>IFERROR(__xludf.DUMMYFUNCTION("""COMPUTED_VALUE"""),125.09)</f>
        <v>125.09</v>
      </c>
      <c r="C5170" s="1">
        <f>IFERROR(__xludf.DUMMYFUNCTION("""COMPUTED_VALUE"""),126.07)</f>
        <v>126.07</v>
      </c>
      <c r="D5170" s="1">
        <f>IFERROR(__xludf.DUMMYFUNCTION("""COMPUTED_VALUE"""),124.83)</f>
        <v>124.83</v>
      </c>
      <c r="E5170" s="1">
        <f>IFERROR(__xludf.DUMMYFUNCTION("""COMPUTED_VALUE"""),125.63)</f>
        <v>125.63</v>
      </c>
      <c r="F5170" s="1">
        <f>IFERROR(__xludf.DUMMYFUNCTION("""COMPUTED_VALUE"""),4868609.0)</f>
        <v>4868609</v>
      </c>
    </row>
    <row r="5171">
      <c r="A5171" s="2">
        <f>IFERROR(__xludf.DUMMYFUNCTION("""COMPUTED_VALUE"""),44032.66666666667)</f>
        <v>44032.66667</v>
      </c>
      <c r="B5171" s="1">
        <f>IFERROR(__xludf.DUMMYFUNCTION("""COMPUTED_VALUE"""),125.47)</f>
        <v>125.47</v>
      </c>
      <c r="C5171" s="1">
        <f>IFERROR(__xludf.DUMMYFUNCTION("""COMPUTED_VALUE"""),125.84)</f>
        <v>125.84</v>
      </c>
      <c r="D5171" s="1">
        <f>IFERROR(__xludf.DUMMYFUNCTION("""COMPUTED_VALUE"""),124.79)</f>
        <v>124.79</v>
      </c>
      <c r="E5171" s="1">
        <f>IFERROR(__xludf.DUMMYFUNCTION("""COMPUTED_VALUE"""),125.24)</f>
        <v>125.24</v>
      </c>
      <c r="F5171" s="1">
        <f>IFERROR(__xludf.DUMMYFUNCTION("""COMPUTED_VALUE"""),4242084.0)</f>
        <v>4242084</v>
      </c>
    </row>
    <row r="5172">
      <c r="A5172" s="2">
        <f>IFERROR(__xludf.DUMMYFUNCTION("""COMPUTED_VALUE"""),44033.66666666667)</f>
        <v>44033.66667</v>
      </c>
      <c r="B5172" s="1">
        <f>IFERROR(__xludf.DUMMYFUNCTION("""COMPUTED_VALUE"""),125.49)</f>
        <v>125.49</v>
      </c>
      <c r="C5172" s="1">
        <f>IFERROR(__xludf.DUMMYFUNCTION("""COMPUTED_VALUE"""),126.64)</f>
        <v>126.64</v>
      </c>
      <c r="D5172" s="1">
        <f>IFERROR(__xludf.DUMMYFUNCTION("""COMPUTED_VALUE"""),124.92)</f>
        <v>124.92</v>
      </c>
      <c r="E5172" s="1">
        <f>IFERROR(__xludf.DUMMYFUNCTION("""COMPUTED_VALUE"""),125.07)</f>
        <v>125.07</v>
      </c>
      <c r="F5172" s="1">
        <f>IFERROR(__xludf.DUMMYFUNCTION("""COMPUTED_VALUE"""),5163047.0)</f>
        <v>5163047</v>
      </c>
    </row>
    <row r="5173">
      <c r="A5173" s="2">
        <f>IFERROR(__xludf.DUMMYFUNCTION("""COMPUTED_VALUE"""),44034.66666666667)</f>
        <v>44034.66667</v>
      </c>
      <c r="B5173" s="1">
        <f>IFERROR(__xludf.DUMMYFUNCTION("""COMPUTED_VALUE"""),125.5)</f>
        <v>125.5</v>
      </c>
      <c r="C5173" s="1">
        <f>IFERROR(__xludf.DUMMYFUNCTION("""COMPUTED_VALUE"""),126.4)</f>
        <v>126.4</v>
      </c>
      <c r="D5173" s="1">
        <f>IFERROR(__xludf.DUMMYFUNCTION("""COMPUTED_VALUE"""),124.21)</f>
        <v>124.21</v>
      </c>
      <c r="E5173" s="1">
        <f>IFERROR(__xludf.DUMMYFUNCTION("""COMPUTED_VALUE"""),126.14)</f>
        <v>126.14</v>
      </c>
      <c r="F5173" s="1">
        <f>IFERROR(__xludf.DUMMYFUNCTION("""COMPUTED_VALUE"""),5929208.0)</f>
        <v>5929208</v>
      </c>
    </row>
    <row r="5174">
      <c r="A5174" s="2">
        <f>IFERROR(__xludf.DUMMYFUNCTION("""COMPUTED_VALUE"""),44035.66666666667)</f>
        <v>44035.66667</v>
      </c>
      <c r="B5174" s="1">
        <f>IFERROR(__xludf.DUMMYFUNCTION("""COMPUTED_VALUE"""),126.12)</f>
        <v>126.12</v>
      </c>
      <c r="C5174" s="1">
        <f>IFERROR(__xludf.DUMMYFUNCTION("""COMPUTED_VALUE"""),127.18)</f>
        <v>127.18</v>
      </c>
      <c r="D5174" s="1">
        <f>IFERROR(__xludf.DUMMYFUNCTION("""COMPUTED_VALUE"""),125.6)</f>
        <v>125.6</v>
      </c>
      <c r="E5174" s="1">
        <f>IFERROR(__xludf.DUMMYFUNCTION("""COMPUTED_VALUE"""),126.16)</f>
        <v>126.16</v>
      </c>
      <c r="F5174" s="1">
        <f>IFERROR(__xludf.DUMMYFUNCTION("""COMPUTED_VALUE"""),6664788.0)</f>
        <v>6664788</v>
      </c>
    </row>
    <row r="5175">
      <c r="A5175" s="2">
        <f>IFERROR(__xludf.DUMMYFUNCTION("""COMPUTED_VALUE"""),44036.66666666667)</f>
        <v>44036.66667</v>
      </c>
      <c r="B5175" s="1">
        <f>IFERROR(__xludf.DUMMYFUNCTION("""COMPUTED_VALUE"""),126.99)</f>
        <v>126.99</v>
      </c>
      <c r="C5175" s="1">
        <f>IFERROR(__xludf.DUMMYFUNCTION("""COMPUTED_VALUE"""),127.77)</f>
        <v>127.77</v>
      </c>
      <c r="D5175" s="1">
        <f>IFERROR(__xludf.DUMMYFUNCTION("""COMPUTED_VALUE"""),125.32)</f>
        <v>125.32</v>
      </c>
      <c r="E5175" s="1">
        <f>IFERROR(__xludf.DUMMYFUNCTION("""COMPUTED_VALUE"""),125.96)</f>
        <v>125.96</v>
      </c>
      <c r="F5175" s="1">
        <f>IFERROR(__xludf.DUMMYFUNCTION("""COMPUTED_VALUE"""),6014523.0)</f>
        <v>6014523</v>
      </c>
    </row>
    <row r="5176">
      <c r="A5176" s="2">
        <f>IFERROR(__xludf.DUMMYFUNCTION("""COMPUTED_VALUE"""),44039.66666666667)</f>
        <v>44039.66667</v>
      </c>
      <c r="B5176" s="1">
        <f>IFERROR(__xludf.DUMMYFUNCTION("""COMPUTED_VALUE"""),125.71)</f>
        <v>125.71</v>
      </c>
      <c r="C5176" s="1">
        <f>IFERROR(__xludf.DUMMYFUNCTION("""COMPUTED_VALUE"""),126.64)</f>
        <v>126.64</v>
      </c>
      <c r="D5176" s="1">
        <f>IFERROR(__xludf.DUMMYFUNCTION("""COMPUTED_VALUE"""),125.54)</f>
        <v>125.54</v>
      </c>
      <c r="E5176" s="1">
        <f>IFERROR(__xludf.DUMMYFUNCTION("""COMPUTED_VALUE"""),126.32)</f>
        <v>126.32</v>
      </c>
      <c r="F5176" s="1">
        <f>IFERROR(__xludf.DUMMYFUNCTION("""COMPUTED_VALUE"""),6464784.0)</f>
        <v>6464784</v>
      </c>
    </row>
    <row r="5177">
      <c r="A5177" s="2">
        <f>IFERROR(__xludf.DUMMYFUNCTION("""COMPUTED_VALUE"""),44040.66666666667)</f>
        <v>44040.66667</v>
      </c>
      <c r="B5177" s="1">
        <f>IFERROR(__xludf.DUMMYFUNCTION("""COMPUTED_VALUE"""),126.37)</f>
        <v>126.37</v>
      </c>
      <c r="C5177" s="1">
        <f>IFERROR(__xludf.DUMMYFUNCTION("""COMPUTED_VALUE"""),128.46)</f>
        <v>128.46</v>
      </c>
      <c r="D5177" s="1">
        <f>IFERROR(__xludf.DUMMYFUNCTION("""COMPUTED_VALUE"""),126.29)</f>
        <v>126.29</v>
      </c>
      <c r="E5177" s="1">
        <f>IFERROR(__xludf.DUMMYFUNCTION("""COMPUTED_VALUE"""),127.88)</f>
        <v>127.88</v>
      </c>
      <c r="F5177" s="1">
        <f>IFERROR(__xludf.DUMMYFUNCTION("""COMPUTED_VALUE"""),7644674.0)</f>
        <v>7644674</v>
      </c>
    </row>
    <row r="5178">
      <c r="A5178" s="2">
        <f>IFERROR(__xludf.DUMMYFUNCTION("""COMPUTED_VALUE"""),44041.66666666667)</f>
        <v>44041.66667</v>
      </c>
      <c r="B5178" s="1">
        <f>IFERROR(__xludf.DUMMYFUNCTION("""COMPUTED_VALUE"""),127.56)</f>
        <v>127.56</v>
      </c>
      <c r="C5178" s="1">
        <f>IFERROR(__xludf.DUMMYFUNCTION("""COMPUTED_VALUE"""),129.24)</f>
        <v>129.24</v>
      </c>
      <c r="D5178" s="1">
        <f>IFERROR(__xludf.DUMMYFUNCTION("""COMPUTED_VALUE"""),127.36)</f>
        <v>127.36</v>
      </c>
      <c r="E5178" s="1">
        <f>IFERROR(__xludf.DUMMYFUNCTION("""COMPUTED_VALUE"""),128.31)</f>
        <v>128.31</v>
      </c>
      <c r="F5178" s="1">
        <f>IFERROR(__xludf.DUMMYFUNCTION("""COMPUTED_VALUE"""),6702034.0)</f>
        <v>6702034</v>
      </c>
    </row>
    <row r="5179">
      <c r="A5179" s="2">
        <f>IFERROR(__xludf.DUMMYFUNCTION("""COMPUTED_VALUE"""),44042.66666666667)</f>
        <v>44042.66667</v>
      </c>
      <c r="B5179" s="1">
        <f>IFERROR(__xludf.DUMMYFUNCTION("""COMPUTED_VALUE"""),130.66)</f>
        <v>130.66</v>
      </c>
      <c r="C5179" s="1">
        <f>IFERROR(__xludf.DUMMYFUNCTION("""COMPUTED_VALUE"""),132.03)</f>
        <v>132.03</v>
      </c>
      <c r="D5179" s="1">
        <f>IFERROR(__xludf.DUMMYFUNCTION("""COMPUTED_VALUE"""),129.65)</f>
        <v>129.65</v>
      </c>
      <c r="E5179" s="1">
        <f>IFERROR(__xludf.DUMMYFUNCTION("""COMPUTED_VALUE"""),131.42)</f>
        <v>131.42</v>
      </c>
      <c r="F5179" s="1">
        <f>IFERROR(__xludf.DUMMYFUNCTION("""COMPUTED_VALUE"""),1.0400727E7)</f>
        <v>10400727</v>
      </c>
    </row>
    <row r="5180">
      <c r="A5180" s="2">
        <f>IFERROR(__xludf.DUMMYFUNCTION("""COMPUTED_VALUE"""),44043.66666666667)</f>
        <v>44043.66667</v>
      </c>
      <c r="B5180" s="1">
        <f>IFERROR(__xludf.DUMMYFUNCTION("""COMPUTED_VALUE"""),130.01)</f>
        <v>130.01</v>
      </c>
      <c r="C5180" s="1">
        <f>IFERROR(__xludf.DUMMYFUNCTION("""COMPUTED_VALUE"""),131.21)</f>
        <v>131.21</v>
      </c>
      <c r="D5180" s="1">
        <f>IFERROR(__xludf.DUMMYFUNCTION("""COMPUTED_VALUE"""),129.27)</f>
        <v>129.27</v>
      </c>
      <c r="E5180" s="1">
        <f>IFERROR(__xludf.DUMMYFUNCTION("""COMPUTED_VALUE"""),131.12)</f>
        <v>131.12</v>
      </c>
      <c r="F5180" s="1">
        <f>IFERROR(__xludf.DUMMYFUNCTION("""COMPUTED_VALUE"""),8487840.0)</f>
        <v>8487840</v>
      </c>
    </row>
    <row r="5181">
      <c r="A5181" s="2">
        <f>IFERROR(__xludf.DUMMYFUNCTION("""COMPUTED_VALUE"""),44046.66666666667)</f>
        <v>44046.66667</v>
      </c>
      <c r="B5181" s="1">
        <f>IFERROR(__xludf.DUMMYFUNCTION("""COMPUTED_VALUE"""),130.47)</f>
        <v>130.47</v>
      </c>
      <c r="C5181" s="1">
        <f>IFERROR(__xludf.DUMMYFUNCTION("""COMPUTED_VALUE"""),131.92)</f>
        <v>131.92</v>
      </c>
      <c r="D5181" s="1">
        <f>IFERROR(__xludf.DUMMYFUNCTION("""COMPUTED_VALUE"""),130.47)</f>
        <v>130.47</v>
      </c>
      <c r="E5181" s="1">
        <f>IFERROR(__xludf.DUMMYFUNCTION("""COMPUTED_VALUE"""),131.29)</f>
        <v>131.29</v>
      </c>
      <c r="F5181" s="1">
        <f>IFERROR(__xludf.DUMMYFUNCTION("""COMPUTED_VALUE"""),7770344.0)</f>
        <v>7770344</v>
      </c>
    </row>
    <row r="5182">
      <c r="A5182" s="2">
        <f>IFERROR(__xludf.DUMMYFUNCTION("""COMPUTED_VALUE"""),44047.66666666667)</f>
        <v>44047.66667</v>
      </c>
      <c r="B5182" s="1">
        <f>IFERROR(__xludf.DUMMYFUNCTION("""COMPUTED_VALUE"""),130.77)</f>
        <v>130.77</v>
      </c>
      <c r="C5182" s="1">
        <f>IFERROR(__xludf.DUMMYFUNCTION("""COMPUTED_VALUE"""),133.93)</f>
        <v>133.93</v>
      </c>
      <c r="D5182" s="1">
        <f>IFERROR(__xludf.DUMMYFUNCTION("""COMPUTED_VALUE"""),130.7)</f>
        <v>130.7</v>
      </c>
      <c r="E5182" s="1">
        <f>IFERROR(__xludf.DUMMYFUNCTION("""COMPUTED_VALUE"""),133.79)</f>
        <v>133.79</v>
      </c>
      <c r="F5182" s="1">
        <f>IFERROR(__xludf.DUMMYFUNCTION("""COMPUTED_VALUE"""),7737154.0)</f>
        <v>7737154</v>
      </c>
    </row>
    <row r="5183">
      <c r="A5183" s="2">
        <f>IFERROR(__xludf.DUMMYFUNCTION("""COMPUTED_VALUE"""),44048.66666666667)</f>
        <v>44048.66667</v>
      </c>
      <c r="B5183" s="1">
        <f>IFERROR(__xludf.DUMMYFUNCTION("""COMPUTED_VALUE"""),133.59)</f>
        <v>133.59</v>
      </c>
      <c r="C5183" s="1">
        <f>IFERROR(__xludf.DUMMYFUNCTION("""COMPUTED_VALUE"""),134.65)</f>
        <v>134.65</v>
      </c>
      <c r="D5183" s="1">
        <f>IFERROR(__xludf.DUMMYFUNCTION("""COMPUTED_VALUE"""),133.12)</f>
        <v>133.12</v>
      </c>
      <c r="E5183" s="1">
        <f>IFERROR(__xludf.DUMMYFUNCTION("""COMPUTED_VALUE"""),133.44)</f>
        <v>133.44</v>
      </c>
      <c r="F5183" s="1">
        <f>IFERROR(__xludf.DUMMYFUNCTION("""COMPUTED_VALUE"""),5680385.0)</f>
        <v>5680385</v>
      </c>
    </row>
    <row r="5184">
      <c r="A5184" s="2">
        <f>IFERROR(__xludf.DUMMYFUNCTION("""COMPUTED_VALUE"""),44049.66666666667)</f>
        <v>44049.66667</v>
      </c>
      <c r="B5184" s="1">
        <f>IFERROR(__xludf.DUMMYFUNCTION("""COMPUTED_VALUE"""),132.85)</f>
        <v>132.85</v>
      </c>
      <c r="C5184" s="1">
        <f>IFERROR(__xludf.DUMMYFUNCTION("""COMPUTED_VALUE"""),133.37)</f>
        <v>133.37</v>
      </c>
      <c r="D5184" s="1">
        <f>IFERROR(__xludf.DUMMYFUNCTION("""COMPUTED_VALUE"""),132.12)</f>
        <v>132.12</v>
      </c>
      <c r="E5184" s="1">
        <f>IFERROR(__xludf.DUMMYFUNCTION("""COMPUTED_VALUE"""),132.71)</f>
        <v>132.71</v>
      </c>
      <c r="F5184" s="1">
        <f>IFERROR(__xludf.DUMMYFUNCTION("""COMPUTED_VALUE"""),3974322.0)</f>
        <v>3974322</v>
      </c>
    </row>
    <row r="5185">
      <c r="A5185" s="2">
        <f>IFERROR(__xludf.DUMMYFUNCTION("""COMPUTED_VALUE"""),44050.66666666667)</f>
        <v>44050.66667</v>
      </c>
      <c r="B5185" s="1">
        <f>IFERROR(__xludf.DUMMYFUNCTION("""COMPUTED_VALUE"""),132.89)</f>
        <v>132.89</v>
      </c>
      <c r="C5185" s="1">
        <f>IFERROR(__xludf.DUMMYFUNCTION("""COMPUTED_VALUE"""),133.64)</f>
        <v>133.64</v>
      </c>
      <c r="D5185" s="1">
        <f>IFERROR(__xludf.DUMMYFUNCTION("""COMPUTED_VALUE"""),132.45)</f>
        <v>132.45</v>
      </c>
      <c r="E5185" s="1">
        <f>IFERROR(__xludf.DUMMYFUNCTION("""COMPUTED_VALUE"""),133.55)</f>
        <v>133.55</v>
      </c>
      <c r="F5185" s="1">
        <f>IFERROR(__xludf.DUMMYFUNCTION("""COMPUTED_VALUE"""),4934948.0)</f>
        <v>4934948</v>
      </c>
    </row>
    <row r="5186">
      <c r="A5186" s="2">
        <f>IFERROR(__xludf.DUMMYFUNCTION("""COMPUTED_VALUE"""),44053.66666666667)</f>
        <v>44053.66667</v>
      </c>
      <c r="B5186" s="1">
        <f>IFERROR(__xludf.DUMMYFUNCTION("""COMPUTED_VALUE"""),133.7)</f>
        <v>133.7</v>
      </c>
      <c r="C5186" s="1">
        <f>IFERROR(__xludf.DUMMYFUNCTION("""COMPUTED_VALUE"""),134.44)</f>
        <v>134.44</v>
      </c>
      <c r="D5186" s="1">
        <f>IFERROR(__xludf.DUMMYFUNCTION("""COMPUTED_VALUE"""),133.19)</f>
        <v>133.19</v>
      </c>
      <c r="E5186" s="1">
        <f>IFERROR(__xludf.DUMMYFUNCTION("""COMPUTED_VALUE"""),134.1)</f>
        <v>134.1</v>
      </c>
      <c r="F5186" s="1">
        <f>IFERROR(__xludf.DUMMYFUNCTION("""COMPUTED_VALUE"""),5812760.0)</f>
        <v>5812760</v>
      </c>
    </row>
    <row r="5187">
      <c r="A5187" s="2">
        <f>IFERROR(__xludf.DUMMYFUNCTION("""COMPUTED_VALUE"""),44054.66666666667)</f>
        <v>44054.66667</v>
      </c>
      <c r="B5187" s="1">
        <f>IFERROR(__xludf.DUMMYFUNCTION("""COMPUTED_VALUE"""),134.27)</f>
        <v>134.27</v>
      </c>
      <c r="C5187" s="1">
        <f>IFERROR(__xludf.DUMMYFUNCTION("""COMPUTED_VALUE"""),134.74)</f>
        <v>134.74</v>
      </c>
      <c r="D5187" s="1">
        <f>IFERROR(__xludf.DUMMYFUNCTION("""COMPUTED_VALUE"""),132.79)</f>
        <v>132.79</v>
      </c>
      <c r="E5187" s="1">
        <f>IFERROR(__xludf.DUMMYFUNCTION("""COMPUTED_VALUE"""),133.23)</f>
        <v>133.23</v>
      </c>
      <c r="F5187" s="1">
        <f>IFERROR(__xludf.DUMMYFUNCTION("""COMPUTED_VALUE"""),5330012.0)</f>
        <v>5330012</v>
      </c>
    </row>
    <row r="5188">
      <c r="A5188" s="2">
        <f>IFERROR(__xludf.DUMMYFUNCTION("""COMPUTED_VALUE"""),44055.66666666667)</f>
        <v>44055.66667</v>
      </c>
      <c r="B5188" s="1">
        <f>IFERROR(__xludf.DUMMYFUNCTION("""COMPUTED_VALUE"""),133.77)</f>
        <v>133.77</v>
      </c>
      <c r="C5188" s="1">
        <f>IFERROR(__xludf.DUMMYFUNCTION("""COMPUTED_VALUE"""),135.97)</f>
        <v>135.97</v>
      </c>
      <c r="D5188" s="1">
        <f>IFERROR(__xludf.DUMMYFUNCTION("""COMPUTED_VALUE"""),133.7)</f>
        <v>133.7</v>
      </c>
      <c r="E5188" s="1">
        <f>IFERROR(__xludf.DUMMYFUNCTION("""COMPUTED_VALUE"""),135.46)</f>
        <v>135.46</v>
      </c>
      <c r="F5188" s="1">
        <f>IFERROR(__xludf.DUMMYFUNCTION("""COMPUTED_VALUE"""),5920397.0)</f>
        <v>5920397</v>
      </c>
    </row>
    <row r="5189">
      <c r="A5189" s="2">
        <f>IFERROR(__xludf.DUMMYFUNCTION("""COMPUTED_VALUE"""),44056.66666666667)</f>
        <v>44056.66667</v>
      </c>
      <c r="B5189" s="1">
        <f>IFERROR(__xludf.DUMMYFUNCTION("""COMPUTED_VALUE"""),135.08)</f>
        <v>135.08</v>
      </c>
      <c r="C5189" s="1">
        <f>IFERROR(__xludf.DUMMYFUNCTION("""COMPUTED_VALUE"""),135.87)</f>
        <v>135.87</v>
      </c>
      <c r="D5189" s="1">
        <f>IFERROR(__xludf.DUMMYFUNCTION("""COMPUTED_VALUE"""),134.93)</f>
        <v>134.93</v>
      </c>
      <c r="E5189" s="1">
        <f>IFERROR(__xludf.DUMMYFUNCTION("""COMPUTED_VALUE"""),135.78)</f>
        <v>135.78</v>
      </c>
      <c r="F5189" s="1">
        <f>IFERROR(__xludf.DUMMYFUNCTION("""COMPUTED_VALUE"""),4989503.0)</f>
        <v>4989503</v>
      </c>
    </row>
    <row r="5190">
      <c r="A5190" s="2">
        <f>IFERROR(__xludf.DUMMYFUNCTION("""COMPUTED_VALUE"""),44057.66666666667)</f>
        <v>44057.66667</v>
      </c>
      <c r="B5190" s="1">
        <f>IFERROR(__xludf.DUMMYFUNCTION("""COMPUTED_VALUE"""),135.61)</f>
        <v>135.61</v>
      </c>
      <c r="C5190" s="1">
        <f>IFERROR(__xludf.DUMMYFUNCTION("""COMPUTED_VALUE"""),135.64)</f>
        <v>135.64</v>
      </c>
      <c r="D5190" s="1">
        <f>IFERROR(__xludf.DUMMYFUNCTION("""COMPUTED_VALUE"""),134.55)</f>
        <v>134.55</v>
      </c>
      <c r="E5190" s="1">
        <f>IFERROR(__xludf.DUMMYFUNCTION("""COMPUTED_VALUE"""),135.1)</f>
        <v>135.1</v>
      </c>
      <c r="F5190" s="1">
        <f>IFERROR(__xludf.DUMMYFUNCTION("""COMPUTED_VALUE"""),5845231.0)</f>
        <v>5845231</v>
      </c>
    </row>
    <row r="5191">
      <c r="A5191" s="2">
        <f>IFERROR(__xludf.DUMMYFUNCTION("""COMPUTED_VALUE"""),44060.66666666667)</f>
        <v>44060.66667</v>
      </c>
      <c r="B5191" s="1">
        <f>IFERROR(__xludf.DUMMYFUNCTION("""COMPUTED_VALUE"""),134.94)</f>
        <v>134.94</v>
      </c>
      <c r="C5191" s="1">
        <f>IFERROR(__xludf.DUMMYFUNCTION("""COMPUTED_VALUE"""),135.7)</f>
        <v>135.7</v>
      </c>
      <c r="D5191" s="1">
        <f>IFERROR(__xludf.DUMMYFUNCTION("""COMPUTED_VALUE"""),134.66)</f>
        <v>134.66</v>
      </c>
      <c r="E5191" s="1">
        <f>IFERROR(__xludf.DUMMYFUNCTION("""COMPUTED_VALUE"""),135.5)</f>
        <v>135.5</v>
      </c>
      <c r="F5191" s="1">
        <f>IFERROR(__xludf.DUMMYFUNCTION("""COMPUTED_VALUE"""),5603971.0)</f>
        <v>5603971</v>
      </c>
    </row>
    <row r="5192">
      <c r="A5192" s="2">
        <f>IFERROR(__xludf.DUMMYFUNCTION("""COMPUTED_VALUE"""),44061.66666666667)</f>
        <v>44061.66667</v>
      </c>
      <c r="B5192" s="1">
        <f>IFERROR(__xludf.DUMMYFUNCTION("""COMPUTED_VALUE"""),135.81)</f>
        <v>135.81</v>
      </c>
      <c r="C5192" s="1">
        <f>IFERROR(__xludf.DUMMYFUNCTION("""COMPUTED_VALUE"""),137.52)</f>
        <v>137.52</v>
      </c>
      <c r="D5192" s="1">
        <f>IFERROR(__xludf.DUMMYFUNCTION("""COMPUTED_VALUE"""),135.42)</f>
        <v>135.42</v>
      </c>
      <c r="E5192" s="1">
        <f>IFERROR(__xludf.DUMMYFUNCTION("""COMPUTED_VALUE"""),136.51)</f>
        <v>136.51</v>
      </c>
      <c r="F5192" s="1">
        <f>IFERROR(__xludf.DUMMYFUNCTION("""COMPUTED_VALUE"""),8670776.0)</f>
        <v>8670776</v>
      </c>
    </row>
    <row r="5193">
      <c r="A5193" s="2">
        <f>IFERROR(__xludf.DUMMYFUNCTION("""COMPUTED_VALUE"""),44062.66666666667)</f>
        <v>44062.66667</v>
      </c>
      <c r="B5193" s="1">
        <f>IFERROR(__xludf.DUMMYFUNCTION("""COMPUTED_VALUE"""),135.54)</f>
        <v>135.54</v>
      </c>
      <c r="C5193" s="1">
        <f>IFERROR(__xludf.DUMMYFUNCTION("""COMPUTED_VALUE"""),136.32)</f>
        <v>136.32</v>
      </c>
      <c r="D5193" s="1">
        <f>IFERROR(__xludf.DUMMYFUNCTION("""COMPUTED_VALUE"""),135.5)</f>
        <v>135.5</v>
      </c>
      <c r="E5193" s="1">
        <f>IFERROR(__xludf.DUMMYFUNCTION("""COMPUTED_VALUE"""),135.77)</f>
        <v>135.77</v>
      </c>
      <c r="F5193" s="1">
        <f>IFERROR(__xludf.DUMMYFUNCTION("""COMPUTED_VALUE"""),6827671.0)</f>
        <v>6827671</v>
      </c>
    </row>
    <row r="5194">
      <c r="A5194" s="2">
        <f>IFERROR(__xludf.DUMMYFUNCTION("""COMPUTED_VALUE"""),44063.66666666667)</f>
        <v>44063.66667</v>
      </c>
      <c r="B5194" s="1">
        <f>IFERROR(__xludf.DUMMYFUNCTION("""COMPUTED_VALUE"""),135.24)</f>
        <v>135.24</v>
      </c>
      <c r="C5194" s="1">
        <f>IFERROR(__xludf.DUMMYFUNCTION("""COMPUTED_VALUE"""),136.98)</f>
        <v>136.98</v>
      </c>
      <c r="D5194" s="1">
        <f>IFERROR(__xludf.DUMMYFUNCTION("""COMPUTED_VALUE"""),135.19)</f>
        <v>135.19</v>
      </c>
      <c r="E5194" s="1">
        <f>IFERROR(__xludf.DUMMYFUNCTION("""COMPUTED_VALUE"""),136.85)</f>
        <v>136.85</v>
      </c>
      <c r="F5194" s="1">
        <f>IFERROR(__xludf.DUMMYFUNCTION("""COMPUTED_VALUE"""),4352541.0)</f>
        <v>4352541</v>
      </c>
    </row>
    <row r="5195">
      <c r="A5195" s="2">
        <f>IFERROR(__xludf.DUMMYFUNCTION("""COMPUTED_VALUE"""),44064.66666666667)</f>
        <v>44064.66667</v>
      </c>
      <c r="B5195" s="1">
        <f>IFERROR(__xludf.DUMMYFUNCTION("""COMPUTED_VALUE"""),136.6)</f>
        <v>136.6</v>
      </c>
      <c r="C5195" s="1">
        <f>IFERROR(__xludf.DUMMYFUNCTION("""COMPUTED_VALUE"""),138.1)</f>
        <v>138.1</v>
      </c>
      <c r="D5195" s="1">
        <f>IFERROR(__xludf.DUMMYFUNCTION("""COMPUTED_VALUE"""),135.91)</f>
        <v>135.91</v>
      </c>
      <c r="E5195" s="1">
        <f>IFERROR(__xludf.DUMMYFUNCTION("""COMPUTED_VALUE"""),137.44)</f>
        <v>137.44</v>
      </c>
      <c r="F5195" s="1">
        <f>IFERROR(__xludf.DUMMYFUNCTION("""COMPUTED_VALUE"""),5706678.0)</f>
        <v>5706678</v>
      </c>
    </row>
    <row r="5196">
      <c r="A5196" s="2">
        <f>IFERROR(__xludf.DUMMYFUNCTION("""COMPUTED_VALUE"""),44067.66666666667)</f>
        <v>44067.66667</v>
      </c>
      <c r="B5196" s="1">
        <f>IFERROR(__xludf.DUMMYFUNCTION("""COMPUTED_VALUE"""),137.49)</f>
        <v>137.49</v>
      </c>
      <c r="C5196" s="1">
        <f>IFERROR(__xludf.DUMMYFUNCTION("""COMPUTED_VALUE"""),138.78)</f>
        <v>138.78</v>
      </c>
      <c r="D5196" s="1">
        <f>IFERROR(__xludf.DUMMYFUNCTION("""COMPUTED_VALUE"""),137.2)</f>
        <v>137.2</v>
      </c>
      <c r="E5196" s="1">
        <f>IFERROR(__xludf.DUMMYFUNCTION("""COMPUTED_VALUE"""),138.51)</f>
        <v>138.51</v>
      </c>
      <c r="F5196" s="1">
        <f>IFERROR(__xludf.DUMMYFUNCTION("""COMPUTED_VALUE"""),7420504.0)</f>
        <v>7420504</v>
      </c>
    </row>
    <row r="5197">
      <c r="A5197" s="2">
        <f>IFERROR(__xludf.DUMMYFUNCTION("""COMPUTED_VALUE"""),44068.66666666667)</f>
        <v>44068.66667</v>
      </c>
      <c r="B5197" s="1">
        <f>IFERROR(__xludf.DUMMYFUNCTION("""COMPUTED_VALUE"""),139.0)</f>
        <v>139</v>
      </c>
      <c r="C5197" s="1">
        <f>IFERROR(__xludf.DUMMYFUNCTION("""COMPUTED_VALUE"""),139.15)</f>
        <v>139.15</v>
      </c>
      <c r="D5197" s="1">
        <f>IFERROR(__xludf.DUMMYFUNCTION("""COMPUTED_VALUE"""),137.8)</f>
        <v>137.8</v>
      </c>
      <c r="E5197" s="1">
        <f>IFERROR(__xludf.DUMMYFUNCTION("""COMPUTED_VALUE"""),139.06)</f>
        <v>139.06</v>
      </c>
      <c r="F5197" s="1">
        <f>IFERROR(__xludf.DUMMYFUNCTION("""COMPUTED_VALUE"""),4718309.0)</f>
        <v>4718309</v>
      </c>
    </row>
    <row r="5198">
      <c r="A5198" s="2">
        <f>IFERROR(__xludf.DUMMYFUNCTION("""COMPUTED_VALUE"""),44069.66666666667)</f>
        <v>44069.66667</v>
      </c>
      <c r="B5198" s="1">
        <f>IFERROR(__xludf.DUMMYFUNCTION("""COMPUTED_VALUE"""),138.57)</f>
        <v>138.57</v>
      </c>
      <c r="C5198" s="1">
        <f>IFERROR(__xludf.DUMMYFUNCTION("""COMPUTED_VALUE"""),139.32)</f>
        <v>139.32</v>
      </c>
      <c r="D5198" s="1">
        <f>IFERROR(__xludf.DUMMYFUNCTION("""COMPUTED_VALUE"""),138.25)</f>
        <v>138.25</v>
      </c>
      <c r="E5198" s="1">
        <f>IFERROR(__xludf.DUMMYFUNCTION("""COMPUTED_VALUE"""),138.39)</f>
        <v>138.39</v>
      </c>
      <c r="F5198" s="1">
        <f>IFERROR(__xludf.DUMMYFUNCTION("""COMPUTED_VALUE"""),4746223.0)</f>
        <v>4746223</v>
      </c>
    </row>
    <row r="5199">
      <c r="A5199" s="2">
        <f>IFERROR(__xludf.DUMMYFUNCTION("""COMPUTED_VALUE"""),44070.66666666667)</f>
        <v>44070.66667</v>
      </c>
      <c r="B5199" s="1">
        <f>IFERROR(__xludf.DUMMYFUNCTION("""COMPUTED_VALUE"""),138.84)</f>
        <v>138.84</v>
      </c>
      <c r="C5199" s="1">
        <f>IFERROR(__xludf.DUMMYFUNCTION("""COMPUTED_VALUE"""),139.69)</f>
        <v>139.69</v>
      </c>
      <c r="D5199" s="1">
        <f>IFERROR(__xludf.DUMMYFUNCTION("""COMPUTED_VALUE"""),138.18)</f>
        <v>138.18</v>
      </c>
      <c r="E5199" s="1">
        <f>IFERROR(__xludf.DUMMYFUNCTION("""COMPUTED_VALUE"""),138.21)</f>
        <v>138.21</v>
      </c>
      <c r="F5199" s="1">
        <f>IFERROR(__xludf.DUMMYFUNCTION("""COMPUTED_VALUE"""),6156418.0)</f>
        <v>6156418</v>
      </c>
    </row>
    <row r="5200">
      <c r="A5200" s="2">
        <f>IFERROR(__xludf.DUMMYFUNCTION("""COMPUTED_VALUE"""),44071.66666666667)</f>
        <v>44071.66667</v>
      </c>
      <c r="B5200" s="1">
        <f>IFERROR(__xludf.DUMMYFUNCTION("""COMPUTED_VALUE"""),138.32)</f>
        <v>138.32</v>
      </c>
      <c r="C5200" s="1">
        <f>IFERROR(__xludf.DUMMYFUNCTION("""COMPUTED_VALUE"""),138.91)</f>
        <v>138.91</v>
      </c>
      <c r="D5200" s="1">
        <f>IFERROR(__xludf.DUMMYFUNCTION("""COMPUTED_VALUE"""),136.95)</f>
        <v>136.95</v>
      </c>
      <c r="E5200" s="1">
        <f>IFERROR(__xludf.DUMMYFUNCTION("""COMPUTED_VALUE"""),138.77)</f>
        <v>138.77</v>
      </c>
      <c r="F5200" s="1">
        <f>IFERROR(__xludf.DUMMYFUNCTION("""COMPUTED_VALUE"""),4166280.0)</f>
        <v>4166280</v>
      </c>
    </row>
    <row r="5201">
      <c r="A5201" s="2">
        <f>IFERROR(__xludf.DUMMYFUNCTION("""COMPUTED_VALUE"""),44074.66666666667)</f>
        <v>44074.66667</v>
      </c>
      <c r="B5201" s="1">
        <f>IFERROR(__xludf.DUMMYFUNCTION("""COMPUTED_VALUE"""),138.19)</f>
        <v>138.19</v>
      </c>
      <c r="C5201" s="1">
        <f>IFERROR(__xludf.DUMMYFUNCTION("""COMPUTED_VALUE"""),138.73)</f>
        <v>138.73</v>
      </c>
      <c r="D5201" s="1">
        <f>IFERROR(__xludf.DUMMYFUNCTION("""COMPUTED_VALUE"""),137.82)</f>
        <v>137.82</v>
      </c>
      <c r="E5201" s="1">
        <f>IFERROR(__xludf.DUMMYFUNCTION("""COMPUTED_VALUE"""),138.33)</f>
        <v>138.33</v>
      </c>
      <c r="F5201" s="1">
        <f>IFERROR(__xludf.DUMMYFUNCTION("""COMPUTED_VALUE"""),5597152.0)</f>
        <v>5597152</v>
      </c>
    </row>
    <row r="5202">
      <c r="A5202" s="2">
        <f>IFERROR(__xludf.DUMMYFUNCTION("""COMPUTED_VALUE"""),44075.66666666667)</f>
        <v>44075.66667</v>
      </c>
      <c r="B5202" s="1">
        <f>IFERROR(__xludf.DUMMYFUNCTION("""COMPUTED_VALUE"""),137.86)</f>
        <v>137.86</v>
      </c>
      <c r="C5202" s="1">
        <f>IFERROR(__xludf.DUMMYFUNCTION("""COMPUTED_VALUE"""),138.22)</f>
        <v>138.22</v>
      </c>
      <c r="D5202" s="1">
        <f>IFERROR(__xludf.DUMMYFUNCTION("""COMPUTED_VALUE"""),137.07)</f>
        <v>137.07</v>
      </c>
      <c r="E5202" s="1">
        <f>IFERROR(__xludf.DUMMYFUNCTION("""COMPUTED_VALUE"""),138.18)</f>
        <v>138.18</v>
      </c>
      <c r="F5202" s="1">
        <f>IFERROR(__xludf.DUMMYFUNCTION("""COMPUTED_VALUE"""),5672308.0)</f>
        <v>5672308</v>
      </c>
    </row>
    <row r="5203">
      <c r="A5203" s="2">
        <f>IFERROR(__xludf.DUMMYFUNCTION("""COMPUTED_VALUE"""),44076.66666666667)</f>
        <v>44076.66667</v>
      </c>
      <c r="B5203" s="1">
        <f>IFERROR(__xludf.DUMMYFUNCTION("""COMPUTED_VALUE"""),138.11)</f>
        <v>138.11</v>
      </c>
      <c r="C5203" s="1">
        <f>IFERROR(__xludf.DUMMYFUNCTION("""COMPUTED_VALUE"""),141.44)</f>
        <v>141.44</v>
      </c>
      <c r="D5203" s="1">
        <f>IFERROR(__xludf.DUMMYFUNCTION("""COMPUTED_VALUE"""),137.61)</f>
        <v>137.61</v>
      </c>
      <c r="E5203" s="1">
        <f>IFERROR(__xludf.DUMMYFUNCTION("""COMPUTED_VALUE"""),140.51)</f>
        <v>140.51</v>
      </c>
      <c r="F5203" s="1">
        <f>IFERROR(__xludf.DUMMYFUNCTION("""COMPUTED_VALUE"""),8384795.0)</f>
        <v>8384795</v>
      </c>
    </row>
    <row r="5204">
      <c r="A5204" s="2">
        <f>IFERROR(__xludf.DUMMYFUNCTION("""COMPUTED_VALUE"""),44077.66666666667)</f>
        <v>44077.66667</v>
      </c>
      <c r="B5204" s="1">
        <f>IFERROR(__xludf.DUMMYFUNCTION("""COMPUTED_VALUE"""),140.74)</f>
        <v>140.74</v>
      </c>
      <c r="C5204" s="1">
        <f>IFERROR(__xludf.DUMMYFUNCTION("""COMPUTED_VALUE"""),141.7)</f>
        <v>141.7</v>
      </c>
      <c r="D5204" s="1">
        <f>IFERROR(__xludf.DUMMYFUNCTION("""COMPUTED_VALUE"""),137.09)</f>
        <v>137.09</v>
      </c>
      <c r="E5204" s="1">
        <f>IFERROR(__xludf.DUMMYFUNCTION("""COMPUTED_VALUE"""),138.26)</f>
        <v>138.26</v>
      </c>
      <c r="F5204" s="1">
        <f>IFERROR(__xludf.DUMMYFUNCTION("""COMPUTED_VALUE"""),7277910.0)</f>
        <v>7277910</v>
      </c>
    </row>
    <row r="5205">
      <c r="A5205" s="2">
        <f>IFERROR(__xludf.DUMMYFUNCTION("""COMPUTED_VALUE"""),44078.66666666667)</f>
        <v>44078.66667</v>
      </c>
      <c r="B5205" s="1">
        <f>IFERROR(__xludf.DUMMYFUNCTION("""COMPUTED_VALUE"""),137.81)</f>
        <v>137.81</v>
      </c>
      <c r="C5205" s="1">
        <f>IFERROR(__xludf.DUMMYFUNCTION("""COMPUTED_VALUE"""),139.19)</f>
        <v>139.19</v>
      </c>
      <c r="D5205" s="1">
        <f>IFERROR(__xludf.DUMMYFUNCTION("""COMPUTED_VALUE"""),136.12)</f>
        <v>136.12</v>
      </c>
      <c r="E5205" s="1">
        <f>IFERROR(__xludf.DUMMYFUNCTION("""COMPUTED_VALUE"""),137.96)</f>
        <v>137.96</v>
      </c>
      <c r="F5205" s="1">
        <f>IFERROR(__xludf.DUMMYFUNCTION("""COMPUTED_VALUE"""),7437835.0)</f>
        <v>7437835</v>
      </c>
    </row>
    <row r="5206">
      <c r="A5206" s="2">
        <f>IFERROR(__xludf.DUMMYFUNCTION("""COMPUTED_VALUE"""),44082.66666666667)</f>
        <v>44082.66667</v>
      </c>
      <c r="B5206" s="1">
        <f>IFERROR(__xludf.DUMMYFUNCTION("""COMPUTED_VALUE"""),138.52)</f>
        <v>138.52</v>
      </c>
      <c r="C5206" s="1">
        <f>IFERROR(__xludf.DUMMYFUNCTION("""COMPUTED_VALUE"""),138.64)</f>
        <v>138.64</v>
      </c>
      <c r="D5206" s="1">
        <f>IFERROR(__xludf.DUMMYFUNCTION("""COMPUTED_VALUE"""),135.04)</f>
        <v>135.04</v>
      </c>
      <c r="E5206" s="1">
        <f>IFERROR(__xludf.DUMMYFUNCTION("""COMPUTED_VALUE"""),135.94)</f>
        <v>135.94</v>
      </c>
      <c r="F5206" s="1">
        <f>IFERROR(__xludf.DUMMYFUNCTION("""COMPUTED_VALUE"""),6847640.0)</f>
        <v>6847640</v>
      </c>
    </row>
    <row r="5207">
      <c r="A5207" s="2">
        <f>IFERROR(__xludf.DUMMYFUNCTION("""COMPUTED_VALUE"""),44083.66666666667)</f>
        <v>44083.66667</v>
      </c>
      <c r="B5207" s="1">
        <f>IFERROR(__xludf.DUMMYFUNCTION("""COMPUTED_VALUE"""),136.42)</f>
        <v>136.42</v>
      </c>
      <c r="C5207" s="1">
        <f>IFERROR(__xludf.DUMMYFUNCTION("""COMPUTED_VALUE"""),139.56)</f>
        <v>139.56</v>
      </c>
      <c r="D5207" s="1">
        <f>IFERROR(__xludf.DUMMYFUNCTION("""COMPUTED_VALUE"""),136.27)</f>
        <v>136.27</v>
      </c>
      <c r="E5207" s="1">
        <f>IFERROR(__xludf.DUMMYFUNCTION("""COMPUTED_VALUE"""),138.15)</f>
        <v>138.15</v>
      </c>
      <c r="F5207" s="1">
        <f>IFERROR(__xludf.DUMMYFUNCTION("""COMPUTED_VALUE"""),6002891.0)</f>
        <v>6002891</v>
      </c>
    </row>
    <row r="5208">
      <c r="A5208" s="2">
        <f>IFERROR(__xludf.DUMMYFUNCTION("""COMPUTED_VALUE"""),44084.66666666667)</f>
        <v>44084.66667</v>
      </c>
      <c r="B5208" s="1">
        <f>IFERROR(__xludf.DUMMYFUNCTION("""COMPUTED_VALUE"""),138.12)</f>
        <v>138.12</v>
      </c>
      <c r="C5208" s="1">
        <f>IFERROR(__xludf.DUMMYFUNCTION("""COMPUTED_VALUE"""),138.72)</f>
        <v>138.72</v>
      </c>
      <c r="D5208" s="1">
        <f>IFERROR(__xludf.DUMMYFUNCTION("""COMPUTED_VALUE"""),136.51)</f>
        <v>136.51</v>
      </c>
      <c r="E5208" s="1">
        <f>IFERROR(__xludf.DUMMYFUNCTION("""COMPUTED_VALUE"""),136.7)</f>
        <v>136.7</v>
      </c>
      <c r="F5208" s="1">
        <f>IFERROR(__xludf.DUMMYFUNCTION("""COMPUTED_VALUE"""),5242617.0)</f>
        <v>5242617</v>
      </c>
    </row>
    <row r="5209">
      <c r="A5209" s="2">
        <f>IFERROR(__xludf.DUMMYFUNCTION("""COMPUTED_VALUE"""),44085.66666666667)</f>
        <v>44085.66667</v>
      </c>
      <c r="B5209" s="1">
        <f>IFERROR(__xludf.DUMMYFUNCTION("""COMPUTED_VALUE"""),137.69)</f>
        <v>137.69</v>
      </c>
      <c r="C5209" s="1">
        <f>IFERROR(__xludf.DUMMYFUNCTION("""COMPUTED_VALUE"""),138.66)</f>
        <v>138.66</v>
      </c>
      <c r="D5209" s="1">
        <f>IFERROR(__xludf.DUMMYFUNCTION("""COMPUTED_VALUE"""),137.16)</f>
        <v>137.16</v>
      </c>
      <c r="E5209" s="1">
        <f>IFERROR(__xludf.DUMMYFUNCTION("""COMPUTED_VALUE"""),138.14)</f>
        <v>138.14</v>
      </c>
      <c r="F5209" s="1">
        <f>IFERROR(__xludf.DUMMYFUNCTION("""COMPUTED_VALUE"""),4398051.0)</f>
        <v>4398051</v>
      </c>
    </row>
    <row r="5210">
      <c r="A5210" s="2">
        <f>IFERROR(__xludf.DUMMYFUNCTION("""COMPUTED_VALUE"""),44088.66666666667)</f>
        <v>44088.66667</v>
      </c>
      <c r="B5210" s="1">
        <f>IFERROR(__xludf.DUMMYFUNCTION("""COMPUTED_VALUE"""),138.44)</f>
        <v>138.44</v>
      </c>
      <c r="C5210" s="1">
        <f>IFERROR(__xludf.DUMMYFUNCTION("""COMPUTED_VALUE"""),139.58)</f>
        <v>139.58</v>
      </c>
      <c r="D5210" s="1">
        <f>IFERROR(__xludf.DUMMYFUNCTION("""COMPUTED_VALUE"""),138.33)</f>
        <v>138.33</v>
      </c>
      <c r="E5210" s="1">
        <f>IFERROR(__xludf.DUMMYFUNCTION("""COMPUTED_VALUE"""),138.63)</f>
        <v>138.63</v>
      </c>
      <c r="F5210" s="1">
        <f>IFERROR(__xludf.DUMMYFUNCTION("""COMPUTED_VALUE"""),4767466.0)</f>
        <v>4767466</v>
      </c>
    </row>
    <row r="5211">
      <c r="A5211" s="2">
        <f>IFERROR(__xludf.DUMMYFUNCTION("""COMPUTED_VALUE"""),44089.66666666667)</f>
        <v>44089.66667</v>
      </c>
      <c r="B5211" s="1">
        <f>IFERROR(__xludf.DUMMYFUNCTION("""COMPUTED_VALUE"""),138.79)</f>
        <v>138.79</v>
      </c>
      <c r="C5211" s="1">
        <f>IFERROR(__xludf.DUMMYFUNCTION("""COMPUTED_VALUE"""),139.77)</f>
        <v>139.77</v>
      </c>
      <c r="D5211" s="1">
        <f>IFERROR(__xludf.DUMMYFUNCTION("""COMPUTED_VALUE"""),138.39)</f>
        <v>138.39</v>
      </c>
      <c r="E5211" s="1">
        <f>IFERROR(__xludf.DUMMYFUNCTION("""COMPUTED_VALUE"""),138.63)</f>
        <v>138.63</v>
      </c>
      <c r="F5211" s="1">
        <f>IFERROR(__xludf.DUMMYFUNCTION("""COMPUTED_VALUE"""),4046529.0)</f>
        <v>4046529</v>
      </c>
    </row>
    <row r="5212">
      <c r="A5212" s="2">
        <f>IFERROR(__xludf.DUMMYFUNCTION("""COMPUTED_VALUE"""),44090.66666666667)</f>
        <v>44090.66667</v>
      </c>
      <c r="B5212" s="1">
        <f>IFERROR(__xludf.DUMMYFUNCTION("""COMPUTED_VALUE"""),139.57)</f>
        <v>139.57</v>
      </c>
      <c r="C5212" s="1">
        <f>IFERROR(__xludf.DUMMYFUNCTION("""COMPUTED_VALUE"""),140.17)</f>
        <v>140.17</v>
      </c>
      <c r="D5212" s="1">
        <f>IFERROR(__xludf.DUMMYFUNCTION("""COMPUTED_VALUE"""),137.6)</f>
        <v>137.6</v>
      </c>
      <c r="E5212" s="1">
        <f>IFERROR(__xludf.DUMMYFUNCTION("""COMPUTED_VALUE"""),137.7)</f>
        <v>137.7</v>
      </c>
      <c r="F5212" s="1">
        <f>IFERROR(__xludf.DUMMYFUNCTION("""COMPUTED_VALUE"""),6050037.0)</f>
        <v>6050037</v>
      </c>
    </row>
    <row r="5213">
      <c r="A5213" s="2">
        <f>IFERROR(__xludf.DUMMYFUNCTION("""COMPUTED_VALUE"""),44091.66666666667)</f>
        <v>44091.66667</v>
      </c>
      <c r="B5213" s="1">
        <f>IFERROR(__xludf.DUMMYFUNCTION("""COMPUTED_VALUE"""),137.06)</f>
        <v>137.06</v>
      </c>
      <c r="C5213" s="1">
        <f>IFERROR(__xludf.DUMMYFUNCTION("""COMPUTED_VALUE"""),137.88)</f>
        <v>137.88</v>
      </c>
      <c r="D5213" s="1">
        <f>IFERROR(__xludf.DUMMYFUNCTION("""COMPUTED_VALUE"""),136.19)</f>
        <v>136.19</v>
      </c>
      <c r="E5213" s="1">
        <f>IFERROR(__xludf.DUMMYFUNCTION("""COMPUTED_VALUE"""),137.52)</f>
        <v>137.52</v>
      </c>
      <c r="F5213" s="1">
        <f>IFERROR(__xludf.DUMMYFUNCTION("""COMPUTED_VALUE"""),4648708.0)</f>
        <v>4648708</v>
      </c>
    </row>
    <row r="5214">
      <c r="A5214" s="2">
        <f>IFERROR(__xludf.DUMMYFUNCTION("""COMPUTED_VALUE"""),44092.66666666667)</f>
        <v>44092.66667</v>
      </c>
      <c r="B5214" s="1">
        <f>IFERROR(__xludf.DUMMYFUNCTION("""COMPUTED_VALUE"""),136.91)</f>
        <v>136.91</v>
      </c>
      <c r="C5214" s="1">
        <f>IFERROR(__xludf.DUMMYFUNCTION("""COMPUTED_VALUE"""),137.93)</f>
        <v>137.93</v>
      </c>
      <c r="D5214" s="1">
        <f>IFERROR(__xludf.DUMMYFUNCTION("""COMPUTED_VALUE"""),136.26)</f>
        <v>136.26</v>
      </c>
      <c r="E5214" s="1">
        <f>IFERROR(__xludf.DUMMYFUNCTION("""COMPUTED_VALUE"""),137.37)</f>
        <v>137.37</v>
      </c>
      <c r="F5214" s="1">
        <f>IFERROR(__xludf.DUMMYFUNCTION("""COMPUTED_VALUE"""),1.0192776E7)</f>
        <v>10192776</v>
      </c>
    </row>
    <row r="5215">
      <c r="A5215" s="2">
        <f>IFERROR(__xludf.DUMMYFUNCTION("""COMPUTED_VALUE"""),44095.66666666667)</f>
        <v>44095.66667</v>
      </c>
      <c r="B5215" s="1">
        <f>IFERROR(__xludf.DUMMYFUNCTION("""COMPUTED_VALUE"""),137.0)</f>
        <v>137</v>
      </c>
      <c r="C5215" s="1">
        <f>IFERROR(__xludf.DUMMYFUNCTION("""COMPUTED_VALUE"""),137.47)</f>
        <v>137.47</v>
      </c>
      <c r="D5215" s="1">
        <f>IFERROR(__xludf.DUMMYFUNCTION("""COMPUTED_VALUE"""),134.7)</f>
        <v>134.7</v>
      </c>
      <c r="E5215" s="1">
        <f>IFERROR(__xludf.DUMMYFUNCTION("""COMPUTED_VALUE"""),136.71)</f>
        <v>136.71</v>
      </c>
      <c r="F5215" s="1">
        <f>IFERROR(__xludf.DUMMYFUNCTION("""COMPUTED_VALUE"""),7092706.0)</f>
        <v>7092706</v>
      </c>
    </row>
    <row r="5216">
      <c r="A5216" s="2">
        <f>IFERROR(__xludf.DUMMYFUNCTION("""COMPUTED_VALUE"""),44096.66666666667)</f>
        <v>44096.66667</v>
      </c>
      <c r="B5216" s="1">
        <f>IFERROR(__xludf.DUMMYFUNCTION("""COMPUTED_VALUE"""),136.49)</f>
        <v>136.49</v>
      </c>
      <c r="C5216" s="1">
        <f>IFERROR(__xludf.DUMMYFUNCTION("""COMPUTED_VALUE"""),139.03)</f>
        <v>139.03</v>
      </c>
      <c r="D5216" s="1">
        <f>IFERROR(__xludf.DUMMYFUNCTION("""COMPUTED_VALUE"""),136.24)</f>
        <v>136.24</v>
      </c>
      <c r="E5216" s="1">
        <f>IFERROR(__xludf.DUMMYFUNCTION("""COMPUTED_VALUE"""),137.96)</f>
        <v>137.96</v>
      </c>
      <c r="F5216" s="1">
        <f>IFERROR(__xludf.DUMMYFUNCTION("""COMPUTED_VALUE"""),4723016.0)</f>
        <v>4723016</v>
      </c>
    </row>
    <row r="5217">
      <c r="A5217" s="2">
        <f>IFERROR(__xludf.DUMMYFUNCTION("""COMPUTED_VALUE"""),44097.66666666667)</f>
        <v>44097.66667</v>
      </c>
      <c r="B5217" s="1">
        <f>IFERROR(__xludf.DUMMYFUNCTION("""COMPUTED_VALUE"""),138.42)</f>
        <v>138.42</v>
      </c>
      <c r="C5217" s="1">
        <f>IFERROR(__xludf.DUMMYFUNCTION("""COMPUTED_VALUE"""),138.42)</f>
        <v>138.42</v>
      </c>
      <c r="D5217" s="1">
        <f>IFERROR(__xludf.DUMMYFUNCTION("""COMPUTED_VALUE"""),136.09)</f>
        <v>136.09</v>
      </c>
      <c r="E5217" s="1">
        <f>IFERROR(__xludf.DUMMYFUNCTION("""COMPUTED_VALUE"""),136.31)</f>
        <v>136.31</v>
      </c>
      <c r="F5217" s="1">
        <f>IFERROR(__xludf.DUMMYFUNCTION("""COMPUTED_VALUE"""),6374016.0)</f>
        <v>6374016</v>
      </c>
    </row>
    <row r="5218">
      <c r="A5218" s="2">
        <f>IFERROR(__xludf.DUMMYFUNCTION("""COMPUTED_VALUE"""),44098.66666666667)</f>
        <v>44098.66667</v>
      </c>
      <c r="B5218" s="1">
        <f>IFERROR(__xludf.DUMMYFUNCTION("""COMPUTED_VALUE"""),136.67)</f>
        <v>136.67</v>
      </c>
      <c r="C5218" s="1">
        <f>IFERROR(__xludf.DUMMYFUNCTION("""COMPUTED_VALUE"""),137.15)</f>
        <v>137.15</v>
      </c>
      <c r="D5218" s="1">
        <f>IFERROR(__xludf.DUMMYFUNCTION("""COMPUTED_VALUE"""),135.71)</f>
        <v>135.71</v>
      </c>
      <c r="E5218" s="1">
        <f>IFERROR(__xludf.DUMMYFUNCTION("""COMPUTED_VALUE"""),136.92)</f>
        <v>136.92</v>
      </c>
      <c r="F5218" s="1">
        <f>IFERROR(__xludf.DUMMYFUNCTION("""COMPUTED_VALUE"""),5708196.0)</f>
        <v>5708196</v>
      </c>
    </row>
    <row r="5219">
      <c r="A5219" s="2">
        <f>IFERROR(__xludf.DUMMYFUNCTION("""COMPUTED_VALUE"""),44099.66666666667)</f>
        <v>44099.66667</v>
      </c>
      <c r="B5219" s="1">
        <f>IFERROR(__xludf.DUMMYFUNCTION("""COMPUTED_VALUE"""),135.89)</f>
        <v>135.89</v>
      </c>
      <c r="C5219" s="1">
        <f>IFERROR(__xludf.DUMMYFUNCTION("""COMPUTED_VALUE"""),137.99)</f>
        <v>137.99</v>
      </c>
      <c r="D5219" s="1">
        <f>IFERROR(__xludf.DUMMYFUNCTION("""COMPUTED_VALUE"""),135.89)</f>
        <v>135.89</v>
      </c>
      <c r="E5219" s="1">
        <f>IFERROR(__xludf.DUMMYFUNCTION("""COMPUTED_VALUE"""),137.62)</f>
        <v>137.62</v>
      </c>
      <c r="F5219" s="1">
        <f>IFERROR(__xludf.DUMMYFUNCTION("""COMPUTED_VALUE"""),4970184.0)</f>
        <v>4970184</v>
      </c>
    </row>
    <row r="5220">
      <c r="A5220" s="2">
        <f>IFERROR(__xludf.DUMMYFUNCTION("""COMPUTED_VALUE"""),44102.66666666667)</f>
        <v>44102.66667</v>
      </c>
      <c r="B5220" s="1">
        <f>IFERROR(__xludf.DUMMYFUNCTION("""COMPUTED_VALUE"""),138.56)</f>
        <v>138.56</v>
      </c>
      <c r="C5220" s="1">
        <f>IFERROR(__xludf.DUMMYFUNCTION("""COMPUTED_VALUE"""),139.94)</f>
        <v>139.94</v>
      </c>
      <c r="D5220" s="1">
        <f>IFERROR(__xludf.DUMMYFUNCTION("""COMPUTED_VALUE"""),137.78)</f>
        <v>137.78</v>
      </c>
      <c r="E5220" s="1">
        <f>IFERROR(__xludf.DUMMYFUNCTION("""COMPUTED_VALUE"""),138.01)</f>
        <v>138.01</v>
      </c>
      <c r="F5220" s="1">
        <f>IFERROR(__xludf.DUMMYFUNCTION("""COMPUTED_VALUE"""),5810836.0)</f>
        <v>5810836</v>
      </c>
    </row>
    <row r="5221">
      <c r="A5221" s="2">
        <f>IFERROR(__xludf.DUMMYFUNCTION("""COMPUTED_VALUE"""),44103.66666666667)</f>
        <v>44103.66667</v>
      </c>
      <c r="B5221" s="1">
        <f>IFERROR(__xludf.DUMMYFUNCTION("""COMPUTED_VALUE"""),138.39)</f>
        <v>138.39</v>
      </c>
      <c r="C5221" s="1">
        <f>IFERROR(__xludf.DUMMYFUNCTION("""COMPUTED_VALUE"""),138.42)</f>
        <v>138.42</v>
      </c>
      <c r="D5221" s="1">
        <f>IFERROR(__xludf.DUMMYFUNCTION("""COMPUTED_VALUE"""),136.66)</f>
        <v>136.66</v>
      </c>
      <c r="E5221" s="1">
        <f>IFERROR(__xludf.DUMMYFUNCTION("""COMPUTED_VALUE"""),137.26)</f>
        <v>137.26</v>
      </c>
      <c r="F5221" s="1">
        <f>IFERROR(__xludf.DUMMYFUNCTION("""COMPUTED_VALUE"""),4493156.0)</f>
        <v>4493156</v>
      </c>
    </row>
    <row r="5222">
      <c r="A5222" s="2">
        <f>IFERROR(__xludf.DUMMYFUNCTION("""COMPUTED_VALUE"""),44104.66666666667)</f>
        <v>44104.66667</v>
      </c>
      <c r="B5222" s="1">
        <f>IFERROR(__xludf.DUMMYFUNCTION("""COMPUTED_VALUE"""),138.16)</f>
        <v>138.16</v>
      </c>
      <c r="C5222" s="1">
        <f>IFERROR(__xludf.DUMMYFUNCTION("""COMPUTED_VALUE"""),139.85)</f>
        <v>139.85</v>
      </c>
      <c r="D5222" s="1">
        <f>IFERROR(__xludf.DUMMYFUNCTION("""COMPUTED_VALUE"""),137.81)</f>
        <v>137.81</v>
      </c>
      <c r="E5222" s="1">
        <f>IFERROR(__xludf.DUMMYFUNCTION("""COMPUTED_VALUE"""),138.99)</f>
        <v>138.99</v>
      </c>
      <c r="F5222" s="1">
        <f>IFERROR(__xludf.DUMMYFUNCTION("""COMPUTED_VALUE"""),8727963.0)</f>
        <v>8727963</v>
      </c>
    </row>
    <row r="5223">
      <c r="A5223" s="2">
        <f>IFERROR(__xludf.DUMMYFUNCTION("""COMPUTED_VALUE"""),44105.66666666667)</f>
        <v>44105.66667</v>
      </c>
      <c r="B5223" s="1">
        <f>IFERROR(__xludf.DUMMYFUNCTION("""COMPUTED_VALUE"""),139.58)</f>
        <v>139.58</v>
      </c>
      <c r="C5223" s="1">
        <f>IFERROR(__xludf.DUMMYFUNCTION("""COMPUTED_VALUE"""),139.99)</f>
        <v>139.99</v>
      </c>
      <c r="D5223" s="1">
        <f>IFERROR(__xludf.DUMMYFUNCTION("""COMPUTED_VALUE"""),138.21)</f>
        <v>138.21</v>
      </c>
      <c r="E5223" s="1">
        <f>IFERROR(__xludf.DUMMYFUNCTION("""COMPUTED_VALUE"""),139.24)</f>
        <v>139.24</v>
      </c>
      <c r="F5223" s="1">
        <f>IFERROR(__xludf.DUMMYFUNCTION("""COMPUTED_VALUE"""),5713511.0)</f>
        <v>5713511</v>
      </c>
    </row>
    <row r="5224">
      <c r="A5224" s="2">
        <f>IFERROR(__xludf.DUMMYFUNCTION("""COMPUTED_VALUE"""),44106.66666666667)</f>
        <v>44106.66667</v>
      </c>
      <c r="B5224" s="1">
        <f>IFERROR(__xludf.DUMMYFUNCTION("""COMPUTED_VALUE"""),137.93)</f>
        <v>137.93</v>
      </c>
      <c r="C5224" s="1">
        <f>IFERROR(__xludf.DUMMYFUNCTION("""COMPUTED_VALUE"""),139.12)</f>
        <v>139.12</v>
      </c>
      <c r="D5224" s="1">
        <f>IFERROR(__xludf.DUMMYFUNCTION("""COMPUTED_VALUE"""),136.95)</f>
        <v>136.95</v>
      </c>
      <c r="E5224" s="1">
        <f>IFERROR(__xludf.DUMMYFUNCTION("""COMPUTED_VALUE"""),138.12)</f>
        <v>138.12</v>
      </c>
      <c r="F5224" s="1">
        <f>IFERROR(__xludf.DUMMYFUNCTION("""COMPUTED_VALUE"""),6077907.0)</f>
        <v>6077907</v>
      </c>
    </row>
    <row r="5225">
      <c r="A5225" s="2">
        <f>IFERROR(__xludf.DUMMYFUNCTION("""COMPUTED_VALUE"""),44109.66666666667)</f>
        <v>44109.66667</v>
      </c>
      <c r="B5225" s="1">
        <f>IFERROR(__xludf.DUMMYFUNCTION("""COMPUTED_VALUE"""),138.72)</f>
        <v>138.72</v>
      </c>
      <c r="C5225" s="1">
        <f>IFERROR(__xludf.DUMMYFUNCTION("""COMPUTED_VALUE"""),139.65)</f>
        <v>139.65</v>
      </c>
      <c r="D5225" s="1">
        <f>IFERROR(__xludf.DUMMYFUNCTION("""COMPUTED_VALUE"""),138.3)</f>
        <v>138.3</v>
      </c>
      <c r="E5225" s="1">
        <f>IFERROR(__xludf.DUMMYFUNCTION("""COMPUTED_VALUE"""),139.39)</f>
        <v>139.39</v>
      </c>
      <c r="F5225" s="1">
        <f>IFERROR(__xludf.DUMMYFUNCTION("""COMPUTED_VALUE"""),6333929.0)</f>
        <v>6333929</v>
      </c>
    </row>
    <row r="5226">
      <c r="A5226" s="2">
        <f>IFERROR(__xludf.DUMMYFUNCTION("""COMPUTED_VALUE"""),44110.66666666667)</f>
        <v>44110.66667</v>
      </c>
      <c r="B5226" s="1">
        <f>IFERROR(__xludf.DUMMYFUNCTION("""COMPUTED_VALUE"""),139.42)</f>
        <v>139.42</v>
      </c>
      <c r="C5226" s="1">
        <f>IFERROR(__xludf.DUMMYFUNCTION("""COMPUTED_VALUE"""),140.77)</f>
        <v>140.77</v>
      </c>
      <c r="D5226" s="1">
        <f>IFERROR(__xludf.DUMMYFUNCTION("""COMPUTED_VALUE"""),138.81)</f>
        <v>138.81</v>
      </c>
      <c r="E5226" s="1">
        <f>IFERROR(__xludf.DUMMYFUNCTION("""COMPUTED_VALUE"""),139.61)</f>
        <v>139.61</v>
      </c>
      <c r="F5226" s="1">
        <f>IFERROR(__xludf.DUMMYFUNCTION("""COMPUTED_VALUE"""),6042878.0)</f>
        <v>6042878</v>
      </c>
    </row>
    <row r="5227">
      <c r="A5227" s="2">
        <f>IFERROR(__xludf.DUMMYFUNCTION("""COMPUTED_VALUE"""),44111.66666666667)</f>
        <v>44111.66667</v>
      </c>
      <c r="B5227" s="1">
        <f>IFERROR(__xludf.DUMMYFUNCTION("""COMPUTED_VALUE"""),140.08)</f>
        <v>140.08</v>
      </c>
      <c r="C5227" s="1">
        <f>IFERROR(__xludf.DUMMYFUNCTION("""COMPUTED_VALUE"""),141.39)</f>
        <v>141.39</v>
      </c>
      <c r="D5227" s="1">
        <f>IFERROR(__xludf.DUMMYFUNCTION("""COMPUTED_VALUE"""),139.37)</f>
        <v>139.37</v>
      </c>
      <c r="E5227" s="1">
        <f>IFERROR(__xludf.DUMMYFUNCTION("""COMPUTED_VALUE"""),140.7)</f>
        <v>140.7</v>
      </c>
      <c r="F5227" s="1">
        <f>IFERROR(__xludf.DUMMYFUNCTION("""COMPUTED_VALUE"""),4640939.0)</f>
        <v>4640939</v>
      </c>
    </row>
    <row r="5228">
      <c r="A5228" s="2">
        <f>IFERROR(__xludf.DUMMYFUNCTION("""COMPUTED_VALUE"""),44112.66666666667)</f>
        <v>44112.66667</v>
      </c>
      <c r="B5228" s="1">
        <f>IFERROR(__xludf.DUMMYFUNCTION("""COMPUTED_VALUE"""),140.56)</f>
        <v>140.56</v>
      </c>
      <c r="C5228" s="1">
        <f>IFERROR(__xludf.DUMMYFUNCTION("""COMPUTED_VALUE"""),141.93)</f>
        <v>141.93</v>
      </c>
      <c r="D5228" s="1">
        <f>IFERROR(__xludf.DUMMYFUNCTION("""COMPUTED_VALUE"""),140.36)</f>
        <v>140.36</v>
      </c>
      <c r="E5228" s="1">
        <f>IFERROR(__xludf.DUMMYFUNCTION("""COMPUTED_VALUE"""),141.65)</f>
        <v>141.65</v>
      </c>
      <c r="F5228" s="1">
        <f>IFERROR(__xludf.DUMMYFUNCTION("""COMPUTED_VALUE"""),4570134.0)</f>
        <v>4570134</v>
      </c>
    </row>
    <row r="5229">
      <c r="A5229" s="2">
        <f>IFERROR(__xludf.DUMMYFUNCTION("""COMPUTED_VALUE"""),44113.66666666667)</f>
        <v>44113.66667</v>
      </c>
      <c r="B5229" s="1">
        <f>IFERROR(__xludf.DUMMYFUNCTION("""COMPUTED_VALUE"""),141.84)</f>
        <v>141.84</v>
      </c>
      <c r="C5229" s="1">
        <f>IFERROR(__xludf.DUMMYFUNCTION("""COMPUTED_VALUE"""),143.64)</f>
        <v>143.64</v>
      </c>
      <c r="D5229" s="1">
        <f>IFERROR(__xludf.DUMMYFUNCTION("""COMPUTED_VALUE"""),141.7)</f>
        <v>141.7</v>
      </c>
      <c r="E5229" s="1">
        <f>IFERROR(__xludf.DUMMYFUNCTION("""COMPUTED_VALUE"""),142.92)</f>
        <v>142.92</v>
      </c>
      <c r="F5229" s="1">
        <f>IFERROR(__xludf.DUMMYFUNCTION("""COMPUTED_VALUE"""),6551774.0)</f>
        <v>6551774</v>
      </c>
    </row>
    <row r="5230">
      <c r="A5230" s="2">
        <f>IFERROR(__xludf.DUMMYFUNCTION("""COMPUTED_VALUE"""),44116.66666666667)</f>
        <v>44116.66667</v>
      </c>
      <c r="B5230" s="1">
        <f>IFERROR(__xludf.DUMMYFUNCTION("""COMPUTED_VALUE"""),143.33)</f>
        <v>143.33</v>
      </c>
      <c r="C5230" s="1">
        <f>IFERROR(__xludf.DUMMYFUNCTION("""COMPUTED_VALUE"""),145.33)</f>
        <v>145.33</v>
      </c>
      <c r="D5230" s="1">
        <f>IFERROR(__xludf.DUMMYFUNCTION("""COMPUTED_VALUE"""),143.33)</f>
        <v>143.33</v>
      </c>
      <c r="E5230" s="1">
        <f>IFERROR(__xludf.DUMMYFUNCTION("""COMPUTED_VALUE"""),144.49)</f>
        <v>144.49</v>
      </c>
      <c r="F5230" s="1">
        <f>IFERROR(__xludf.DUMMYFUNCTION("""COMPUTED_VALUE"""),5791704.0)</f>
        <v>5791704</v>
      </c>
    </row>
    <row r="5231">
      <c r="A5231" s="2">
        <f>IFERROR(__xludf.DUMMYFUNCTION("""COMPUTED_VALUE"""),44117.66666666667)</f>
        <v>44117.66667</v>
      </c>
      <c r="B5231" s="1">
        <f>IFERROR(__xludf.DUMMYFUNCTION("""COMPUTED_VALUE"""),143.82)</f>
        <v>143.82</v>
      </c>
      <c r="C5231" s="1">
        <f>IFERROR(__xludf.DUMMYFUNCTION("""COMPUTED_VALUE"""),144.84)</f>
        <v>144.84</v>
      </c>
      <c r="D5231" s="1">
        <f>IFERROR(__xludf.DUMMYFUNCTION("""COMPUTED_VALUE"""),143.46)</f>
        <v>143.46</v>
      </c>
      <c r="E5231" s="1">
        <f>IFERROR(__xludf.DUMMYFUNCTION("""COMPUTED_VALUE"""),144.21)</f>
        <v>144.21</v>
      </c>
      <c r="F5231" s="1">
        <f>IFERROR(__xludf.DUMMYFUNCTION("""COMPUTED_VALUE"""),4509433.0)</f>
        <v>4509433</v>
      </c>
    </row>
    <row r="5232">
      <c r="A5232" s="2">
        <f>IFERROR(__xludf.DUMMYFUNCTION("""COMPUTED_VALUE"""),44118.66666666667)</f>
        <v>44118.66667</v>
      </c>
      <c r="B5232" s="1">
        <f>IFERROR(__xludf.DUMMYFUNCTION("""COMPUTED_VALUE"""),144.18)</f>
        <v>144.18</v>
      </c>
      <c r="C5232" s="1">
        <f>IFERROR(__xludf.DUMMYFUNCTION("""COMPUTED_VALUE"""),145.1)</f>
        <v>145.1</v>
      </c>
      <c r="D5232" s="1">
        <f>IFERROR(__xludf.DUMMYFUNCTION("""COMPUTED_VALUE"""),143.08)</f>
        <v>143.08</v>
      </c>
      <c r="E5232" s="1">
        <f>IFERROR(__xludf.DUMMYFUNCTION("""COMPUTED_VALUE"""),144.04)</f>
        <v>144.04</v>
      </c>
      <c r="F5232" s="1">
        <f>IFERROR(__xludf.DUMMYFUNCTION("""COMPUTED_VALUE"""),3860801.0)</f>
        <v>3860801</v>
      </c>
    </row>
    <row r="5233">
      <c r="A5233" s="2">
        <f>IFERROR(__xludf.DUMMYFUNCTION("""COMPUTED_VALUE"""),44119.66666666667)</f>
        <v>44119.66667</v>
      </c>
      <c r="B5233" s="1">
        <f>IFERROR(__xludf.DUMMYFUNCTION("""COMPUTED_VALUE"""),143.06)</f>
        <v>143.06</v>
      </c>
      <c r="C5233" s="1">
        <f>IFERROR(__xludf.DUMMYFUNCTION("""COMPUTED_VALUE"""),144.39)</f>
        <v>144.39</v>
      </c>
      <c r="D5233" s="1">
        <f>IFERROR(__xludf.DUMMYFUNCTION("""COMPUTED_VALUE"""),142.89)</f>
        <v>142.89</v>
      </c>
      <c r="E5233" s="1">
        <f>IFERROR(__xludf.DUMMYFUNCTION("""COMPUTED_VALUE"""),143.83)</f>
        <v>143.83</v>
      </c>
      <c r="F5233" s="1">
        <f>IFERROR(__xludf.DUMMYFUNCTION("""COMPUTED_VALUE"""),4997147.0)</f>
        <v>4997147</v>
      </c>
    </row>
    <row r="5234">
      <c r="A5234" s="2">
        <f>IFERROR(__xludf.DUMMYFUNCTION("""COMPUTED_VALUE"""),44120.66666666667)</f>
        <v>44120.66667</v>
      </c>
      <c r="B5234" s="1">
        <f>IFERROR(__xludf.DUMMYFUNCTION("""COMPUTED_VALUE"""),144.42)</f>
        <v>144.42</v>
      </c>
      <c r="C5234" s="1">
        <f>IFERROR(__xludf.DUMMYFUNCTION("""COMPUTED_VALUE"""),145.87)</f>
        <v>145.87</v>
      </c>
      <c r="D5234" s="1">
        <f>IFERROR(__xludf.DUMMYFUNCTION("""COMPUTED_VALUE"""),143.92)</f>
        <v>143.92</v>
      </c>
      <c r="E5234" s="1">
        <f>IFERROR(__xludf.DUMMYFUNCTION("""COMPUTED_VALUE"""),144.39)</f>
        <v>144.39</v>
      </c>
      <c r="F5234" s="1">
        <f>IFERROR(__xludf.DUMMYFUNCTION("""COMPUTED_VALUE"""),6807859.0)</f>
        <v>6807859</v>
      </c>
    </row>
    <row r="5235">
      <c r="A5235" s="2">
        <f>IFERROR(__xludf.DUMMYFUNCTION("""COMPUTED_VALUE"""),44123.66666666667)</f>
        <v>44123.66667</v>
      </c>
      <c r="B5235" s="1">
        <f>IFERROR(__xludf.DUMMYFUNCTION("""COMPUTED_VALUE"""),144.47)</f>
        <v>144.47</v>
      </c>
      <c r="C5235" s="1">
        <f>IFERROR(__xludf.DUMMYFUNCTION("""COMPUTED_VALUE"""),145.39)</f>
        <v>145.39</v>
      </c>
      <c r="D5235" s="1">
        <f>IFERROR(__xludf.DUMMYFUNCTION("""COMPUTED_VALUE"""),141.13)</f>
        <v>141.13</v>
      </c>
      <c r="E5235" s="1">
        <f>IFERROR(__xludf.DUMMYFUNCTION("""COMPUTED_VALUE"""),141.91)</f>
        <v>141.91</v>
      </c>
      <c r="F5235" s="1">
        <f>IFERROR(__xludf.DUMMYFUNCTION("""COMPUTED_VALUE"""),6427561.0)</f>
        <v>6427561</v>
      </c>
    </row>
    <row r="5236">
      <c r="A5236" s="2">
        <f>IFERROR(__xludf.DUMMYFUNCTION("""COMPUTED_VALUE"""),44124.66666666667)</f>
        <v>44124.66667</v>
      </c>
      <c r="B5236" s="1">
        <f>IFERROR(__xludf.DUMMYFUNCTION("""COMPUTED_VALUE"""),145.61)</f>
        <v>145.61</v>
      </c>
      <c r="C5236" s="1">
        <f>IFERROR(__xludf.DUMMYFUNCTION("""COMPUTED_VALUE"""),145.69)</f>
        <v>145.69</v>
      </c>
      <c r="D5236" s="1">
        <f>IFERROR(__xludf.DUMMYFUNCTION("""COMPUTED_VALUE"""),141.9)</f>
        <v>141.9</v>
      </c>
      <c r="E5236" s="1">
        <f>IFERROR(__xludf.DUMMYFUNCTION("""COMPUTED_VALUE"""),142.48)</f>
        <v>142.48</v>
      </c>
      <c r="F5236" s="1">
        <f>IFERROR(__xludf.DUMMYFUNCTION("""COMPUTED_VALUE"""),7585241.0)</f>
        <v>7585241</v>
      </c>
    </row>
    <row r="5237">
      <c r="A5237" s="2">
        <f>IFERROR(__xludf.DUMMYFUNCTION("""COMPUTED_VALUE"""),44125.66666666667)</f>
        <v>44125.66667</v>
      </c>
      <c r="B5237" s="1">
        <f>IFERROR(__xludf.DUMMYFUNCTION("""COMPUTED_VALUE"""),142.49)</f>
        <v>142.49</v>
      </c>
      <c r="C5237" s="1">
        <f>IFERROR(__xludf.DUMMYFUNCTION("""COMPUTED_VALUE"""),144.34)</f>
        <v>144.34</v>
      </c>
      <c r="D5237" s="1">
        <f>IFERROR(__xludf.DUMMYFUNCTION("""COMPUTED_VALUE"""),142.47)</f>
        <v>142.47</v>
      </c>
      <c r="E5237" s="1">
        <f>IFERROR(__xludf.DUMMYFUNCTION("""COMPUTED_VALUE"""),143.25)</f>
        <v>143.25</v>
      </c>
      <c r="F5237" s="1">
        <f>IFERROR(__xludf.DUMMYFUNCTION("""COMPUTED_VALUE"""),5649652.0)</f>
        <v>5649652</v>
      </c>
    </row>
    <row r="5238">
      <c r="A5238" s="2">
        <f>IFERROR(__xludf.DUMMYFUNCTION("""COMPUTED_VALUE"""),44126.66666666667)</f>
        <v>44126.66667</v>
      </c>
      <c r="B5238" s="1">
        <f>IFERROR(__xludf.DUMMYFUNCTION("""COMPUTED_VALUE"""),141.49)</f>
        <v>141.49</v>
      </c>
      <c r="C5238" s="1">
        <f>IFERROR(__xludf.DUMMYFUNCTION("""COMPUTED_VALUE"""),142.75)</f>
        <v>142.75</v>
      </c>
      <c r="D5238" s="1">
        <f>IFERROR(__xludf.DUMMYFUNCTION("""COMPUTED_VALUE"""),141.08)</f>
        <v>141.08</v>
      </c>
      <c r="E5238" s="1">
        <f>IFERROR(__xludf.DUMMYFUNCTION("""COMPUTED_VALUE"""),141.45)</f>
        <v>141.45</v>
      </c>
      <c r="F5238" s="1">
        <f>IFERROR(__xludf.DUMMYFUNCTION("""COMPUTED_VALUE"""),4503323.0)</f>
        <v>4503323</v>
      </c>
    </row>
    <row r="5239">
      <c r="A5239" s="2">
        <f>IFERROR(__xludf.DUMMYFUNCTION("""COMPUTED_VALUE"""),44127.66666666667)</f>
        <v>44127.66667</v>
      </c>
      <c r="B5239" s="1">
        <f>IFERROR(__xludf.DUMMYFUNCTION("""COMPUTED_VALUE"""),141.76)</f>
        <v>141.76</v>
      </c>
      <c r="C5239" s="1">
        <f>IFERROR(__xludf.DUMMYFUNCTION("""COMPUTED_VALUE"""),142.88)</f>
        <v>142.88</v>
      </c>
      <c r="D5239" s="1">
        <f>IFERROR(__xludf.DUMMYFUNCTION("""COMPUTED_VALUE"""),141.76)</f>
        <v>141.76</v>
      </c>
      <c r="E5239" s="1">
        <f>IFERROR(__xludf.DUMMYFUNCTION("""COMPUTED_VALUE"""),142.38)</f>
        <v>142.38</v>
      </c>
      <c r="F5239" s="1">
        <f>IFERROR(__xludf.DUMMYFUNCTION("""COMPUTED_VALUE"""),4278287.0)</f>
        <v>4278287</v>
      </c>
    </row>
    <row r="5240">
      <c r="A5240" s="2">
        <f>IFERROR(__xludf.DUMMYFUNCTION("""COMPUTED_VALUE"""),44130.66666666667)</f>
        <v>44130.66667</v>
      </c>
      <c r="B5240" s="1">
        <f>IFERROR(__xludf.DUMMYFUNCTION("""COMPUTED_VALUE"""),141.5)</f>
        <v>141.5</v>
      </c>
      <c r="C5240" s="1">
        <f>IFERROR(__xludf.DUMMYFUNCTION("""COMPUTED_VALUE"""),142.05)</f>
        <v>142.05</v>
      </c>
      <c r="D5240" s="1">
        <f>IFERROR(__xludf.DUMMYFUNCTION("""COMPUTED_VALUE"""),140.01)</f>
        <v>140.01</v>
      </c>
      <c r="E5240" s="1">
        <f>IFERROR(__xludf.DUMMYFUNCTION("""COMPUTED_VALUE"""),141.3)</f>
        <v>141.3</v>
      </c>
      <c r="F5240" s="1">
        <f>IFERROR(__xludf.DUMMYFUNCTION("""COMPUTED_VALUE"""),5315562.0)</f>
        <v>5315562</v>
      </c>
    </row>
    <row r="5241">
      <c r="A5241" s="2">
        <f>IFERROR(__xludf.DUMMYFUNCTION("""COMPUTED_VALUE"""),44131.66666666667)</f>
        <v>44131.66667</v>
      </c>
      <c r="B5241" s="1">
        <f>IFERROR(__xludf.DUMMYFUNCTION("""COMPUTED_VALUE"""),141.94)</f>
        <v>141.94</v>
      </c>
      <c r="C5241" s="1">
        <f>IFERROR(__xludf.DUMMYFUNCTION("""COMPUTED_VALUE"""),143.34)</f>
        <v>143.34</v>
      </c>
      <c r="D5241" s="1">
        <f>IFERROR(__xludf.DUMMYFUNCTION("""COMPUTED_VALUE"""),141.65)</f>
        <v>141.65</v>
      </c>
      <c r="E5241" s="1">
        <f>IFERROR(__xludf.DUMMYFUNCTION("""COMPUTED_VALUE"""),142.36)</f>
        <v>142.36</v>
      </c>
      <c r="F5241" s="1">
        <f>IFERROR(__xludf.DUMMYFUNCTION("""COMPUTED_VALUE"""),6806665.0)</f>
        <v>6806665</v>
      </c>
    </row>
    <row r="5242">
      <c r="A5242" s="2">
        <f>IFERROR(__xludf.DUMMYFUNCTION("""COMPUTED_VALUE"""),44132.66666666667)</f>
        <v>44132.66667</v>
      </c>
      <c r="B5242" s="1">
        <f>IFERROR(__xludf.DUMMYFUNCTION("""COMPUTED_VALUE"""),140.45)</f>
        <v>140.45</v>
      </c>
      <c r="C5242" s="1">
        <f>IFERROR(__xludf.DUMMYFUNCTION("""COMPUTED_VALUE"""),140.94)</f>
        <v>140.94</v>
      </c>
      <c r="D5242" s="1">
        <f>IFERROR(__xludf.DUMMYFUNCTION("""COMPUTED_VALUE"""),137.31)</f>
        <v>137.31</v>
      </c>
      <c r="E5242" s="1">
        <f>IFERROR(__xludf.DUMMYFUNCTION("""COMPUTED_VALUE"""),137.66)</f>
        <v>137.66</v>
      </c>
      <c r="F5242" s="1">
        <f>IFERROR(__xludf.DUMMYFUNCTION("""COMPUTED_VALUE"""),8192153.0)</f>
        <v>8192153</v>
      </c>
    </row>
    <row r="5243">
      <c r="A5243" s="2">
        <f>IFERROR(__xludf.DUMMYFUNCTION("""COMPUTED_VALUE"""),44133.66666666667)</f>
        <v>44133.66667</v>
      </c>
      <c r="B5243" s="1">
        <f>IFERROR(__xludf.DUMMYFUNCTION("""COMPUTED_VALUE"""),137.35)</f>
        <v>137.35</v>
      </c>
      <c r="C5243" s="1">
        <f>IFERROR(__xludf.DUMMYFUNCTION("""COMPUTED_VALUE"""),139.09)</f>
        <v>139.09</v>
      </c>
      <c r="D5243" s="1">
        <f>IFERROR(__xludf.DUMMYFUNCTION("""COMPUTED_VALUE"""),135.8)</f>
        <v>135.8</v>
      </c>
      <c r="E5243" s="1">
        <f>IFERROR(__xludf.DUMMYFUNCTION("""COMPUTED_VALUE"""),137.57)</f>
        <v>137.57</v>
      </c>
      <c r="F5243" s="1">
        <f>IFERROR(__xludf.DUMMYFUNCTION("""COMPUTED_VALUE"""),5476878.0)</f>
        <v>5476878</v>
      </c>
    </row>
    <row r="5244">
      <c r="A5244" s="2">
        <f>IFERROR(__xludf.DUMMYFUNCTION("""COMPUTED_VALUE"""),44134.66666666667)</f>
        <v>44134.66667</v>
      </c>
      <c r="B5244" s="1">
        <f>IFERROR(__xludf.DUMMYFUNCTION("""COMPUTED_VALUE"""),137.18)</f>
        <v>137.18</v>
      </c>
      <c r="C5244" s="1">
        <f>IFERROR(__xludf.DUMMYFUNCTION("""COMPUTED_VALUE"""),137.99)</f>
        <v>137.99</v>
      </c>
      <c r="D5244" s="1">
        <f>IFERROR(__xludf.DUMMYFUNCTION("""COMPUTED_VALUE"""),134.68)</f>
        <v>134.68</v>
      </c>
      <c r="E5244" s="1">
        <f>IFERROR(__xludf.DUMMYFUNCTION("""COMPUTED_VALUE"""),137.1)</f>
        <v>137.1</v>
      </c>
      <c r="F5244" s="1">
        <f>IFERROR(__xludf.DUMMYFUNCTION("""COMPUTED_VALUE"""),6422103.0)</f>
        <v>6422103</v>
      </c>
    </row>
    <row r="5245">
      <c r="A5245" s="2">
        <f>IFERROR(__xludf.DUMMYFUNCTION("""COMPUTED_VALUE"""),44137.66666666667)</f>
        <v>44137.66667</v>
      </c>
      <c r="B5245" s="1">
        <f>IFERROR(__xludf.DUMMYFUNCTION("""COMPUTED_VALUE"""),138.51)</f>
        <v>138.51</v>
      </c>
      <c r="C5245" s="1">
        <f>IFERROR(__xludf.DUMMYFUNCTION("""COMPUTED_VALUE"""),140.0)</f>
        <v>140</v>
      </c>
      <c r="D5245" s="1">
        <f>IFERROR(__xludf.DUMMYFUNCTION("""COMPUTED_VALUE"""),137.44)</f>
        <v>137.44</v>
      </c>
      <c r="E5245" s="1">
        <f>IFERROR(__xludf.DUMMYFUNCTION("""COMPUTED_VALUE"""),138.5)</f>
        <v>138.5</v>
      </c>
      <c r="F5245" s="1">
        <f>IFERROR(__xludf.DUMMYFUNCTION("""COMPUTED_VALUE"""),6682895.0)</f>
        <v>6682895</v>
      </c>
    </row>
    <row r="5246">
      <c r="A5246" s="2">
        <f>IFERROR(__xludf.DUMMYFUNCTION("""COMPUTED_VALUE"""),44138.66666666667)</f>
        <v>44138.66667</v>
      </c>
      <c r="B5246" s="1">
        <f>IFERROR(__xludf.DUMMYFUNCTION("""COMPUTED_VALUE"""),139.32)</f>
        <v>139.32</v>
      </c>
      <c r="C5246" s="1">
        <f>IFERROR(__xludf.DUMMYFUNCTION("""COMPUTED_VALUE"""),142.66)</f>
        <v>142.66</v>
      </c>
      <c r="D5246" s="1">
        <f>IFERROR(__xludf.DUMMYFUNCTION("""COMPUTED_VALUE"""),139.32)</f>
        <v>139.32</v>
      </c>
      <c r="E5246" s="1">
        <f>IFERROR(__xludf.DUMMYFUNCTION("""COMPUTED_VALUE"""),141.22)</f>
        <v>141.22</v>
      </c>
      <c r="F5246" s="1">
        <f>IFERROR(__xludf.DUMMYFUNCTION("""COMPUTED_VALUE"""),6244208.0)</f>
        <v>6244208</v>
      </c>
    </row>
    <row r="5247">
      <c r="A5247" s="2">
        <f>IFERROR(__xludf.DUMMYFUNCTION("""COMPUTED_VALUE"""),44139.66666666667)</f>
        <v>44139.66667</v>
      </c>
      <c r="B5247" s="1">
        <f>IFERROR(__xludf.DUMMYFUNCTION("""COMPUTED_VALUE"""),140.46)</f>
        <v>140.46</v>
      </c>
      <c r="C5247" s="1">
        <f>IFERROR(__xludf.DUMMYFUNCTION("""COMPUTED_VALUE"""),143.0)</f>
        <v>143</v>
      </c>
      <c r="D5247" s="1">
        <f>IFERROR(__xludf.DUMMYFUNCTION("""COMPUTED_VALUE"""),140.27)</f>
        <v>140.27</v>
      </c>
      <c r="E5247" s="1">
        <f>IFERROR(__xludf.DUMMYFUNCTION("""COMPUTED_VALUE"""),140.64)</f>
        <v>140.64</v>
      </c>
      <c r="F5247" s="1">
        <f>IFERROR(__xludf.DUMMYFUNCTION("""COMPUTED_VALUE"""),5820621.0)</f>
        <v>5820621</v>
      </c>
    </row>
    <row r="5248">
      <c r="A5248" s="2">
        <f>IFERROR(__xludf.DUMMYFUNCTION("""COMPUTED_VALUE"""),44140.66666666667)</f>
        <v>44140.66667</v>
      </c>
      <c r="B5248" s="1">
        <f>IFERROR(__xludf.DUMMYFUNCTION("""COMPUTED_VALUE"""),142.44)</f>
        <v>142.44</v>
      </c>
      <c r="C5248" s="1">
        <f>IFERROR(__xludf.DUMMYFUNCTION("""COMPUTED_VALUE"""),143.53)</f>
        <v>143.53</v>
      </c>
      <c r="D5248" s="1">
        <f>IFERROR(__xludf.DUMMYFUNCTION("""COMPUTED_VALUE"""),141.78)</f>
        <v>141.78</v>
      </c>
      <c r="E5248" s="1">
        <f>IFERROR(__xludf.DUMMYFUNCTION("""COMPUTED_VALUE"""),142.38)</f>
        <v>142.38</v>
      </c>
      <c r="F5248" s="1">
        <f>IFERROR(__xludf.DUMMYFUNCTION("""COMPUTED_VALUE"""),5673138.0)</f>
        <v>5673138</v>
      </c>
    </row>
    <row r="5249">
      <c r="A5249" s="2">
        <f>IFERROR(__xludf.DUMMYFUNCTION("""COMPUTED_VALUE"""),44141.66666666667)</f>
        <v>44141.66667</v>
      </c>
      <c r="B5249" s="1">
        <f>IFERROR(__xludf.DUMMYFUNCTION("""COMPUTED_VALUE"""),142.67)</f>
        <v>142.67</v>
      </c>
      <c r="C5249" s="1">
        <f>IFERROR(__xludf.DUMMYFUNCTION("""COMPUTED_VALUE"""),144.07)</f>
        <v>144.07</v>
      </c>
      <c r="D5249" s="1">
        <f>IFERROR(__xludf.DUMMYFUNCTION("""COMPUTED_VALUE"""),142.38)</f>
        <v>142.38</v>
      </c>
      <c r="E5249" s="1">
        <f>IFERROR(__xludf.DUMMYFUNCTION("""COMPUTED_VALUE"""),143.23)</f>
        <v>143.23</v>
      </c>
      <c r="F5249" s="1">
        <f>IFERROR(__xludf.DUMMYFUNCTION("""COMPUTED_VALUE"""),4702528.0)</f>
        <v>4702528</v>
      </c>
    </row>
    <row r="5250">
      <c r="A5250" s="2">
        <f>IFERROR(__xludf.DUMMYFUNCTION("""COMPUTED_VALUE"""),44144.66666666667)</f>
        <v>44144.66667</v>
      </c>
      <c r="B5250" s="1">
        <f>IFERROR(__xludf.DUMMYFUNCTION("""COMPUTED_VALUE"""),146.15)</f>
        <v>146.15</v>
      </c>
      <c r="C5250" s="1">
        <f>IFERROR(__xludf.DUMMYFUNCTION("""COMPUTED_VALUE"""),146.92)</f>
        <v>146.92</v>
      </c>
      <c r="D5250" s="1">
        <f>IFERROR(__xludf.DUMMYFUNCTION("""COMPUTED_VALUE"""),137.6)</f>
        <v>137.6</v>
      </c>
      <c r="E5250" s="1">
        <f>IFERROR(__xludf.DUMMYFUNCTION("""COMPUTED_VALUE"""),137.99)</f>
        <v>137.99</v>
      </c>
      <c r="F5250" s="1">
        <f>IFERROR(__xludf.DUMMYFUNCTION("""COMPUTED_VALUE"""),1.2664662E7)</f>
        <v>12664662</v>
      </c>
    </row>
    <row r="5251">
      <c r="A5251" s="2">
        <f>IFERROR(__xludf.DUMMYFUNCTION("""COMPUTED_VALUE"""),44145.66666666667)</f>
        <v>44145.66667</v>
      </c>
      <c r="B5251" s="1">
        <f>IFERROR(__xludf.DUMMYFUNCTION("""COMPUTED_VALUE"""),138.1)</f>
        <v>138.1</v>
      </c>
      <c r="C5251" s="1">
        <f>IFERROR(__xludf.DUMMYFUNCTION("""COMPUTED_VALUE"""),140.62)</f>
        <v>140.62</v>
      </c>
      <c r="D5251" s="1">
        <f>IFERROR(__xludf.DUMMYFUNCTION("""COMPUTED_VALUE"""),137.15)</f>
        <v>137.15</v>
      </c>
      <c r="E5251" s="1">
        <f>IFERROR(__xludf.DUMMYFUNCTION("""COMPUTED_VALUE"""),140.26)</f>
        <v>140.26</v>
      </c>
      <c r="F5251" s="1">
        <f>IFERROR(__xludf.DUMMYFUNCTION("""COMPUTED_VALUE"""),7853955.0)</f>
        <v>7853955</v>
      </c>
    </row>
    <row r="5252">
      <c r="A5252" s="2">
        <f>IFERROR(__xludf.DUMMYFUNCTION("""COMPUTED_VALUE"""),44146.66666666667)</f>
        <v>44146.66667</v>
      </c>
      <c r="B5252" s="1">
        <f>IFERROR(__xludf.DUMMYFUNCTION("""COMPUTED_VALUE"""),141.85)</f>
        <v>141.85</v>
      </c>
      <c r="C5252" s="1">
        <f>IFERROR(__xludf.DUMMYFUNCTION("""COMPUTED_VALUE"""),143.0)</f>
        <v>143</v>
      </c>
      <c r="D5252" s="1">
        <f>IFERROR(__xludf.DUMMYFUNCTION("""COMPUTED_VALUE"""),140.65)</f>
        <v>140.65</v>
      </c>
      <c r="E5252" s="1">
        <f>IFERROR(__xludf.DUMMYFUNCTION("""COMPUTED_VALUE"""),142.07)</f>
        <v>142.07</v>
      </c>
      <c r="F5252" s="1">
        <f>IFERROR(__xludf.DUMMYFUNCTION("""COMPUTED_VALUE"""),5554342.0)</f>
        <v>5554342</v>
      </c>
    </row>
    <row r="5253">
      <c r="A5253" s="2">
        <f>IFERROR(__xludf.DUMMYFUNCTION("""COMPUTED_VALUE"""),44147.66666666667)</f>
        <v>44147.66667</v>
      </c>
      <c r="B5253" s="1">
        <f>IFERROR(__xludf.DUMMYFUNCTION("""COMPUTED_VALUE"""),142.29)</f>
        <v>142.29</v>
      </c>
      <c r="C5253" s="1">
        <f>IFERROR(__xludf.DUMMYFUNCTION("""COMPUTED_VALUE"""),142.55)</f>
        <v>142.55</v>
      </c>
      <c r="D5253" s="1">
        <f>IFERROR(__xludf.DUMMYFUNCTION("""COMPUTED_VALUE"""),141.07)</f>
        <v>141.07</v>
      </c>
      <c r="E5253" s="1">
        <f>IFERROR(__xludf.DUMMYFUNCTION("""COMPUTED_VALUE"""),142.15)</f>
        <v>142.15</v>
      </c>
      <c r="F5253" s="1">
        <f>IFERROR(__xludf.DUMMYFUNCTION("""COMPUTED_VALUE"""),5632667.0)</f>
        <v>5632667</v>
      </c>
    </row>
    <row r="5254">
      <c r="A5254" s="2">
        <f>IFERROR(__xludf.DUMMYFUNCTION("""COMPUTED_VALUE"""),44148.66666666667)</f>
        <v>44148.66667</v>
      </c>
      <c r="B5254" s="1">
        <f>IFERROR(__xludf.DUMMYFUNCTION("""COMPUTED_VALUE"""),142.21)</f>
        <v>142.21</v>
      </c>
      <c r="C5254" s="1">
        <f>IFERROR(__xludf.DUMMYFUNCTION("""COMPUTED_VALUE"""),144.48)</f>
        <v>144.48</v>
      </c>
      <c r="D5254" s="1">
        <f>IFERROR(__xludf.DUMMYFUNCTION("""COMPUTED_VALUE"""),141.88)</f>
        <v>141.88</v>
      </c>
      <c r="E5254" s="1">
        <f>IFERROR(__xludf.DUMMYFUNCTION("""COMPUTED_VALUE"""),144.28)</f>
        <v>144.28</v>
      </c>
      <c r="F5254" s="1">
        <f>IFERROR(__xludf.DUMMYFUNCTION("""COMPUTED_VALUE"""),6467021.0)</f>
        <v>6467021</v>
      </c>
    </row>
    <row r="5255">
      <c r="A5255" s="2">
        <f>IFERROR(__xludf.DUMMYFUNCTION("""COMPUTED_VALUE"""),44151.66666666667)</f>
        <v>44151.66667</v>
      </c>
      <c r="B5255" s="1">
        <f>IFERROR(__xludf.DUMMYFUNCTION("""COMPUTED_VALUE"""),144.78)</f>
        <v>144.78</v>
      </c>
      <c r="C5255" s="1">
        <f>IFERROR(__xludf.DUMMYFUNCTION("""COMPUTED_VALUE"""),144.78)</f>
        <v>144.78</v>
      </c>
      <c r="D5255" s="1">
        <f>IFERROR(__xludf.DUMMYFUNCTION("""COMPUTED_VALUE"""),141.26)</f>
        <v>141.26</v>
      </c>
      <c r="E5255" s="1">
        <f>IFERROR(__xludf.DUMMYFUNCTION("""COMPUTED_VALUE"""),142.43)</f>
        <v>142.43</v>
      </c>
      <c r="F5255" s="1">
        <f>IFERROR(__xludf.DUMMYFUNCTION("""COMPUTED_VALUE"""),7976828.0)</f>
        <v>7976828</v>
      </c>
    </row>
    <row r="5256">
      <c r="A5256" s="2">
        <f>IFERROR(__xludf.DUMMYFUNCTION("""COMPUTED_VALUE"""),44152.66666666667)</f>
        <v>44152.66667</v>
      </c>
      <c r="B5256" s="1">
        <f>IFERROR(__xludf.DUMMYFUNCTION("""COMPUTED_VALUE"""),141.89)</f>
        <v>141.89</v>
      </c>
      <c r="C5256" s="1">
        <f>IFERROR(__xludf.DUMMYFUNCTION("""COMPUTED_VALUE"""),143.47)</f>
        <v>143.47</v>
      </c>
      <c r="D5256" s="1">
        <f>IFERROR(__xludf.DUMMYFUNCTION("""COMPUTED_VALUE"""),141.75)</f>
        <v>141.75</v>
      </c>
      <c r="E5256" s="1">
        <f>IFERROR(__xludf.DUMMYFUNCTION("""COMPUTED_VALUE"""),141.88)</f>
        <v>141.88</v>
      </c>
      <c r="F5256" s="1">
        <f>IFERROR(__xludf.DUMMYFUNCTION("""COMPUTED_VALUE"""),6396807.0)</f>
        <v>6396807</v>
      </c>
    </row>
    <row r="5257">
      <c r="A5257" s="2">
        <f>IFERROR(__xludf.DUMMYFUNCTION("""COMPUTED_VALUE"""),44153.66666666667)</f>
        <v>44153.66667</v>
      </c>
      <c r="B5257" s="1">
        <f>IFERROR(__xludf.DUMMYFUNCTION("""COMPUTED_VALUE"""),141.99)</f>
        <v>141.99</v>
      </c>
      <c r="C5257" s="1">
        <f>IFERROR(__xludf.DUMMYFUNCTION("""COMPUTED_VALUE"""),142.1)</f>
        <v>142.1</v>
      </c>
      <c r="D5257" s="1">
        <f>IFERROR(__xludf.DUMMYFUNCTION("""COMPUTED_VALUE"""),139.66)</f>
        <v>139.66</v>
      </c>
      <c r="E5257" s="1">
        <f>IFERROR(__xludf.DUMMYFUNCTION("""COMPUTED_VALUE"""),139.7)</f>
        <v>139.7</v>
      </c>
      <c r="F5257" s="1">
        <f>IFERROR(__xludf.DUMMYFUNCTION("""COMPUTED_VALUE"""),6097357.0)</f>
        <v>6097357</v>
      </c>
    </row>
    <row r="5258">
      <c r="A5258" s="2">
        <f>IFERROR(__xludf.DUMMYFUNCTION("""COMPUTED_VALUE"""),44154.66666666667)</f>
        <v>44154.66667</v>
      </c>
      <c r="B5258" s="1">
        <f>IFERROR(__xludf.DUMMYFUNCTION("""COMPUTED_VALUE"""),139.87)</f>
        <v>139.87</v>
      </c>
      <c r="C5258" s="1">
        <f>IFERROR(__xludf.DUMMYFUNCTION("""COMPUTED_VALUE"""),140.12)</f>
        <v>140.12</v>
      </c>
      <c r="D5258" s="1">
        <f>IFERROR(__xludf.DUMMYFUNCTION("""COMPUTED_VALUE"""),138.45)</f>
        <v>138.45</v>
      </c>
      <c r="E5258" s="1">
        <f>IFERROR(__xludf.DUMMYFUNCTION("""COMPUTED_VALUE"""),139.53)</f>
        <v>139.53</v>
      </c>
      <c r="F5258" s="1">
        <f>IFERROR(__xludf.DUMMYFUNCTION("""COMPUTED_VALUE"""),5284085.0)</f>
        <v>5284085</v>
      </c>
    </row>
    <row r="5259">
      <c r="A5259" s="2">
        <f>IFERROR(__xludf.DUMMYFUNCTION("""COMPUTED_VALUE"""),44155.66666666667)</f>
        <v>44155.66667</v>
      </c>
      <c r="B5259" s="1">
        <f>IFERROR(__xludf.DUMMYFUNCTION("""COMPUTED_VALUE"""),139.53)</f>
        <v>139.53</v>
      </c>
      <c r="C5259" s="1">
        <f>IFERROR(__xludf.DUMMYFUNCTION("""COMPUTED_VALUE"""),140.35)</f>
        <v>140.35</v>
      </c>
      <c r="D5259" s="1">
        <f>IFERROR(__xludf.DUMMYFUNCTION("""COMPUTED_VALUE"""),138.63)</f>
        <v>138.63</v>
      </c>
      <c r="E5259" s="1">
        <f>IFERROR(__xludf.DUMMYFUNCTION("""COMPUTED_VALUE"""),139.3)</f>
        <v>139.3</v>
      </c>
      <c r="F5259" s="1">
        <f>IFERROR(__xludf.DUMMYFUNCTION("""COMPUTED_VALUE"""),4727377.0)</f>
        <v>4727377</v>
      </c>
    </row>
    <row r="5260">
      <c r="A5260" s="2">
        <f>IFERROR(__xludf.DUMMYFUNCTION("""COMPUTED_VALUE"""),44158.66666666667)</f>
        <v>44158.66667</v>
      </c>
      <c r="B5260" s="1">
        <f>IFERROR(__xludf.DUMMYFUNCTION("""COMPUTED_VALUE"""),139.32)</f>
        <v>139.32</v>
      </c>
      <c r="C5260" s="1">
        <f>IFERROR(__xludf.DUMMYFUNCTION("""COMPUTED_VALUE"""),139.95)</f>
        <v>139.95</v>
      </c>
      <c r="D5260" s="1">
        <f>IFERROR(__xludf.DUMMYFUNCTION("""COMPUTED_VALUE"""),137.86)</f>
        <v>137.86</v>
      </c>
      <c r="E5260" s="1">
        <f>IFERROR(__xludf.DUMMYFUNCTION("""COMPUTED_VALUE"""),138.76)</f>
        <v>138.76</v>
      </c>
      <c r="F5260" s="1">
        <f>IFERROR(__xludf.DUMMYFUNCTION("""COMPUTED_VALUE"""),4771187.0)</f>
        <v>4771187</v>
      </c>
    </row>
    <row r="5261">
      <c r="A5261" s="2">
        <f>IFERROR(__xludf.DUMMYFUNCTION("""COMPUTED_VALUE"""),44159.66666666667)</f>
        <v>44159.66667</v>
      </c>
      <c r="B5261" s="1">
        <f>IFERROR(__xludf.DUMMYFUNCTION("""COMPUTED_VALUE"""),138.83)</f>
        <v>138.83</v>
      </c>
      <c r="C5261" s="1">
        <f>IFERROR(__xludf.DUMMYFUNCTION("""COMPUTED_VALUE"""),139.84)</f>
        <v>139.84</v>
      </c>
      <c r="D5261" s="1">
        <f>IFERROR(__xludf.DUMMYFUNCTION("""COMPUTED_VALUE"""),138.07)</f>
        <v>138.07</v>
      </c>
      <c r="E5261" s="1">
        <f>IFERROR(__xludf.DUMMYFUNCTION("""COMPUTED_VALUE"""),138.31)</f>
        <v>138.31</v>
      </c>
      <c r="F5261" s="1">
        <f>IFERROR(__xludf.DUMMYFUNCTION("""COMPUTED_VALUE"""),7104103.0)</f>
        <v>7104103</v>
      </c>
    </row>
    <row r="5262">
      <c r="A5262" s="2">
        <f>IFERROR(__xludf.DUMMYFUNCTION("""COMPUTED_VALUE"""),44160.66666666667)</f>
        <v>44160.66667</v>
      </c>
      <c r="B5262" s="1">
        <f>IFERROR(__xludf.DUMMYFUNCTION("""COMPUTED_VALUE"""),138.16)</f>
        <v>138.16</v>
      </c>
      <c r="C5262" s="1">
        <f>IFERROR(__xludf.DUMMYFUNCTION("""COMPUTED_VALUE"""),139.39)</f>
        <v>139.39</v>
      </c>
      <c r="D5262" s="1">
        <f>IFERROR(__xludf.DUMMYFUNCTION("""COMPUTED_VALUE"""),138.04)</f>
        <v>138.04</v>
      </c>
      <c r="E5262" s="1">
        <f>IFERROR(__xludf.DUMMYFUNCTION("""COMPUTED_VALUE"""),138.68)</f>
        <v>138.68</v>
      </c>
      <c r="F5262" s="1">
        <f>IFERROR(__xludf.DUMMYFUNCTION("""COMPUTED_VALUE"""),8411414.0)</f>
        <v>8411414</v>
      </c>
    </row>
    <row r="5263">
      <c r="A5263" s="2">
        <f>IFERROR(__xludf.DUMMYFUNCTION("""COMPUTED_VALUE"""),44162.54166666667)</f>
        <v>44162.54167</v>
      </c>
      <c r="B5263" s="1">
        <f>IFERROR(__xludf.DUMMYFUNCTION("""COMPUTED_VALUE"""),138.59)</f>
        <v>138.59</v>
      </c>
      <c r="C5263" s="1">
        <f>IFERROR(__xludf.DUMMYFUNCTION("""COMPUTED_VALUE"""),138.89)</f>
        <v>138.89</v>
      </c>
      <c r="D5263" s="1">
        <f>IFERROR(__xludf.DUMMYFUNCTION("""COMPUTED_VALUE"""),137.53)</f>
        <v>137.53</v>
      </c>
      <c r="E5263" s="1">
        <f>IFERROR(__xludf.DUMMYFUNCTION("""COMPUTED_VALUE"""),138.61)</f>
        <v>138.61</v>
      </c>
      <c r="F5263" s="1">
        <f>IFERROR(__xludf.DUMMYFUNCTION("""COMPUTED_VALUE"""),4252166.0)</f>
        <v>4252166</v>
      </c>
    </row>
    <row r="5264">
      <c r="A5264" s="2">
        <f>IFERROR(__xludf.DUMMYFUNCTION("""COMPUTED_VALUE"""),44165.66666666667)</f>
        <v>44165.66667</v>
      </c>
      <c r="B5264" s="1">
        <f>IFERROR(__xludf.DUMMYFUNCTION("""COMPUTED_VALUE"""),138.0)</f>
        <v>138</v>
      </c>
      <c r="C5264" s="1">
        <f>IFERROR(__xludf.DUMMYFUNCTION("""COMPUTED_VALUE"""),139.2)</f>
        <v>139.2</v>
      </c>
      <c r="D5264" s="1">
        <f>IFERROR(__xludf.DUMMYFUNCTION("""COMPUTED_VALUE"""),136.74)</f>
        <v>136.74</v>
      </c>
      <c r="E5264" s="1">
        <f>IFERROR(__xludf.DUMMYFUNCTION("""COMPUTED_VALUE"""),138.87)</f>
        <v>138.87</v>
      </c>
      <c r="F5264" s="1">
        <f>IFERROR(__xludf.DUMMYFUNCTION("""COMPUTED_VALUE"""),1.1640396E7)</f>
        <v>11640396</v>
      </c>
    </row>
    <row r="5265">
      <c r="A5265" s="2">
        <f>IFERROR(__xludf.DUMMYFUNCTION("""COMPUTED_VALUE"""),44166.66666666667)</f>
        <v>44166.66667</v>
      </c>
      <c r="B5265" s="1">
        <f>IFERROR(__xludf.DUMMYFUNCTION("""COMPUTED_VALUE"""),139.16)</f>
        <v>139.16</v>
      </c>
      <c r="C5265" s="1">
        <f>IFERROR(__xludf.DUMMYFUNCTION("""COMPUTED_VALUE"""),139.54)</f>
        <v>139.54</v>
      </c>
      <c r="D5265" s="1">
        <f>IFERROR(__xludf.DUMMYFUNCTION("""COMPUTED_VALUE"""),138.16)</f>
        <v>138.16</v>
      </c>
      <c r="E5265" s="1">
        <f>IFERROR(__xludf.DUMMYFUNCTION("""COMPUTED_VALUE"""),139.37)</f>
        <v>139.37</v>
      </c>
      <c r="F5265" s="1">
        <f>IFERROR(__xludf.DUMMYFUNCTION("""COMPUTED_VALUE"""),7169854.0)</f>
        <v>7169854</v>
      </c>
    </row>
    <row r="5266">
      <c r="A5266" s="2">
        <f>IFERROR(__xludf.DUMMYFUNCTION("""COMPUTED_VALUE"""),44167.66666666667)</f>
        <v>44167.66667</v>
      </c>
      <c r="B5266" s="1">
        <f>IFERROR(__xludf.DUMMYFUNCTION("""COMPUTED_VALUE"""),139.37)</f>
        <v>139.37</v>
      </c>
      <c r="C5266" s="1">
        <f>IFERROR(__xludf.DUMMYFUNCTION("""COMPUTED_VALUE"""),139.94)</f>
        <v>139.94</v>
      </c>
      <c r="D5266" s="1">
        <f>IFERROR(__xludf.DUMMYFUNCTION("""COMPUTED_VALUE"""),137.49)</f>
        <v>137.49</v>
      </c>
      <c r="E5266" s="1">
        <f>IFERROR(__xludf.DUMMYFUNCTION("""COMPUTED_VALUE"""),138.36)</f>
        <v>138.36</v>
      </c>
      <c r="F5266" s="1">
        <f>IFERROR(__xludf.DUMMYFUNCTION("""COMPUTED_VALUE"""),6963009.0)</f>
        <v>6963009</v>
      </c>
    </row>
    <row r="5267">
      <c r="A5267" s="2">
        <f>IFERROR(__xludf.DUMMYFUNCTION("""COMPUTED_VALUE"""),44168.66666666667)</f>
        <v>44168.66667</v>
      </c>
      <c r="B5267" s="1">
        <f>IFERROR(__xludf.DUMMYFUNCTION("""COMPUTED_VALUE"""),138.09)</f>
        <v>138.09</v>
      </c>
      <c r="C5267" s="1">
        <f>IFERROR(__xludf.DUMMYFUNCTION("""COMPUTED_VALUE"""),138.35)</f>
        <v>138.35</v>
      </c>
      <c r="D5267" s="1">
        <f>IFERROR(__xludf.DUMMYFUNCTION("""COMPUTED_VALUE"""),135.54)</f>
        <v>135.54</v>
      </c>
      <c r="E5267" s="1">
        <f>IFERROR(__xludf.DUMMYFUNCTION("""COMPUTED_VALUE"""),137.34)</f>
        <v>137.34</v>
      </c>
      <c r="F5267" s="1">
        <f>IFERROR(__xludf.DUMMYFUNCTION("""COMPUTED_VALUE"""),8742470.0)</f>
        <v>8742470</v>
      </c>
    </row>
    <row r="5268">
      <c r="A5268" s="2">
        <f>IFERROR(__xludf.DUMMYFUNCTION("""COMPUTED_VALUE"""),44169.66666666667)</f>
        <v>44169.66667</v>
      </c>
      <c r="B5268" s="1">
        <f>IFERROR(__xludf.DUMMYFUNCTION("""COMPUTED_VALUE"""),137.21)</f>
        <v>137.21</v>
      </c>
      <c r="C5268" s="1">
        <f>IFERROR(__xludf.DUMMYFUNCTION("""COMPUTED_VALUE"""),137.86)</f>
        <v>137.86</v>
      </c>
      <c r="D5268" s="1">
        <f>IFERROR(__xludf.DUMMYFUNCTION("""COMPUTED_VALUE"""),135.87)</f>
        <v>135.87</v>
      </c>
      <c r="E5268" s="1">
        <f>IFERROR(__xludf.DUMMYFUNCTION("""COMPUTED_VALUE"""),137.47)</f>
        <v>137.47</v>
      </c>
      <c r="F5268" s="1">
        <f>IFERROR(__xludf.DUMMYFUNCTION("""COMPUTED_VALUE"""),6617372.0)</f>
        <v>6617372</v>
      </c>
    </row>
    <row r="5269">
      <c r="A5269" s="2">
        <f>IFERROR(__xludf.DUMMYFUNCTION("""COMPUTED_VALUE"""),44172.66666666667)</f>
        <v>44172.66667</v>
      </c>
      <c r="B5269" s="1">
        <f>IFERROR(__xludf.DUMMYFUNCTION("""COMPUTED_VALUE"""),136.61)</f>
        <v>136.61</v>
      </c>
      <c r="C5269" s="1">
        <f>IFERROR(__xludf.DUMMYFUNCTION("""COMPUTED_VALUE"""),137.74)</f>
        <v>137.74</v>
      </c>
      <c r="D5269" s="1">
        <f>IFERROR(__xludf.DUMMYFUNCTION("""COMPUTED_VALUE"""),136.56)</f>
        <v>136.56</v>
      </c>
      <c r="E5269" s="1">
        <f>IFERROR(__xludf.DUMMYFUNCTION("""COMPUTED_VALUE"""),137.68)</f>
        <v>137.68</v>
      </c>
      <c r="F5269" s="1">
        <f>IFERROR(__xludf.DUMMYFUNCTION("""COMPUTED_VALUE"""),6918027.0)</f>
        <v>6918027</v>
      </c>
    </row>
    <row r="5270">
      <c r="A5270" s="2">
        <f>IFERROR(__xludf.DUMMYFUNCTION("""COMPUTED_VALUE"""),44173.66666666667)</f>
        <v>44173.66667</v>
      </c>
      <c r="B5270" s="1">
        <f>IFERROR(__xludf.DUMMYFUNCTION("""COMPUTED_VALUE"""),137.02)</f>
        <v>137.02</v>
      </c>
      <c r="C5270" s="1">
        <f>IFERROR(__xludf.DUMMYFUNCTION("""COMPUTED_VALUE"""),138.78)</f>
        <v>138.78</v>
      </c>
      <c r="D5270" s="1">
        <f>IFERROR(__xludf.DUMMYFUNCTION("""COMPUTED_VALUE"""),136.43)</f>
        <v>136.43</v>
      </c>
      <c r="E5270" s="1">
        <f>IFERROR(__xludf.DUMMYFUNCTION("""COMPUTED_VALUE"""),138.05)</f>
        <v>138.05</v>
      </c>
      <c r="F5270" s="1">
        <f>IFERROR(__xludf.DUMMYFUNCTION("""COMPUTED_VALUE"""),6493708.0)</f>
        <v>6493708</v>
      </c>
    </row>
    <row r="5271">
      <c r="A5271" s="2">
        <f>IFERROR(__xludf.DUMMYFUNCTION("""COMPUTED_VALUE"""),44174.66666666667)</f>
        <v>44174.66667</v>
      </c>
      <c r="B5271" s="1">
        <f>IFERROR(__xludf.DUMMYFUNCTION("""COMPUTED_VALUE"""),137.83)</f>
        <v>137.83</v>
      </c>
      <c r="C5271" s="1">
        <f>IFERROR(__xludf.DUMMYFUNCTION("""COMPUTED_VALUE"""),138.04)</f>
        <v>138.04</v>
      </c>
      <c r="D5271" s="1">
        <f>IFERROR(__xludf.DUMMYFUNCTION("""COMPUTED_VALUE"""),136.25)</f>
        <v>136.25</v>
      </c>
      <c r="E5271" s="1">
        <f>IFERROR(__xludf.DUMMYFUNCTION("""COMPUTED_VALUE"""),136.41)</f>
        <v>136.41</v>
      </c>
      <c r="F5271" s="1">
        <f>IFERROR(__xludf.DUMMYFUNCTION("""COMPUTED_VALUE"""),6773608.0)</f>
        <v>6773608</v>
      </c>
    </row>
    <row r="5272">
      <c r="A5272" s="2">
        <f>IFERROR(__xludf.DUMMYFUNCTION("""COMPUTED_VALUE"""),44175.66666666667)</f>
        <v>44175.66667</v>
      </c>
      <c r="B5272" s="1">
        <f>IFERROR(__xludf.DUMMYFUNCTION("""COMPUTED_VALUE"""),136.52)</f>
        <v>136.52</v>
      </c>
      <c r="C5272" s="1">
        <f>IFERROR(__xludf.DUMMYFUNCTION("""COMPUTED_VALUE"""),136.92)</f>
        <v>136.92</v>
      </c>
      <c r="D5272" s="1">
        <f>IFERROR(__xludf.DUMMYFUNCTION("""COMPUTED_VALUE"""),135.04)</f>
        <v>135.04</v>
      </c>
      <c r="E5272" s="1">
        <f>IFERROR(__xludf.DUMMYFUNCTION("""COMPUTED_VALUE"""),135.51)</f>
        <v>135.51</v>
      </c>
      <c r="F5272" s="1">
        <f>IFERROR(__xludf.DUMMYFUNCTION("""COMPUTED_VALUE"""),6800847.0)</f>
        <v>6800847</v>
      </c>
    </row>
    <row r="5273">
      <c r="A5273" s="2">
        <f>IFERROR(__xludf.DUMMYFUNCTION("""COMPUTED_VALUE"""),44176.66666666667)</f>
        <v>44176.66667</v>
      </c>
      <c r="B5273" s="1">
        <f>IFERROR(__xludf.DUMMYFUNCTION("""COMPUTED_VALUE"""),134.46)</f>
        <v>134.46</v>
      </c>
      <c r="C5273" s="1">
        <f>IFERROR(__xludf.DUMMYFUNCTION("""COMPUTED_VALUE"""),136.8)</f>
        <v>136.8</v>
      </c>
      <c r="D5273" s="1">
        <f>IFERROR(__xludf.DUMMYFUNCTION("""COMPUTED_VALUE"""),134.2)</f>
        <v>134.2</v>
      </c>
      <c r="E5273" s="1">
        <f>IFERROR(__xludf.DUMMYFUNCTION("""COMPUTED_VALUE"""),136.51)</f>
        <v>136.51</v>
      </c>
      <c r="F5273" s="1">
        <f>IFERROR(__xludf.DUMMYFUNCTION("""COMPUTED_VALUE"""),6548068.0)</f>
        <v>6548068</v>
      </c>
    </row>
    <row r="5274">
      <c r="A5274" s="2">
        <f>IFERROR(__xludf.DUMMYFUNCTION("""COMPUTED_VALUE"""),44179.66666666667)</f>
        <v>44179.66667</v>
      </c>
      <c r="B5274" s="1">
        <f>IFERROR(__xludf.DUMMYFUNCTION("""COMPUTED_VALUE"""),137.02)</f>
        <v>137.02</v>
      </c>
      <c r="C5274" s="1">
        <f>IFERROR(__xludf.DUMMYFUNCTION("""COMPUTED_VALUE"""),137.93)</f>
        <v>137.93</v>
      </c>
      <c r="D5274" s="1">
        <f>IFERROR(__xludf.DUMMYFUNCTION("""COMPUTED_VALUE"""),135.77)</f>
        <v>135.77</v>
      </c>
      <c r="E5274" s="1">
        <f>IFERROR(__xludf.DUMMYFUNCTION("""COMPUTED_VALUE"""),135.85)</f>
        <v>135.85</v>
      </c>
      <c r="F5274" s="1">
        <f>IFERROR(__xludf.DUMMYFUNCTION("""COMPUTED_VALUE"""),6485252.0)</f>
        <v>6485252</v>
      </c>
    </row>
    <row r="5275">
      <c r="A5275" s="2">
        <f>IFERROR(__xludf.DUMMYFUNCTION("""COMPUTED_VALUE"""),44180.66666666667)</f>
        <v>44180.66667</v>
      </c>
      <c r="B5275" s="1">
        <f>IFERROR(__xludf.DUMMYFUNCTION("""COMPUTED_VALUE"""),136.39)</f>
        <v>136.39</v>
      </c>
      <c r="C5275" s="1">
        <f>IFERROR(__xludf.DUMMYFUNCTION("""COMPUTED_VALUE"""),137.54)</f>
        <v>137.54</v>
      </c>
      <c r="D5275" s="1">
        <f>IFERROR(__xludf.DUMMYFUNCTION("""COMPUTED_VALUE"""),136.24)</f>
        <v>136.24</v>
      </c>
      <c r="E5275" s="1">
        <f>IFERROR(__xludf.DUMMYFUNCTION("""COMPUTED_VALUE"""),136.65)</f>
        <v>136.65</v>
      </c>
      <c r="F5275" s="1">
        <f>IFERROR(__xludf.DUMMYFUNCTION("""COMPUTED_VALUE"""),5398197.0)</f>
        <v>5398197</v>
      </c>
    </row>
    <row r="5276">
      <c r="A5276" s="2">
        <f>IFERROR(__xludf.DUMMYFUNCTION("""COMPUTED_VALUE"""),44181.66666666667)</f>
        <v>44181.66667</v>
      </c>
      <c r="B5276" s="1">
        <f>IFERROR(__xludf.DUMMYFUNCTION("""COMPUTED_VALUE"""),136.71)</f>
        <v>136.71</v>
      </c>
      <c r="C5276" s="1">
        <f>IFERROR(__xludf.DUMMYFUNCTION("""COMPUTED_VALUE"""),138.27)</f>
        <v>138.27</v>
      </c>
      <c r="D5276" s="1">
        <f>IFERROR(__xludf.DUMMYFUNCTION("""COMPUTED_VALUE"""),136.71)</f>
        <v>136.71</v>
      </c>
      <c r="E5276" s="1">
        <f>IFERROR(__xludf.DUMMYFUNCTION("""COMPUTED_VALUE"""),137.27)</f>
        <v>137.27</v>
      </c>
      <c r="F5276" s="1">
        <f>IFERROR(__xludf.DUMMYFUNCTION("""COMPUTED_VALUE"""),5382469.0)</f>
        <v>5382469</v>
      </c>
    </row>
    <row r="5277">
      <c r="A5277" s="2">
        <f>IFERROR(__xludf.DUMMYFUNCTION("""COMPUTED_VALUE"""),44182.66666666667)</f>
        <v>44182.66667</v>
      </c>
      <c r="B5277" s="1">
        <f>IFERROR(__xludf.DUMMYFUNCTION("""COMPUTED_VALUE"""),138.01)</f>
        <v>138.01</v>
      </c>
      <c r="C5277" s="1">
        <f>IFERROR(__xludf.DUMMYFUNCTION("""COMPUTED_VALUE"""),139.12)</f>
        <v>139.12</v>
      </c>
      <c r="D5277" s="1">
        <f>IFERROR(__xludf.DUMMYFUNCTION("""COMPUTED_VALUE"""),137.95)</f>
        <v>137.95</v>
      </c>
      <c r="E5277" s="1">
        <f>IFERROR(__xludf.DUMMYFUNCTION("""COMPUTED_VALUE"""),138.25)</f>
        <v>138.25</v>
      </c>
      <c r="F5277" s="1">
        <f>IFERROR(__xludf.DUMMYFUNCTION("""COMPUTED_VALUE"""),7405252.0)</f>
        <v>7405252</v>
      </c>
    </row>
    <row r="5278">
      <c r="A5278" s="2">
        <f>IFERROR(__xludf.DUMMYFUNCTION("""COMPUTED_VALUE"""),44183.66666666667)</f>
        <v>44183.66667</v>
      </c>
      <c r="B5278" s="1">
        <f>IFERROR(__xludf.DUMMYFUNCTION("""COMPUTED_VALUE"""),138.26)</f>
        <v>138.26</v>
      </c>
      <c r="C5278" s="1">
        <f>IFERROR(__xludf.DUMMYFUNCTION("""COMPUTED_VALUE"""),140.07)</f>
        <v>140.07</v>
      </c>
      <c r="D5278" s="1">
        <f>IFERROR(__xludf.DUMMYFUNCTION("""COMPUTED_VALUE"""),137.45)</f>
        <v>137.45</v>
      </c>
      <c r="E5278" s="1">
        <f>IFERROR(__xludf.DUMMYFUNCTION("""COMPUTED_VALUE"""),139.04)</f>
        <v>139.04</v>
      </c>
      <c r="F5278" s="1">
        <f>IFERROR(__xludf.DUMMYFUNCTION("""COMPUTED_VALUE"""),1.9988803E7)</f>
        <v>19988803</v>
      </c>
    </row>
    <row r="5279">
      <c r="A5279" s="2">
        <f>IFERROR(__xludf.DUMMYFUNCTION("""COMPUTED_VALUE"""),44186.66666666667)</f>
        <v>44186.66667</v>
      </c>
      <c r="B5279" s="1">
        <f>IFERROR(__xludf.DUMMYFUNCTION("""COMPUTED_VALUE"""),137.96)</f>
        <v>137.96</v>
      </c>
      <c r="C5279" s="1">
        <f>IFERROR(__xludf.DUMMYFUNCTION("""COMPUTED_VALUE"""),138.43)</f>
        <v>138.43</v>
      </c>
      <c r="D5279" s="1">
        <f>IFERROR(__xludf.DUMMYFUNCTION("""COMPUTED_VALUE"""),136.22)</f>
        <v>136.22</v>
      </c>
      <c r="E5279" s="1">
        <f>IFERROR(__xludf.DUMMYFUNCTION("""COMPUTED_VALUE"""),137.52)</f>
        <v>137.52</v>
      </c>
      <c r="F5279" s="1">
        <f>IFERROR(__xludf.DUMMYFUNCTION("""COMPUTED_VALUE"""),6732371.0)</f>
        <v>6732371</v>
      </c>
    </row>
    <row r="5280">
      <c r="A5280" s="2">
        <f>IFERROR(__xludf.DUMMYFUNCTION("""COMPUTED_VALUE"""),44187.66666666667)</f>
        <v>44187.66667</v>
      </c>
      <c r="B5280" s="1">
        <f>IFERROR(__xludf.DUMMYFUNCTION("""COMPUTED_VALUE"""),137.29)</f>
        <v>137.29</v>
      </c>
      <c r="C5280" s="1">
        <f>IFERROR(__xludf.DUMMYFUNCTION("""COMPUTED_VALUE"""),138.07)</f>
        <v>138.07</v>
      </c>
      <c r="D5280" s="1">
        <f>IFERROR(__xludf.DUMMYFUNCTION("""COMPUTED_VALUE"""),136.38)</f>
        <v>136.38</v>
      </c>
      <c r="E5280" s="1">
        <f>IFERROR(__xludf.DUMMYFUNCTION("""COMPUTED_VALUE"""),136.55)</f>
        <v>136.55</v>
      </c>
      <c r="F5280" s="1">
        <f>IFERROR(__xludf.DUMMYFUNCTION("""COMPUTED_VALUE"""),5023425.0)</f>
        <v>5023425</v>
      </c>
    </row>
    <row r="5281">
      <c r="A5281" s="2">
        <f>IFERROR(__xludf.DUMMYFUNCTION("""COMPUTED_VALUE"""),44188.66666666667)</f>
        <v>44188.66667</v>
      </c>
      <c r="B5281" s="1">
        <f>IFERROR(__xludf.DUMMYFUNCTION("""COMPUTED_VALUE"""),137.39)</f>
        <v>137.39</v>
      </c>
      <c r="C5281" s="1">
        <f>IFERROR(__xludf.DUMMYFUNCTION("""COMPUTED_VALUE"""),137.55)</f>
        <v>137.55</v>
      </c>
      <c r="D5281" s="1">
        <f>IFERROR(__xludf.DUMMYFUNCTION("""COMPUTED_VALUE"""),136.13)</f>
        <v>136.13</v>
      </c>
      <c r="E5281" s="1">
        <f>IFERROR(__xludf.DUMMYFUNCTION("""COMPUTED_VALUE"""),136.34)</f>
        <v>136.34</v>
      </c>
      <c r="F5281" s="1">
        <f>IFERROR(__xludf.DUMMYFUNCTION("""COMPUTED_VALUE"""),6004252.0)</f>
        <v>6004252</v>
      </c>
    </row>
    <row r="5282">
      <c r="A5282" s="2">
        <f>IFERROR(__xludf.DUMMYFUNCTION("""COMPUTED_VALUE"""),44189.54166666667)</f>
        <v>44189.54167</v>
      </c>
      <c r="B5282" s="1">
        <f>IFERROR(__xludf.DUMMYFUNCTION("""COMPUTED_VALUE"""),136.2)</f>
        <v>136.2</v>
      </c>
      <c r="C5282" s="1">
        <f>IFERROR(__xludf.DUMMYFUNCTION("""COMPUTED_VALUE"""),138.13)</f>
        <v>138.13</v>
      </c>
      <c r="D5282" s="1">
        <f>IFERROR(__xludf.DUMMYFUNCTION("""COMPUTED_VALUE"""),136.2)</f>
        <v>136.2</v>
      </c>
      <c r="E5282" s="1">
        <f>IFERROR(__xludf.DUMMYFUNCTION("""COMPUTED_VALUE"""),137.72)</f>
        <v>137.72</v>
      </c>
      <c r="F5282" s="1">
        <f>IFERROR(__xludf.DUMMYFUNCTION("""COMPUTED_VALUE"""),2588169.0)</f>
        <v>2588169</v>
      </c>
    </row>
    <row r="5283">
      <c r="A5283" s="2">
        <f>IFERROR(__xludf.DUMMYFUNCTION("""COMPUTED_VALUE"""),44193.66666666667)</f>
        <v>44193.66667</v>
      </c>
      <c r="B5283" s="1">
        <f>IFERROR(__xludf.DUMMYFUNCTION("""COMPUTED_VALUE"""),138.15)</f>
        <v>138.15</v>
      </c>
      <c r="C5283" s="1">
        <f>IFERROR(__xludf.DUMMYFUNCTION("""COMPUTED_VALUE"""),139.39)</f>
        <v>139.39</v>
      </c>
      <c r="D5283" s="1">
        <f>IFERROR(__xludf.DUMMYFUNCTION("""COMPUTED_VALUE"""),137.95)</f>
        <v>137.95</v>
      </c>
      <c r="E5283" s="1">
        <f>IFERROR(__xludf.DUMMYFUNCTION("""COMPUTED_VALUE"""),138.68)</f>
        <v>138.68</v>
      </c>
      <c r="F5283" s="1">
        <f>IFERROR(__xludf.DUMMYFUNCTION("""COMPUTED_VALUE"""),3714683.0)</f>
        <v>3714683</v>
      </c>
    </row>
    <row r="5284">
      <c r="A5284" s="2">
        <f>IFERROR(__xludf.DUMMYFUNCTION("""COMPUTED_VALUE"""),44194.66666666667)</f>
        <v>44194.66667</v>
      </c>
      <c r="B5284" s="1">
        <f>IFERROR(__xludf.DUMMYFUNCTION("""COMPUTED_VALUE"""),139.22)</f>
        <v>139.22</v>
      </c>
      <c r="C5284" s="1">
        <f>IFERROR(__xludf.DUMMYFUNCTION("""COMPUTED_VALUE"""),139.94)</f>
        <v>139.94</v>
      </c>
      <c r="D5284" s="1">
        <f>IFERROR(__xludf.DUMMYFUNCTION("""COMPUTED_VALUE"""),138.2)</f>
        <v>138.2</v>
      </c>
      <c r="E5284" s="1">
        <f>IFERROR(__xludf.DUMMYFUNCTION("""COMPUTED_VALUE"""),138.42)</f>
        <v>138.42</v>
      </c>
      <c r="F5284" s="1">
        <f>IFERROR(__xludf.DUMMYFUNCTION("""COMPUTED_VALUE"""),5139415.0)</f>
        <v>5139415</v>
      </c>
    </row>
    <row r="5285">
      <c r="A5285" s="2">
        <f>IFERROR(__xludf.DUMMYFUNCTION("""COMPUTED_VALUE"""),44195.66666666667)</f>
        <v>44195.66667</v>
      </c>
      <c r="B5285" s="1">
        <f>IFERROR(__xludf.DUMMYFUNCTION("""COMPUTED_VALUE"""),138.6)</f>
        <v>138.6</v>
      </c>
      <c r="C5285" s="1">
        <f>IFERROR(__xludf.DUMMYFUNCTION("""COMPUTED_VALUE"""),138.92)</f>
        <v>138.92</v>
      </c>
      <c r="D5285" s="1">
        <f>IFERROR(__xludf.DUMMYFUNCTION("""COMPUTED_VALUE"""),137.55)</f>
        <v>137.55</v>
      </c>
      <c r="E5285" s="1">
        <f>IFERROR(__xludf.DUMMYFUNCTION("""COMPUTED_VALUE"""),137.77)</f>
        <v>137.77</v>
      </c>
      <c r="F5285" s="1">
        <f>IFERROR(__xludf.DUMMYFUNCTION("""COMPUTED_VALUE"""),3261417.0)</f>
        <v>3261417</v>
      </c>
    </row>
    <row r="5286">
      <c r="A5286" s="2">
        <f>IFERROR(__xludf.DUMMYFUNCTION("""COMPUTED_VALUE"""),44196.66666666667)</f>
        <v>44196.66667</v>
      </c>
      <c r="B5286" s="1">
        <f>IFERROR(__xludf.DUMMYFUNCTION("""COMPUTED_VALUE"""),138.31)</f>
        <v>138.31</v>
      </c>
      <c r="C5286" s="1">
        <f>IFERROR(__xludf.DUMMYFUNCTION("""COMPUTED_VALUE"""),139.29)</f>
        <v>139.29</v>
      </c>
      <c r="D5286" s="1">
        <f>IFERROR(__xludf.DUMMYFUNCTION("""COMPUTED_VALUE"""),137.39)</f>
        <v>137.39</v>
      </c>
      <c r="E5286" s="1">
        <f>IFERROR(__xludf.DUMMYFUNCTION("""COMPUTED_VALUE"""),139.14)</f>
        <v>139.14</v>
      </c>
      <c r="F5286" s="1">
        <f>IFERROR(__xludf.DUMMYFUNCTION("""COMPUTED_VALUE"""),4076415.0)</f>
        <v>4076415</v>
      </c>
    </row>
    <row r="5287">
      <c r="A5287" s="2">
        <f>IFERROR(__xludf.DUMMYFUNCTION("""COMPUTED_VALUE"""),44200.66666666667)</f>
        <v>44200.66667</v>
      </c>
      <c r="B5287" s="1">
        <f>IFERROR(__xludf.DUMMYFUNCTION("""COMPUTED_VALUE"""),139.66)</f>
        <v>139.66</v>
      </c>
      <c r="C5287" s="1">
        <f>IFERROR(__xludf.DUMMYFUNCTION("""COMPUTED_VALUE"""),139.86)</f>
        <v>139.86</v>
      </c>
      <c r="D5287" s="1">
        <f>IFERROR(__xludf.DUMMYFUNCTION("""COMPUTED_VALUE"""),136.35)</f>
        <v>136.35</v>
      </c>
      <c r="E5287" s="1">
        <f>IFERROR(__xludf.DUMMYFUNCTION("""COMPUTED_VALUE"""),137.82)</f>
        <v>137.82</v>
      </c>
      <c r="F5287" s="1">
        <f>IFERROR(__xludf.DUMMYFUNCTION("""COMPUTED_VALUE"""),8330985.0)</f>
        <v>8330985</v>
      </c>
    </row>
    <row r="5288">
      <c r="A5288" s="2">
        <f>IFERROR(__xludf.DUMMYFUNCTION("""COMPUTED_VALUE"""),44201.66666666667)</f>
        <v>44201.66667</v>
      </c>
      <c r="B5288" s="1">
        <f>IFERROR(__xludf.DUMMYFUNCTION("""COMPUTED_VALUE"""),137.99)</f>
        <v>137.99</v>
      </c>
      <c r="C5288" s="1">
        <f>IFERROR(__xludf.DUMMYFUNCTION("""COMPUTED_VALUE"""),138.92)</f>
        <v>138.92</v>
      </c>
      <c r="D5288" s="1">
        <f>IFERROR(__xludf.DUMMYFUNCTION("""COMPUTED_VALUE"""),136.27)</f>
        <v>136.27</v>
      </c>
      <c r="E5288" s="1">
        <f>IFERROR(__xludf.DUMMYFUNCTION("""COMPUTED_VALUE"""),138.7)</f>
        <v>138.7</v>
      </c>
      <c r="F5288" s="1">
        <f>IFERROR(__xludf.DUMMYFUNCTION("""COMPUTED_VALUE"""),6856411.0)</f>
        <v>6856411</v>
      </c>
    </row>
    <row r="5289">
      <c r="A5289" s="2">
        <f>IFERROR(__xludf.DUMMYFUNCTION("""COMPUTED_VALUE"""),44202.66666666667)</f>
        <v>44202.66667</v>
      </c>
      <c r="B5289" s="1">
        <f>IFERROR(__xludf.DUMMYFUNCTION("""COMPUTED_VALUE"""),138.77)</f>
        <v>138.77</v>
      </c>
      <c r="C5289" s="1">
        <f>IFERROR(__xludf.DUMMYFUNCTION("""COMPUTED_VALUE"""),141.04)</f>
        <v>141.04</v>
      </c>
      <c r="D5289" s="1">
        <f>IFERROR(__xludf.DUMMYFUNCTION("""COMPUTED_VALUE"""),138.6)</f>
        <v>138.6</v>
      </c>
      <c r="E5289" s="1">
        <f>IFERROR(__xludf.DUMMYFUNCTION("""COMPUTED_VALUE"""),140.16)</f>
        <v>140.16</v>
      </c>
      <c r="F5289" s="1">
        <f>IFERROR(__xludf.DUMMYFUNCTION("""COMPUTED_VALUE"""),1.0577952E7)</f>
        <v>10577952</v>
      </c>
    </row>
    <row r="5290">
      <c r="A5290" s="2">
        <f>IFERROR(__xludf.DUMMYFUNCTION("""COMPUTED_VALUE"""),44203.66666666667)</f>
        <v>44203.66667</v>
      </c>
      <c r="B5290" s="1">
        <f>IFERROR(__xludf.DUMMYFUNCTION("""COMPUTED_VALUE"""),139.75)</f>
        <v>139.75</v>
      </c>
      <c r="C5290" s="1">
        <f>IFERROR(__xludf.DUMMYFUNCTION("""COMPUTED_VALUE"""),140.13)</f>
        <v>140.13</v>
      </c>
      <c r="D5290" s="1">
        <f>IFERROR(__xludf.DUMMYFUNCTION("""COMPUTED_VALUE"""),138.04)</f>
        <v>138.04</v>
      </c>
      <c r="E5290" s="1">
        <f>IFERROR(__xludf.DUMMYFUNCTION("""COMPUTED_VALUE"""),138.85)</f>
        <v>138.85</v>
      </c>
      <c r="F5290" s="1">
        <f>IFERROR(__xludf.DUMMYFUNCTION("""COMPUTED_VALUE"""),7355623.0)</f>
        <v>7355623</v>
      </c>
    </row>
    <row r="5291">
      <c r="A5291" s="2">
        <f>IFERROR(__xludf.DUMMYFUNCTION("""COMPUTED_VALUE"""),44204.66666666667)</f>
        <v>44204.66667</v>
      </c>
      <c r="B5291" s="1">
        <f>IFERROR(__xludf.DUMMYFUNCTION("""COMPUTED_VALUE"""),138.47)</f>
        <v>138.47</v>
      </c>
      <c r="C5291" s="1">
        <f>IFERROR(__xludf.DUMMYFUNCTION("""COMPUTED_VALUE"""),139.06)</f>
        <v>139.06</v>
      </c>
      <c r="D5291" s="1">
        <f>IFERROR(__xludf.DUMMYFUNCTION("""COMPUTED_VALUE"""),137.0)</f>
        <v>137</v>
      </c>
      <c r="E5291" s="1">
        <f>IFERROR(__xludf.DUMMYFUNCTION("""COMPUTED_VALUE"""),138.79)</f>
        <v>138.79</v>
      </c>
      <c r="F5291" s="1">
        <f>IFERROR(__xludf.DUMMYFUNCTION("""COMPUTED_VALUE"""),7448475.0)</f>
        <v>7448475</v>
      </c>
    </row>
    <row r="5292">
      <c r="A5292" s="2">
        <f>IFERROR(__xludf.DUMMYFUNCTION("""COMPUTED_VALUE"""),44207.66666666667)</f>
        <v>44207.66667</v>
      </c>
      <c r="B5292" s="1">
        <f>IFERROR(__xludf.DUMMYFUNCTION("""COMPUTED_VALUE"""),138.75)</f>
        <v>138.75</v>
      </c>
      <c r="C5292" s="1">
        <f>IFERROR(__xludf.DUMMYFUNCTION("""COMPUTED_VALUE"""),139.44)</f>
        <v>139.44</v>
      </c>
      <c r="D5292" s="1">
        <f>IFERROR(__xludf.DUMMYFUNCTION("""COMPUTED_VALUE"""),137.6)</f>
        <v>137.6</v>
      </c>
      <c r="E5292" s="1">
        <f>IFERROR(__xludf.DUMMYFUNCTION("""COMPUTED_VALUE"""),137.85)</f>
        <v>137.85</v>
      </c>
      <c r="F5292" s="1">
        <f>IFERROR(__xludf.DUMMYFUNCTION("""COMPUTED_VALUE"""),7240037.0)</f>
        <v>7240037</v>
      </c>
    </row>
    <row r="5293">
      <c r="A5293" s="2">
        <f>IFERROR(__xludf.DUMMYFUNCTION("""COMPUTED_VALUE"""),44208.66666666667)</f>
        <v>44208.66667</v>
      </c>
      <c r="B5293" s="1">
        <f>IFERROR(__xludf.DUMMYFUNCTION("""COMPUTED_VALUE"""),137.85)</f>
        <v>137.85</v>
      </c>
      <c r="C5293" s="1">
        <f>IFERROR(__xludf.DUMMYFUNCTION("""COMPUTED_VALUE"""),138.25)</f>
        <v>138.25</v>
      </c>
      <c r="D5293" s="1">
        <f>IFERROR(__xludf.DUMMYFUNCTION("""COMPUTED_VALUE"""),136.24)</f>
        <v>136.24</v>
      </c>
      <c r="E5293" s="1">
        <f>IFERROR(__xludf.DUMMYFUNCTION("""COMPUTED_VALUE"""),137.05)</f>
        <v>137.05</v>
      </c>
      <c r="F5293" s="1">
        <f>IFERROR(__xludf.DUMMYFUNCTION("""COMPUTED_VALUE"""),6333531.0)</f>
        <v>6333531</v>
      </c>
    </row>
    <row r="5294">
      <c r="A5294" s="2">
        <f>IFERROR(__xludf.DUMMYFUNCTION("""COMPUTED_VALUE"""),44209.66666666667)</f>
        <v>44209.66667</v>
      </c>
      <c r="B5294" s="1">
        <f>IFERROR(__xludf.DUMMYFUNCTION("""COMPUTED_VALUE"""),137.1)</f>
        <v>137.1</v>
      </c>
      <c r="C5294" s="1">
        <f>IFERROR(__xludf.DUMMYFUNCTION("""COMPUTED_VALUE"""),138.07)</f>
        <v>138.07</v>
      </c>
      <c r="D5294" s="1">
        <f>IFERROR(__xludf.DUMMYFUNCTION("""COMPUTED_VALUE"""),137.1)</f>
        <v>137.1</v>
      </c>
      <c r="E5294" s="1">
        <f>IFERROR(__xludf.DUMMYFUNCTION("""COMPUTED_VALUE"""),137.26)</f>
        <v>137.26</v>
      </c>
      <c r="F5294" s="1">
        <f>IFERROR(__xludf.DUMMYFUNCTION("""COMPUTED_VALUE"""),6078874.0)</f>
        <v>6078874</v>
      </c>
    </row>
    <row r="5295">
      <c r="A5295" s="2">
        <f>IFERROR(__xludf.DUMMYFUNCTION("""COMPUTED_VALUE"""),44210.66666666667)</f>
        <v>44210.66667</v>
      </c>
      <c r="B5295" s="1">
        <f>IFERROR(__xludf.DUMMYFUNCTION("""COMPUTED_VALUE"""),137.43)</f>
        <v>137.43</v>
      </c>
      <c r="C5295" s="1">
        <f>IFERROR(__xludf.DUMMYFUNCTION("""COMPUTED_VALUE"""),137.65)</f>
        <v>137.65</v>
      </c>
      <c r="D5295" s="1">
        <f>IFERROR(__xludf.DUMMYFUNCTION("""COMPUTED_VALUE"""),135.28)</f>
        <v>135.28</v>
      </c>
      <c r="E5295" s="1">
        <f>IFERROR(__xludf.DUMMYFUNCTION("""COMPUTED_VALUE"""),135.8)</f>
        <v>135.8</v>
      </c>
      <c r="F5295" s="1">
        <f>IFERROR(__xludf.DUMMYFUNCTION("""COMPUTED_VALUE"""),6172796.0)</f>
        <v>6172796</v>
      </c>
    </row>
    <row r="5296">
      <c r="A5296" s="2">
        <f>IFERROR(__xludf.DUMMYFUNCTION("""COMPUTED_VALUE"""),44211.66666666667)</f>
        <v>44211.66667</v>
      </c>
      <c r="B5296" s="1">
        <f>IFERROR(__xludf.DUMMYFUNCTION("""COMPUTED_VALUE"""),135.25)</f>
        <v>135.25</v>
      </c>
      <c r="C5296" s="1">
        <f>IFERROR(__xludf.DUMMYFUNCTION("""COMPUTED_VALUE"""),136.2)</f>
        <v>136.2</v>
      </c>
      <c r="D5296" s="1">
        <f>IFERROR(__xludf.DUMMYFUNCTION("""COMPUTED_VALUE"""),134.66)</f>
        <v>134.66</v>
      </c>
      <c r="E5296" s="1">
        <f>IFERROR(__xludf.DUMMYFUNCTION("""COMPUTED_VALUE"""),134.78)</f>
        <v>134.78</v>
      </c>
      <c r="F5296" s="1">
        <f>IFERROR(__xludf.DUMMYFUNCTION("""COMPUTED_VALUE"""),7757624.0)</f>
        <v>7757624</v>
      </c>
    </row>
    <row r="5297">
      <c r="A5297" s="2">
        <f>IFERROR(__xludf.DUMMYFUNCTION("""COMPUTED_VALUE"""),44215.66666666667)</f>
        <v>44215.66667</v>
      </c>
      <c r="B5297" s="1">
        <f>IFERROR(__xludf.DUMMYFUNCTION("""COMPUTED_VALUE"""),135.7)</f>
        <v>135.7</v>
      </c>
      <c r="C5297" s="1">
        <f>IFERROR(__xludf.DUMMYFUNCTION("""COMPUTED_VALUE"""),136.36)</f>
        <v>136.36</v>
      </c>
      <c r="D5297" s="1">
        <f>IFERROR(__xludf.DUMMYFUNCTION("""COMPUTED_VALUE"""),133.56)</f>
        <v>133.56</v>
      </c>
      <c r="E5297" s="1">
        <f>IFERROR(__xludf.DUMMYFUNCTION("""COMPUTED_VALUE"""),133.6)</f>
        <v>133.6</v>
      </c>
      <c r="F5297" s="1">
        <f>IFERROR(__xludf.DUMMYFUNCTION("""COMPUTED_VALUE"""),9184920.0)</f>
        <v>9184920</v>
      </c>
    </row>
    <row r="5298">
      <c r="A5298" s="2">
        <f>IFERROR(__xludf.DUMMYFUNCTION("""COMPUTED_VALUE"""),44216.66666666667)</f>
        <v>44216.66667</v>
      </c>
      <c r="B5298" s="1">
        <f>IFERROR(__xludf.DUMMYFUNCTION("""COMPUTED_VALUE"""),132.53)</f>
        <v>132.53</v>
      </c>
      <c r="C5298" s="1">
        <f>IFERROR(__xludf.DUMMYFUNCTION("""COMPUTED_VALUE"""),133.8)</f>
        <v>133.8</v>
      </c>
      <c r="D5298" s="1">
        <f>IFERROR(__xludf.DUMMYFUNCTION("""COMPUTED_VALUE"""),131.26)</f>
        <v>131.26</v>
      </c>
      <c r="E5298" s="1">
        <f>IFERROR(__xludf.DUMMYFUNCTION("""COMPUTED_VALUE"""),131.93)</f>
        <v>131.93</v>
      </c>
      <c r="F5298" s="1">
        <f>IFERROR(__xludf.DUMMYFUNCTION("""COMPUTED_VALUE"""),1.2506633E7)</f>
        <v>12506633</v>
      </c>
    </row>
    <row r="5299">
      <c r="A5299" s="2">
        <f>IFERROR(__xludf.DUMMYFUNCTION("""COMPUTED_VALUE"""),44217.66666666667)</f>
        <v>44217.66667</v>
      </c>
      <c r="B5299" s="1">
        <f>IFERROR(__xludf.DUMMYFUNCTION("""COMPUTED_VALUE"""),130.65)</f>
        <v>130.65</v>
      </c>
      <c r="C5299" s="1">
        <f>IFERROR(__xludf.DUMMYFUNCTION("""COMPUTED_VALUE"""),131.99)</f>
        <v>131.99</v>
      </c>
      <c r="D5299" s="1">
        <f>IFERROR(__xludf.DUMMYFUNCTION("""COMPUTED_VALUE"""),130.51)</f>
        <v>130.51</v>
      </c>
      <c r="E5299" s="1">
        <f>IFERROR(__xludf.DUMMYFUNCTION("""COMPUTED_VALUE"""),131.01)</f>
        <v>131.01</v>
      </c>
      <c r="F5299" s="1">
        <f>IFERROR(__xludf.DUMMYFUNCTION("""COMPUTED_VALUE"""),8765692.0)</f>
        <v>8765692</v>
      </c>
    </row>
    <row r="5300">
      <c r="A5300" s="2">
        <f>IFERROR(__xludf.DUMMYFUNCTION("""COMPUTED_VALUE"""),44218.66666666667)</f>
        <v>44218.66667</v>
      </c>
      <c r="B5300" s="1">
        <f>IFERROR(__xludf.DUMMYFUNCTION("""COMPUTED_VALUE"""),131.02)</f>
        <v>131.02</v>
      </c>
      <c r="C5300" s="1">
        <f>IFERROR(__xludf.DUMMYFUNCTION("""COMPUTED_VALUE"""),131.47)</f>
        <v>131.47</v>
      </c>
      <c r="D5300" s="1">
        <f>IFERROR(__xludf.DUMMYFUNCTION("""COMPUTED_VALUE"""),129.99)</f>
        <v>129.99</v>
      </c>
      <c r="E5300" s="1">
        <f>IFERROR(__xludf.DUMMYFUNCTION("""COMPUTED_VALUE"""),130.0)</f>
        <v>130</v>
      </c>
      <c r="F5300" s="1">
        <f>IFERROR(__xludf.DUMMYFUNCTION("""COMPUTED_VALUE"""),7202837.0)</f>
        <v>7202837</v>
      </c>
    </row>
    <row r="5301">
      <c r="A5301" s="2">
        <f>IFERROR(__xludf.DUMMYFUNCTION("""COMPUTED_VALUE"""),44221.66666666667)</f>
        <v>44221.66667</v>
      </c>
      <c r="B5301" s="1">
        <f>IFERROR(__xludf.DUMMYFUNCTION("""COMPUTED_VALUE"""),129.95)</f>
        <v>129.95</v>
      </c>
      <c r="C5301" s="1">
        <f>IFERROR(__xludf.DUMMYFUNCTION("""COMPUTED_VALUE"""),133.0)</f>
        <v>133</v>
      </c>
      <c r="D5301" s="1">
        <f>IFERROR(__xludf.DUMMYFUNCTION("""COMPUTED_VALUE"""),129.9)</f>
        <v>129.9</v>
      </c>
      <c r="E5301" s="1">
        <f>IFERROR(__xludf.DUMMYFUNCTION("""COMPUTED_VALUE"""),132.24)</f>
        <v>132.24</v>
      </c>
      <c r="F5301" s="1">
        <f>IFERROR(__xludf.DUMMYFUNCTION("""COMPUTED_VALUE"""),9639958.0)</f>
        <v>9639958</v>
      </c>
    </row>
    <row r="5302">
      <c r="A5302" s="2">
        <f>IFERROR(__xludf.DUMMYFUNCTION("""COMPUTED_VALUE"""),44222.66666666667)</f>
        <v>44222.66667</v>
      </c>
      <c r="B5302" s="1">
        <f>IFERROR(__xludf.DUMMYFUNCTION("""COMPUTED_VALUE"""),132.25)</f>
        <v>132.25</v>
      </c>
      <c r="C5302" s="1">
        <f>IFERROR(__xludf.DUMMYFUNCTION("""COMPUTED_VALUE"""),133.47)</f>
        <v>133.47</v>
      </c>
      <c r="D5302" s="1">
        <f>IFERROR(__xludf.DUMMYFUNCTION("""COMPUTED_VALUE"""),131.43)</f>
        <v>131.43</v>
      </c>
      <c r="E5302" s="1">
        <f>IFERROR(__xludf.DUMMYFUNCTION("""COMPUTED_VALUE"""),133.09)</f>
        <v>133.09</v>
      </c>
      <c r="F5302" s="1">
        <f>IFERROR(__xludf.DUMMYFUNCTION("""COMPUTED_VALUE"""),5996689.0)</f>
        <v>5996689</v>
      </c>
    </row>
    <row r="5303">
      <c r="A5303" s="2">
        <f>IFERROR(__xludf.DUMMYFUNCTION("""COMPUTED_VALUE"""),44223.66666666667)</f>
        <v>44223.66667</v>
      </c>
      <c r="B5303" s="1">
        <f>IFERROR(__xludf.DUMMYFUNCTION("""COMPUTED_VALUE"""),132.39)</f>
        <v>132.39</v>
      </c>
      <c r="C5303" s="1">
        <f>IFERROR(__xludf.DUMMYFUNCTION("""COMPUTED_VALUE"""),133.1)</f>
        <v>133.1</v>
      </c>
      <c r="D5303" s="1">
        <f>IFERROR(__xludf.DUMMYFUNCTION("""COMPUTED_VALUE"""),127.7)</f>
        <v>127.7</v>
      </c>
      <c r="E5303" s="1">
        <f>IFERROR(__xludf.DUMMYFUNCTION("""COMPUTED_VALUE"""),128.38)</f>
        <v>128.38</v>
      </c>
      <c r="F5303" s="1">
        <f>IFERROR(__xludf.DUMMYFUNCTION("""COMPUTED_VALUE"""),1.0826688E7)</f>
        <v>10826688</v>
      </c>
    </row>
    <row r="5304">
      <c r="A5304" s="2">
        <f>IFERROR(__xludf.DUMMYFUNCTION("""COMPUTED_VALUE"""),44224.66666666667)</f>
        <v>44224.66667</v>
      </c>
      <c r="B5304" s="1">
        <f>IFERROR(__xludf.DUMMYFUNCTION("""COMPUTED_VALUE"""),127.84)</f>
        <v>127.84</v>
      </c>
      <c r="C5304" s="1">
        <f>IFERROR(__xludf.DUMMYFUNCTION("""COMPUTED_VALUE"""),131.65)</f>
        <v>131.65</v>
      </c>
      <c r="D5304" s="1">
        <f>IFERROR(__xludf.DUMMYFUNCTION("""COMPUTED_VALUE"""),127.44)</f>
        <v>127.44</v>
      </c>
      <c r="E5304" s="1">
        <f>IFERROR(__xludf.DUMMYFUNCTION("""COMPUTED_VALUE"""),130.36)</f>
        <v>130.36</v>
      </c>
      <c r="F5304" s="1">
        <f>IFERROR(__xludf.DUMMYFUNCTION("""COMPUTED_VALUE"""),8242252.0)</f>
        <v>8242252</v>
      </c>
    </row>
    <row r="5305">
      <c r="A5305" s="2">
        <f>IFERROR(__xludf.DUMMYFUNCTION("""COMPUTED_VALUE"""),44225.66666666667)</f>
        <v>44225.66667</v>
      </c>
      <c r="B5305" s="1">
        <f>IFERROR(__xludf.DUMMYFUNCTION("""COMPUTED_VALUE"""),130.19)</f>
        <v>130.19</v>
      </c>
      <c r="C5305" s="1">
        <f>IFERROR(__xludf.DUMMYFUNCTION("""COMPUTED_VALUE"""),130.29)</f>
        <v>130.29</v>
      </c>
      <c r="D5305" s="1">
        <f>IFERROR(__xludf.DUMMYFUNCTION("""COMPUTED_VALUE"""),128.07)</f>
        <v>128.07</v>
      </c>
      <c r="E5305" s="1">
        <f>IFERROR(__xludf.DUMMYFUNCTION("""COMPUTED_VALUE"""),128.21)</f>
        <v>128.21</v>
      </c>
      <c r="F5305" s="1">
        <f>IFERROR(__xludf.DUMMYFUNCTION("""COMPUTED_VALUE"""),8344091.0)</f>
        <v>8344091</v>
      </c>
    </row>
    <row r="5306">
      <c r="A5306" s="2">
        <f>IFERROR(__xludf.DUMMYFUNCTION("""COMPUTED_VALUE"""),44228.66666666667)</f>
        <v>44228.66667</v>
      </c>
      <c r="B5306" s="1">
        <f>IFERROR(__xludf.DUMMYFUNCTION("""COMPUTED_VALUE"""),129.0)</f>
        <v>129</v>
      </c>
      <c r="C5306" s="1">
        <f>IFERROR(__xludf.DUMMYFUNCTION("""COMPUTED_VALUE"""),129.66)</f>
        <v>129.66</v>
      </c>
      <c r="D5306" s="1">
        <f>IFERROR(__xludf.DUMMYFUNCTION("""COMPUTED_VALUE"""),128.2)</f>
        <v>128.2</v>
      </c>
      <c r="E5306" s="1">
        <f>IFERROR(__xludf.DUMMYFUNCTION("""COMPUTED_VALUE"""),128.97)</f>
        <v>128.97</v>
      </c>
      <c r="F5306" s="1">
        <f>IFERROR(__xludf.DUMMYFUNCTION("""COMPUTED_VALUE"""),6534168.0)</f>
        <v>6534168</v>
      </c>
    </row>
    <row r="5307">
      <c r="A5307" s="2">
        <f>IFERROR(__xludf.DUMMYFUNCTION("""COMPUTED_VALUE"""),44229.66666666667)</f>
        <v>44229.66667</v>
      </c>
      <c r="B5307" s="1">
        <f>IFERROR(__xludf.DUMMYFUNCTION("""COMPUTED_VALUE"""),129.6)</f>
        <v>129.6</v>
      </c>
      <c r="C5307" s="1">
        <f>IFERROR(__xludf.DUMMYFUNCTION("""COMPUTED_VALUE"""),130.72)</f>
        <v>130.72</v>
      </c>
      <c r="D5307" s="1">
        <f>IFERROR(__xludf.DUMMYFUNCTION("""COMPUTED_VALUE"""),128.69)</f>
        <v>128.69</v>
      </c>
      <c r="E5307" s="1">
        <f>IFERROR(__xludf.DUMMYFUNCTION("""COMPUTED_VALUE"""),128.79)</f>
        <v>128.79</v>
      </c>
      <c r="F5307" s="1">
        <f>IFERROR(__xludf.DUMMYFUNCTION("""COMPUTED_VALUE"""),6825630.0)</f>
        <v>6825630</v>
      </c>
    </row>
    <row r="5308">
      <c r="A5308" s="2">
        <f>IFERROR(__xludf.DUMMYFUNCTION("""COMPUTED_VALUE"""),44230.66666666667)</f>
        <v>44230.66667</v>
      </c>
      <c r="B5308" s="1">
        <f>IFERROR(__xludf.DUMMYFUNCTION("""COMPUTED_VALUE"""),128.95)</f>
        <v>128.95</v>
      </c>
      <c r="C5308" s="1">
        <f>IFERROR(__xludf.DUMMYFUNCTION("""COMPUTED_VALUE"""),129.2)</f>
        <v>129.2</v>
      </c>
      <c r="D5308" s="1">
        <f>IFERROR(__xludf.DUMMYFUNCTION("""COMPUTED_VALUE"""),127.75)</f>
        <v>127.75</v>
      </c>
      <c r="E5308" s="1">
        <f>IFERROR(__xludf.DUMMYFUNCTION("""COMPUTED_VALUE"""),128.95)</f>
        <v>128.95</v>
      </c>
      <c r="F5308" s="1">
        <f>IFERROR(__xludf.DUMMYFUNCTION("""COMPUTED_VALUE"""),7309656.0)</f>
        <v>7309656</v>
      </c>
    </row>
    <row r="5309">
      <c r="A5309" s="2">
        <f>IFERROR(__xludf.DUMMYFUNCTION("""COMPUTED_VALUE"""),44231.66666666667)</f>
        <v>44231.66667</v>
      </c>
      <c r="B5309" s="1">
        <f>IFERROR(__xludf.DUMMYFUNCTION("""COMPUTED_VALUE"""),129.38)</f>
        <v>129.38</v>
      </c>
      <c r="C5309" s="1">
        <f>IFERROR(__xludf.DUMMYFUNCTION("""COMPUTED_VALUE"""),129.46)</f>
        <v>129.46</v>
      </c>
      <c r="D5309" s="1">
        <f>IFERROR(__xludf.DUMMYFUNCTION("""COMPUTED_VALUE"""),128.58)</f>
        <v>128.58</v>
      </c>
      <c r="E5309" s="1">
        <f>IFERROR(__xludf.DUMMYFUNCTION("""COMPUTED_VALUE"""),129.03)</f>
        <v>129.03</v>
      </c>
      <c r="F5309" s="1">
        <f>IFERROR(__xludf.DUMMYFUNCTION("""COMPUTED_VALUE"""),6613694.0)</f>
        <v>6613694</v>
      </c>
    </row>
    <row r="5310">
      <c r="A5310" s="2">
        <f>IFERROR(__xludf.DUMMYFUNCTION("""COMPUTED_VALUE"""),44232.66666666667)</f>
        <v>44232.66667</v>
      </c>
      <c r="B5310" s="1">
        <f>IFERROR(__xludf.DUMMYFUNCTION("""COMPUTED_VALUE"""),129.12)</f>
        <v>129.12</v>
      </c>
      <c r="C5310" s="1">
        <f>IFERROR(__xludf.DUMMYFUNCTION("""COMPUTED_VALUE"""),130.1)</f>
        <v>130.1</v>
      </c>
      <c r="D5310" s="1">
        <f>IFERROR(__xludf.DUMMYFUNCTION("""COMPUTED_VALUE"""),129.03)</f>
        <v>129.03</v>
      </c>
      <c r="E5310" s="1">
        <f>IFERROR(__xludf.DUMMYFUNCTION("""COMPUTED_VALUE"""),129.57)</f>
        <v>129.57</v>
      </c>
      <c r="F5310" s="1">
        <f>IFERROR(__xludf.DUMMYFUNCTION("""COMPUTED_VALUE"""),5063663.0)</f>
        <v>5063663</v>
      </c>
    </row>
    <row r="5311">
      <c r="A5311" s="2">
        <f>IFERROR(__xludf.DUMMYFUNCTION("""COMPUTED_VALUE"""),44235.66666666667)</f>
        <v>44235.66667</v>
      </c>
      <c r="B5311" s="1">
        <f>IFERROR(__xludf.DUMMYFUNCTION("""COMPUTED_VALUE"""),129.93)</f>
        <v>129.93</v>
      </c>
      <c r="C5311" s="1">
        <f>IFERROR(__xludf.DUMMYFUNCTION("""COMPUTED_VALUE"""),130.1)</f>
        <v>130.1</v>
      </c>
      <c r="D5311" s="1">
        <f>IFERROR(__xludf.DUMMYFUNCTION("""COMPUTED_VALUE"""),128.11)</f>
        <v>128.11</v>
      </c>
      <c r="E5311" s="1">
        <f>IFERROR(__xludf.DUMMYFUNCTION("""COMPUTED_VALUE"""),129.17)</f>
        <v>129.17</v>
      </c>
      <c r="F5311" s="1">
        <f>IFERROR(__xludf.DUMMYFUNCTION("""COMPUTED_VALUE"""),7011334.0)</f>
        <v>7011334</v>
      </c>
    </row>
    <row r="5312">
      <c r="A5312" s="2">
        <f>IFERROR(__xludf.DUMMYFUNCTION("""COMPUTED_VALUE"""),44236.66666666667)</f>
        <v>44236.66667</v>
      </c>
      <c r="B5312" s="1">
        <f>IFERROR(__xludf.DUMMYFUNCTION("""COMPUTED_VALUE"""),129.46)</f>
        <v>129.46</v>
      </c>
      <c r="C5312" s="1">
        <f>IFERROR(__xludf.DUMMYFUNCTION("""COMPUTED_VALUE"""),129.94)</f>
        <v>129.94</v>
      </c>
      <c r="D5312" s="1">
        <f>IFERROR(__xludf.DUMMYFUNCTION("""COMPUTED_VALUE"""),128.23)</f>
        <v>128.23</v>
      </c>
      <c r="E5312" s="1">
        <f>IFERROR(__xludf.DUMMYFUNCTION("""COMPUTED_VALUE"""),128.67)</f>
        <v>128.67</v>
      </c>
      <c r="F5312" s="1">
        <f>IFERROR(__xludf.DUMMYFUNCTION("""COMPUTED_VALUE"""),5917783.0)</f>
        <v>5917783</v>
      </c>
    </row>
    <row r="5313">
      <c r="A5313" s="2">
        <f>IFERROR(__xludf.DUMMYFUNCTION("""COMPUTED_VALUE"""),44237.66666666667)</f>
        <v>44237.66667</v>
      </c>
      <c r="B5313" s="1">
        <f>IFERROR(__xludf.DUMMYFUNCTION("""COMPUTED_VALUE"""),128.75)</f>
        <v>128.75</v>
      </c>
      <c r="C5313" s="1">
        <f>IFERROR(__xludf.DUMMYFUNCTION("""COMPUTED_VALUE"""),129.16)</f>
        <v>129.16</v>
      </c>
      <c r="D5313" s="1">
        <f>IFERROR(__xludf.DUMMYFUNCTION("""COMPUTED_VALUE"""),127.96)</f>
        <v>127.96</v>
      </c>
      <c r="E5313" s="1">
        <f>IFERROR(__xludf.DUMMYFUNCTION("""COMPUTED_VALUE"""),128.22)</f>
        <v>128.22</v>
      </c>
      <c r="F5313" s="1">
        <f>IFERROR(__xludf.DUMMYFUNCTION("""COMPUTED_VALUE"""),8594089.0)</f>
        <v>8594089</v>
      </c>
    </row>
    <row r="5314">
      <c r="A5314" s="2">
        <f>IFERROR(__xludf.DUMMYFUNCTION("""COMPUTED_VALUE"""),44238.66666666667)</f>
        <v>44238.66667</v>
      </c>
      <c r="B5314" s="1">
        <f>IFERROR(__xludf.DUMMYFUNCTION("""COMPUTED_VALUE"""),128.54)</f>
        <v>128.54</v>
      </c>
      <c r="C5314" s="1">
        <f>IFERROR(__xludf.DUMMYFUNCTION("""COMPUTED_VALUE"""),129.33)</f>
        <v>129.33</v>
      </c>
      <c r="D5314" s="1">
        <f>IFERROR(__xludf.DUMMYFUNCTION("""COMPUTED_VALUE"""),128.21)</f>
        <v>128.21</v>
      </c>
      <c r="E5314" s="1">
        <f>IFERROR(__xludf.DUMMYFUNCTION("""COMPUTED_VALUE"""),128.33)</f>
        <v>128.33</v>
      </c>
      <c r="F5314" s="1">
        <f>IFERROR(__xludf.DUMMYFUNCTION("""COMPUTED_VALUE"""),6139426.0)</f>
        <v>6139426</v>
      </c>
    </row>
    <row r="5315">
      <c r="A5315" s="2">
        <f>IFERROR(__xludf.DUMMYFUNCTION("""COMPUTED_VALUE"""),44239.66666666667)</f>
        <v>44239.66667</v>
      </c>
      <c r="B5315" s="1">
        <f>IFERROR(__xludf.DUMMYFUNCTION("""COMPUTED_VALUE"""),128.0)</f>
        <v>128</v>
      </c>
      <c r="C5315" s="1">
        <f>IFERROR(__xludf.DUMMYFUNCTION("""COMPUTED_VALUE"""),128.13)</f>
        <v>128.13</v>
      </c>
      <c r="D5315" s="1">
        <f>IFERROR(__xludf.DUMMYFUNCTION("""COMPUTED_VALUE"""),126.58)</f>
        <v>126.58</v>
      </c>
      <c r="E5315" s="1">
        <f>IFERROR(__xludf.DUMMYFUNCTION("""COMPUTED_VALUE"""),127.62)</f>
        <v>127.62</v>
      </c>
      <c r="F5315" s="1">
        <f>IFERROR(__xludf.DUMMYFUNCTION("""COMPUTED_VALUE"""),8407254.0)</f>
        <v>8407254</v>
      </c>
    </row>
    <row r="5316">
      <c r="A5316" s="2">
        <f>IFERROR(__xludf.DUMMYFUNCTION("""COMPUTED_VALUE"""),44243.66666666667)</f>
        <v>44243.66667</v>
      </c>
      <c r="B5316" s="1">
        <f>IFERROR(__xludf.DUMMYFUNCTION("""COMPUTED_VALUE"""),127.97)</f>
        <v>127.97</v>
      </c>
      <c r="C5316" s="1">
        <f>IFERROR(__xludf.DUMMYFUNCTION("""COMPUTED_VALUE"""),128.17)</f>
        <v>128.17</v>
      </c>
      <c r="D5316" s="1">
        <f>IFERROR(__xludf.DUMMYFUNCTION("""COMPUTED_VALUE"""),126.99)</f>
        <v>126.99</v>
      </c>
      <c r="E5316" s="1">
        <f>IFERROR(__xludf.DUMMYFUNCTION("""COMPUTED_VALUE"""),127.92)</f>
        <v>127.92</v>
      </c>
      <c r="F5316" s="1">
        <f>IFERROR(__xludf.DUMMYFUNCTION("""COMPUTED_VALUE"""),8246039.0)</f>
        <v>8246039</v>
      </c>
    </row>
    <row r="5317">
      <c r="A5317" s="2">
        <f>IFERROR(__xludf.DUMMYFUNCTION("""COMPUTED_VALUE"""),44244.66666666667)</f>
        <v>44244.66667</v>
      </c>
      <c r="B5317" s="1">
        <f>IFERROR(__xludf.DUMMYFUNCTION("""COMPUTED_VALUE"""),127.19)</f>
        <v>127.19</v>
      </c>
      <c r="C5317" s="1">
        <f>IFERROR(__xludf.DUMMYFUNCTION("""COMPUTED_VALUE"""),129.49)</f>
        <v>129.49</v>
      </c>
      <c r="D5317" s="1">
        <f>IFERROR(__xludf.DUMMYFUNCTION("""COMPUTED_VALUE"""),127.11)</f>
        <v>127.11</v>
      </c>
      <c r="E5317" s="1">
        <f>IFERROR(__xludf.DUMMYFUNCTION("""COMPUTED_VALUE"""),128.46)</f>
        <v>128.46</v>
      </c>
      <c r="F5317" s="1">
        <f>IFERROR(__xludf.DUMMYFUNCTION("""COMPUTED_VALUE"""),9188548.0)</f>
        <v>9188548</v>
      </c>
    </row>
    <row r="5318">
      <c r="A5318" s="2">
        <f>IFERROR(__xludf.DUMMYFUNCTION("""COMPUTED_VALUE"""),44245.66666666667)</f>
        <v>44245.66667</v>
      </c>
      <c r="B5318" s="1">
        <f>IFERROR(__xludf.DUMMYFUNCTION("""COMPUTED_VALUE"""),127.81)</f>
        <v>127.81</v>
      </c>
      <c r="C5318" s="1">
        <f>IFERROR(__xludf.DUMMYFUNCTION("""COMPUTED_VALUE"""),129.85)</f>
        <v>129.85</v>
      </c>
      <c r="D5318" s="1">
        <f>IFERROR(__xludf.DUMMYFUNCTION("""COMPUTED_VALUE"""),127.59)</f>
        <v>127.59</v>
      </c>
      <c r="E5318" s="1">
        <f>IFERROR(__xludf.DUMMYFUNCTION("""COMPUTED_VALUE"""),129.53)</f>
        <v>129.53</v>
      </c>
      <c r="F5318" s="1">
        <f>IFERROR(__xludf.DUMMYFUNCTION("""COMPUTED_VALUE"""),6936352.0)</f>
        <v>6936352</v>
      </c>
    </row>
    <row r="5319">
      <c r="A5319" s="2">
        <f>IFERROR(__xludf.DUMMYFUNCTION("""COMPUTED_VALUE"""),44246.66666666667)</f>
        <v>44246.66667</v>
      </c>
      <c r="B5319" s="1">
        <f>IFERROR(__xludf.DUMMYFUNCTION("""COMPUTED_VALUE"""),129.35)</f>
        <v>129.35</v>
      </c>
      <c r="C5319" s="1">
        <f>IFERROR(__xludf.DUMMYFUNCTION("""COMPUTED_VALUE"""),129.44)</f>
        <v>129.44</v>
      </c>
      <c r="D5319" s="1">
        <f>IFERROR(__xludf.DUMMYFUNCTION("""COMPUTED_VALUE"""),127.02)</f>
        <v>127.02</v>
      </c>
      <c r="E5319" s="1">
        <f>IFERROR(__xludf.DUMMYFUNCTION("""COMPUTED_VALUE"""),127.12)</f>
        <v>127.12</v>
      </c>
      <c r="F5319" s="1">
        <f>IFERROR(__xludf.DUMMYFUNCTION("""COMPUTED_VALUE"""),8277918.0)</f>
        <v>8277918</v>
      </c>
    </row>
    <row r="5320">
      <c r="A5320" s="2">
        <f>IFERROR(__xludf.DUMMYFUNCTION("""COMPUTED_VALUE"""),44249.66666666667)</f>
        <v>44249.66667</v>
      </c>
      <c r="B5320" s="1">
        <f>IFERROR(__xludf.DUMMYFUNCTION("""COMPUTED_VALUE"""),126.79)</f>
        <v>126.79</v>
      </c>
      <c r="C5320" s="1">
        <f>IFERROR(__xludf.DUMMYFUNCTION("""COMPUTED_VALUE"""),127.24)</f>
        <v>127.24</v>
      </c>
      <c r="D5320" s="1">
        <f>IFERROR(__xludf.DUMMYFUNCTION("""COMPUTED_VALUE"""),126.38)</f>
        <v>126.38</v>
      </c>
      <c r="E5320" s="1">
        <f>IFERROR(__xludf.DUMMYFUNCTION("""COMPUTED_VALUE"""),126.58)</f>
        <v>126.58</v>
      </c>
      <c r="F5320" s="1">
        <f>IFERROR(__xludf.DUMMYFUNCTION("""COMPUTED_VALUE"""),6975470.0)</f>
        <v>6975470</v>
      </c>
    </row>
    <row r="5321">
      <c r="A5321" s="2">
        <f>IFERROR(__xludf.DUMMYFUNCTION("""COMPUTED_VALUE"""),44250.66666666667)</f>
        <v>44250.66667</v>
      </c>
      <c r="B5321" s="1">
        <f>IFERROR(__xludf.DUMMYFUNCTION("""COMPUTED_VALUE"""),127.78)</f>
        <v>127.78</v>
      </c>
      <c r="C5321" s="1">
        <f>IFERROR(__xludf.DUMMYFUNCTION("""COMPUTED_VALUE"""),129.93)</f>
        <v>129.93</v>
      </c>
      <c r="D5321" s="1">
        <f>IFERROR(__xludf.DUMMYFUNCTION("""COMPUTED_VALUE"""),127.19)</f>
        <v>127.19</v>
      </c>
      <c r="E5321" s="1">
        <f>IFERROR(__xludf.DUMMYFUNCTION("""COMPUTED_VALUE"""),127.52)</f>
        <v>127.52</v>
      </c>
      <c r="F5321" s="1">
        <f>IFERROR(__xludf.DUMMYFUNCTION("""COMPUTED_VALUE"""),1.0145342E7)</f>
        <v>10145342</v>
      </c>
    </row>
    <row r="5322">
      <c r="A5322" s="2">
        <f>IFERROR(__xludf.DUMMYFUNCTION("""COMPUTED_VALUE"""),44251.66666666667)</f>
        <v>44251.66667</v>
      </c>
      <c r="B5322" s="1">
        <f>IFERROR(__xludf.DUMMYFUNCTION("""COMPUTED_VALUE"""),127.35)</f>
        <v>127.35</v>
      </c>
      <c r="C5322" s="1">
        <f>IFERROR(__xludf.DUMMYFUNCTION("""COMPUTED_VALUE"""),128.24)</f>
        <v>128.24</v>
      </c>
      <c r="D5322" s="1">
        <f>IFERROR(__xludf.DUMMYFUNCTION("""COMPUTED_VALUE"""),126.91)</f>
        <v>126.91</v>
      </c>
      <c r="E5322" s="1">
        <f>IFERROR(__xludf.DUMMYFUNCTION("""COMPUTED_VALUE"""),127.66)</f>
        <v>127.66</v>
      </c>
      <c r="F5322" s="1">
        <f>IFERROR(__xludf.DUMMYFUNCTION("""COMPUTED_VALUE"""),7263025.0)</f>
        <v>7263025</v>
      </c>
    </row>
    <row r="5323">
      <c r="A5323" s="2">
        <f>IFERROR(__xludf.DUMMYFUNCTION("""COMPUTED_VALUE"""),44252.66666666667)</f>
        <v>44252.66667</v>
      </c>
      <c r="B5323" s="1">
        <f>IFERROR(__xludf.DUMMYFUNCTION("""COMPUTED_VALUE"""),127.49)</f>
        <v>127.49</v>
      </c>
      <c r="C5323" s="1">
        <f>IFERROR(__xludf.DUMMYFUNCTION("""COMPUTED_VALUE"""),128.99)</f>
        <v>128.99</v>
      </c>
      <c r="D5323" s="1">
        <f>IFERROR(__xludf.DUMMYFUNCTION("""COMPUTED_VALUE"""),126.29)</f>
        <v>126.29</v>
      </c>
      <c r="E5323" s="1">
        <f>IFERROR(__xludf.DUMMYFUNCTION("""COMPUTED_VALUE"""),126.58)</f>
        <v>126.58</v>
      </c>
      <c r="F5323" s="1">
        <f>IFERROR(__xludf.DUMMYFUNCTION("""COMPUTED_VALUE"""),7790808.0)</f>
        <v>7790808</v>
      </c>
    </row>
    <row r="5324">
      <c r="A5324" s="2">
        <f>IFERROR(__xludf.DUMMYFUNCTION("""COMPUTED_VALUE"""),44253.66666666667)</f>
        <v>44253.66667</v>
      </c>
      <c r="B5324" s="1">
        <f>IFERROR(__xludf.DUMMYFUNCTION("""COMPUTED_VALUE"""),126.54)</f>
        <v>126.54</v>
      </c>
      <c r="C5324" s="1">
        <f>IFERROR(__xludf.DUMMYFUNCTION("""COMPUTED_VALUE"""),126.93)</f>
        <v>126.93</v>
      </c>
      <c r="D5324" s="1">
        <f>IFERROR(__xludf.DUMMYFUNCTION("""COMPUTED_VALUE"""),121.82)</f>
        <v>121.82</v>
      </c>
      <c r="E5324" s="1">
        <f>IFERROR(__xludf.DUMMYFUNCTION("""COMPUTED_VALUE"""),123.53)</f>
        <v>123.53</v>
      </c>
      <c r="F5324" s="1">
        <f>IFERROR(__xludf.DUMMYFUNCTION("""COMPUTED_VALUE"""),1.7718787E7)</f>
        <v>17718787</v>
      </c>
    </row>
    <row r="5325">
      <c r="A5325" s="2">
        <f>IFERROR(__xludf.DUMMYFUNCTION("""COMPUTED_VALUE"""),44256.66666666667)</f>
        <v>44256.66667</v>
      </c>
      <c r="B5325" s="1">
        <f>IFERROR(__xludf.DUMMYFUNCTION("""COMPUTED_VALUE"""),124.16)</f>
        <v>124.16</v>
      </c>
      <c r="C5325" s="1">
        <f>IFERROR(__xludf.DUMMYFUNCTION("""COMPUTED_VALUE"""),125.49)</f>
        <v>125.49</v>
      </c>
      <c r="D5325" s="1">
        <f>IFERROR(__xludf.DUMMYFUNCTION("""COMPUTED_VALUE"""),124.0)</f>
        <v>124</v>
      </c>
      <c r="E5325" s="1">
        <f>IFERROR(__xludf.DUMMYFUNCTION("""COMPUTED_VALUE"""),124.29)</f>
        <v>124.29</v>
      </c>
      <c r="F5325" s="1">
        <f>IFERROR(__xludf.DUMMYFUNCTION("""COMPUTED_VALUE"""),7740158.0)</f>
        <v>7740158</v>
      </c>
    </row>
    <row r="5326">
      <c r="A5326" s="2">
        <f>IFERROR(__xludf.DUMMYFUNCTION("""COMPUTED_VALUE"""),44257.66666666667)</f>
        <v>44257.66667</v>
      </c>
      <c r="B5326" s="1">
        <f>IFERROR(__xludf.DUMMYFUNCTION("""COMPUTED_VALUE"""),123.87)</f>
        <v>123.87</v>
      </c>
      <c r="C5326" s="1">
        <f>IFERROR(__xludf.DUMMYFUNCTION("""COMPUTED_VALUE"""),124.86)</f>
        <v>124.86</v>
      </c>
      <c r="D5326" s="1">
        <f>IFERROR(__xludf.DUMMYFUNCTION("""COMPUTED_VALUE"""),123.43)</f>
        <v>123.43</v>
      </c>
      <c r="E5326" s="1">
        <f>IFERROR(__xludf.DUMMYFUNCTION("""COMPUTED_VALUE"""),123.9)</f>
        <v>123.9</v>
      </c>
      <c r="F5326" s="1">
        <f>IFERROR(__xludf.DUMMYFUNCTION("""COMPUTED_VALUE"""),1.0206557E7)</f>
        <v>10206557</v>
      </c>
    </row>
    <row r="5327">
      <c r="A5327" s="2">
        <f>IFERROR(__xludf.DUMMYFUNCTION("""COMPUTED_VALUE"""),44258.66666666667)</f>
        <v>44258.66667</v>
      </c>
      <c r="B5327" s="1">
        <f>IFERROR(__xludf.DUMMYFUNCTION("""COMPUTED_VALUE"""),123.77)</f>
        <v>123.77</v>
      </c>
      <c r="C5327" s="1">
        <f>IFERROR(__xludf.DUMMYFUNCTION("""COMPUTED_VALUE"""),124.2)</f>
        <v>124.2</v>
      </c>
      <c r="D5327" s="1">
        <f>IFERROR(__xludf.DUMMYFUNCTION("""COMPUTED_VALUE"""),122.79)</f>
        <v>122.79</v>
      </c>
      <c r="E5327" s="1">
        <f>IFERROR(__xludf.DUMMYFUNCTION("""COMPUTED_VALUE"""),123.16)</f>
        <v>123.16</v>
      </c>
      <c r="F5327" s="1">
        <f>IFERROR(__xludf.DUMMYFUNCTION("""COMPUTED_VALUE"""),7536965.0)</f>
        <v>7536965</v>
      </c>
    </row>
    <row r="5328">
      <c r="A5328" s="2">
        <f>IFERROR(__xludf.DUMMYFUNCTION("""COMPUTED_VALUE"""),44259.66666666667)</f>
        <v>44259.66667</v>
      </c>
      <c r="B5328" s="1">
        <f>IFERROR(__xludf.DUMMYFUNCTION("""COMPUTED_VALUE"""),123.1)</f>
        <v>123.1</v>
      </c>
      <c r="C5328" s="1">
        <f>IFERROR(__xludf.DUMMYFUNCTION("""COMPUTED_VALUE"""),124.77)</f>
        <v>124.77</v>
      </c>
      <c r="D5328" s="1">
        <f>IFERROR(__xludf.DUMMYFUNCTION("""COMPUTED_VALUE"""),121.54)</f>
        <v>121.54</v>
      </c>
      <c r="E5328" s="1">
        <f>IFERROR(__xludf.DUMMYFUNCTION("""COMPUTED_VALUE"""),122.15)</f>
        <v>122.15</v>
      </c>
      <c r="F5328" s="1">
        <f>IFERROR(__xludf.DUMMYFUNCTION("""COMPUTED_VALUE"""),1.0228116E7)</f>
        <v>10228116</v>
      </c>
    </row>
    <row r="5329">
      <c r="A5329" s="2">
        <f>IFERROR(__xludf.DUMMYFUNCTION("""COMPUTED_VALUE"""),44260.66666666667)</f>
        <v>44260.66667</v>
      </c>
      <c r="B5329" s="1">
        <f>IFERROR(__xludf.DUMMYFUNCTION("""COMPUTED_VALUE"""),122.76)</f>
        <v>122.76</v>
      </c>
      <c r="C5329" s="1">
        <f>IFERROR(__xludf.DUMMYFUNCTION("""COMPUTED_VALUE"""),126.33)</f>
        <v>126.33</v>
      </c>
      <c r="D5329" s="1">
        <f>IFERROR(__xludf.DUMMYFUNCTION("""COMPUTED_VALUE"""),122.55)</f>
        <v>122.55</v>
      </c>
      <c r="E5329" s="1">
        <f>IFERROR(__xludf.DUMMYFUNCTION("""COMPUTED_VALUE"""),125.98)</f>
        <v>125.98</v>
      </c>
      <c r="F5329" s="1">
        <f>IFERROR(__xludf.DUMMYFUNCTION("""COMPUTED_VALUE"""),1.0491004E7)</f>
        <v>10491004</v>
      </c>
    </row>
    <row r="5330">
      <c r="A5330" s="2">
        <f>IFERROR(__xludf.DUMMYFUNCTION("""COMPUTED_VALUE"""),44263.66666666667)</f>
        <v>44263.66667</v>
      </c>
      <c r="B5330" s="1">
        <f>IFERROR(__xludf.DUMMYFUNCTION("""COMPUTED_VALUE"""),125.76)</f>
        <v>125.76</v>
      </c>
      <c r="C5330" s="1">
        <f>IFERROR(__xludf.DUMMYFUNCTION("""COMPUTED_VALUE"""),128.9)</f>
        <v>128.9</v>
      </c>
      <c r="D5330" s="1">
        <f>IFERROR(__xludf.DUMMYFUNCTION("""COMPUTED_VALUE"""),125.32)</f>
        <v>125.32</v>
      </c>
      <c r="E5330" s="1">
        <f>IFERROR(__xludf.DUMMYFUNCTION("""COMPUTED_VALUE"""),127.31)</f>
        <v>127.31</v>
      </c>
      <c r="F5330" s="1">
        <f>IFERROR(__xludf.DUMMYFUNCTION("""COMPUTED_VALUE"""),9224659.0)</f>
        <v>9224659</v>
      </c>
    </row>
    <row r="5331">
      <c r="A5331" s="2">
        <f>IFERROR(__xludf.DUMMYFUNCTION("""COMPUTED_VALUE"""),44264.66666666667)</f>
        <v>44264.66667</v>
      </c>
      <c r="B5331" s="1">
        <f>IFERROR(__xludf.DUMMYFUNCTION("""COMPUTED_VALUE"""),127.65)</f>
        <v>127.65</v>
      </c>
      <c r="C5331" s="1">
        <f>IFERROR(__xludf.DUMMYFUNCTION("""COMPUTED_VALUE"""),128.92)</f>
        <v>128.92</v>
      </c>
      <c r="D5331" s="1">
        <f>IFERROR(__xludf.DUMMYFUNCTION("""COMPUTED_VALUE"""),126.06)</f>
        <v>126.06</v>
      </c>
      <c r="E5331" s="1">
        <f>IFERROR(__xludf.DUMMYFUNCTION("""COMPUTED_VALUE"""),126.18)</f>
        <v>126.18</v>
      </c>
      <c r="F5331" s="1">
        <f>IFERROR(__xludf.DUMMYFUNCTION("""COMPUTED_VALUE"""),8859731.0)</f>
        <v>8859731</v>
      </c>
    </row>
    <row r="5332">
      <c r="A5332" s="2">
        <f>IFERROR(__xludf.DUMMYFUNCTION("""COMPUTED_VALUE"""),44265.66666666667)</f>
        <v>44265.66667</v>
      </c>
      <c r="B5332" s="1">
        <f>IFERROR(__xludf.DUMMYFUNCTION("""COMPUTED_VALUE"""),126.15)</f>
        <v>126.15</v>
      </c>
      <c r="C5332" s="1">
        <f>IFERROR(__xludf.DUMMYFUNCTION("""COMPUTED_VALUE"""),128.42)</f>
        <v>128.42</v>
      </c>
      <c r="D5332" s="1">
        <f>IFERROR(__xludf.DUMMYFUNCTION("""COMPUTED_VALUE"""),125.47)</f>
        <v>125.47</v>
      </c>
      <c r="E5332" s="1">
        <f>IFERROR(__xludf.DUMMYFUNCTION("""COMPUTED_VALUE"""),127.34)</f>
        <v>127.34</v>
      </c>
      <c r="F5332" s="1">
        <f>IFERROR(__xludf.DUMMYFUNCTION("""COMPUTED_VALUE"""),9070895.0)</f>
        <v>9070895</v>
      </c>
    </row>
    <row r="5333">
      <c r="A5333" s="2">
        <f>IFERROR(__xludf.DUMMYFUNCTION("""COMPUTED_VALUE"""),44266.66666666667)</f>
        <v>44266.66667</v>
      </c>
      <c r="B5333" s="1">
        <f>IFERROR(__xludf.DUMMYFUNCTION("""COMPUTED_VALUE"""),127.13)</f>
        <v>127.13</v>
      </c>
      <c r="C5333" s="1">
        <f>IFERROR(__xludf.DUMMYFUNCTION("""COMPUTED_VALUE"""),127.85)</f>
        <v>127.85</v>
      </c>
      <c r="D5333" s="1">
        <f>IFERROR(__xludf.DUMMYFUNCTION("""COMPUTED_VALUE"""),126.72)</f>
        <v>126.72</v>
      </c>
      <c r="E5333" s="1">
        <f>IFERROR(__xludf.DUMMYFUNCTION("""COMPUTED_VALUE"""),126.91)</f>
        <v>126.91</v>
      </c>
      <c r="F5333" s="1">
        <f>IFERROR(__xludf.DUMMYFUNCTION("""COMPUTED_VALUE"""),6941802.0)</f>
        <v>6941802</v>
      </c>
    </row>
    <row r="5334">
      <c r="A5334" s="2">
        <f>IFERROR(__xludf.DUMMYFUNCTION("""COMPUTED_VALUE"""),44267.66666666667)</f>
        <v>44267.66667</v>
      </c>
      <c r="B5334" s="1">
        <f>IFERROR(__xludf.DUMMYFUNCTION("""COMPUTED_VALUE"""),127.65)</f>
        <v>127.65</v>
      </c>
      <c r="C5334" s="1">
        <f>IFERROR(__xludf.DUMMYFUNCTION("""COMPUTED_VALUE"""),128.82)</f>
        <v>128.82</v>
      </c>
      <c r="D5334" s="1">
        <f>IFERROR(__xludf.DUMMYFUNCTION("""COMPUTED_VALUE"""),127.65)</f>
        <v>127.65</v>
      </c>
      <c r="E5334" s="1">
        <f>IFERROR(__xludf.DUMMYFUNCTION("""COMPUTED_VALUE"""),128.14)</f>
        <v>128.14</v>
      </c>
      <c r="F5334" s="1">
        <f>IFERROR(__xludf.DUMMYFUNCTION("""COMPUTED_VALUE"""),6521993.0)</f>
        <v>6521993</v>
      </c>
    </row>
    <row r="5335">
      <c r="A5335" s="2">
        <f>IFERROR(__xludf.DUMMYFUNCTION("""COMPUTED_VALUE"""),44270.66666666667)</f>
        <v>44270.66667</v>
      </c>
      <c r="B5335" s="1">
        <f>IFERROR(__xludf.DUMMYFUNCTION("""COMPUTED_VALUE"""),128.39)</f>
        <v>128.39</v>
      </c>
      <c r="C5335" s="1">
        <f>IFERROR(__xludf.DUMMYFUNCTION("""COMPUTED_VALUE"""),129.04)</f>
        <v>129.04</v>
      </c>
      <c r="D5335" s="1">
        <f>IFERROR(__xludf.DUMMYFUNCTION("""COMPUTED_VALUE"""),127.19)</f>
        <v>127.19</v>
      </c>
      <c r="E5335" s="1">
        <f>IFERROR(__xludf.DUMMYFUNCTION("""COMPUTED_VALUE"""),128.56)</f>
        <v>128.56</v>
      </c>
      <c r="F5335" s="1">
        <f>IFERROR(__xludf.DUMMYFUNCTION("""COMPUTED_VALUE"""),7172764.0)</f>
        <v>7172764</v>
      </c>
    </row>
    <row r="5336">
      <c r="A5336" s="2">
        <f>IFERROR(__xludf.DUMMYFUNCTION("""COMPUTED_VALUE"""),44271.66666666667)</f>
        <v>44271.66667</v>
      </c>
      <c r="B5336" s="1">
        <f>IFERROR(__xludf.DUMMYFUNCTION("""COMPUTED_VALUE"""),128.51)</f>
        <v>128.51</v>
      </c>
      <c r="C5336" s="1">
        <f>IFERROR(__xludf.DUMMYFUNCTION("""COMPUTED_VALUE"""),129.98)</f>
        <v>129.98</v>
      </c>
      <c r="D5336" s="1">
        <f>IFERROR(__xludf.DUMMYFUNCTION("""COMPUTED_VALUE"""),128.51)</f>
        <v>128.51</v>
      </c>
      <c r="E5336" s="1">
        <f>IFERROR(__xludf.DUMMYFUNCTION("""COMPUTED_VALUE"""),128.94)</f>
        <v>128.94</v>
      </c>
      <c r="F5336" s="1">
        <f>IFERROR(__xludf.DUMMYFUNCTION("""COMPUTED_VALUE"""),6485164.0)</f>
        <v>6485164</v>
      </c>
    </row>
    <row r="5337">
      <c r="A5337" s="2">
        <f>IFERROR(__xludf.DUMMYFUNCTION("""COMPUTED_VALUE"""),44272.66666666667)</f>
        <v>44272.66667</v>
      </c>
      <c r="B5337" s="1">
        <f>IFERROR(__xludf.DUMMYFUNCTION("""COMPUTED_VALUE"""),129.11)</f>
        <v>129.11</v>
      </c>
      <c r="C5337" s="1">
        <f>IFERROR(__xludf.DUMMYFUNCTION("""COMPUTED_VALUE"""),129.84)</f>
        <v>129.84</v>
      </c>
      <c r="D5337" s="1">
        <f>IFERROR(__xludf.DUMMYFUNCTION("""COMPUTED_VALUE"""),128.35)</f>
        <v>128.35</v>
      </c>
      <c r="E5337" s="1">
        <f>IFERROR(__xludf.DUMMYFUNCTION("""COMPUTED_VALUE"""),128.42)</f>
        <v>128.42</v>
      </c>
      <c r="F5337" s="1">
        <f>IFERROR(__xludf.DUMMYFUNCTION("""COMPUTED_VALUE"""),6192905.0)</f>
        <v>6192905</v>
      </c>
    </row>
    <row r="5338">
      <c r="A5338" s="2">
        <f>IFERROR(__xludf.DUMMYFUNCTION("""COMPUTED_VALUE"""),44273.66666666667)</f>
        <v>44273.66667</v>
      </c>
      <c r="B5338" s="1">
        <f>IFERROR(__xludf.DUMMYFUNCTION("""COMPUTED_VALUE"""),128.21)</f>
        <v>128.21</v>
      </c>
      <c r="C5338" s="1">
        <f>IFERROR(__xludf.DUMMYFUNCTION("""COMPUTED_VALUE"""),129.04)</f>
        <v>129.04</v>
      </c>
      <c r="D5338" s="1">
        <f>IFERROR(__xludf.DUMMYFUNCTION("""COMPUTED_VALUE"""),127.04)</f>
        <v>127.04</v>
      </c>
      <c r="E5338" s="1">
        <f>IFERROR(__xludf.DUMMYFUNCTION("""COMPUTED_VALUE"""),128.7)</f>
        <v>128.7</v>
      </c>
      <c r="F5338" s="1">
        <f>IFERROR(__xludf.DUMMYFUNCTION("""COMPUTED_VALUE"""),6871342.0)</f>
        <v>6871342</v>
      </c>
    </row>
    <row r="5339">
      <c r="A5339" s="2">
        <f>IFERROR(__xludf.DUMMYFUNCTION("""COMPUTED_VALUE"""),44274.66666666667)</f>
        <v>44274.66667</v>
      </c>
      <c r="B5339" s="1">
        <f>IFERROR(__xludf.DUMMYFUNCTION("""COMPUTED_VALUE"""),129.1)</f>
        <v>129.1</v>
      </c>
      <c r="C5339" s="1">
        <f>IFERROR(__xludf.DUMMYFUNCTION("""COMPUTED_VALUE"""),129.74)</f>
        <v>129.74</v>
      </c>
      <c r="D5339" s="1">
        <f>IFERROR(__xludf.DUMMYFUNCTION("""COMPUTED_VALUE"""),127.9)</f>
        <v>127.9</v>
      </c>
      <c r="E5339" s="1">
        <f>IFERROR(__xludf.DUMMYFUNCTION("""COMPUTED_VALUE"""),128.01)</f>
        <v>128.01</v>
      </c>
      <c r="F5339" s="1">
        <f>IFERROR(__xludf.DUMMYFUNCTION("""COMPUTED_VALUE"""),2.0262097E7)</f>
        <v>20262097</v>
      </c>
    </row>
    <row r="5340">
      <c r="A5340" s="2">
        <f>IFERROR(__xludf.DUMMYFUNCTION("""COMPUTED_VALUE"""),44277.66666666667)</f>
        <v>44277.66667</v>
      </c>
      <c r="B5340" s="1">
        <f>IFERROR(__xludf.DUMMYFUNCTION("""COMPUTED_VALUE"""),128.01)</f>
        <v>128.01</v>
      </c>
      <c r="C5340" s="1">
        <f>IFERROR(__xludf.DUMMYFUNCTION("""COMPUTED_VALUE"""),130.89)</f>
        <v>130.89</v>
      </c>
      <c r="D5340" s="1">
        <f>IFERROR(__xludf.DUMMYFUNCTION("""COMPUTED_VALUE"""),128.01)</f>
        <v>128.01</v>
      </c>
      <c r="E5340" s="1">
        <f>IFERROR(__xludf.DUMMYFUNCTION("""COMPUTED_VALUE"""),130.18)</f>
        <v>130.18</v>
      </c>
      <c r="F5340" s="1">
        <f>IFERROR(__xludf.DUMMYFUNCTION("""COMPUTED_VALUE"""),8077630.0)</f>
        <v>8077630</v>
      </c>
    </row>
    <row r="5341">
      <c r="A5341" s="2">
        <f>IFERROR(__xludf.DUMMYFUNCTION("""COMPUTED_VALUE"""),44278.66666666667)</f>
        <v>44278.66667</v>
      </c>
      <c r="B5341" s="1">
        <f>IFERROR(__xludf.DUMMYFUNCTION("""COMPUTED_VALUE"""),130.41)</f>
        <v>130.41</v>
      </c>
      <c r="C5341" s="1">
        <f>IFERROR(__xludf.DUMMYFUNCTION("""COMPUTED_VALUE"""),133.29)</f>
        <v>133.29</v>
      </c>
      <c r="D5341" s="1">
        <f>IFERROR(__xludf.DUMMYFUNCTION("""COMPUTED_VALUE"""),129.99)</f>
        <v>129.99</v>
      </c>
      <c r="E5341" s="1">
        <f>IFERROR(__xludf.DUMMYFUNCTION("""COMPUTED_VALUE"""),132.6)</f>
        <v>132.6</v>
      </c>
      <c r="F5341" s="1">
        <f>IFERROR(__xludf.DUMMYFUNCTION("""COMPUTED_VALUE"""),9503792.0)</f>
        <v>9503792</v>
      </c>
    </row>
    <row r="5342">
      <c r="A5342" s="2">
        <f>IFERROR(__xludf.DUMMYFUNCTION("""COMPUTED_VALUE"""),44279.66666666667)</f>
        <v>44279.66667</v>
      </c>
      <c r="B5342" s="1">
        <f>IFERROR(__xludf.DUMMYFUNCTION("""COMPUTED_VALUE"""),130.94)</f>
        <v>130.94</v>
      </c>
      <c r="C5342" s="1">
        <f>IFERROR(__xludf.DUMMYFUNCTION("""COMPUTED_VALUE"""),133.14)</f>
        <v>133.14</v>
      </c>
      <c r="D5342" s="1">
        <f>IFERROR(__xludf.DUMMYFUNCTION("""COMPUTED_VALUE"""),130.62)</f>
        <v>130.62</v>
      </c>
      <c r="E5342" s="1">
        <f>IFERROR(__xludf.DUMMYFUNCTION("""COMPUTED_VALUE"""),132.56)</f>
        <v>132.56</v>
      </c>
      <c r="F5342" s="1">
        <f>IFERROR(__xludf.DUMMYFUNCTION("""COMPUTED_VALUE"""),8318034.0)</f>
        <v>8318034</v>
      </c>
    </row>
    <row r="5343">
      <c r="A5343" s="2">
        <f>IFERROR(__xludf.DUMMYFUNCTION("""COMPUTED_VALUE"""),44280.66666666667)</f>
        <v>44280.66667</v>
      </c>
      <c r="B5343" s="1">
        <f>IFERROR(__xludf.DUMMYFUNCTION("""COMPUTED_VALUE"""),133.09)</f>
        <v>133.09</v>
      </c>
      <c r="C5343" s="1">
        <f>IFERROR(__xludf.DUMMYFUNCTION("""COMPUTED_VALUE"""),133.62)</f>
        <v>133.62</v>
      </c>
      <c r="D5343" s="1">
        <f>IFERROR(__xludf.DUMMYFUNCTION("""COMPUTED_VALUE"""),132.05)</f>
        <v>132.05</v>
      </c>
      <c r="E5343" s="1">
        <f>IFERROR(__xludf.DUMMYFUNCTION("""COMPUTED_VALUE"""),133.48)</f>
        <v>133.48</v>
      </c>
      <c r="F5343" s="1">
        <f>IFERROR(__xludf.DUMMYFUNCTION("""COMPUTED_VALUE"""),7517293.0)</f>
        <v>7517293</v>
      </c>
    </row>
    <row r="5344">
      <c r="A5344" s="2">
        <f>IFERROR(__xludf.DUMMYFUNCTION("""COMPUTED_VALUE"""),44281.66666666667)</f>
        <v>44281.66667</v>
      </c>
      <c r="B5344" s="1">
        <f>IFERROR(__xludf.DUMMYFUNCTION("""COMPUTED_VALUE"""),133.22)</f>
        <v>133.22</v>
      </c>
      <c r="C5344" s="1">
        <f>IFERROR(__xludf.DUMMYFUNCTION("""COMPUTED_VALUE"""),135.61)</f>
        <v>135.61</v>
      </c>
      <c r="D5344" s="1">
        <f>IFERROR(__xludf.DUMMYFUNCTION("""COMPUTED_VALUE"""),132.48)</f>
        <v>132.48</v>
      </c>
      <c r="E5344" s="1">
        <f>IFERROR(__xludf.DUMMYFUNCTION("""COMPUTED_VALUE"""),135.45)</f>
        <v>135.45</v>
      </c>
      <c r="F5344" s="1">
        <f>IFERROR(__xludf.DUMMYFUNCTION("""COMPUTED_VALUE"""),1.082124E7)</f>
        <v>10821240</v>
      </c>
    </row>
    <row r="5345">
      <c r="A5345" s="2">
        <f>IFERROR(__xludf.DUMMYFUNCTION("""COMPUTED_VALUE"""),44284.66666666667)</f>
        <v>44284.66667</v>
      </c>
      <c r="B5345" s="1">
        <f>IFERROR(__xludf.DUMMYFUNCTION("""COMPUTED_VALUE"""),135.0)</f>
        <v>135</v>
      </c>
      <c r="C5345" s="1">
        <f>IFERROR(__xludf.DUMMYFUNCTION("""COMPUTED_VALUE"""),137.6)</f>
        <v>137.6</v>
      </c>
      <c r="D5345" s="1">
        <f>IFERROR(__xludf.DUMMYFUNCTION("""COMPUTED_VALUE"""),135.0)</f>
        <v>135</v>
      </c>
      <c r="E5345" s="1">
        <f>IFERROR(__xludf.DUMMYFUNCTION("""COMPUTED_VALUE"""),137.57)</f>
        <v>137.57</v>
      </c>
      <c r="F5345" s="1">
        <f>IFERROR(__xludf.DUMMYFUNCTION("""COMPUTED_VALUE"""),1.1175976E7)</f>
        <v>11175976</v>
      </c>
    </row>
    <row r="5346">
      <c r="A5346" s="2">
        <f>IFERROR(__xludf.DUMMYFUNCTION("""COMPUTED_VALUE"""),44285.66666666667)</f>
        <v>44285.66667</v>
      </c>
      <c r="B5346" s="1">
        <f>IFERROR(__xludf.DUMMYFUNCTION("""COMPUTED_VALUE"""),136.61)</f>
        <v>136.61</v>
      </c>
      <c r="C5346" s="1">
        <f>IFERROR(__xludf.DUMMYFUNCTION("""COMPUTED_VALUE"""),137.0)</f>
        <v>137</v>
      </c>
      <c r="D5346" s="1">
        <f>IFERROR(__xludf.DUMMYFUNCTION("""COMPUTED_VALUE"""),135.14)</f>
        <v>135.14</v>
      </c>
      <c r="E5346" s="1">
        <f>IFERROR(__xludf.DUMMYFUNCTION("""COMPUTED_VALUE"""),135.45)</f>
        <v>135.45</v>
      </c>
      <c r="F5346" s="1">
        <f>IFERROR(__xludf.DUMMYFUNCTION("""COMPUTED_VALUE"""),8090641.0)</f>
        <v>8090641</v>
      </c>
    </row>
    <row r="5347">
      <c r="A5347" s="2">
        <f>IFERROR(__xludf.DUMMYFUNCTION("""COMPUTED_VALUE"""),44286.66666666667)</f>
        <v>44286.66667</v>
      </c>
      <c r="B5347" s="1">
        <f>IFERROR(__xludf.DUMMYFUNCTION("""COMPUTED_VALUE"""),135.68)</f>
        <v>135.68</v>
      </c>
      <c r="C5347" s="1">
        <f>IFERROR(__xludf.DUMMYFUNCTION("""COMPUTED_VALUE"""),136.75)</f>
        <v>136.75</v>
      </c>
      <c r="D5347" s="1">
        <f>IFERROR(__xludf.DUMMYFUNCTION("""COMPUTED_VALUE"""),135.26)</f>
        <v>135.26</v>
      </c>
      <c r="E5347" s="1">
        <f>IFERROR(__xludf.DUMMYFUNCTION("""COMPUTED_VALUE"""),135.43)</f>
        <v>135.43</v>
      </c>
      <c r="F5347" s="1">
        <f>IFERROR(__xludf.DUMMYFUNCTION("""COMPUTED_VALUE"""),9202839.0)</f>
        <v>9202839</v>
      </c>
    </row>
    <row r="5348">
      <c r="A5348" s="2">
        <f>IFERROR(__xludf.DUMMYFUNCTION("""COMPUTED_VALUE"""),44287.66666666667)</f>
        <v>44287.66667</v>
      </c>
      <c r="B5348" s="1">
        <f>IFERROR(__xludf.DUMMYFUNCTION("""COMPUTED_VALUE"""),135.05)</f>
        <v>135.05</v>
      </c>
      <c r="C5348" s="1">
        <f>IFERROR(__xludf.DUMMYFUNCTION("""COMPUTED_VALUE"""),135.48)</f>
        <v>135.48</v>
      </c>
      <c r="D5348" s="1">
        <f>IFERROR(__xludf.DUMMYFUNCTION("""COMPUTED_VALUE"""),133.33)</f>
        <v>133.33</v>
      </c>
      <c r="E5348" s="1">
        <f>IFERROR(__xludf.DUMMYFUNCTION("""COMPUTED_VALUE"""),134.28)</f>
        <v>134.28</v>
      </c>
      <c r="F5348" s="1">
        <f>IFERROR(__xludf.DUMMYFUNCTION("""COMPUTED_VALUE"""),9117845.0)</f>
        <v>9117845</v>
      </c>
    </row>
    <row r="5349">
      <c r="A5349" s="2">
        <f>IFERROR(__xludf.DUMMYFUNCTION("""COMPUTED_VALUE"""),44291.66666666667)</f>
        <v>44291.66667</v>
      </c>
      <c r="B5349" s="1">
        <f>IFERROR(__xludf.DUMMYFUNCTION("""COMPUTED_VALUE"""),134.96)</f>
        <v>134.96</v>
      </c>
      <c r="C5349" s="1">
        <f>IFERROR(__xludf.DUMMYFUNCTION("""COMPUTED_VALUE"""),137.25)</f>
        <v>137.25</v>
      </c>
      <c r="D5349" s="1">
        <f>IFERROR(__xludf.DUMMYFUNCTION("""COMPUTED_VALUE"""),134.73)</f>
        <v>134.73</v>
      </c>
      <c r="E5349" s="1">
        <f>IFERROR(__xludf.DUMMYFUNCTION("""COMPUTED_VALUE"""),136.45)</f>
        <v>136.45</v>
      </c>
      <c r="F5349" s="1">
        <f>IFERROR(__xludf.DUMMYFUNCTION("""COMPUTED_VALUE"""),8279156.0)</f>
        <v>8279156</v>
      </c>
    </row>
    <row r="5350">
      <c r="A5350" s="2">
        <f>IFERROR(__xludf.DUMMYFUNCTION("""COMPUTED_VALUE"""),44292.66666666667)</f>
        <v>44292.66667</v>
      </c>
      <c r="B5350" s="1">
        <f>IFERROR(__xludf.DUMMYFUNCTION("""COMPUTED_VALUE"""),136.0)</f>
        <v>136</v>
      </c>
      <c r="C5350" s="1">
        <f>IFERROR(__xludf.DUMMYFUNCTION("""COMPUTED_VALUE"""),137.02)</f>
        <v>137.02</v>
      </c>
      <c r="D5350" s="1">
        <f>IFERROR(__xludf.DUMMYFUNCTION("""COMPUTED_VALUE"""),135.64)</f>
        <v>135.64</v>
      </c>
      <c r="E5350" s="1">
        <f>IFERROR(__xludf.DUMMYFUNCTION("""COMPUTED_VALUE"""),136.5)</f>
        <v>136.5</v>
      </c>
      <c r="F5350" s="1">
        <f>IFERROR(__xludf.DUMMYFUNCTION("""COMPUTED_VALUE"""),6180642.0)</f>
        <v>6180642</v>
      </c>
    </row>
    <row r="5351">
      <c r="A5351" s="2">
        <f>IFERROR(__xludf.DUMMYFUNCTION("""COMPUTED_VALUE"""),44293.66666666667)</f>
        <v>44293.66667</v>
      </c>
      <c r="B5351" s="1">
        <f>IFERROR(__xludf.DUMMYFUNCTION("""COMPUTED_VALUE"""),137.12)</f>
        <v>137.12</v>
      </c>
      <c r="C5351" s="1">
        <f>IFERROR(__xludf.DUMMYFUNCTION("""COMPUTED_VALUE"""),137.33)</f>
        <v>137.33</v>
      </c>
      <c r="D5351" s="1">
        <f>IFERROR(__xludf.DUMMYFUNCTION("""COMPUTED_VALUE"""),136.25)</f>
        <v>136.25</v>
      </c>
      <c r="E5351" s="1">
        <f>IFERROR(__xludf.DUMMYFUNCTION("""COMPUTED_VALUE"""),136.74)</f>
        <v>136.74</v>
      </c>
      <c r="F5351" s="1">
        <f>IFERROR(__xludf.DUMMYFUNCTION("""COMPUTED_VALUE"""),1.0244622E7)</f>
        <v>10244622</v>
      </c>
    </row>
    <row r="5352">
      <c r="A5352" s="2">
        <f>IFERROR(__xludf.DUMMYFUNCTION("""COMPUTED_VALUE"""),44294.66666666667)</f>
        <v>44294.66667</v>
      </c>
      <c r="B5352" s="1">
        <f>IFERROR(__xludf.DUMMYFUNCTION("""COMPUTED_VALUE"""),136.9)</f>
        <v>136.9</v>
      </c>
      <c r="C5352" s="1">
        <f>IFERROR(__xludf.DUMMYFUNCTION("""COMPUTED_VALUE"""),137.63)</f>
        <v>137.63</v>
      </c>
      <c r="D5352" s="1">
        <f>IFERROR(__xludf.DUMMYFUNCTION("""COMPUTED_VALUE"""),136.59)</f>
        <v>136.59</v>
      </c>
      <c r="E5352" s="1">
        <f>IFERROR(__xludf.DUMMYFUNCTION("""COMPUTED_VALUE"""),137.26)</f>
        <v>137.26</v>
      </c>
      <c r="F5352" s="1">
        <f>IFERROR(__xludf.DUMMYFUNCTION("""COMPUTED_VALUE"""),6190528.0)</f>
        <v>6190528</v>
      </c>
    </row>
    <row r="5353">
      <c r="A5353" s="2">
        <f>IFERROR(__xludf.DUMMYFUNCTION("""COMPUTED_VALUE"""),44295.66666666667)</f>
        <v>44295.66667</v>
      </c>
      <c r="B5353" s="1">
        <f>IFERROR(__xludf.DUMMYFUNCTION("""COMPUTED_VALUE"""),136.51)</f>
        <v>136.51</v>
      </c>
      <c r="C5353" s="1">
        <f>IFERROR(__xludf.DUMMYFUNCTION("""COMPUTED_VALUE"""),137.27)</f>
        <v>137.27</v>
      </c>
      <c r="D5353" s="1">
        <f>IFERROR(__xludf.DUMMYFUNCTION("""COMPUTED_VALUE"""),135.56)</f>
        <v>135.56</v>
      </c>
      <c r="E5353" s="1">
        <f>IFERROR(__xludf.DUMMYFUNCTION("""COMPUTED_VALUE"""),136.37)</f>
        <v>136.37</v>
      </c>
      <c r="F5353" s="1">
        <f>IFERROR(__xludf.DUMMYFUNCTION("""COMPUTED_VALUE"""),5855637.0)</f>
        <v>5855637</v>
      </c>
    </row>
    <row r="5354">
      <c r="A5354" s="2">
        <f>IFERROR(__xludf.DUMMYFUNCTION("""COMPUTED_VALUE"""),44298.66666666667)</f>
        <v>44298.66667</v>
      </c>
      <c r="B5354" s="1">
        <f>IFERROR(__xludf.DUMMYFUNCTION("""COMPUTED_VALUE"""),136.5)</f>
        <v>136.5</v>
      </c>
      <c r="C5354" s="1">
        <f>IFERROR(__xludf.DUMMYFUNCTION("""COMPUTED_VALUE"""),137.04)</f>
        <v>137.04</v>
      </c>
      <c r="D5354" s="1">
        <f>IFERROR(__xludf.DUMMYFUNCTION("""COMPUTED_VALUE"""),135.71)</f>
        <v>135.71</v>
      </c>
      <c r="E5354" s="1">
        <f>IFERROR(__xludf.DUMMYFUNCTION("""COMPUTED_VALUE"""),136.92)</f>
        <v>136.92</v>
      </c>
      <c r="F5354" s="1">
        <f>IFERROR(__xludf.DUMMYFUNCTION("""COMPUTED_VALUE"""),6441042.0)</f>
        <v>6441042</v>
      </c>
    </row>
    <row r="5355">
      <c r="A5355" s="2">
        <f>IFERROR(__xludf.DUMMYFUNCTION("""COMPUTED_VALUE"""),44299.66666666667)</f>
        <v>44299.66667</v>
      </c>
      <c r="B5355" s="1">
        <f>IFERROR(__xludf.DUMMYFUNCTION("""COMPUTED_VALUE"""),136.02)</f>
        <v>136.02</v>
      </c>
      <c r="C5355" s="1">
        <f>IFERROR(__xludf.DUMMYFUNCTION("""COMPUTED_VALUE"""),136.39)</f>
        <v>136.39</v>
      </c>
      <c r="D5355" s="1">
        <f>IFERROR(__xludf.DUMMYFUNCTION("""COMPUTED_VALUE"""),134.84)</f>
        <v>134.84</v>
      </c>
      <c r="E5355" s="1">
        <f>IFERROR(__xludf.DUMMYFUNCTION("""COMPUTED_VALUE"""),135.11)</f>
        <v>135.11</v>
      </c>
      <c r="F5355" s="1">
        <f>IFERROR(__xludf.DUMMYFUNCTION("""COMPUTED_VALUE"""),9161190.0)</f>
        <v>9161190</v>
      </c>
    </row>
    <row r="5356">
      <c r="A5356" s="2">
        <f>IFERROR(__xludf.DUMMYFUNCTION("""COMPUTED_VALUE"""),44300.66666666667)</f>
        <v>44300.66667</v>
      </c>
      <c r="B5356" s="1">
        <f>IFERROR(__xludf.DUMMYFUNCTION("""COMPUTED_VALUE"""),135.52)</f>
        <v>135.52</v>
      </c>
      <c r="C5356" s="1">
        <f>IFERROR(__xludf.DUMMYFUNCTION("""COMPUTED_VALUE"""),135.79)</f>
        <v>135.79</v>
      </c>
      <c r="D5356" s="1">
        <f>IFERROR(__xludf.DUMMYFUNCTION("""COMPUTED_VALUE"""),134.58)</f>
        <v>134.58</v>
      </c>
      <c r="E5356" s="1">
        <f>IFERROR(__xludf.DUMMYFUNCTION("""COMPUTED_VALUE"""),135.6)</f>
        <v>135.6</v>
      </c>
      <c r="F5356" s="1">
        <f>IFERROR(__xludf.DUMMYFUNCTION("""COMPUTED_VALUE"""),7584034.0)</f>
        <v>7584034</v>
      </c>
    </row>
    <row r="5357">
      <c r="A5357" s="2">
        <f>IFERROR(__xludf.DUMMYFUNCTION("""COMPUTED_VALUE"""),44301.66666666667)</f>
        <v>44301.66667</v>
      </c>
      <c r="B5357" s="1">
        <f>IFERROR(__xludf.DUMMYFUNCTION("""COMPUTED_VALUE"""),135.97)</f>
        <v>135.97</v>
      </c>
      <c r="C5357" s="1">
        <f>IFERROR(__xludf.DUMMYFUNCTION("""COMPUTED_VALUE"""),137.76)</f>
        <v>137.76</v>
      </c>
      <c r="D5357" s="1">
        <f>IFERROR(__xludf.DUMMYFUNCTION("""COMPUTED_VALUE"""),135.87)</f>
        <v>135.87</v>
      </c>
      <c r="E5357" s="1">
        <f>IFERROR(__xludf.DUMMYFUNCTION("""COMPUTED_VALUE"""),137.24)</f>
        <v>137.24</v>
      </c>
      <c r="F5357" s="1">
        <f>IFERROR(__xludf.DUMMYFUNCTION("""COMPUTED_VALUE"""),7945349.0)</f>
        <v>7945349</v>
      </c>
    </row>
    <row r="5358">
      <c r="A5358" s="2">
        <f>IFERROR(__xludf.DUMMYFUNCTION("""COMPUTED_VALUE"""),44302.66666666667)</f>
        <v>44302.66667</v>
      </c>
      <c r="B5358" s="1">
        <f>IFERROR(__xludf.DUMMYFUNCTION("""COMPUTED_VALUE"""),137.61)</f>
        <v>137.61</v>
      </c>
      <c r="C5358" s="1">
        <f>IFERROR(__xludf.DUMMYFUNCTION("""COMPUTED_VALUE"""),137.9)</f>
        <v>137.9</v>
      </c>
      <c r="D5358" s="1">
        <f>IFERROR(__xludf.DUMMYFUNCTION("""COMPUTED_VALUE"""),136.88)</f>
        <v>136.88</v>
      </c>
      <c r="E5358" s="1">
        <f>IFERROR(__xludf.DUMMYFUNCTION("""COMPUTED_VALUE"""),137.25)</f>
        <v>137.25</v>
      </c>
      <c r="F5358" s="1">
        <f>IFERROR(__xludf.DUMMYFUNCTION("""COMPUTED_VALUE"""),7708478.0)</f>
        <v>7708478</v>
      </c>
    </row>
    <row r="5359">
      <c r="A5359" s="2">
        <f>IFERROR(__xludf.DUMMYFUNCTION("""COMPUTED_VALUE"""),44305.66666666667)</f>
        <v>44305.66667</v>
      </c>
      <c r="B5359" s="1">
        <f>IFERROR(__xludf.DUMMYFUNCTION("""COMPUTED_VALUE"""),136.94)</f>
        <v>136.94</v>
      </c>
      <c r="C5359" s="1">
        <f>IFERROR(__xludf.DUMMYFUNCTION("""COMPUTED_VALUE"""),137.08)</f>
        <v>137.08</v>
      </c>
      <c r="D5359" s="1">
        <f>IFERROR(__xludf.DUMMYFUNCTION("""COMPUTED_VALUE"""),135.39)</f>
        <v>135.39</v>
      </c>
      <c r="E5359" s="1">
        <f>IFERROR(__xludf.DUMMYFUNCTION("""COMPUTED_VALUE"""),136.61)</f>
        <v>136.61</v>
      </c>
      <c r="F5359" s="1">
        <f>IFERROR(__xludf.DUMMYFUNCTION("""COMPUTED_VALUE"""),9149433.0)</f>
        <v>9149433</v>
      </c>
    </row>
    <row r="5360">
      <c r="A5360" s="2">
        <f>IFERROR(__xludf.DUMMYFUNCTION("""COMPUTED_VALUE"""),44306.66666666667)</f>
        <v>44306.66667</v>
      </c>
      <c r="B5360" s="1">
        <f>IFERROR(__xludf.DUMMYFUNCTION("""COMPUTED_VALUE"""),134.84)</f>
        <v>134.84</v>
      </c>
      <c r="C5360" s="1">
        <f>IFERROR(__xludf.DUMMYFUNCTION("""COMPUTED_VALUE"""),138.59)</f>
        <v>138.59</v>
      </c>
      <c r="D5360" s="1">
        <f>IFERROR(__xludf.DUMMYFUNCTION("""COMPUTED_VALUE"""),133.53)</f>
        <v>133.53</v>
      </c>
      <c r="E5360" s="1">
        <f>IFERROR(__xludf.DUMMYFUNCTION("""COMPUTED_VALUE"""),137.75)</f>
        <v>137.75</v>
      </c>
      <c r="F5360" s="1">
        <f>IFERROR(__xludf.DUMMYFUNCTION("""COMPUTED_VALUE"""),1.0040612E7)</f>
        <v>10040612</v>
      </c>
    </row>
    <row r="5361">
      <c r="A5361" s="2">
        <f>IFERROR(__xludf.DUMMYFUNCTION("""COMPUTED_VALUE"""),44307.66666666667)</f>
        <v>44307.66667</v>
      </c>
      <c r="B5361" s="1">
        <f>IFERROR(__xludf.DUMMYFUNCTION("""COMPUTED_VALUE"""),137.89)</f>
        <v>137.89</v>
      </c>
      <c r="C5361" s="1">
        <f>IFERROR(__xludf.DUMMYFUNCTION("""COMPUTED_VALUE"""),138.57)</f>
        <v>138.57</v>
      </c>
      <c r="D5361" s="1">
        <f>IFERROR(__xludf.DUMMYFUNCTION("""COMPUTED_VALUE"""),136.6)</f>
        <v>136.6</v>
      </c>
      <c r="E5361" s="1">
        <f>IFERROR(__xludf.DUMMYFUNCTION("""COMPUTED_VALUE"""),136.85)</f>
        <v>136.85</v>
      </c>
      <c r="F5361" s="1">
        <f>IFERROR(__xludf.DUMMYFUNCTION("""COMPUTED_VALUE"""),8465869.0)</f>
        <v>8465869</v>
      </c>
    </row>
    <row r="5362">
      <c r="A5362" s="2">
        <f>IFERROR(__xludf.DUMMYFUNCTION("""COMPUTED_VALUE"""),44308.66666666667)</f>
        <v>44308.66667</v>
      </c>
      <c r="B5362" s="1">
        <f>IFERROR(__xludf.DUMMYFUNCTION("""COMPUTED_VALUE"""),135.37)</f>
        <v>135.37</v>
      </c>
      <c r="C5362" s="1">
        <f>IFERROR(__xludf.DUMMYFUNCTION("""COMPUTED_VALUE"""),135.79)</f>
        <v>135.79</v>
      </c>
      <c r="D5362" s="1">
        <f>IFERROR(__xludf.DUMMYFUNCTION("""COMPUTED_VALUE"""),134.06)</f>
        <v>134.06</v>
      </c>
      <c r="E5362" s="1">
        <f>IFERROR(__xludf.DUMMYFUNCTION("""COMPUTED_VALUE"""),134.63)</f>
        <v>134.63</v>
      </c>
      <c r="F5362" s="1">
        <f>IFERROR(__xludf.DUMMYFUNCTION("""COMPUTED_VALUE"""),7338314.0)</f>
        <v>7338314</v>
      </c>
    </row>
    <row r="5363">
      <c r="A5363" s="2">
        <f>IFERROR(__xludf.DUMMYFUNCTION("""COMPUTED_VALUE"""),44309.66666666667)</f>
        <v>44309.66667</v>
      </c>
      <c r="B5363" s="1">
        <f>IFERROR(__xludf.DUMMYFUNCTION("""COMPUTED_VALUE"""),134.93)</f>
        <v>134.93</v>
      </c>
      <c r="C5363" s="1">
        <f>IFERROR(__xludf.DUMMYFUNCTION("""COMPUTED_VALUE"""),135.08)</f>
        <v>135.08</v>
      </c>
      <c r="D5363" s="1">
        <f>IFERROR(__xludf.DUMMYFUNCTION("""COMPUTED_VALUE"""),133.25)</f>
        <v>133.25</v>
      </c>
      <c r="E5363" s="1">
        <f>IFERROR(__xludf.DUMMYFUNCTION("""COMPUTED_VALUE"""),133.94)</f>
        <v>133.94</v>
      </c>
      <c r="F5363" s="1">
        <f>IFERROR(__xludf.DUMMYFUNCTION("""COMPUTED_VALUE"""),6708718.0)</f>
        <v>6708718</v>
      </c>
    </row>
    <row r="5364">
      <c r="A5364" s="2">
        <f>IFERROR(__xludf.DUMMYFUNCTION("""COMPUTED_VALUE"""),44312.66666666667)</f>
        <v>44312.66667</v>
      </c>
      <c r="B5364" s="1">
        <f>IFERROR(__xludf.DUMMYFUNCTION("""COMPUTED_VALUE"""),133.49)</f>
        <v>133.49</v>
      </c>
      <c r="C5364" s="1">
        <f>IFERROR(__xludf.DUMMYFUNCTION("""COMPUTED_VALUE"""),133.76)</f>
        <v>133.76</v>
      </c>
      <c r="D5364" s="1">
        <f>IFERROR(__xludf.DUMMYFUNCTION("""COMPUTED_VALUE"""),131.17)</f>
        <v>131.17</v>
      </c>
      <c r="E5364" s="1">
        <f>IFERROR(__xludf.DUMMYFUNCTION("""COMPUTED_VALUE"""),131.26)</f>
        <v>131.26</v>
      </c>
      <c r="F5364" s="1">
        <f>IFERROR(__xludf.DUMMYFUNCTION("""COMPUTED_VALUE"""),9910569.0)</f>
        <v>9910569</v>
      </c>
    </row>
    <row r="5365">
      <c r="A5365" s="2">
        <f>IFERROR(__xludf.DUMMYFUNCTION("""COMPUTED_VALUE"""),44313.66666666667)</f>
        <v>44313.66667</v>
      </c>
      <c r="B5365" s="1">
        <f>IFERROR(__xludf.DUMMYFUNCTION("""COMPUTED_VALUE"""),131.24)</f>
        <v>131.24</v>
      </c>
      <c r="C5365" s="1">
        <f>IFERROR(__xludf.DUMMYFUNCTION("""COMPUTED_VALUE"""),131.89)</f>
        <v>131.89</v>
      </c>
      <c r="D5365" s="1">
        <f>IFERROR(__xludf.DUMMYFUNCTION("""COMPUTED_VALUE"""),130.29)</f>
        <v>130.29</v>
      </c>
      <c r="E5365" s="1">
        <f>IFERROR(__xludf.DUMMYFUNCTION("""COMPUTED_VALUE"""),131.18)</f>
        <v>131.18</v>
      </c>
      <c r="F5365" s="1">
        <f>IFERROR(__xludf.DUMMYFUNCTION("""COMPUTED_VALUE"""),8297033.0)</f>
        <v>8297033</v>
      </c>
    </row>
    <row r="5366">
      <c r="A5366" s="2">
        <f>IFERROR(__xludf.DUMMYFUNCTION("""COMPUTED_VALUE"""),44314.66666666667)</f>
        <v>44314.66667</v>
      </c>
      <c r="B5366" s="1">
        <f>IFERROR(__xludf.DUMMYFUNCTION("""COMPUTED_VALUE"""),131.71)</f>
        <v>131.71</v>
      </c>
      <c r="C5366" s="1">
        <f>IFERROR(__xludf.DUMMYFUNCTION("""COMPUTED_VALUE"""),131.85)</f>
        <v>131.85</v>
      </c>
      <c r="D5366" s="1">
        <f>IFERROR(__xludf.DUMMYFUNCTION("""COMPUTED_VALUE"""),130.88)</f>
        <v>130.88</v>
      </c>
      <c r="E5366" s="1">
        <f>IFERROR(__xludf.DUMMYFUNCTION("""COMPUTED_VALUE"""),131.4)</f>
        <v>131.4</v>
      </c>
      <c r="F5366" s="1">
        <f>IFERROR(__xludf.DUMMYFUNCTION("""COMPUTED_VALUE"""),6262789.0)</f>
        <v>6262789</v>
      </c>
    </row>
    <row r="5367">
      <c r="A5367" s="2">
        <f>IFERROR(__xludf.DUMMYFUNCTION("""COMPUTED_VALUE"""),44315.66666666667)</f>
        <v>44315.66667</v>
      </c>
      <c r="B5367" s="1">
        <f>IFERROR(__xludf.DUMMYFUNCTION("""COMPUTED_VALUE"""),131.31)</f>
        <v>131.31</v>
      </c>
      <c r="C5367" s="1">
        <f>IFERROR(__xludf.DUMMYFUNCTION("""COMPUTED_VALUE"""),132.99)</f>
        <v>132.99</v>
      </c>
      <c r="D5367" s="1">
        <f>IFERROR(__xludf.DUMMYFUNCTION("""COMPUTED_VALUE"""),131.31)</f>
        <v>131.31</v>
      </c>
      <c r="E5367" s="1">
        <f>IFERROR(__xludf.DUMMYFUNCTION("""COMPUTED_VALUE"""),132.51)</f>
        <v>132.51</v>
      </c>
      <c r="F5367" s="1">
        <f>IFERROR(__xludf.DUMMYFUNCTION("""COMPUTED_VALUE"""),6786955.0)</f>
        <v>6786955</v>
      </c>
    </row>
    <row r="5368">
      <c r="A5368" s="2">
        <f>IFERROR(__xludf.DUMMYFUNCTION("""COMPUTED_VALUE"""),44316.66666666667)</f>
        <v>44316.66667</v>
      </c>
      <c r="B5368" s="1">
        <f>IFERROR(__xludf.DUMMYFUNCTION("""COMPUTED_VALUE"""),132.75)</f>
        <v>132.75</v>
      </c>
      <c r="C5368" s="1">
        <f>IFERROR(__xludf.DUMMYFUNCTION("""COMPUTED_VALUE"""),133.67)</f>
        <v>133.67</v>
      </c>
      <c r="D5368" s="1">
        <f>IFERROR(__xludf.DUMMYFUNCTION("""COMPUTED_VALUE"""),132.26)</f>
        <v>132.26</v>
      </c>
      <c r="E5368" s="1">
        <f>IFERROR(__xludf.DUMMYFUNCTION("""COMPUTED_VALUE"""),133.42)</f>
        <v>133.42</v>
      </c>
      <c r="F5368" s="1">
        <f>IFERROR(__xludf.DUMMYFUNCTION("""COMPUTED_VALUE"""),9188831.0)</f>
        <v>9188831</v>
      </c>
    </row>
    <row r="5369">
      <c r="A5369" s="2">
        <f>IFERROR(__xludf.DUMMYFUNCTION("""COMPUTED_VALUE"""),44319.66666666667)</f>
        <v>44319.66667</v>
      </c>
      <c r="B5369" s="1">
        <f>IFERROR(__xludf.DUMMYFUNCTION("""COMPUTED_VALUE"""),134.03)</f>
        <v>134.03</v>
      </c>
      <c r="C5369" s="1">
        <f>IFERROR(__xludf.DUMMYFUNCTION("""COMPUTED_VALUE"""),135.68)</f>
        <v>135.68</v>
      </c>
      <c r="D5369" s="1">
        <f>IFERROR(__xludf.DUMMYFUNCTION("""COMPUTED_VALUE"""),134.03)</f>
        <v>134.03</v>
      </c>
      <c r="E5369" s="1">
        <f>IFERROR(__xludf.DUMMYFUNCTION("""COMPUTED_VALUE"""),135.0)</f>
        <v>135</v>
      </c>
      <c r="F5369" s="1">
        <f>IFERROR(__xludf.DUMMYFUNCTION("""COMPUTED_VALUE"""),8070288.0)</f>
        <v>8070288</v>
      </c>
    </row>
    <row r="5370">
      <c r="A5370" s="2">
        <f>IFERROR(__xludf.DUMMYFUNCTION("""COMPUTED_VALUE"""),44320.66666666667)</f>
        <v>44320.66667</v>
      </c>
      <c r="B5370" s="1">
        <f>IFERROR(__xludf.DUMMYFUNCTION("""COMPUTED_VALUE"""),134.98)</f>
        <v>134.98</v>
      </c>
      <c r="C5370" s="1">
        <f>IFERROR(__xludf.DUMMYFUNCTION("""COMPUTED_VALUE"""),135.83)</f>
        <v>135.83</v>
      </c>
      <c r="D5370" s="1">
        <f>IFERROR(__xludf.DUMMYFUNCTION("""COMPUTED_VALUE"""),134.21)</f>
        <v>134.21</v>
      </c>
      <c r="E5370" s="1">
        <f>IFERROR(__xludf.DUMMYFUNCTION("""COMPUTED_VALUE"""),134.54)</f>
        <v>134.54</v>
      </c>
      <c r="F5370" s="1">
        <f>IFERROR(__xludf.DUMMYFUNCTION("""COMPUTED_VALUE"""),9624263.0)</f>
        <v>9624263</v>
      </c>
    </row>
    <row r="5371">
      <c r="A5371" s="2">
        <f>IFERROR(__xludf.DUMMYFUNCTION("""COMPUTED_VALUE"""),44321.66666666667)</f>
        <v>44321.66667</v>
      </c>
      <c r="B5371" s="1">
        <f>IFERROR(__xludf.DUMMYFUNCTION("""COMPUTED_VALUE"""),134.37)</f>
        <v>134.37</v>
      </c>
      <c r="C5371" s="1">
        <f>IFERROR(__xludf.DUMMYFUNCTION("""COMPUTED_VALUE"""),134.47)</f>
        <v>134.47</v>
      </c>
      <c r="D5371" s="1">
        <f>IFERROR(__xludf.DUMMYFUNCTION("""COMPUTED_VALUE"""),133.37)</f>
        <v>133.37</v>
      </c>
      <c r="E5371" s="1">
        <f>IFERROR(__xludf.DUMMYFUNCTION("""COMPUTED_VALUE"""),133.46)</f>
        <v>133.46</v>
      </c>
      <c r="F5371" s="1">
        <f>IFERROR(__xludf.DUMMYFUNCTION("""COMPUTED_VALUE"""),5683444.0)</f>
        <v>5683444</v>
      </c>
    </row>
    <row r="5372">
      <c r="A5372" s="2">
        <f>IFERROR(__xludf.DUMMYFUNCTION("""COMPUTED_VALUE"""),44322.66666666667)</f>
        <v>44322.66667</v>
      </c>
      <c r="B5372" s="1">
        <f>IFERROR(__xludf.DUMMYFUNCTION("""COMPUTED_VALUE"""),134.01)</f>
        <v>134.01</v>
      </c>
      <c r="C5372" s="1">
        <f>IFERROR(__xludf.DUMMYFUNCTION("""COMPUTED_VALUE"""),135.37)</f>
        <v>135.37</v>
      </c>
      <c r="D5372" s="1">
        <f>IFERROR(__xludf.DUMMYFUNCTION("""COMPUTED_VALUE"""),133.92)</f>
        <v>133.92</v>
      </c>
      <c r="E5372" s="1">
        <f>IFERROR(__xludf.DUMMYFUNCTION("""COMPUTED_VALUE"""),135.14)</f>
        <v>135.14</v>
      </c>
      <c r="F5372" s="1">
        <f>IFERROR(__xludf.DUMMYFUNCTION("""COMPUTED_VALUE"""),9771262.0)</f>
        <v>9771262</v>
      </c>
    </row>
    <row r="5373">
      <c r="A5373" s="2">
        <f>IFERROR(__xludf.DUMMYFUNCTION("""COMPUTED_VALUE"""),44323.66666666667)</f>
        <v>44323.66667</v>
      </c>
      <c r="B5373" s="1">
        <f>IFERROR(__xludf.DUMMYFUNCTION("""COMPUTED_VALUE"""),135.08)</f>
        <v>135.08</v>
      </c>
      <c r="C5373" s="1">
        <f>IFERROR(__xludf.DUMMYFUNCTION("""COMPUTED_VALUE"""),136.03)</f>
        <v>136.03</v>
      </c>
      <c r="D5373" s="1">
        <f>IFERROR(__xludf.DUMMYFUNCTION("""COMPUTED_VALUE"""),134.76)</f>
        <v>134.76</v>
      </c>
      <c r="E5373" s="1">
        <f>IFERROR(__xludf.DUMMYFUNCTION("""COMPUTED_VALUE"""),135.15)</f>
        <v>135.15</v>
      </c>
      <c r="F5373" s="1">
        <f>IFERROR(__xludf.DUMMYFUNCTION("""COMPUTED_VALUE"""),6299182.0)</f>
        <v>6299182</v>
      </c>
    </row>
    <row r="5374">
      <c r="A5374" s="2">
        <f>IFERROR(__xludf.DUMMYFUNCTION("""COMPUTED_VALUE"""),44326.66666666667)</f>
        <v>44326.66667</v>
      </c>
      <c r="B5374" s="1">
        <f>IFERROR(__xludf.DUMMYFUNCTION("""COMPUTED_VALUE"""),135.89)</f>
        <v>135.89</v>
      </c>
      <c r="C5374" s="1">
        <f>IFERROR(__xludf.DUMMYFUNCTION("""COMPUTED_VALUE"""),138.42)</f>
        <v>138.42</v>
      </c>
      <c r="D5374" s="1">
        <f>IFERROR(__xludf.DUMMYFUNCTION("""COMPUTED_VALUE"""),135.69)</f>
        <v>135.69</v>
      </c>
      <c r="E5374" s="1">
        <f>IFERROR(__xludf.DUMMYFUNCTION("""COMPUTED_VALUE"""),137.67)</f>
        <v>137.67</v>
      </c>
      <c r="F5374" s="1">
        <f>IFERROR(__xludf.DUMMYFUNCTION("""COMPUTED_VALUE"""),8852710.0)</f>
        <v>8852710</v>
      </c>
    </row>
    <row r="5375">
      <c r="A5375" s="2">
        <f>IFERROR(__xludf.DUMMYFUNCTION("""COMPUTED_VALUE"""),44327.66666666667)</f>
        <v>44327.66667</v>
      </c>
      <c r="B5375" s="1">
        <f>IFERROR(__xludf.DUMMYFUNCTION("""COMPUTED_VALUE"""),138.49)</f>
        <v>138.49</v>
      </c>
      <c r="C5375" s="1">
        <f>IFERROR(__xludf.DUMMYFUNCTION("""COMPUTED_VALUE"""),138.79)</f>
        <v>138.79</v>
      </c>
      <c r="D5375" s="1">
        <f>IFERROR(__xludf.DUMMYFUNCTION("""COMPUTED_VALUE"""),136.47)</f>
        <v>136.47</v>
      </c>
      <c r="E5375" s="1">
        <f>IFERROR(__xludf.DUMMYFUNCTION("""COMPUTED_VALUE"""),136.99)</f>
        <v>136.99</v>
      </c>
      <c r="F5375" s="1">
        <f>IFERROR(__xludf.DUMMYFUNCTION("""COMPUTED_VALUE"""),1.0973728E7)</f>
        <v>10973728</v>
      </c>
    </row>
    <row r="5376">
      <c r="A5376" s="2">
        <f>IFERROR(__xludf.DUMMYFUNCTION("""COMPUTED_VALUE"""),44328.66666666667)</f>
        <v>44328.66667</v>
      </c>
      <c r="B5376" s="1">
        <f>IFERROR(__xludf.DUMMYFUNCTION("""COMPUTED_VALUE"""),136.49)</f>
        <v>136.49</v>
      </c>
      <c r="C5376" s="1">
        <f>IFERROR(__xludf.DUMMYFUNCTION("""COMPUTED_VALUE"""),137.0)</f>
        <v>137</v>
      </c>
      <c r="D5376" s="1">
        <f>IFERROR(__xludf.DUMMYFUNCTION("""COMPUTED_VALUE"""),135.49)</f>
        <v>135.49</v>
      </c>
      <c r="E5376" s="1">
        <f>IFERROR(__xludf.DUMMYFUNCTION("""COMPUTED_VALUE"""),135.54)</f>
        <v>135.54</v>
      </c>
      <c r="F5376" s="1">
        <f>IFERROR(__xludf.DUMMYFUNCTION("""COMPUTED_VALUE"""),8853733.0)</f>
        <v>8853733</v>
      </c>
    </row>
    <row r="5377">
      <c r="A5377" s="2">
        <f>IFERROR(__xludf.DUMMYFUNCTION("""COMPUTED_VALUE"""),44329.66666666667)</f>
        <v>44329.66667</v>
      </c>
      <c r="B5377" s="1">
        <f>IFERROR(__xludf.DUMMYFUNCTION("""COMPUTED_VALUE"""),135.89)</f>
        <v>135.89</v>
      </c>
      <c r="C5377" s="1">
        <f>IFERROR(__xludf.DUMMYFUNCTION("""COMPUTED_VALUE"""),138.53)</f>
        <v>138.53</v>
      </c>
      <c r="D5377" s="1">
        <f>IFERROR(__xludf.DUMMYFUNCTION("""COMPUTED_VALUE"""),135.39)</f>
        <v>135.39</v>
      </c>
      <c r="E5377" s="1">
        <f>IFERROR(__xludf.DUMMYFUNCTION("""COMPUTED_VALUE"""),137.72)</f>
        <v>137.72</v>
      </c>
      <c r="F5377" s="1">
        <f>IFERROR(__xludf.DUMMYFUNCTION("""COMPUTED_VALUE"""),8753803.0)</f>
        <v>8753803</v>
      </c>
    </row>
    <row r="5378">
      <c r="A5378" s="2">
        <f>IFERROR(__xludf.DUMMYFUNCTION("""COMPUTED_VALUE"""),44330.66666666667)</f>
        <v>44330.66667</v>
      </c>
      <c r="B5378" s="1">
        <f>IFERROR(__xludf.DUMMYFUNCTION("""COMPUTED_VALUE"""),137.67)</f>
        <v>137.67</v>
      </c>
      <c r="C5378" s="1">
        <f>IFERROR(__xludf.DUMMYFUNCTION("""COMPUTED_VALUE"""),139.1)</f>
        <v>139.1</v>
      </c>
      <c r="D5378" s="1">
        <f>IFERROR(__xludf.DUMMYFUNCTION("""COMPUTED_VALUE"""),137.67)</f>
        <v>137.67</v>
      </c>
      <c r="E5378" s="1">
        <f>IFERROR(__xludf.DUMMYFUNCTION("""COMPUTED_VALUE"""),138.01)</f>
        <v>138.01</v>
      </c>
      <c r="F5378" s="1">
        <f>IFERROR(__xludf.DUMMYFUNCTION("""COMPUTED_VALUE"""),5989760.0)</f>
        <v>5989760</v>
      </c>
    </row>
    <row r="5379">
      <c r="A5379" s="2">
        <f>IFERROR(__xludf.DUMMYFUNCTION("""COMPUTED_VALUE"""),44333.66666666667)</f>
        <v>44333.66667</v>
      </c>
      <c r="B5379" s="1">
        <f>IFERROR(__xludf.DUMMYFUNCTION("""COMPUTED_VALUE"""),137.97)</f>
        <v>137.97</v>
      </c>
      <c r="C5379" s="1">
        <f>IFERROR(__xludf.DUMMYFUNCTION("""COMPUTED_VALUE"""),139.07)</f>
        <v>139.07</v>
      </c>
      <c r="D5379" s="1">
        <f>IFERROR(__xludf.DUMMYFUNCTION("""COMPUTED_VALUE"""),137.61)</f>
        <v>137.61</v>
      </c>
      <c r="E5379" s="1">
        <f>IFERROR(__xludf.DUMMYFUNCTION("""COMPUTED_VALUE"""),137.73)</f>
        <v>137.73</v>
      </c>
      <c r="F5379" s="1">
        <f>IFERROR(__xludf.DUMMYFUNCTION("""COMPUTED_VALUE"""),7690705.0)</f>
        <v>7690705</v>
      </c>
    </row>
    <row r="5380">
      <c r="A5380" s="2">
        <f>IFERROR(__xludf.DUMMYFUNCTION("""COMPUTED_VALUE"""),44334.66666666667)</f>
        <v>44334.66667</v>
      </c>
      <c r="B5380" s="1">
        <f>IFERROR(__xludf.DUMMYFUNCTION("""COMPUTED_VALUE"""),136.46)</f>
        <v>136.46</v>
      </c>
      <c r="C5380" s="1">
        <f>IFERROR(__xludf.DUMMYFUNCTION("""COMPUTED_VALUE"""),137.83)</f>
        <v>137.83</v>
      </c>
      <c r="D5380" s="1">
        <f>IFERROR(__xludf.DUMMYFUNCTION("""COMPUTED_VALUE"""),136.15)</f>
        <v>136.15</v>
      </c>
      <c r="E5380" s="1">
        <f>IFERROR(__xludf.DUMMYFUNCTION("""COMPUTED_VALUE"""),136.32)</f>
        <v>136.32</v>
      </c>
      <c r="F5380" s="1">
        <f>IFERROR(__xludf.DUMMYFUNCTION("""COMPUTED_VALUE"""),9239099.0)</f>
        <v>9239099</v>
      </c>
    </row>
    <row r="5381">
      <c r="A5381" s="2">
        <f>IFERROR(__xludf.DUMMYFUNCTION("""COMPUTED_VALUE"""),44335.66666666667)</f>
        <v>44335.66667</v>
      </c>
      <c r="B5381" s="1">
        <f>IFERROR(__xludf.DUMMYFUNCTION("""COMPUTED_VALUE"""),136.06)</f>
        <v>136.06</v>
      </c>
      <c r="C5381" s="1">
        <f>IFERROR(__xludf.DUMMYFUNCTION("""COMPUTED_VALUE"""),136.83)</f>
        <v>136.83</v>
      </c>
      <c r="D5381" s="1">
        <f>IFERROR(__xludf.DUMMYFUNCTION("""COMPUTED_VALUE"""),135.59)</f>
        <v>135.59</v>
      </c>
      <c r="E5381" s="1">
        <f>IFERROR(__xludf.DUMMYFUNCTION("""COMPUTED_VALUE"""),136.6)</f>
        <v>136.6</v>
      </c>
      <c r="F5381" s="1">
        <f>IFERROR(__xludf.DUMMYFUNCTION("""COMPUTED_VALUE"""),9807061.0)</f>
        <v>9807061</v>
      </c>
    </row>
    <row r="5382">
      <c r="A5382" s="2">
        <f>IFERROR(__xludf.DUMMYFUNCTION("""COMPUTED_VALUE"""),44336.66666666667)</f>
        <v>44336.66667</v>
      </c>
      <c r="B5382" s="1">
        <f>IFERROR(__xludf.DUMMYFUNCTION("""COMPUTED_VALUE"""),136.79)</f>
        <v>136.79</v>
      </c>
      <c r="C5382" s="1">
        <f>IFERROR(__xludf.DUMMYFUNCTION("""COMPUTED_VALUE"""),138.71)</f>
        <v>138.71</v>
      </c>
      <c r="D5382" s="1">
        <f>IFERROR(__xludf.DUMMYFUNCTION("""COMPUTED_VALUE"""),136.72)</f>
        <v>136.72</v>
      </c>
      <c r="E5382" s="1">
        <f>IFERROR(__xludf.DUMMYFUNCTION("""COMPUTED_VALUE"""),138.0)</f>
        <v>138</v>
      </c>
      <c r="F5382" s="1">
        <f>IFERROR(__xludf.DUMMYFUNCTION("""COMPUTED_VALUE"""),8768374.0)</f>
        <v>8768374</v>
      </c>
    </row>
    <row r="5383">
      <c r="A5383" s="2">
        <f>IFERROR(__xludf.DUMMYFUNCTION("""COMPUTED_VALUE"""),44337.66666666667)</f>
        <v>44337.66667</v>
      </c>
      <c r="B5383" s="1">
        <f>IFERROR(__xludf.DUMMYFUNCTION("""COMPUTED_VALUE"""),138.2)</f>
        <v>138.2</v>
      </c>
      <c r="C5383" s="1">
        <f>IFERROR(__xludf.DUMMYFUNCTION("""COMPUTED_VALUE"""),138.94)</f>
        <v>138.94</v>
      </c>
      <c r="D5383" s="1">
        <f>IFERROR(__xludf.DUMMYFUNCTION("""COMPUTED_VALUE"""),137.78)</f>
        <v>137.78</v>
      </c>
      <c r="E5383" s="1">
        <f>IFERROR(__xludf.DUMMYFUNCTION("""COMPUTED_VALUE"""),138.0)</f>
        <v>138</v>
      </c>
      <c r="F5383" s="1">
        <f>IFERROR(__xludf.DUMMYFUNCTION("""COMPUTED_VALUE"""),1.016096E7)</f>
        <v>10160960</v>
      </c>
    </row>
    <row r="5384">
      <c r="A5384" s="2">
        <f>IFERROR(__xludf.DUMMYFUNCTION("""COMPUTED_VALUE"""),44340.66666666667)</f>
        <v>44340.66667</v>
      </c>
      <c r="B5384" s="1">
        <f>IFERROR(__xludf.DUMMYFUNCTION("""COMPUTED_VALUE"""),138.0)</f>
        <v>138</v>
      </c>
      <c r="C5384" s="1">
        <f>IFERROR(__xludf.DUMMYFUNCTION("""COMPUTED_VALUE"""),138.8)</f>
        <v>138.8</v>
      </c>
      <c r="D5384" s="1">
        <f>IFERROR(__xludf.DUMMYFUNCTION("""COMPUTED_VALUE"""),137.73)</f>
        <v>137.73</v>
      </c>
      <c r="E5384" s="1">
        <f>IFERROR(__xludf.DUMMYFUNCTION("""COMPUTED_VALUE"""),137.96)</f>
        <v>137.96</v>
      </c>
      <c r="F5384" s="1">
        <f>IFERROR(__xludf.DUMMYFUNCTION("""COMPUTED_VALUE"""),6981325.0)</f>
        <v>6981325</v>
      </c>
    </row>
    <row r="5385">
      <c r="A5385" s="2">
        <f>IFERROR(__xludf.DUMMYFUNCTION("""COMPUTED_VALUE"""),44341.66666666667)</f>
        <v>44341.66667</v>
      </c>
      <c r="B5385" s="1">
        <f>IFERROR(__xludf.DUMMYFUNCTION("""COMPUTED_VALUE"""),138.05)</f>
        <v>138.05</v>
      </c>
      <c r="C5385" s="1">
        <f>IFERROR(__xludf.DUMMYFUNCTION("""COMPUTED_VALUE"""),138.48)</f>
        <v>138.48</v>
      </c>
      <c r="D5385" s="1">
        <f>IFERROR(__xludf.DUMMYFUNCTION("""COMPUTED_VALUE"""),136.75)</f>
        <v>136.75</v>
      </c>
      <c r="E5385" s="1">
        <f>IFERROR(__xludf.DUMMYFUNCTION("""COMPUTED_VALUE"""),138.43)</f>
        <v>138.43</v>
      </c>
      <c r="F5385" s="1">
        <f>IFERROR(__xludf.DUMMYFUNCTION("""COMPUTED_VALUE"""),8142437.0)</f>
        <v>8142437</v>
      </c>
    </row>
    <row r="5386">
      <c r="A5386" s="2">
        <f>IFERROR(__xludf.DUMMYFUNCTION("""COMPUTED_VALUE"""),44342.66666666667)</f>
        <v>44342.66667</v>
      </c>
      <c r="B5386" s="1">
        <f>IFERROR(__xludf.DUMMYFUNCTION("""COMPUTED_VALUE"""),138.79)</f>
        <v>138.79</v>
      </c>
      <c r="C5386" s="1">
        <f>IFERROR(__xludf.DUMMYFUNCTION("""COMPUTED_VALUE"""),138.86)</f>
        <v>138.86</v>
      </c>
      <c r="D5386" s="1">
        <f>IFERROR(__xludf.DUMMYFUNCTION("""COMPUTED_VALUE"""),137.87)</f>
        <v>137.87</v>
      </c>
      <c r="E5386" s="1">
        <f>IFERROR(__xludf.DUMMYFUNCTION("""COMPUTED_VALUE"""),138.12)</f>
        <v>138.12</v>
      </c>
      <c r="F5386" s="1">
        <f>IFERROR(__xludf.DUMMYFUNCTION("""COMPUTED_VALUE"""),8123078.0)</f>
        <v>8123078</v>
      </c>
    </row>
    <row r="5387">
      <c r="A5387" s="2">
        <f>IFERROR(__xludf.DUMMYFUNCTION("""COMPUTED_VALUE"""),44343.66666666667)</f>
        <v>44343.66667</v>
      </c>
      <c r="B5387" s="1">
        <f>IFERROR(__xludf.DUMMYFUNCTION("""COMPUTED_VALUE"""),138.12)</f>
        <v>138.12</v>
      </c>
      <c r="C5387" s="1">
        <f>IFERROR(__xludf.DUMMYFUNCTION("""COMPUTED_VALUE"""),138.28)</f>
        <v>138.28</v>
      </c>
      <c r="D5387" s="1">
        <f>IFERROR(__xludf.DUMMYFUNCTION("""COMPUTED_VALUE"""),134.66)</f>
        <v>134.66</v>
      </c>
      <c r="E5387" s="1">
        <f>IFERROR(__xludf.DUMMYFUNCTION("""COMPUTED_VALUE"""),134.98)</f>
        <v>134.98</v>
      </c>
      <c r="F5387" s="1">
        <f>IFERROR(__xludf.DUMMYFUNCTION("""COMPUTED_VALUE"""),3.3095653E7)</f>
        <v>33095653</v>
      </c>
    </row>
    <row r="5388">
      <c r="A5388" s="2">
        <f>IFERROR(__xludf.DUMMYFUNCTION("""COMPUTED_VALUE"""),44344.66666666667)</f>
        <v>44344.66667</v>
      </c>
      <c r="B5388" s="1">
        <f>IFERROR(__xludf.DUMMYFUNCTION("""COMPUTED_VALUE"""),135.15)</f>
        <v>135.15</v>
      </c>
      <c r="C5388" s="1">
        <f>IFERROR(__xludf.DUMMYFUNCTION("""COMPUTED_VALUE"""),136.13)</f>
        <v>136.13</v>
      </c>
      <c r="D5388" s="1">
        <f>IFERROR(__xludf.DUMMYFUNCTION("""COMPUTED_VALUE"""),134.64)</f>
        <v>134.64</v>
      </c>
      <c r="E5388" s="1">
        <f>IFERROR(__xludf.DUMMYFUNCTION("""COMPUTED_VALUE"""),134.85)</f>
        <v>134.85</v>
      </c>
      <c r="F5388" s="1">
        <f>IFERROR(__xludf.DUMMYFUNCTION("""COMPUTED_VALUE"""),1.0477732E7)</f>
        <v>10477732</v>
      </c>
    </row>
    <row r="5389">
      <c r="A5389" s="2">
        <f>IFERROR(__xludf.DUMMYFUNCTION("""COMPUTED_VALUE"""),44348.66666666667)</f>
        <v>44348.66667</v>
      </c>
      <c r="B5389" s="1">
        <f>IFERROR(__xludf.DUMMYFUNCTION("""COMPUTED_VALUE"""),135.79)</f>
        <v>135.79</v>
      </c>
      <c r="C5389" s="1">
        <f>IFERROR(__xludf.DUMMYFUNCTION("""COMPUTED_VALUE"""),136.0)</f>
        <v>136</v>
      </c>
      <c r="D5389" s="1">
        <f>IFERROR(__xludf.DUMMYFUNCTION("""COMPUTED_VALUE"""),132.48)</f>
        <v>132.48</v>
      </c>
      <c r="E5389" s="1">
        <f>IFERROR(__xludf.DUMMYFUNCTION("""COMPUTED_VALUE"""),132.88)</f>
        <v>132.88</v>
      </c>
      <c r="F5389" s="1">
        <f>IFERROR(__xludf.DUMMYFUNCTION("""COMPUTED_VALUE"""),9993944.0)</f>
        <v>9993944</v>
      </c>
    </row>
    <row r="5390">
      <c r="A5390" s="2">
        <f>IFERROR(__xludf.DUMMYFUNCTION("""COMPUTED_VALUE"""),44349.66666666667)</f>
        <v>44349.66667</v>
      </c>
      <c r="B5390" s="1">
        <f>IFERROR(__xludf.DUMMYFUNCTION("""COMPUTED_VALUE"""),133.0)</f>
        <v>133</v>
      </c>
      <c r="C5390" s="1">
        <f>IFERROR(__xludf.DUMMYFUNCTION("""COMPUTED_VALUE"""),133.63)</f>
        <v>133.63</v>
      </c>
      <c r="D5390" s="1">
        <f>IFERROR(__xludf.DUMMYFUNCTION("""COMPUTED_VALUE"""),132.52)</f>
        <v>132.52</v>
      </c>
      <c r="E5390" s="1">
        <f>IFERROR(__xludf.DUMMYFUNCTION("""COMPUTED_VALUE"""),133.46)</f>
        <v>133.46</v>
      </c>
      <c r="F5390" s="1">
        <f>IFERROR(__xludf.DUMMYFUNCTION("""COMPUTED_VALUE"""),8254204.0)</f>
        <v>8254204</v>
      </c>
    </row>
    <row r="5391">
      <c r="A5391" s="2">
        <f>IFERROR(__xludf.DUMMYFUNCTION("""COMPUTED_VALUE"""),44350.66666666667)</f>
        <v>44350.66667</v>
      </c>
      <c r="B5391" s="1">
        <f>IFERROR(__xludf.DUMMYFUNCTION("""COMPUTED_VALUE"""),133.23)</f>
        <v>133.23</v>
      </c>
      <c r="C5391" s="1">
        <f>IFERROR(__xludf.DUMMYFUNCTION("""COMPUTED_VALUE"""),135.91)</f>
        <v>135.91</v>
      </c>
      <c r="D5391" s="1">
        <f>IFERROR(__xludf.DUMMYFUNCTION("""COMPUTED_VALUE"""),133.2)</f>
        <v>133.2</v>
      </c>
      <c r="E5391" s="1">
        <f>IFERROR(__xludf.DUMMYFUNCTION("""COMPUTED_VALUE"""),135.85)</f>
        <v>135.85</v>
      </c>
      <c r="F5391" s="1">
        <f>IFERROR(__xludf.DUMMYFUNCTION("""COMPUTED_VALUE"""),1.1249823E7)</f>
        <v>11249823</v>
      </c>
    </row>
    <row r="5392">
      <c r="A5392" s="2">
        <f>IFERROR(__xludf.DUMMYFUNCTION("""COMPUTED_VALUE"""),44351.66666666667)</f>
        <v>44351.66667</v>
      </c>
      <c r="B5392" s="1">
        <f>IFERROR(__xludf.DUMMYFUNCTION("""COMPUTED_VALUE"""),135.7)</f>
        <v>135.7</v>
      </c>
      <c r="C5392" s="1">
        <f>IFERROR(__xludf.DUMMYFUNCTION("""COMPUTED_VALUE"""),136.62)</f>
        <v>136.62</v>
      </c>
      <c r="D5392" s="1">
        <f>IFERROR(__xludf.DUMMYFUNCTION("""COMPUTED_VALUE"""),135.4)</f>
        <v>135.4</v>
      </c>
      <c r="E5392" s="1">
        <f>IFERROR(__xludf.DUMMYFUNCTION("""COMPUTED_VALUE"""),135.95)</f>
        <v>135.95</v>
      </c>
      <c r="F5392" s="1">
        <f>IFERROR(__xludf.DUMMYFUNCTION("""COMPUTED_VALUE"""),6894439.0)</f>
        <v>6894439</v>
      </c>
    </row>
    <row r="5393">
      <c r="A5393" s="2">
        <f>IFERROR(__xludf.DUMMYFUNCTION("""COMPUTED_VALUE"""),44354.66666666667)</f>
        <v>44354.66667</v>
      </c>
      <c r="B5393" s="1">
        <f>IFERROR(__xludf.DUMMYFUNCTION("""COMPUTED_VALUE"""),136.36)</f>
        <v>136.36</v>
      </c>
      <c r="C5393" s="1">
        <f>IFERROR(__xludf.DUMMYFUNCTION("""COMPUTED_VALUE"""),136.84)</f>
        <v>136.84</v>
      </c>
      <c r="D5393" s="1">
        <f>IFERROR(__xludf.DUMMYFUNCTION("""COMPUTED_VALUE"""),135.68)</f>
        <v>135.68</v>
      </c>
      <c r="E5393" s="1">
        <f>IFERROR(__xludf.DUMMYFUNCTION("""COMPUTED_VALUE"""),136.42)</f>
        <v>136.42</v>
      </c>
      <c r="F5393" s="1">
        <f>IFERROR(__xludf.DUMMYFUNCTION("""COMPUTED_VALUE"""),8418233.0)</f>
        <v>8418233</v>
      </c>
    </row>
    <row r="5394">
      <c r="A5394" s="2">
        <f>IFERROR(__xludf.DUMMYFUNCTION("""COMPUTED_VALUE"""),44355.66666666667)</f>
        <v>44355.66667</v>
      </c>
      <c r="B5394" s="1">
        <f>IFERROR(__xludf.DUMMYFUNCTION("""COMPUTED_VALUE"""),136.68)</f>
        <v>136.68</v>
      </c>
      <c r="C5394" s="1">
        <f>IFERROR(__xludf.DUMMYFUNCTION("""COMPUTED_VALUE"""),136.75)</f>
        <v>136.75</v>
      </c>
      <c r="D5394" s="1">
        <f>IFERROR(__xludf.DUMMYFUNCTION("""COMPUTED_VALUE"""),134.75)</f>
        <v>134.75</v>
      </c>
      <c r="E5394" s="1">
        <f>IFERROR(__xludf.DUMMYFUNCTION("""COMPUTED_VALUE"""),134.84)</f>
        <v>134.84</v>
      </c>
      <c r="F5394" s="1">
        <f>IFERROR(__xludf.DUMMYFUNCTION("""COMPUTED_VALUE"""),6911504.0)</f>
        <v>6911504</v>
      </c>
    </row>
    <row r="5395">
      <c r="A5395" s="2">
        <f>IFERROR(__xludf.DUMMYFUNCTION("""COMPUTED_VALUE"""),44356.66666666667)</f>
        <v>44356.66667</v>
      </c>
      <c r="B5395" s="1">
        <f>IFERROR(__xludf.DUMMYFUNCTION("""COMPUTED_VALUE"""),135.55)</f>
        <v>135.55</v>
      </c>
      <c r="C5395" s="1">
        <f>IFERROR(__xludf.DUMMYFUNCTION("""COMPUTED_VALUE"""),136.44)</f>
        <v>136.44</v>
      </c>
      <c r="D5395" s="1">
        <f>IFERROR(__xludf.DUMMYFUNCTION("""COMPUTED_VALUE"""),134.74)</f>
        <v>134.74</v>
      </c>
      <c r="E5395" s="1">
        <f>IFERROR(__xludf.DUMMYFUNCTION("""COMPUTED_VALUE"""),134.79)</f>
        <v>134.79</v>
      </c>
      <c r="F5395" s="1">
        <f>IFERROR(__xludf.DUMMYFUNCTION("""COMPUTED_VALUE"""),6200787.0)</f>
        <v>6200787</v>
      </c>
    </row>
    <row r="5396">
      <c r="A5396" s="2">
        <f>IFERROR(__xludf.DUMMYFUNCTION("""COMPUTED_VALUE"""),44357.66666666667)</f>
        <v>44357.66667</v>
      </c>
      <c r="B5396" s="1">
        <f>IFERROR(__xludf.DUMMYFUNCTION("""COMPUTED_VALUE"""),135.02)</f>
        <v>135.02</v>
      </c>
      <c r="C5396" s="1">
        <f>IFERROR(__xludf.DUMMYFUNCTION("""COMPUTED_VALUE"""),136.35)</f>
        <v>136.35</v>
      </c>
      <c r="D5396" s="1">
        <f>IFERROR(__xludf.DUMMYFUNCTION("""COMPUTED_VALUE"""),134.62)</f>
        <v>134.62</v>
      </c>
      <c r="E5396" s="1">
        <f>IFERROR(__xludf.DUMMYFUNCTION("""COMPUTED_VALUE"""),135.79)</f>
        <v>135.79</v>
      </c>
      <c r="F5396" s="1">
        <f>IFERROR(__xludf.DUMMYFUNCTION("""COMPUTED_VALUE"""),6515559.0)</f>
        <v>6515559</v>
      </c>
    </row>
    <row r="5397">
      <c r="A5397" s="2">
        <f>IFERROR(__xludf.DUMMYFUNCTION("""COMPUTED_VALUE"""),44358.66666666667)</f>
        <v>44358.66667</v>
      </c>
      <c r="B5397" s="1">
        <f>IFERROR(__xludf.DUMMYFUNCTION("""COMPUTED_VALUE"""),135.75)</f>
        <v>135.75</v>
      </c>
      <c r="C5397" s="1">
        <f>IFERROR(__xludf.DUMMYFUNCTION("""COMPUTED_VALUE"""),135.87)</f>
        <v>135.87</v>
      </c>
      <c r="D5397" s="1">
        <f>IFERROR(__xludf.DUMMYFUNCTION("""COMPUTED_VALUE"""),133.9)</f>
        <v>133.9</v>
      </c>
      <c r="E5397" s="1">
        <f>IFERROR(__xludf.DUMMYFUNCTION("""COMPUTED_VALUE"""),134.86)</f>
        <v>134.86</v>
      </c>
      <c r="F5397" s="1">
        <f>IFERROR(__xludf.DUMMYFUNCTION("""COMPUTED_VALUE"""),1.0641366E7)</f>
        <v>10641366</v>
      </c>
    </row>
    <row r="5398">
      <c r="A5398" s="2">
        <f>IFERROR(__xludf.DUMMYFUNCTION("""COMPUTED_VALUE"""),44361.66666666667)</f>
        <v>44361.66667</v>
      </c>
      <c r="B5398" s="1">
        <f>IFERROR(__xludf.DUMMYFUNCTION("""COMPUTED_VALUE"""),134.98)</f>
        <v>134.98</v>
      </c>
      <c r="C5398" s="1">
        <f>IFERROR(__xludf.DUMMYFUNCTION("""COMPUTED_VALUE"""),135.03)</f>
        <v>135.03</v>
      </c>
      <c r="D5398" s="1">
        <f>IFERROR(__xludf.DUMMYFUNCTION("""COMPUTED_VALUE"""),133.96)</f>
        <v>133.96</v>
      </c>
      <c r="E5398" s="1">
        <f>IFERROR(__xludf.DUMMYFUNCTION("""COMPUTED_VALUE"""),134.91)</f>
        <v>134.91</v>
      </c>
      <c r="F5398" s="1">
        <f>IFERROR(__xludf.DUMMYFUNCTION("""COMPUTED_VALUE"""),6302202.0)</f>
        <v>6302202</v>
      </c>
    </row>
    <row r="5399">
      <c r="A5399" s="2">
        <f>IFERROR(__xludf.DUMMYFUNCTION("""COMPUTED_VALUE"""),44362.66666666667)</f>
        <v>44362.66667</v>
      </c>
      <c r="B5399" s="1">
        <f>IFERROR(__xludf.DUMMYFUNCTION("""COMPUTED_VALUE"""),135.2)</f>
        <v>135.2</v>
      </c>
      <c r="C5399" s="1">
        <f>IFERROR(__xludf.DUMMYFUNCTION("""COMPUTED_VALUE"""),135.64)</f>
        <v>135.64</v>
      </c>
      <c r="D5399" s="1">
        <f>IFERROR(__xludf.DUMMYFUNCTION("""COMPUTED_VALUE"""),134.55)</f>
        <v>134.55</v>
      </c>
      <c r="E5399" s="1">
        <f>IFERROR(__xludf.DUMMYFUNCTION("""COMPUTED_VALUE"""),134.65)</f>
        <v>134.65</v>
      </c>
      <c r="F5399" s="1">
        <f>IFERROR(__xludf.DUMMYFUNCTION("""COMPUTED_VALUE"""),5543565.0)</f>
        <v>5543565</v>
      </c>
    </row>
    <row r="5400">
      <c r="A5400" s="2">
        <f>IFERROR(__xludf.DUMMYFUNCTION("""COMPUTED_VALUE"""),44363.66666666667)</f>
        <v>44363.66667</v>
      </c>
      <c r="B5400" s="1">
        <f>IFERROR(__xludf.DUMMYFUNCTION("""COMPUTED_VALUE"""),135.18)</f>
        <v>135.18</v>
      </c>
      <c r="C5400" s="1">
        <f>IFERROR(__xludf.DUMMYFUNCTION("""COMPUTED_VALUE"""),135.58)</f>
        <v>135.58</v>
      </c>
      <c r="D5400" s="1">
        <f>IFERROR(__xludf.DUMMYFUNCTION("""COMPUTED_VALUE"""),132.65)</f>
        <v>132.65</v>
      </c>
      <c r="E5400" s="1">
        <f>IFERROR(__xludf.DUMMYFUNCTION("""COMPUTED_VALUE"""),132.78)</f>
        <v>132.78</v>
      </c>
      <c r="F5400" s="1">
        <f>IFERROR(__xludf.DUMMYFUNCTION("""COMPUTED_VALUE"""),8936432.0)</f>
        <v>8936432</v>
      </c>
    </row>
    <row r="5401">
      <c r="A5401" s="2">
        <f>IFERROR(__xludf.DUMMYFUNCTION("""COMPUTED_VALUE"""),44364.66666666667)</f>
        <v>44364.66667</v>
      </c>
      <c r="B5401" s="1">
        <f>IFERROR(__xludf.DUMMYFUNCTION("""COMPUTED_VALUE"""),132.82)</f>
        <v>132.82</v>
      </c>
      <c r="C5401" s="1">
        <f>IFERROR(__xludf.DUMMYFUNCTION("""COMPUTED_VALUE"""),134.16)</f>
        <v>134.16</v>
      </c>
      <c r="D5401" s="1">
        <f>IFERROR(__xludf.DUMMYFUNCTION("""COMPUTED_VALUE"""),132.65)</f>
        <v>132.65</v>
      </c>
      <c r="E5401" s="1">
        <f>IFERROR(__xludf.DUMMYFUNCTION("""COMPUTED_VALUE"""),133.99)</f>
        <v>133.99</v>
      </c>
      <c r="F5401" s="1">
        <f>IFERROR(__xludf.DUMMYFUNCTION("""COMPUTED_VALUE"""),7875601.0)</f>
        <v>7875601</v>
      </c>
    </row>
    <row r="5402">
      <c r="A5402" s="2">
        <f>IFERROR(__xludf.DUMMYFUNCTION("""COMPUTED_VALUE"""),44365.66666666667)</f>
        <v>44365.66667</v>
      </c>
      <c r="B5402" s="1">
        <f>IFERROR(__xludf.DUMMYFUNCTION("""COMPUTED_VALUE"""),133.34)</f>
        <v>133.34</v>
      </c>
      <c r="C5402" s="1">
        <f>IFERROR(__xludf.DUMMYFUNCTION("""COMPUTED_VALUE"""),133.35)</f>
        <v>133.35</v>
      </c>
      <c r="D5402" s="1">
        <f>IFERROR(__xludf.DUMMYFUNCTION("""COMPUTED_VALUE"""),131.94)</f>
        <v>131.94</v>
      </c>
      <c r="E5402" s="1">
        <f>IFERROR(__xludf.DUMMYFUNCTION("""COMPUTED_VALUE"""),132.03)</f>
        <v>132.03</v>
      </c>
      <c r="F5402" s="1">
        <f>IFERROR(__xludf.DUMMYFUNCTION("""COMPUTED_VALUE"""),1.3997625E7)</f>
        <v>13997625</v>
      </c>
    </row>
    <row r="5403">
      <c r="A5403" s="2">
        <f>IFERROR(__xludf.DUMMYFUNCTION("""COMPUTED_VALUE"""),44368.66666666667)</f>
        <v>44368.66667</v>
      </c>
      <c r="B5403" s="1">
        <f>IFERROR(__xludf.DUMMYFUNCTION("""COMPUTED_VALUE"""),132.69)</f>
        <v>132.69</v>
      </c>
      <c r="C5403" s="1">
        <f>IFERROR(__xludf.DUMMYFUNCTION("""COMPUTED_VALUE"""),133.26)</f>
        <v>133.26</v>
      </c>
      <c r="D5403" s="1">
        <f>IFERROR(__xludf.DUMMYFUNCTION("""COMPUTED_VALUE"""),132.4)</f>
        <v>132.4</v>
      </c>
      <c r="E5403" s="1">
        <f>IFERROR(__xludf.DUMMYFUNCTION("""COMPUTED_VALUE"""),133.07)</f>
        <v>133.07</v>
      </c>
      <c r="F5403" s="1">
        <f>IFERROR(__xludf.DUMMYFUNCTION("""COMPUTED_VALUE"""),8014793.0)</f>
        <v>8014793</v>
      </c>
    </row>
    <row r="5404">
      <c r="A5404" s="2">
        <f>IFERROR(__xludf.DUMMYFUNCTION("""COMPUTED_VALUE"""),44369.66666666667)</f>
        <v>44369.66667</v>
      </c>
      <c r="B5404" s="1">
        <f>IFERROR(__xludf.DUMMYFUNCTION("""COMPUTED_VALUE"""),133.04)</f>
        <v>133.04</v>
      </c>
      <c r="C5404" s="1">
        <f>IFERROR(__xludf.DUMMYFUNCTION("""COMPUTED_VALUE"""),134.02)</f>
        <v>134.02</v>
      </c>
      <c r="D5404" s="1">
        <f>IFERROR(__xludf.DUMMYFUNCTION("""COMPUTED_VALUE"""),132.88)</f>
        <v>132.88</v>
      </c>
      <c r="E5404" s="1">
        <f>IFERROR(__xludf.DUMMYFUNCTION("""COMPUTED_VALUE"""),133.12)</f>
        <v>133.12</v>
      </c>
      <c r="F5404" s="1">
        <f>IFERROR(__xludf.DUMMYFUNCTION("""COMPUTED_VALUE"""),6551072.0)</f>
        <v>6551072</v>
      </c>
    </row>
    <row r="5405">
      <c r="A5405" s="2">
        <f>IFERROR(__xludf.DUMMYFUNCTION("""COMPUTED_VALUE"""),44370.66666666667)</f>
        <v>44370.66667</v>
      </c>
      <c r="B5405" s="1">
        <f>IFERROR(__xludf.DUMMYFUNCTION("""COMPUTED_VALUE"""),132.95)</f>
        <v>132.95</v>
      </c>
      <c r="C5405" s="1">
        <f>IFERROR(__xludf.DUMMYFUNCTION("""COMPUTED_VALUE"""),133.36)</f>
        <v>133.36</v>
      </c>
      <c r="D5405" s="1">
        <f>IFERROR(__xludf.DUMMYFUNCTION("""COMPUTED_VALUE"""),132.32)</f>
        <v>132.32</v>
      </c>
      <c r="E5405" s="1">
        <f>IFERROR(__xludf.DUMMYFUNCTION("""COMPUTED_VALUE"""),132.93)</f>
        <v>132.93</v>
      </c>
      <c r="F5405" s="1">
        <f>IFERROR(__xludf.DUMMYFUNCTION("""COMPUTED_VALUE"""),5796165.0)</f>
        <v>5796165</v>
      </c>
    </row>
    <row r="5406">
      <c r="A5406" s="2">
        <f>IFERROR(__xludf.DUMMYFUNCTION("""COMPUTED_VALUE"""),44371.66666666667)</f>
        <v>44371.66667</v>
      </c>
      <c r="B5406" s="1">
        <f>IFERROR(__xludf.DUMMYFUNCTION("""COMPUTED_VALUE"""),132.95)</f>
        <v>132.95</v>
      </c>
      <c r="C5406" s="1">
        <f>IFERROR(__xludf.DUMMYFUNCTION("""COMPUTED_VALUE"""),133.31)</f>
        <v>133.31</v>
      </c>
      <c r="D5406" s="1">
        <f>IFERROR(__xludf.DUMMYFUNCTION("""COMPUTED_VALUE"""),132.7)</f>
        <v>132.7</v>
      </c>
      <c r="E5406" s="1">
        <f>IFERROR(__xludf.DUMMYFUNCTION("""COMPUTED_VALUE"""),133.02)</f>
        <v>133.02</v>
      </c>
      <c r="F5406" s="1">
        <f>IFERROR(__xludf.DUMMYFUNCTION("""COMPUTED_VALUE"""),6056719.0)</f>
        <v>6056719</v>
      </c>
    </row>
    <row r="5407">
      <c r="A5407" s="2">
        <f>IFERROR(__xludf.DUMMYFUNCTION("""COMPUTED_VALUE"""),44372.66666666667)</f>
        <v>44372.66667</v>
      </c>
      <c r="B5407" s="1">
        <f>IFERROR(__xludf.DUMMYFUNCTION("""COMPUTED_VALUE"""),133.26)</f>
        <v>133.26</v>
      </c>
      <c r="C5407" s="1">
        <f>IFERROR(__xludf.DUMMYFUNCTION("""COMPUTED_VALUE"""),135.54)</f>
        <v>135.54</v>
      </c>
      <c r="D5407" s="1">
        <f>IFERROR(__xludf.DUMMYFUNCTION("""COMPUTED_VALUE"""),132.95)</f>
        <v>132.95</v>
      </c>
      <c r="E5407" s="1">
        <f>IFERROR(__xludf.DUMMYFUNCTION("""COMPUTED_VALUE"""),134.92)</f>
        <v>134.92</v>
      </c>
      <c r="F5407" s="1">
        <f>IFERROR(__xludf.DUMMYFUNCTION("""COMPUTED_VALUE"""),2.4504907E7)</f>
        <v>24504907</v>
      </c>
    </row>
    <row r="5408">
      <c r="A5408" s="2">
        <f>IFERROR(__xludf.DUMMYFUNCTION("""COMPUTED_VALUE"""),44375.66666666667)</f>
        <v>44375.66667</v>
      </c>
      <c r="B5408" s="1">
        <f>IFERROR(__xludf.DUMMYFUNCTION("""COMPUTED_VALUE"""),134.9)</f>
        <v>134.9</v>
      </c>
      <c r="C5408" s="1">
        <f>IFERROR(__xludf.DUMMYFUNCTION("""COMPUTED_VALUE"""),136.16)</f>
        <v>136.16</v>
      </c>
      <c r="D5408" s="1">
        <f>IFERROR(__xludf.DUMMYFUNCTION("""COMPUTED_VALUE"""),134.76)</f>
        <v>134.76</v>
      </c>
      <c r="E5408" s="1">
        <f>IFERROR(__xludf.DUMMYFUNCTION("""COMPUTED_VALUE"""),135.32)</f>
        <v>135.32</v>
      </c>
      <c r="F5408" s="1">
        <f>IFERROR(__xludf.DUMMYFUNCTION("""COMPUTED_VALUE"""),6065743.0)</f>
        <v>6065743</v>
      </c>
    </row>
    <row r="5409">
      <c r="A5409" s="2">
        <f>IFERROR(__xludf.DUMMYFUNCTION("""COMPUTED_VALUE"""),44376.66666666667)</f>
        <v>44376.66667</v>
      </c>
      <c r="B5409" s="1">
        <f>IFERROR(__xludf.DUMMYFUNCTION("""COMPUTED_VALUE"""),135.51)</f>
        <v>135.51</v>
      </c>
      <c r="C5409" s="1">
        <f>IFERROR(__xludf.DUMMYFUNCTION("""COMPUTED_VALUE"""),135.83)</f>
        <v>135.83</v>
      </c>
      <c r="D5409" s="1">
        <f>IFERROR(__xludf.DUMMYFUNCTION("""COMPUTED_VALUE"""),133.82)</f>
        <v>133.82</v>
      </c>
      <c r="E5409" s="1">
        <f>IFERROR(__xludf.DUMMYFUNCTION("""COMPUTED_VALUE"""),134.4)</f>
        <v>134.4</v>
      </c>
      <c r="F5409" s="1">
        <f>IFERROR(__xludf.DUMMYFUNCTION("""COMPUTED_VALUE"""),5792314.0)</f>
        <v>5792314</v>
      </c>
    </row>
    <row r="5410">
      <c r="A5410" s="2">
        <f>IFERROR(__xludf.DUMMYFUNCTION("""COMPUTED_VALUE"""),44377.66666666667)</f>
        <v>44377.66667</v>
      </c>
      <c r="B5410" s="1">
        <f>IFERROR(__xludf.DUMMYFUNCTION("""COMPUTED_VALUE"""),134.58)</f>
        <v>134.58</v>
      </c>
      <c r="C5410" s="1">
        <f>IFERROR(__xludf.DUMMYFUNCTION("""COMPUTED_VALUE"""),135.29)</f>
        <v>135.29</v>
      </c>
      <c r="D5410" s="1">
        <f>IFERROR(__xludf.DUMMYFUNCTION("""COMPUTED_VALUE"""),134.29)</f>
        <v>134.29</v>
      </c>
      <c r="E5410" s="1">
        <f>IFERROR(__xludf.DUMMYFUNCTION("""COMPUTED_VALUE"""),134.93)</f>
        <v>134.93</v>
      </c>
      <c r="F5410" s="1">
        <f>IFERROR(__xludf.DUMMYFUNCTION("""COMPUTED_VALUE"""),5776572.0)</f>
        <v>5776572</v>
      </c>
    </row>
    <row r="5411">
      <c r="A5411" s="2">
        <f>IFERROR(__xludf.DUMMYFUNCTION("""COMPUTED_VALUE"""),44378.66666666667)</f>
        <v>44378.66667</v>
      </c>
      <c r="B5411" s="1">
        <f>IFERROR(__xludf.DUMMYFUNCTION("""COMPUTED_VALUE"""),135.43)</f>
        <v>135.43</v>
      </c>
      <c r="C5411" s="1">
        <f>IFERROR(__xludf.DUMMYFUNCTION("""COMPUTED_VALUE"""),136.14)</f>
        <v>136.14</v>
      </c>
      <c r="D5411" s="1">
        <f>IFERROR(__xludf.DUMMYFUNCTION("""COMPUTED_VALUE"""),134.92)</f>
        <v>134.92</v>
      </c>
      <c r="E5411" s="1">
        <f>IFERROR(__xludf.DUMMYFUNCTION("""COMPUTED_VALUE"""),135.24)</f>
        <v>135.24</v>
      </c>
      <c r="F5411" s="1">
        <f>IFERROR(__xludf.DUMMYFUNCTION("""COMPUTED_VALUE"""),5922398.0)</f>
        <v>5922398</v>
      </c>
    </row>
    <row r="5412">
      <c r="A5412" s="2">
        <f>IFERROR(__xludf.DUMMYFUNCTION("""COMPUTED_VALUE"""),44379.66666666667)</f>
        <v>44379.66667</v>
      </c>
      <c r="B5412" s="1">
        <f>IFERROR(__xludf.DUMMYFUNCTION("""COMPUTED_VALUE"""),135.6)</f>
        <v>135.6</v>
      </c>
      <c r="C5412" s="1">
        <f>IFERROR(__xludf.DUMMYFUNCTION("""COMPUTED_VALUE"""),136.64)</f>
        <v>136.64</v>
      </c>
      <c r="D5412" s="1">
        <f>IFERROR(__xludf.DUMMYFUNCTION("""COMPUTED_VALUE"""),135.42)</f>
        <v>135.42</v>
      </c>
      <c r="E5412" s="1">
        <f>IFERROR(__xludf.DUMMYFUNCTION("""COMPUTED_VALUE"""),135.9)</f>
        <v>135.9</v>
      </c>
      <c r="F5412" s="1">
        <f>IFERROR(__xludf.DUMMYFUNCTION("""COMPUTED_VALUE"""),5572412.0)</f>
        <v>5572412</v>
      </c>
    </row>
    <row r="5413">
      <c r="A5413" s="2">
        <f>IFERROR(__xludf.DUMMYFUNCTION("""COMPUTED_VALUE"""),44383.66666666667)</f>
        <v>44383.66667</v>
      </c>
      <c r="B5413" s="1">
        <f>IFERROR(__xludf.DUMMYFUNCTION("""COMPUTED_VALUE"""),135.52)</f>
        <v>135.52</v>
      </c>
      <c r="C5413" s="1">
        <f>IFERROR(__xludf.DUMMYFUNCTION("""COMPUTED_VALUE"""),136.3)</f>
        <v>136.3</v>
      </c>
      <c r="D5413" s="1">
        <f>IFERROR(__xludf.DUMMYFUNCTION("""COMPUTED_VALUE"""),135.36)</f>
        <v>135.36</v>
      </c>
      <c r="E5413" s="1">
        <f>IFERROR(__xludf.DUMMYFUNCTION("""COMPUTED_VALUE"""),135.98)</f>
        <v>135.98</v>
      </c>
      <c r="F5413" s="1">
        <f>IFERROR(__xludf.DUMMYFUNCTION("""COMPUTED_VALUE"""),6534684.0)</f>
        <v>6534684</v>
      </c>
    </row>
    <row r="5414">
      <c r="A5414" s="2">
        <f>IFERROR(__xludf.DUMMYFUNCTION("""COMPUTED_VALUE"""),44384.66666666667)</f>
        <v>44384.66667</v>
      </c>
      <c r="B5414" s="1">
        <f>IFERROR(__xludf.DUMMYFUNCTION("""COMPUTED_VALUE"""),136.03)</f>
        <v>136.03</v>
      </c>
      <c r="C5414" s="1">
        <f>IFERROR(__xludf.DUMMYFUNCTION("""COMPUTED_VALUE"""),137.59)</f>
        <v>137.59</v>
      </c>
      <c r="D5414" s="1">
        <f>IFERROR(__xludf.DUMMYFUNCTION("""COMPUTED_VALUE"""),136.03)</f>
        <v>136.03</v>
      </c>
      <c r="E5414" s="1">
        <f>IFERROR(__xludf.DUMMYFUNCTION("""COMPUTED_VALUE"""),137.0)</f>
        <v>137</v>
      </c>
      <c r="F5414" s="1">
        <f>IFERROR(__xludf.DUMMYFUNCTION("""COMPUTED_VALUE"""),5532809.0)</f>
        <v>5532809</v>
      </c>
    </row>
    <row r="5415">
      <c r="A5415" s="2">
        <f>IFERROR(__xludf.DUMMYFUNCTION("""COMPUTED_VALUE"""),44385.66666666667)</f>
        <v>44385.66667</v>
      </c>
      <c r="B5415" s="1">
        <f>IFERROR(__xludf.DUMMYFUNCTION("""COMPUTED_VALUE"""),136.99)</f>
        <v>136.99</v>
      </c>
      <c r="C5415" s="1">
        <f>IFERROR(__xludf.DUMMYFUNCTION("""COMPUTED_VALUE"""),137.4)</f>
        <v>137.4</v>
      </c>
      <c r="D5415" s="1">
        <f>IFERROR(__xludf.DUMMYFUNCTION("""COMPUTED_VALUE"""),135.89)</f>
        <v>135.89</v>
      </c>
      <c r="E5415" s="1">
        <f>IFERROR(__xludf.DUMMYFUNCTION("""COMPUTED_VALUE"""),136.98)</f>
        <v>136.98</v>
      </c>
      <c r="F5415" s="1">
        <f>IFERROR(__xludf.DUMMYFUNCTION("""COMPUTED_VALUE"""),7585254.0)</f>
        <v>7585254</v>
      </c>
    </row>
    <row r="5416">
      <c r="A5416" s="2">
        <f>IFERROR(__xludf.DUMMYFUNCTION("""COMPUTED_VALUE"""),44386.66666666667)</f>
        <v>44386.66667</v>
      </c>
      <c r="B5416" s="1">
        <f>IFERROR(__xludf.DUMMYFUNCTION("""COMPUTED_VALUE"""),137.24)</f>
        <v>137.24</v>
      </c>
      <c r="C5416" s="1">
        <f>IFERROR(__xludf.DUMMYFUNCTION("""COMPUTED_VALUE"""),137.65)</f>
        <v>137.65</v>
      </c>
      <c r="D5416" s="1">
        <f>IFERROR(__xludf.DUMMYFUNCTION("""COMPUTED_VALUE"""),136.84)</f>
        <v>136.84</v>
      </c>
      <c r="E5416" s="1">
        <f>IFERROR(__xludf.DUMMYFUNCTION("""COMPUTED_VALUE"""),137.03)</f>
        <v>137.03</v>
      </c>
      <c r="F5416" s="1">
        <f>IFERROR(__xludf.DUMMYFUNCTION("""COMPUTED_VALUE"""),5948720.0)</f>
        <v>5948720</v>
      </c>
    </row>
    <row r="5417">
      <c r="A5417" s="2">
        <f>IFERROR(__xludf.DUMMYFUNCTION("""COMPUTED_VALUE"""),44389.66666666667)</f>
        <v>44389.66667</v>
      </c>
      <c r="B5417" s="1">
        <f>IFERROR(__xludf.DUMMYFUNCTION("""COMPUTED_VALUE"""),136.9)</f>
        <v>136.9</v>
      </c>
      <c r="C5417" s="1">
        <f>IFERROR(__xludf.DUMMYFUNCTION("""COMPUTED_VALUE"""),137.47)</f>
        <v>137.47</v>
      </c>
      <c r="D5417" s="1">
        <f>IFERROR(__xludf.DUMMYFUNCTION("""COMPUTED_VALUE"""),136.43)</f>
        <v>136.43</v>
      </c>
      <c r="E5417" s="1">
        <f>IFERROR(__xludf.DUMMYFUNCTION("""COMPUTED_VALUE"""),137.14)</f>
        <v>137.14</v>
      </c>
      <c r="F5417" s="1">
        <f>IFERROR(__xludf.DUMMYFUNCTION("""COMPUTED_VALUE"""),6807323.0)</f>
        <v>6807323</v>
      </c>
    </row>
    <row r="5418">
      <c r="A5418" s="2">
        <f>IFERROR(__xludf.DUMMYFUNCTION("""COMPUTED_VALUE"""),44390.66666666667)</f>
        <v>44390.66667</v>
      </c>
      <c r="B5418" s="1">
        <f>IFERROR(__xludf.DUMMYFUNCTION("""COMPUTED_VALUE"""),136.39)</f>
        <v>136.39</v>
      </c>
      <c r="C5418" s="1">
        <f>IFERROR(__xludf.DUMMYFUNCTION("""COMPUTED_VALUE"""),137.57)</f>
        <v>137.57</v>
      </c>
      <c r="D5418" s="1">
        <f>IFERROR(__xludf.DUMMYFUNCTION("""COMPUTED_VALUE"""),136.39)</f>
        <v>136.39</v>
      </c>
      <c r="E5418" s="1">
        <f>IFERROR(__xludf.DUMMYFUNCTION("""COMPUTED_VALUE"""),136.97)</f>
        <v>136.97</v>
      </c>
      <c r="F5418" s="1">
        <f>IFERROR(__xludf.DUMMYFUNCTION("""COMPUTED_VALUE"""),5603982.0)</f>
        <v>5603982</v>
      </c>
    </row>
    <row r="5419">
      <c r="A5419" s="2">
        <f>IFERROR(__xludf.DUMMYFUNCTION("""COMPUTED_VALUE"""),44391.66666666667)</f>
        <v>44391.66667</v>
      </c>
      <c r="B5419" s="1">
        <f>IFERROR(__xludf.DUMMYFUNCTION("""COMPUTED_VALUE"""),137.01)</f>
        <v>137.01</v>
      </c>
      <c r="C5419" s="1">
        <f>IFERROR(__xludf.DUMMYFUNCTION("""COMPUTED_VALUE"""),138.23)</f>
        <v>138.23</v>
      </c>
      <c r="D5419" s="1">
        <f>IFERROR(__xludf.DUMMYFUNCTION("""COMPUTED_VALUE"""),136.37)</f>
        <v>136.37</v>
      </c>
      <c r="E5419" s="1">
        <f>IFERROR(__xludf.DUMMYFUNCTION("""COMPUTED_VALUE"""),137.98)</f>
        <v>137.98</v>
      </c>
      <c r="F5419" s="1">
        <f>IFERROR(__xludf.DUMMYFUNCTION("""COMPUTED_VALUE"""),5903582.0)</f>
        <v>5903582</v>
      </c>
    </row>
    <row r="5420">
      <c r="A5420" s="2">
        <f>IFERROR(__xludf.DUMMYFUNCTION("""COMPUTED_VALUE"""),44392.66666666667)</f>
        <v>44392.66667</v>
      </c>
      <c r="B5420" s="1">
        <f>IFERROR(__xludf.DUMMYFUNCTION("""COMPUTED_VALUE"""),138.01)</f>
        <v>138.01</v>
      </c>
      <c r="C5420" s="1">
        <f>IFERROR(__xludf.DUMMYFUNCTION("""COMPUTED_VALUE"""),139.26)</f>
        <v>139.26</v>
      </c>
      <c r="D5420" s="1">
        <f>IFERROR(__xludf.DUMMYFUNCTION("""COMPUTED_VALUE"""),137.7)</f>
        <v>137.7</v>
      </c>
      <c r="E5420" s="1">
        <f>IFERROR(__xludf.DUMMYFUNCTION("""COMPUTED_VALUE"""),139.16)</f>
        <v>139.16</v>
      </c>
      <c r="F5420" s="1">
        <f>IFERROR(__xludf.DUMMYFUNCTION("""COMPUTED_VALUE"""),7357063.0)</f>
        <v>7357063</v>
      </c>
    </row>
    <row r="5421">
      <c r="A5421" s="2">
        <f>IFERROR(__xludf.DUMMYFUNCTION("""COMPUTED_VALUE"""),44393.66666666667)</f>
        <v>44393.66667</v>
      </c>
      <c r="B5421" s="1">
        <f>IFERROR(__xludf.DUMMYFUNCTION("""COMPUTED_VALUE"""),139.3)</f>
        <v>139.3</v>
      </c>
      <c r="C5421" s="1">
        <f>IFERROR(__xludf.DUMMYFUNCTION("""COMPUTED_VALUE"""),140.78)</f>
        <v>140.78</v>
      </c>
      <c r="D5421" s="1">
        <f>IFERROR(__xludf.DUMMYFUNCTION("""COMPUTED_VALUE"""),139.11)</f>
        <v>139.11</v>
      </c>
      <c r="E5421" s="1">
        <f>IFERROR(__xludf.DUMMYFUNCTION("""COMPUTED_VALUE"""),140.51)</f>
        <v>140.51</v>
      </c>
      <c r="F5421" s="1">
        <f>IFERROR(__xludf.DUMMYFUNCTION("""COMPUTED_VALUE"""),9346307.0)</f>
        <v>9346307</v>
      </c>
    </row>
    <row r="5422">
      <c r="A5422" s="2">
        <f>IFERROR(__xludf.DUMMYFUNCTION("""COMPUTED_VALUE"""),44396.66666666667)</f>
        <v>44396.66667</v>
      </c>
      <c r="B5422" s="1">
        <f>IFERROR(__xludf.DUMMYFUNCTION("""COMPUTED_VALUE"""),140.32)</f>
        <v>140.32</v>
      </c>
      <c r="C5422" s="1">
        <f>IFERROR(__xludf.DUMMYFUNCTION("""COMPUTED_VALUE"""),141.87)</f>
        <v>141.87</v>
      </c>
      <c r="D5422" s="1">
        <f>IFERROR(__xludf.DUMMYFUNCTION("""COMPUTED_VALUE"""),138.81)</f>
        <v>138.81</v>
      </c>
      <c r="E5422" s="1">
        <f>IFERROR(__xludf.DUMMYFUNCTION("""COMPUTED_VALUE"""),140.44)</f>
        <v>140.44</v>
      </c>
      <c r="F5422" s="1">
        <f>IFERROR(__xludf.DUMMYFUNCTION("""COMPUTED_VALUE"""),9544054.0)</f>
        <v>9544054</v>
      </c>
    </row>
    <row r="5423">
      <c r="A5423" s="2">
        <f>IFERROR(__xludf.DUMMYFUNCTION("""COMPUTED_VALUE"""),44397.66666666667)</f>
        <v>44397.66667</v>
      </c>
      <c r="B5423" s="1">
        <f>IFERROR(__xludf.DUMMYFUNCTION("""COMPUTED_VALUE"""),140.44)</f>
        <v>140.44</v>
      </c>
      <c r="C5423" s="1">
        <f>IFERROR(__xludf.DUMMYFUNCTION("""COMPUTED_VALUE"""),141.98)</f>
        <v>141.98</v>
      </c>
      <c r="D5423" s="1">
        <f>IFERROR(__xludf.DUMMYFUNCTION("""COMPUTED_VALUE"""),139.64)</f>
        <v>139.64</v>
      </c>
      <c r="E5423" s="1">
        <f>IFERROR(__xludf.DUMMYFUNCTION("""COMPUTED_VALUE"""),139.69)</f>
        <v>139.69</v>
      </c>
      <c r="F5423" s="1">
        <f>IFERROR(__xludf.DUMMYFUNCTION("""COMPUTED_VALUE"""),8136613.0)</f>
        <v>8136613</v>
      </c>
    </row>
    <row r="5424">
      <c r="A5424" s="2">
        <f>IFERROR(__xludf.DUMMYFUNCTION("""COMPUTED_VALUE"""),44398.66666666667)</f>
        <v>44398.66667</v>
      </c>
      <c r="B5424" s="1">
        <f>IFERROR(__xludf.DUMMYFUNCTION("""COMPUTED_VALUE"""),139.95)</f>
        <v>139.95</v>
      </c>
      <c r="C5424" s="1">
        <f>IFERROR(__xludf.DUMMYFUNCTION("""COMPUTED_VALUE"""),140.2)</f>
        <v>140.2</v>
      </c>
      <c r="D5424" s="1">
        <f>IFERROR(__xludf.DUMMYFUNCTION("""COMPUTED_VALUE"""),138.99)</f>
        <v>138.99</v>
      </c>
      <c r="E5424" s="1">
        <f>IFERROR(__xludf.DUMMYFUNCTION("""COMPUTED_VALUE"""),139.2)</f>
        <v>139.2</v>
      </c>
      <c r="F5424" s="1">
        <f>IFERROR(__xludf.DUMMYFUNCTION("""COMPUTED_VALUE"""),6954651.0)</f>
        <v>6954651</v>
      </c>
    </row>
    <row r="5425">
      <c r="A5425" s="2">
        <f>IFERROR(__xludf.DUMMYFUNCTION("""COMPUTED_VALUE"""),44399.66666666667)</f>
        <v>44399.66667</v>
      </c>
      <c r="B5425" s="1">
        <f>IFERROR(__xludf.DUMMYFUNCTION("""COMPUTED_VALUE"""),137.29)</f>
        <v>137.29</v>
      </c>
      <c r="C5425" s="1">
        <f>IFERROR(__xludf.DUMMYFUNCTION("""COMPUTED_VALUE"""),138.33)</f>
        <v>138.33</v>
      </c>
      <c r="D5425" s="1">
        <f>IFERROR(__xludf.DUMMYFUNCTION("""COMPUTED_VALUE"""),136.71)</f>
        <v>136.71</v>
      </c>
      <c r="E5425" s="1">
        <f>IFERROR(__xludf.DUMMYFUNCTION("""COMPUTED_VALUE"""),137.8)</f>
        <v>137.8</v>
      </c>
      <c r="F5425" s="1">
        <f>IFERROR(__xludf.DUMMYFUNCTION("""COMPUTED_VALUE"""),6013750.0)</f>
        <v>6013750</v>
      </c>
    </row>
    <row r="5426">
      <c r="A5426" s="2">
        <f>IFERROR(__xludf.DUMMYFUNCTION("""COMPUTED_VALUE"""),44400.66666666667)</f>
        <v>44400.66667</v>
      </c>
      <c r="B5426" s="1">
        <f>IFERROR(__xludf.DUMMYFUNCTION("""COMPUTED_VALUE"""),137.48)</f>
        <v>137.48</v>
      </c>
      <c r="C5426" s="1">
        <f>IFERROR(__xludf.DUMMYFUNCTION("""COMPUTED_VALUE"""),139.98)</f>
        <v>139.98</v>
      </c>
      <c r="D5426" s="1">
        <f>IFERROR(__xludf.DUMMYFUNCTION("""COMPUTED_VALUE"""),137.08)</f>
        <v>137.08</v>
      </c>
      <c r="E5426" s="1">
        <f>IFERROR(__xludf.DUMMYFUNCTION("""COMPUTED_VALUE"""),139.79)</f>
        <v>139.79</v>
      </c>
      <c r="F5426" s="1">
        <f>IFERROR(__xludf.DUMMYFUNCTION("""COMPUTED_VALUE"""),7906128.0)</f>
        <v>7906128</v>
      </c>
    </row>
    <row r="5427">
      <c r="A5427" s="2">
        <f>IFERROR(__xludf.DUMMYFUNCTION("""COMPUTED_VALUE"""),44403.66666666667)</f>
        <v>44403.66667</v>
      </c>
      <c r="B5427" s="1">
        <f>IFERROR(__xludf.DUMMYFUNCTION("""COMPUTED_VALUE"""),139.62)</f>
        <v>139.62</v>
      </c>
      <c r="C5427" s="1">
        <f>IFERROR(__xludf.DUMMYFUNCTION("""COMPUTED_VALUE"""),140.82)</f>
        <v>140.82</v>
      </c>
      <c r="D5427" s="1">
        <f>IFERROR(__xludf.DUMMYFUNCTION("""COMPUTED_VALUE"""),139.22)</f>
        <v>139.22</v>
      </c>
      <c r="E5427" s="1">
        <f>IFERROR(__xludf.DUMMYFUNCTION("""COMPUTED_VALUE"""),140.28)</f>
        <v>140.28</v>
      </c>
      <c r="F5427" s="1">
        <f>IFERROR(__xludf.DUMMYFUNCTION("""COMPUTED_VALUE"""),5925872.0)</f>
        <v>5925872</v>
      </c>
    </row>
    <row r="5428">
      <c r="A5428" s="2">
        <f>IFERROR(__xludf.DUMMYFUNCTION("""COMPUTED_VALUE"""),44404.66666666667)</f>
        <v>44404.66667</v>
      </c>
      <c r="B5428" s="1">
        <f>IFERROR(__xludf.DUMMYFUNCTION("""COMPUTED_VALUE"""),140.15)</f>
        <v>140.15</v>
      </c>
      <c r="C5428" s="1">
        <f>IFERROR(__xludf.DUMMYFUNCTION("""COMPUTED_VALUE"""),141.62)</f>
        <v>141.62</v>
      </c>
      <c r="D5428" s="1">
        <f>IFERROR(__xludf.DUMMYFUNCTION("""COMPUTED_VALUE"""),140.0)</f>
        <v>140</v>
      </c>
      <c r="E5428" s="1">
        <f>IFERROR(__xludf.DUMMYFUNCTION("""COMPUTED_VALUE"""),140.85)</f>
        <v>140.85</v>
      </c>
      <c r="F5428" s="1">
        <f>IFERROR(__xludf.DUMMYFUNCTION("""COMPUTED_VALUE"""),7075685.0)</f>
        <v>7075685</v>
      </c>
    </row>
    <row r="5429">
      <c r="A5429" s="2">
        <f>IFERROR(__xludf.DUMMYFUNCTION("""COMPUTED_VALUE"""),44405.66666666667)</f>
        <v>44405.66667</v>
      </c>
      <c r="B5429" s="1">
        <f>IFERROR(__xludf.DUMMYFUNCTION("""COMPUTED_VALUE"""),140.67)</f>
        <v>140.67</v>
      </c>
      <c r="C5429" s="1">
        <f>IFERROR(__xludf.DUMMYFUNCTION("""COMPUTED_VALUE"""),140.67)</f>
        <v>140.67</v>
      </c>
      <c r="D5429" s="1">
        <f>IFERROR(__xludf.DUMMYFUNCTION("""COMPUTED_VALUE"""),138.71)</f>
        <v>138.71</v>
      </c>
      <c r="E5429" s="1">
        <f>IFERROR(__xludf.DUMMYFUNCTION("""COMPUTED_VALUE"""),138.76)</f>
        <v>138.76</v>
      </c>
      <c r="F5429" s="1">
        <f>IFERROR(__xludf.DUMMYFUNCTION("""COMPUTED_VALUE"""),8520172.0)</f>
        <v>8520172</v>
      </c>
    </row>
    <row r="5430">
      <c r="A5430" s="2">
        <f>IFERROR(__xludf.DUMMYFUNCTION("""COMPUTED_VALUE"""),44406.66666666667)</f>
        <v>44406.66667</v>
      </c>
      <c r="B5430" s="1">
        <f>IFERROR(__xludf.DUMMYFUNCTION("""COMPUTED_VALUE"""),139.76)</f>
        <v>139.76</v>
      </c>
      <c r="C5430" s="1">
        <f>IFERROR(__xludf.DUMMYFUNCTION("""COMPUTED_VALUE"""),140.18)</f>
        <v>140.18</v>
      </c>
      <c r="D5430" s="1">
        <f>IFERROR(__xludf.DUMMYFUNCTION("""COMPUTED_VALUE"""),138.73)</f>
        <v>138.73</v>
      </c>
      <c r="E5430" s="1">
        <f>IFERROR(__xludf.DUMMYFUNCTION("""COMPUTED_VALUE"""),139.48)</f>
        <v>139.48</v>
      </c>
      <c r="F5430" s="1">
        <f>IFERROR(__xludf.DUMMYFUNCTION("""COMPUTED_VALUE"""),5430499.0)</f>
        <v>5430499</v>
      </c>
    </row>
    <row r="5431">
      <c r="A5431" s="2">
        <f>IFERROR(__xludf.DUMMYFUNCTION("""COMPUTED_VALUE"""),44407.66666666667)</f>
        <v>44407.66667</v>
      </c>
      <c r="B5431" s="1">
        <f>IFERROR(__xludf.DUMMYFUNCTION("""COMPUTED_VALUE"""),142.0)</f>
        <v>142</v>
      </c>
      <c r="C5431" s="1">
        <f>IFERROR(__xludf.DUMMYFUNCTION("""COMPUTED_VALUE"""),144.54)</f>
        <v>144.54</v>
      </c>
      <c r="D5431" s="1">
        <f>IFERROR(__xludf.DUMMYFUNCTION("""COMPUTED_VALUE"""),141.55)</f>
        <v>141.55</v>
      </c>
      <c r="E5431" s="1">
        <f>IFERROR(__xludf.DUMMYFUNCTION("""COMPUTED_VALUE"""),142.23)</f>
        <v>142.23</v>
      </c>
      <c r="F5431" s="1">
        <f>IFERROR(__xludf.DUMMYFUNCTION("""COMPUTED_VALUE"""),1.4394251E7)</f>
        <v>14394251</v>
      </c>
    </row>
    <row r="5432">
      <c r="A5432" s="2">
        <f>IFERROR(__xludf.DUMMYFUNCTION("""COMPUTED_VALUE"""),44410.66666666667)</f>
        <v>44410.66667</v>
      </c>
      <c r="B5432" s="1">
        <f>IFERROR(__xludf.DUMMYFUNCTION("""COMPUTED_VALUE"""),141.77)</f>
        <v>141.77</v>
      </c>
      <c r="C5432" s="1">
        <f>IFERROR(__xludf.DUMMYFUNCTION("""COMPUTED_VALUE"""),142.43)</f>
        <v>142.43</v>
      </c>
      <c r="D5432" s="1">
        <f>IFERROR(__xludf.DUMMYFUNCTION("""COMPUTED_VALUE"""),140.8)</f>
        <v>140.8</v>
      </c>
      <c r="E5432" s="1">
        <f>IFERROR(__xludf.DUMMYFUNCTION("""COMPUTED_VALUE"""),141.88)</f>
        <v>141.88</v>
      </c>
      <c r="F5432" s="1">
        <f>IFERROR(__xludf.DUMMYFUNCTION("""COMPUTED_VALUE"""),7009458.0)</f>
        <v>7009458</v>
      </c>
    </row>
    <row r="5433">
      <c r="A5433" s="2">
        <f>IFERROR(__xludf.DUMMYFUNCTION("""COMPUTED_VALUE"""),44411.66666666667)</f>
        <v>44411.66667</v>
      </c>
      <c r="B5433" s="1">
        <f>IFERROR(__xludf.DUMMYFUNCTION("""COMPUTED_VALUE"""),141.86)</f>
        <v>141.86</v>
      </c>
      <c r="C5433" s="1">
        <f>IFERROR(__xludf.DUMMYFUNCTION("""COMPUTED_VALUE"""),144.21)</f>
        <v>144.21</v>
      </c>
      <c r="D5433" s="1">
        <f>IFERROR(__xludf.DUMMYFUNCTION("""COMPUTED_VALUE"""),141.52)</f>
        <v>141.52</v>
      </c>
      <c r="E5433" s="1">
        <f>IFERROR(__xludf.DUMMYFUNCTION("""COMPUTED_VALUE"""),143.95)</f>
        <v>143.95</v>
      </c>
      <c r="F5433" s="1">
        <f>IFERROR(__xludf.DUMMYFUNCTION("""COMPUTED_VALUE"""),8456036.0)</f>
        <v>8456036</v>
      </c>
    </row>
    <row r="5434">
      <c r="A5434" s="2">
        <f>IFERROR(__xludf.DUMMYFUNCTION("""COMPUTED_VALUE"""),44412.66666666667)</f>
        <v>44412.66667</v>
      </c>
      <c r="B5434" s="1">
        <f>IFERROR(__xludf.DUMMYFUNCTION("""COMPUTED_VALUE"""),143.04)</f>
        <v>143.04</v>
      </c>
      <c r="C5434" s="1">
        <f>IFERROR(__xludf.DUMMYFUNCTION("""COMPUTED_VALUE"""),144.09)</f>
        <v>144.09</v>
      </c>
      <c r="D5434" s="1">
        <f>IFERROR(__xludf.DUMMYFUNCTION("""COMPUTED_VALUE"""),142.35)</f>
        <v>142.35</v>
      </c>
      <c r="E5434" s="1">
        <f>IFERROR(__xludf.DUMMYFUNCTION("""COMPUTED_VALUE"""),142.43)</f>
        <v>142.43</v>
      </c>
      <c r="F5434" s="1">
        <f>IFERROR(__xludf.DUMMYFUNCTION("""COMPUTED_VALUE"""),6628299.0)</f>
        <v>6628299</v>
      </c>
    </row>
    <row r="5435">
      <c r="A5435" s="2">
        <f>IFERROR(__xludf.DUMMYFUNCTION("""COMPUTED_VALUE"""),44413.66666666667)</f>
        <v>44413.66667</v>
      </c>
      <c r="B5435" s="1">
        <f>IFERROR(__xludf.DUMMYFUNCTION("""COMPUTED_VALUE"""),143.35)</f>
        <v>143.35</v>
      </c>
      <c r="C5435" s="1">
        <f>IFERROR(__xludf.DUMMYFUNCTION("""COMPUTED_VALUE"""),143.55)</f>
        <v>143.55</v>
      </c>
      <c r="D5435" s="1">
        <f>IFERROR(__xludf.DUMMYFUNCTION("""COMPUTED_VALUE"""),141.47)</f>
        <v>141.47</v>
      </c>
      <c r="E5435" s="1">
        <f>IFERROR(__xludf.DUMMYFUNCTION("""COMPUTED_VALUE"""),142.5)</f>
        <v>142.5</v>
      </c>
      <c r="F5435" s="1">
        <f>IFERROR(__xludf.DUMMYFUNCTION("""COMPUTED_VALUE"""),5363444.0)</f>
        <v>5363444</v>
      </c>
    </row>
    <row r="5436">
      <c r="A5436" s="2">
        <f>IFERROR(__xludf.DUMMYFUNCTION("""COMPUTED_VALUE"""),44414.66666666667)</f>
        <v>44414.66667</v>
      </c>
      <c r="B5436" s="1">
        <f>IFERROR(__xludf.DUMMYFUNCTION("""COMPUTED_VALUE"""),143.03)</f>
        <v>143.03</v>
      </c>
      <c r="C5436" s="1">
        <f>IFERROR(__xludf.DUMMYFUNCTION("""COMPUTED_VALUE"""),143.12)</f>
        <v>143.12</v>
      </c>
      <c r="D5436" s="1">
        <f>IFERROR(__xludf.DUMMYFUNCTION("""COMPUTED_VALUE"""),141.22)</f>
        <v>141.22</v>
      </c>
      <c r="E5436" s="1">
        <f>IFERROR(__xludf.DUMMYFUNCTION("""COMPUTED_VALUE"""),141.41)</f>
        <v>141.41</v>
      </c>
      <c r="F5436" s="1">
        <f>IFERROR(__xludf.DUMMYFUNCTION("""COMPUTED_VALUE"""),6030208.0)</f>
        <v>6030208</v>
      </c>
    </row>
    <row r="5437">
      <c r="A5437" s="2">
        <f>IFERROR(__xludf.DUMMYFUNCTION("""COMPUTED_VALUE"""),44417.66666666667)</f>
        <v>44417.66667</v>
      </c>
      <c r="B5437" s="1">
        <f>IFERROR(__xludf.DUMMYFUNCTION("""COMPUTED_VALUE"""),141.95)</f>
        <v>141.95</v>
      </c>
      <c r="C5437" s="1">
        <f>IFERROR(__xludf.DUMMYFUNCTION("""COMPUTED_VALUE"""),142.59)</f>
        <v>142.59</v>
      </c>
      <c r="D5437" s="1">
        <f>IFERROR(__xludf.DUMMYFUNCTION("""COMPUTED_VALUE"""),141.7)</f>
        <v>141.7</v>
      </c>
      <c r="E5437" s="1">
        <f>IFERROR(__xludf.DUMMYFUNCTION("""COMPUTED_VALUE"""),142.18)</f>
        <v>142.18</v>
      </c>
      <c r="F5437" s="1">
        <f>IFERROR(__xludf.DUMMYFUNCTION("""COMPUTED_VALUE"""),4743859.0)</f>
        <v>4743859</v>
      </c>
    </row>
    <row r="5438">
      <c r="A5438" s="2">
        <f>IFERROR(__xludf.DUMMYFUNCTION("""COMPUTED_VALUE"""),44418.66666666667)</f>
        <v>44418.66667</v>
      </c>
      <c r="B5438" s="1">
        <f>IFERROR(__xludf.DUMMYFUNCTION("""COMPUTED_VALUE"""),141.91)</f>
        <v>141.91</v>
      </c>
      <c r="C5438" s="1">
        <f>IFERROR(__xludf.DUMMYFUNCTION("""COMPUTED_VALUE"""),142.51)</f>
        <v>142.51</v>
      </c>
      <c r="D5438" s="1">
        <f>IFERROR(__xludf.DUMMYFUNCTION("""COMPUTED_VALUE"""),141.66)</f>
        <v>141.66</v>
      </c>
      <c r="E5438" s="1">
        <f>IFERROR(__xludf.DUMMYFUNCTION("""COMPUTED_VALUE"""),142.27)</f>
        <v>142.27</v>
      </c>
      <c r="F5438" s="1">
        <f>IFERROR(__xludf.DUMMYFUNCTION("""COMPUTED_VALUE"""),5253709.0)</f>
        <v>5253709</v>
      </c>
    </row>
    <row r="5439">
      <c r="A5439" s="2">
        <f>IFERROR(__xludf.DUMMYFUNCTION("""COMPUTED_VALUE"""),44419.66666666667)</f>
        <v>44419.66667</v>
      </c>
      <c r="B5439" s="1">
        <f>IFERROR(__xludf.DUMMYFUNCTION("""COMPUTED_VALUE"""),142.74)</f>
        <v>142.74</v>
      </c>
      <c r="C5439" s="1">
        <f>IFERROR(__xludf.DUMMYFUNCTION("""COMPUTED_VALUE"""),143.24)</f>
        <v>143.24</v>
      </c>
      <c r="D5439" s="1">
        <f>IFERROR(__xludf.DUMMYFUNCTION("""COMPUTED_VALUE"""),142.47)</f>
        <v>142.47</v>
      </c>
      <c r="E5439" s="1">
        <f>IFERROR(__xludf.DUMMYFUNCTION("""COMPUTED_VALUE"""),142.62)</f>
        <v>142.62</v>
      </c>
      <c r="F5439" s="1">
        <f>IFERROR(__xludf.DUMMYFUNCTION("""COMPUTED_VALUE"""),4205314.0)</f>
        <v>4205314</v>
      </c>
    </row>
    <row r="5440">
      <c r="A5440" s="2">
        <f>IFERROR(__xludf.DUMMYFUNCTION("""COMPUTED_VALUE"""),44420.66666666667)</f>
        <v>44420.66667</v>
      </c>
      <c r="B5440" s="1">
        <f>IFERROR(__xludf.DUMMYFUNCTION("""COMPUTED_VALUE"""),143.15)</f>
        <v>143.15</v>
      </c>
      <c r="C5440" s="1">
        <f>IFERROR(__xludf.DUMMYFUNCTION("""COMPUTED_VALUE"""),143.15)</f>
        <v>143.15</v>
      </c>
      <c r="D5440" s="1">
        <f>IFERROR(__xludf.DUMMYFUNCTION("""COMPUTED_VALUE"""),142.35)</f>
        <v>142.35</v>
      </c>
      <c r="E5440" s="1">
        <f>IFERROR(__xludf.DUMMYFUNCTION("""COMPUTED_VALUE"""),142.95)</f>
        <v>142.95</v>
      </c>
      <c r="F5440" s="1">
        <f>IFERROR(__xludf.DUMMYFUNCTION("""COMPUTED_VALUE"""),4956225.0)</f>
        <v>4956225</v>
      </c>
    </row>
    <row r="5441">
      <c r="A5441" s="2">
        <f>IFERROR(__xludf.DUMMYFUNCTION("""COMPUTED_VALUE"""),44421.66666666667)</f>
        <v>44421.66667</v>
      </c>
      <c r="B5441" s="1">
        <f>IFERROR(__xludf.DUMMYFUNCTION("""COMPUTED_VALUE"""),142.95)</f>
        <v>142.95</v>
      </c>
      <c r="C5441" s="1">
        <f>IFERROR(__xludf.DUMMYFUNCTION("""COMPUTED_VALUE"""),143.99)</f>
        <v>143.99</v>
      </c>
      <c r="D5441" s="1">
        <f>IFERROR(__xludf.DUMMYFUNCTION("""COMPUTED_VALUE"""),142.69)</f>
        <v>142.69</v>
      </c>
      <c r="E5441" s="1">
        <f>IFERROR(__xludf.DUMMYFUNCTION("""COMPUTED_VALUE"""),143.64)</f>
        <v>143.64</v>
      </c>
      <c r="F5441" s="1">
        <f>IFERROR(__xludf.DUMMYFUNCTION("""COMPUTED_VALUE"""),4888836.0)</f>
        <v>4888836</v>
      </c>
    </row>
    <row r="5442">
      <c r="A5442" s="2">
        <f>IFERROR(__xludf.DUMMYFUNCTION("""COMPUTED_VALUE"""),44424.66666666667)</f>
        <v>44424.66667</v>
      </c>
      <c r="B5442" s="1">
        <f>IFERROR(__xludf.DUMMYFUNCTION("""COMPUTED_VALUE"""),143.67)</f>
        <v>143.67</v>
      </c>
      <c r="C5442" s="1">
        <f>IFERROR(__xludf.DUMMYFUNCTION("""COMPUTED_VALUE"""),144.69)</f>
        <v>144.69</v>
      </c>
      <c r="D5442" s="1">
        <f>IFERROR(__xludf.DUMMYFUNCTION("""COMPUTED_VALUE"""),143.38)</f>
        <v>143.38</v>
      </c>
      <c r="E5442" s="1">
        <f>IFERROR(__xludf.DUMMYFUNCTION("""COMPUTED_VALUE"""),144.64)</f>
        <v>144.64</v>
      </c>
      <c r="F5442" s="1">
        <f>IFERROR(__xludf.DUMMYFUNCTION("""COMPUTED_VALUE"""),6041066.0)</f>
        <v>6041066</v>
      </c>
    </row>
    <row r="5443">
      <c r="A5443" s="2">
        <f>IFERROR(__xludf.DUMMYFUNCTION("""COMPUTED_VALUE"""),44425.66666666667)</f>
        <v>44425.66667</v>
      </c>
      <c r="B5443" s="1">
        <f>IFERROR(__xludf.DUMMYFUNCTION("""COMPUTED_VALUE"""),144.4)</f>
        <v>144.4</v>
      </c>
      <c r="C5443" s="1">
        <f>IFERROR(__xludf.DUMMYFUNCTION("""COMPUTED_VALUE"""),145.6)</f>
        <v>145.6</v>
      </c>
      <c r="D5443" s="1">
        <f>IFERROR(__xludf.DUMMYFUNCTION("""COMPUTED_VALUE"""),143.89)</f>
        <v>143.89</v>
      </c>
      <c r="E5443" s="1">
        <f>IFERROR(__xludf.DUMMYFUNCTION("""COMPUTED_VALUE"""),144.88)</f>
        <v>144.88</v>
      </c>
      <c r="F5443" s="1">
        <f>IFERROR(__xludf.DUMMYFUNCTION("""COMPUTED_VALUE"""),7577047.0)</f>
        <v>7577047</v>
      </c>
    </row>
    <row r="5444">
      <c r="A5444" s="2">
        <f>IFERROR(__xludf.DUMMYFUNCTION("""COMPUTED_VALUE"""),44426.66666666667)</f>
        <v>44426.66667</v>
      </c>
      <c r="B5444" s="1">
        <f>IFERROR(__xludf.DUMMYFUNCTION("""COMPUTED_VALUE"""),144.7)</f>
        <v>144.7</v>
      </c>
      <c r="C5444" s="1">
        <f>IFERROR(__xludf.DUMMYFUNCTION("""COMPUTED_VALUE"""),144.88)</f>
        <v>144.88</v>
      </c>
      <c r="D5444" s="1">
        <f>IFERROR(__xludf.DUMMYFUNCTION("""COMPUTED_VALUE"""),143.18)</f>
        <v>143.18</v>
      </c>
      <c r="E5444" s="1">
        <f>IFERROR(__xludf.DUMMYFUNCTION("""COMPUTED_VALUE"""),143.3)</f>
        <v>143.3</v>
      </c>
      <c r="F5444" s="1">
        <f>IFERROR(__xludf.DUMMYFUNCTION("""COMPUTED_VALUE"""),7161992.0)</f>
        <v>7161992</v>
      </c>
    </row>
    <row r="5445">
      <c r="A5445" s="2">
        <f>IFERROR(__xludf.DUMMYFUNCTION("""COMPUTED_VALUE"""),44427.66666666667)</f>
        <v>44427.66667</v>
      </c>
      <c r="B5445" s="1">
        <f>IFERROR(__xludf.DUMMYFUNCTION("""COMPUTED_VALUE"""),143.16)</f>
        <v>143.16</v>
      </c>
      <c r="C5445" s="1">
        <f>IFERROR(__xludf.DUMMYFUNCTION("""COMPUTED_VALUE"""),145.28)</f>
        <v>145.28</v>
      </c>
      <c r="D5445" s="1">
        <f>IFERROR(__xludf.DUMMYFUNCTION("""COMPUTED_VALUE"""),143.16)</f>
        <v>143.16</v>
      </c>
      <c r="E5445" s="1">
        <f>IFERROR(__xludf.DUMMYFUNCTION("""COMPUTED_VALUE"""),144.99)</f>
        <v>144.99</v>
      </c>
      <c r="F5445" s="1">
        <f>IFERROR(__xludf.DUMMYFUNCTION("""COMPUTED_VALUE"""),5787162.0)</f>
        <v>5787162</v>
      </c>
    </row>
    <row r="5446">
      <c r="A5446" s="2">
        <f>IFERROR(__xludf.DUMMYFUNCTION("""COMPUTED_VALUE"""),44428.66666666667)</f>
        <v>44428.66667</v>
      </c>
      <c r="B5446" s="1">
        <f>IFERROR(__xludf.DUMMYFUNCTION("""COMPUTED_VALUE"""),145.25)</f>
        <v>145.25</v>
      </c>
      <c r="C5446" s="1">
        <f>IFERROR(__xludf.DUMMYFUNCTION("""COMPUTED_VALUE"""),145.98)</f>
        <v>145.98</v>
      </c>
      <c r="D5446" s="1">
        <f>IFERROR(__xludf.DUMMYFUNCTION("""COMPUTED_VALUE"""),144.78)</f>
        <v>144.78</v>
      </c>
      <c r="E5446" s="1">
        <f>IFERROR(__xludf.DUMMYFUNCTION("""COMPUTED_VALUE"""),145.09)</f>
        <v>145.09</v>
      </c>
      <c r="F5446" s="1">
        <f>IFERROR(__xludf.DUMMYFUNCTION("""COMPUTED_VALUE"""),5273873.0)</f>
        <v>5273873</v>
      </c>
    </row>
    <row r="5447">
      <c r="A5447" s="2">
        <f>IFERROR(__xludf.DUMMYFUNCTION("""COMPUTED_VALUE"""),44431.66666666667)</f>
        <v>44431.66667</v>
      </c>
      <c r="B5447" s="1">
        <f>IFERROR(__xludf.DUMMYFUNCTION("""COMPUTED_VALUE"""),144.29)</f>
        <v>144.29</v>
      </c>
      <c r="C5447" s="1">
        <f>IFERROR(__xludf.DUMMYFUNCTION("""COMPUTED_VALUE"""),145.34)</f>
        <v>145.34</v>
      </c>
      <c r="D5447" s="1">
        <f>IFERROR(__xludf.DUMMYFUNCTION("""COMPUTED_VALUE"""),144.23)</f>
        <v>144.23</v>
      </c>
      <c r="E5447" s="1">
        <f>IFERROR(__xludf.DUMMYFUNCTION("""COMPUTED_VALUE"""),144.35)</f>
        <v>144.35</v>
      </c>
      <c r="F5447" s="1">
        <f>IFERROR(__xludf.DUMMYFUNCTION("""COMPUTED_VALUE"""),4522261.0)</f>
        <v>4522261</v>
      </c>
    </row>
    <row r="5448">
      <c r="A5448" s="2">
        <f>IFERROR(__xludf.DUMMYFUNCTION("""COMPUTED_VALUE"""),44432.66666666667)</f>
        <v>44432.66667</v>
      </c>
      <c r="B5448" s="1">
        <f>IFERROR(__xludf.DUMMYFUNCTION("""COMPUTED_VALUE"""),144.01)</f>
        <v>144.01</v>
      </c>
      <c r="C5448" s="1">
        <f>IFERROR(__xludf.DUMMYFUNCTION("""COMPUTED_VALUE"""),144.15)</f>
        <v>144.15</v>
      </c>
      <c r="D5448" s="1">
        <f>IFERROR(__xludf.DUMMYFUNCTION("""COMPUTED_VALUE"""),142.98)</f>
        <v>142.98</v>
      </c>
      <c r="E5448" s="1">
        <f>IFERROR(__xludf.DUMMYFUNCTION("""COMPUTED_VALUE"""),143.18)</f>
        <v>143.18</v>
      </c>
      <c r="F5448" s="1">
        <f>IFERROR(__xludf.DUMMYFUNCTION("""COMPUTED_VALUE"""),4560484.0)</f>
        <v>4560484</v>
      </c>
    </row>
    <row r="5449">
      <c r="A5449" s="2">
        <f>IFERROR(__xludf.DUMMYFUNCTION("""COMPUTED_VALUE"""),44433.66666666667)</f>
        <v>44433.66667</v>
      </c>
      <c r="B5449" s="1">
        <f>IFERROR(__xludf.DUMMYFUNCTION("""COMPUTED_VALUE"""),143.07)</f>
        <v>143.07</v>
      </c>
      <c r="C5449" s="1">
        <f>IFERROR(__xludf.DUMMYFUNCTION("""COMPUTED_VALUE"""),143.13)</f>
        <v>143.13</v>
      </c>
      <c r="D5449" s="1">
        <f>IFERROR(__xludf.DUMMYFUNCTION("""COMPUTED_VALUE"""),142.25)</f>
        <v>142.25</v>
      </c>
      <c r="E5449" s="1">
        <f>IFERROR(__xludf.DUMMYFUNCTION("""COMPUTED_VALUE"""),142.67)</f>
        <v>142.67</v>
      </c>
      <c r="F5449" s="1">
        <f>IFERROR(__xludf.DUMMYFUNCTION("""COMPUTED_VALUE"""),3861614.0)</f>
        <v>3861614</v>
      </c>
    </row>
    <row r="5450">
      <c r="A5450" s="2">
        <f>IFERROR(__xludf.DUMMYFUNCTION("""COMPUTED_VALUE"""),44434.66666666667)</f>
        <v>44434.66667</v>
      </c>
      <c r="B5450" s="1">
        <f>IFERROR(__xludf.DUMMYFUNCTION("""COMPUTED_VALUE"""),142.56)</f>
        <v>142.56</v>
      </c>
      <c r="C5450" s="1">
        <f>IFERROR(__xludf.DUMMYFUNCTION("""COMPUTED_VALUE"""),142.71)</f>
        <v>142.71</v>
      </c>
      <c r="D5450" s="1">
        <f>IFERROR(__xludf.DUMMYFUNCTION("""COMPUTED_VALUE"""),141.47)</f>
        <v>141.47</v>
      </c>
      <c r="E5450" s="1">
        <f>IFERROR(__xludf.DUMMYFUNCTION("""COMPUTED_VALUE"""),142.42)</f>
        <v>142.42</v>
      </c>
      <c r="F5450" s="1">
        <f>IFERROR(__xludf.DUMMYFUNCTION("""COMPUTED_VALUE"""),4749426.0)</f>
        <v>4749426</v>
      </c>
    </row>
    <row r="5451">
      <c r="A5451" s="2">
        <f>IFERROR(__xludf.DUMMYFUNCTION("""COMPUTED_VALUE"""),44435.66666666667)</f>
        <v>44435.66667</v>
      </c>
      <c r="B5451" s="1">
        <f>IFERROR(__xludf.DUMMYFUNCTION("""COMPUTED_VALUE"""),142.48)</f>
        <v>142.48</v>
      </c>
      <c r="C5451" s="1">
        <f>IFERROR(__xludf.DUMMYFUNCTION("""COMPUTED_VALUE"""),142.77)</f>
        <v>142.77</v>
      </c>
      <c r="D5451" s="1">
        <f>IFERROR(__xludf.DUMMYFUNCTION("""COMPUTED_VALUE"""),141.64)</f>
        <v>141.64</v>
      </c>
      <c r="E5451" s="1">
        <f>IFERROR(__xludf.DUMMYFUNCTION("""COMPUTED_VALUE"""),142.31)</f>
        <v>142.31</v>
      </c>
      <c r="F5451" s="1">
        <f>IFERROR(__xludf.DUMMYFUNCTION("""COMPUTED_VALUE"""),4741264.0)</f>
        <v>4741264</v>
      </c>
    </row>
    <row r="5452">
      <c r="A5452" s="2">
        <f>IFERROR(__xludf.DUMMYFUNCTION("""COMPUTED_VALUE"""),44438.66666666667)</f>
        <v>44438.66667</v>
      </c>
      <c r="B5452" s="1">
        <f>IFERROR(__xludf.DUMMYFUNCTION("""COMPUTED_VALUE"""),142.6)</f>
        <v>142.6</v>
      </c>
      <c r="C5452" s="1">
        <f>IFERROR(__xludf.DUMMYFUNCTION("""COMPUTED_VALUE"""),142.99)</f>
        <v>142.99</v>
      </c>
      <c r="D5452" s="1">
        <f>IFERROR(__xludf.DUMMYFUNCTION("""COMPUTED_VALUE"""),142.05)</f>
        <v>142.05</v>
      </c>
      <c r="E5452" s="1">
        <f>IFERROR(__xludf.DUMMYFUNCTION("""COMPUTED_VALUE"""),142.93)</f>
        <v>142.93</v>
      </c>
      <c r="F5452" s="1">
        <f>IFERROR(__xludf.DUMMYFUNCTION("""COMPUTED_VALUE"""),3845772.0)</f>
        <v>3845772</v>
      </c>
    </row>
    <row r="5453">
      <c r="A5453" s="2">
        <f>IFERROR(__xludf.DUMMYFUNCTION("""COMPUTED_VALUE"""),44439.66666666667)</f>
        <v>44439.66667</v>
      </c>
      <c r="B5453" s="1">
        <f>IFERROR(__xludf.DUMMYFUNCTION("""COMPUTED_VALUE"""),143.04)</f>
        <v>143.04</v>
      </c>
      <c r="C5453" s="1">
        <f>IFERROR(__xludf.DUMMYFUNCTION("""COMPUTED_VALUE"""),143.53)</f>
        <v>143.53</v>
      </c>
      <c r="D5453" s="1">
        <f>IFERROR(__xludf.DUMMYFUNCTION("""COMPUTED_VALUE"""),142.05)</f>
        <v>142.05</v>
      </c>
      <c r="E5453" s="1">
        <f>IFERROR(__xludf.DUMMYFUNCTION("""COMPUTED_VALUE"""),142.39)</f>
        <v>142.39</v>
      </c>
      <c r="F5453" s="1">
        <f>IFERROR(__xludf.DUMMYFUNCTION("""COMPUTED_VALUE"""),9642489.0)</f>
        <v>9642489</v>
      </c>
    </row>
    <row r="5454">
      <c r="A5454" s="2">
        <f>IFERROR(__xludf.DUMMYFUNCTION("""COMPUTED_VALUE"""),44440.66666666667)</f>
        <v>44440.66667</v>
      </c>
      <c r="B5454" s="1">
        <f>IFERROR(__xludf.DUMMYFUNCTION("""COMPUTED_VALUE"""),142.33)</f>
        <v>142.33</v>
      </c>
      <c r="C5454" s="1">
        <f>IFERROR(__xludf.DUMMYFUNCTION("""COMPUTED_VALUE"""),144.19)</f>
        <v>144.19</v>
      </c>
      <c r="D5454" s="1">
        <f>IFERROR(__xludf.DUMMYFUNCTION("""COMPUTED_VALUE"""),142.23)</f>
        <v>142.23</v>
      </c>
      <c r="E5454" s="1">
        <f>IFERROR(__xludf.DUMMYFUNCTION("""COMPUTED_VALUE"""),143.84)</f>
        <v>143.84</v>
      </c>
      <c r="F5454" s="1">
        <f>IFERROR(__xludf.DUMMYFUNCTION("""COMPUTED_VALUE"""),6214198.0)</f>
        <v>6214198</v>
      </c>
    </row>
    <row r="5455">
      <c r="A5455" s="2">
        <f>IFERROR(__xludf.DUMMYFUNCTION("""COMPUTED_VALUE"""),44441.66666666667)</f>
        <v>44441.66667</v>
      </c>
      <c r="B5455" s="1">
        <f>IFERROR(__xludf.DUMMYFUNCTION("""COMPUTED_VALUE"""),143.97)</f>
        <v>143.97</v>
      </c>
      <c r="C5455" s="1">
        <f>IFERROR(__xludf.DUMMYFUNCTION("""COMPUTED_VALUE"""),144.73)</f>
        <v>144.73</v>
      </c>
      <c r="D5455" s="1">
        <f>IFERROR(__xludf.DUMMYFUNCTION("""COMPUTED_VALUE"""),143.58)</f>
        <v>143.58</v>
      </c>
      <c r="E5455" s="1">
        <f>IFERROR(__xludf.DUMMYFUNCTION("""COMPUTED_VALUE"""),143.95)</f>
        <v>143.95</v>
      </c>
      <c r="F5455" s="1">
        <f>IFERROR(__xludf.DUMMYFUNCTION("""COMPUTED_VALUE"""),5393716.0)</f>
        <v>5393716</v>
      </c>
    </row>
    <row r="5456">
      <c r="A5456" s="2">
        <f>IFERROR(__xludf.DUMMYFUNCTION("""COMPUTED_VALUE"""),44442.66666666667)</f>
        <v>44442.66667</v>
      </c>
      <c r="B5456" s="1">
        <f>IFERROR(__xludf.DUMMYFUNCTION("""COMPUTED_VALUE"""),143.76)</f>
        <v>143.76</v>
      </c>
      <c r="C5456" s="1">
        <f>IFERROR(__xludf.DUMMYFUNCTION("""COMPUTED_VALUE"""),144.37)</f>
        <v>144.37</v>
      </c>
      <c r="D5456" s="1">
        <f>IFERROR(__xludf.DUMMYFUNCTION("""COMPUTED_VALUE"""),143.52)</f>
        <v>143.52</v>
      </c>
      <c r="E5456" s="1">
        <f>IFERROR(__xludf.DUMMYFUNCTION("""COMPUTED_VALUE"""),144.05)</f>
        <v>144.05</v>
      </c>
      <c r="F5456" s="1">
        <f>IFERROR(__xludf.DUMMYFUNCTION("""COMPUTED_VALUE"""),5466418.0)</f>
        <v>5466418</v>
      </c>
    </row>
    <row r="5457">
      <c r="A5457" s="2">
        <f>IFERROR(__xludf.DUMMYFUNCTION("""COMPUTED_VALUE"""),44446.66666666667)</f>
        <v>44446.66667</v>
      </c>
      <c r="B5457" s="1">
        <f>IFERROR(__xludf.DUMMYFUNCTION("""COMPUTED_VALUE"""),144.32)</f>
        <v>144.32</v>
      </c>
      <c r="C5457" s="1">
        <f>IFERROR(__xludf.DUMMYFUNCTION("""COMPUTED_VALUE"""),144.5)</f>
        <v>144.5</v>
      </c>
      <c r="D5457" s="1">
        <f>IFERROR(__xludf.DUMMYFUNCTION("""COMPUTED_VALUE"""),143.29)</f>
        <v>143.29</v>
      </c>
      <c r="E5457" s="1">
        <f>IFERROR(__xludf.DUMMYFUNCTION("""COMPUTED_VALUE"""),143.51)</f>
        <v>143.51</v>
      </c>
      <c r="F5457" s="1">
        <f>IFERROR(__xludf.DUMMYFUNCTION("""COMPUTED_VALUE"""),6520657.0)</f>
        <v>6520657</v>
      </c>
    </row>
    <row r="5458">
      <c r="A5458" s="2">
        <f>IFERROR(__xludf.DUMMYFUNCTION("""COMPUTED_VALUE"""),44447.66666666667)</f>
        <v>44447.66667</v>
      </c>
      <c r="B5458" s="1">
        <f>IFERROR(__xludf.DUMMYFUNCTION("""COMPUTED_VALUE"""),143.08)</f>
        <v>143.08</v>
      </c>
      <c r="C5458" s="1">
        <f>IFERROR(__xludf.DUMMYFUNCTION("""COMPUTED_VALUE"""),144.94)</f>
        <v>144.94</v>
      </c>
      <c r="D5458" s="1">
        <f>IFERROR(__xludf.DUMMYFUNCTION("""COMPUTED_VALUE"""),143.01)</f>
        <v>143.01</v>
      </c>
      <c r="E5458" s="1">
        <f>IFERROR(__xludf.DUMMYFUNCTION("""COMPUTED_VALUE"""),144.6)</f>
        <v>144.6</v>
      </c>
      <c r="F5458" s="1">
        <f>IFERROR(__xludf.DUMMYFUNCTION("""COMPUTED_VALUE"""),6897784.0)</f>
        <v>6897784</v>
      </c>
    </row>
    <row r="5459">
      <c r="A5459" s="2">
        <f>IFERROR(__xludf.DUMMYFUNCTION("""COMPUTED_VALUE"""),44448.66666666667)</f>
        <v>44448.66667</v>
      </c>
      <c r="B5459" s="1">
        <f>IFERROR(__xludf.DUMMYFUNCTION("""COMPUTED_VALUE"""),144.57)</f>
        <v>144.57</v>
      </c>
      <c r="C5459" s="1">
        <f>IFERROR(__xludf.DUMMYFUNCTION("""COMPUTED_VALUE"""),144.88)</f>
        <v>144.88</v>
      </c>
      <c r="D5459" s="1">
        <f>IFERROR(__xludf.DUMMYFUNCTION("""COMPUTED_VALUE"""),143.65)</f>
        <v>143.65</v>
      </c>
      <c r="E5459" s="1">
        <f>IFERROR(__xludf.DUMMYFUNCTION("""COMPUTED_VALUE"""),143.99)</f>
        <v>143.99</v>
      </c>
      <c r="F5459" s="1">
        <f>IFERROR(__xludf.DUMMYFUNCTION("""COMPUTED_VALUE"""),6354834.0)</f>
        <v>6354834</v>
      </c>
    </row>
    <row r="5460">
      <c r="A5460" s="2">
        <f>IFERROR(__xludf.DUMMYFUNCTION("""COMPUTED_VALUE"""),44449.66666666667)</f>
        <v>44449.66667</v>
      </c>
      <c r="B5460" s="1">
        <f>IFERROR(__xludf.DUMMYFUNCTION("""COMPUTED_VALUE"""),144.06)</f>
        <v>144.06</v>
      </c>
      <c r="C5460" s="1">
        <f>IFERROR(__xludf.DUMMYFUNCTION("""COMPUTED_VALUE"""),144.46)</f>
        <v>144.46</v>
      </c>
      <c r="D5460" s="1">
        <f>IFERROR(__xludf.DUMMYFUNCTION("""COMPUTED_VALUE"""),143.32)</f>
        <v>143.32</v>
      </c>
      <c r="E5460" s="1">
        <f>IFERROR(__xludf.DUMMYFUNCTION("""COMPUTED_VALUE"""),144.13)</f>
        <v>144.13</v>
      </c>
      <c r="F5460" s="1">
        <f>IFERROR(__xludf.DUMMYFUNCTION("""COMPUTED_VALUE"""),5750027.0)</f>
        <v>5750027</v>
      </c>
    </row>
    <row r="5461">
      <c r="A5461" s="2">
        <f>IFERROR(__xludf.DUMMYFUNCTION("""COMPUTED_VALUE"""),44452.66666666667)</f>
        <v>44452.66667</v>
      </c>
      <c r="B5461" s="1">
        <f>IFERROR(__xludf.DUMMYFUNCTION("""COMPUTED_VALUE"""),144.85)</f>
        <v>144.85</v>
      </c>
      <c r="C5461" s="1">
        <f>IFERROR(__xludf.DUMMYFUNCTION("""COMPUTED_VALUE"""),147.23)</f>
        <v>147.23</v>
      </c>
      <c r="D5461" s="1">
        <f>IFERROR(__xludf.DUMMYFUNCTION("""COMPUTED_VALUE"""),144.85)</f>
        <v>144.85</v>
      </c>
      <c r="E5461" s="1">
        <f>IFERROR(__xludf.DUMMYFUNCTION("""COMPUTED_VALUE"""),145.68)</f>
        <v>145.68</v>
      </c>
      <c r="F5461" s="1">
        <f>IFERROR(__xludf.DUMMYFUNCTION("""COMPUTED_VALUE"""),9952577.0)</f>
        <v>9952577</v>
      </c>
    </row>
    <row r="5462">
      <c r="A5462" s="2">
        <f>IFERROR(__xludf.DUMMYFUNCTION("""COMPUTED_VALUE"""),44453.66666666667)</f>
        <v>44453.66667</v>
      </c>
      <c r="B5462" s="1">
        <f>IFERROR(__xludf.DUMMYFUNCTION("""COMPUTED_VALUE"""),146.13)</f>
        <v>146.13</v>
      </c>
      <c r="C5462" s="1">
        <f>IFERROR(__xludf.DUMMYFUNCTION("""COMPUTED_VALUE"""),146.36)</f>
        <v>146.36</v>
      </c>
      <c r="D5462" s="1">
        <f>IFERROR(__xludf.DUMMYFUNCTION("""COMPUTED_VALUE"""),144.95)</f>
        <v>144.95</v>
      </c>
      <c r="E5462" s="1">
        <f>IFERROR(__xludf.DUMMYFUNCTION("""COMPUTED_VALUE"""),145.43)</f>
        <v>145.43</v>
      </c>
      <c r="F5462" s="1">
        <f>IFERROR(__xludf.DUMMYFUNCTION("""COMPUTED_VALUE"""),5831807.0)</f>
        <v>5831807</v>
      </c>
    </row>
    <row r="5463">
      <c r="A5463" s="2">
        <f>IFERROR(__xludf.DUMMYFUNCTION("""COMPUTED_VALUE"""),44454.66666666667)</f>
        <v>44454.66667</v>
      </c>
      <c r="B5463" s="1">
        <f>IFERROR(__xludf.DUMMYFUNCTION("""COMPUTED_VALUE"""),145.35)</f>
        <v>145.35</v>
      </c>
      <c r="C5463" s="1">
        <f>IFERROR(__xludf.DUMMYFUNCTION("""COMPUTED_VALUE"""),145.77)</f>
        <v>145.77</v>
      </c>
      <c r="D5463" s="1">
        <f>IFERROR(__xludf.DUMMYFUNCTION("""COMPUTED_VALUE"""),144.74)</f>
        <v>144.74</v>
      </c>
      <c r="E5463" s="1">
        <f>IFERROR(__xludf.DUMMYFUNCTION("""COMPUTED_VALUE"""),145.12)</f>
        <v>145.12</v>
      </c>
      <c r="F5463" s="1">
        <f>IFERROR(__xludf.DUMMYFUNCTION("""COMPUTED_VALUE"""),6237213.0)</f>
        <v>6237213</v>
      </c>
    </row>
    <row r="5464">
      <c r="A5464" s="2">
        <f>IFERROR(__xludf.DUMMYFUNCTION("""COMPUTED_VALUE"""),44455.66666666667)</f>
        <v>44455.66667</v>
      </c>
      <c r="B5464" s="1">
        <f>IFERROR(__xludf.DUMMYFUNCTION("""COMPUTED_VALUE"""),144.84)</f>
        <v>144.84</v>
      </c>
      <c r="C5464" s="1">
        <f>IFERROR(__xludf.DUMMYFUNCTION("""COMPUTED_VALUE"""),145.19)</f>
        <v>145.19</v>
      </c>
      <c r="D5464" s="1">
        <f>IFERROR(__xludf.DUMMYFUNCTION("""COMPUTED_VALUE"""),142.82)</f>
        <v>142.82</v>
      </c>
      <c r="E5464" s="1">
        <f>IFERROR(__xludf.DUMMYFUNCTION("""COMPUTED_VALUE"""),144.11)</f>
        <v>144.11</v>
      </c>
      <c r="F5464" s="1">
        <f>IFERROR(__xludf.DUMMYFUNCTION("""COMPUTED_VALUE"""),6142295.0)</f>
        <v>6142295</v>
      </c>
    </row>
    <row r="5465">
      <c r="A5465" s="2">
        <f>IFERROR(__xludf.DUMMYFUNCTION("""COMPUTED_VALUE"""),44456.66666666667)</f>
        <v>44456.66667</v>
      </c>
      <c r="B5465" s="1">
        <f>IFERROR(__xludf.DUMMYFUNCTION("""COMPUTED_VALUE"""),144.37)</f>
        <v>144.37</v>
      </c>
      <c r="C5465" s="1">
        <f>IFERROR(__xludf.DUMMYFUNCTION("""COMPUTED_VALUE"""),146.28)</f>
        <v>146.28</v>
      </c>
      <c r="D5465" s="1">
        <f>IFERROR(__xludf.DUMMYFUNCTION("""COMPUTED_VALUE"""),144.23)</f>
        <v>144.23</v>
      </c>
      <c r="E5465" s="1">
        <f>IFERROR(__xludf.DUMMYFUNCTION("""COMPUTED_VALUE"""),144.34)</f>
        <v>144.34</v>
      </c>
      <c r="F5465" s="1">
        <f>IFERROR(__xludf.DUMMYFUNCTION("""COMPUTED_VALUE"""),1.8738769E7)</f>
        <v>18738769</v>
      </c>
    </row>
    <row r="5466">
      <c r="A5466" s="2">
        <f>IFERROR(__xludf.DUMMYFUNCTION("""COMPUTED_VALUE"""),44459.66666666667)</f>
        <v>44459.66667</v>
      </c>
      <c r="B5466" s="1">
        <f>IFERROR(__xludf.DUMMYFUNCTION("""COMPUTED_VALUE"""),144.22)</f>
        <v>144.22</v>
      </c>
      <c r="C5466" s="1">
        <f>IFERROR(__xludf.DUMMYFUNCTION("""COMPUTED_VALUE"""),144.85)</f>
        <v>144.85</v>
      </c>
      <c r="D5466" s="1">
        <f>IFERROR(__xludf.DUMMYFUNCTION("""COMPUTED_VALUE"""),141.97)</f>
        <v>141.97</v>
      </c>
      <c r="E5466" s="1">
        <f>IFERROR(__xludf.DUMMYFUNCTION("""COMPUTED_VALUE"""),142.89)</f>
        <v>142.89</v>
      </c>
      <c r="F5466" s="1">
        <f>IFERROR(__xludf.DUMMYFUNCTION("""COMPUTED_VALUE"""),1.0238721E7)</f>
        <v>10238721</v>
      </c>
    </row>
    <row r="5467">
      <c r="A5467" s="2">
        <f>IFERROR(__xludf.DUMMYFUNCTION("""COMPUTED_VALUE"""),44460.66666666667)</f>
        <v>44460.66667</v>
      </c>
      <c r="B5467" s="1">
        <f>IFERROR(__xludf.DUMMYFUNCTION("""COMPUTED_VALUE"""),142.98)</f>
        <v>142.98</v>
      </c>
      <c r="C5467" s="1">
        <f>IFERROR(__xludf.DUMMYFUNCTION("""COMPUTED_VALUE"""),144.53)</f>
        <v>144.53</v>
      </c>
      <c r="D5467" s="1">
        <f>IFERROR(__xludf.DUMMYFUNCTION("""COMPUTED_VALUE"""),142.88)</f>
        <v>142.88</v>
      </c>
      <c r="E5467" s="1">
        <f>IFERROR(__xludf.DUMMYFUNCTION("""COMPUTED_VALUE"""),143.11)</f>
        <v>143.11</v>
      </c>
      <c r="F5467" s="1">
        <f>IFERROR(__xludf.DUMMYFUNCTION("""COMPUTED_VALUE"""),6651313.0)</f>
        <v>6651313</v>
      </c>
    </row>
    <row r="5468">
      <c r="A5468" s="2">
        <f>IFERROR(__xludf.DUMMYFUNCTION("""COMPUTED_VALUE"""),44461.66666666667)</f>
        <v>44461.66667</v>
      </c>
      <c r="B5468" s="1">
        <f>IFERROR(__xludf.DUMMYFUNCTION("""COMPUTED_VALUE"""),143.82)</f>
        <v>143.82</v>
      </c>
      <c r="C5468" s="1">
        <f>IFERROR(__xludf.DUMMYFUNCTION("""COMPUTED_VALUE"""),144.35)</f>
        <v>144.35</v>
      </c>
      <c r="D5468" s="1">
        <f>IFERROR(__xludf.DUMMYFUNCTION("""COMPUTED_VALUE"""),142.86)</f>
        <v>142.86</v>
      </c>
      <c r="E5468" s="1">
        <f>IFERROR(__xludf.DUMMYFUNCTION("""COMPUTED_VALUE"""),143.6)</f>
        <v>143.6</v>
      </c>
      <c r="F5468" s="1">
        <f>IFERROR(__xludf.DUMMYFUNCTION("""COMPUTED_VALUE"""),6332653.0)</f>
        <v>6332653</v>
      </c>
    </row>
    <row r="5469">
      <c r="A5469" s="2">
        <f>IFERROR(__xludf.DUMMYFUNCTION("""COMPUTED_VALUE"""),44462.66666666667)</f>
        <v>44462.66667</v>
      </c>
      <c r="B5469" s="1">
        <f>IFERROR(__xludf.DUMMYFUNCTION("""COMPUTED_VALUE"""),144.06)</f>
        <v>144.06</v>
      </c>
      <c r="C5469" s="1">
        <f>IFERROR(__xludf.DUMMYFUNCTION("""COMPUTED_VALUE"""),144.69)</f>
        <v>144.69</v>
      </c>
      <c r="D5469" s="1">
        <f>IFERROR(__xludf.DUMMYFUNCTION("""COMPUTED_VALUE"""),143.49)</f>
        <v>143.49</v>
      </c>
      <c r="E5469" s="1">
        <f>IFERROR(__xludf.DUMMYFUNCTION("""COMPUTED_VALUE"""),144.19)</f>
        <v>144.19</v>
      </c>
      <c r="F5469" s="1">
        <f>IFERROR(__xludf.DUMMYFUNCTION("""COMPUTED_VALUE"""),5171154.0)</f>
        <v>5171154</v>
      </c>
    </row>
    <row r="5470">
      <c r="A5470" s="2">
        <f>IFERROR(__xludf.DUMMYFUNCTION("""COMPUTED_VALUE"""),44463.66666666667)</f>
        <v>44463.66667</v>
      </c>
      <c r="B5470" s="1">
        <f>IFERROR(__xludf.DUMMYFUNCTION("""COMPUTED_VALUE"""),143.8)</f>
        <v>143.8</v>
      </c>
      <c r="C5470" s="1">
        <f>IFERROR(__xludf.DUMMYFUNCTION("""COMPUTED_VALUE"""),144.45)</f>
        <v>144.45</v>
      </c>
      <c r="D5470" s="1">
        <f>IFERROR(__xludf.DUMMYFUNCTION("""COMPUTED_VALUE"""),143.09)</f>
        <v>143.09</v>
      </c>
      <c r="E5470" s="1">
        <f>IFERROR(__xludf.DUMMYFUNCTION("""COMPUTED_VALUE"""),143.55)</f>
        <v>143.55</v>
      </c>
      <c r="F5470" s="1">
        <f>IFERROR(__xludf.DUMMYFUNCTION("""COMPUTED_VALUE"""),5009363.0)</f>
        <v>5009363</v>
      </c>
    </row>
    <row r="5471">
      <c r="A5471" s="2">
        <f>IFERROR(__xludf.DUMMYFUNCTION("""COMPUTED_VALUE"""),44466.66666666667)</f>
        <v>44466.66667</v>
      </c>
      <c r="B5471" s="1">
        <f>IFERROR(__xludf.DUMMYFUNCTION("""COMPUTED_VALUE"""),143.15)</f>
        <v>143.15</v>
      </c>
      <c r="C5471" s="1">
        <f>IFERROR(__xludf.DUMMYFUNCTION("""COMPUTED_VALUE"""),143.17)</f>
        <v>143.17</v>
      </c>
      <c r="D5471" s="1">
        <f>IFERROR(__xludf.DUMMYFUNCTION("""COMPUTED_VALUE"""),141.52)</f>
        <v>141.52</v>
      </c>
      <c r="E5471" s="1">
        <f>IFERROR(__xludf.DUMMYFUNCTION("""COMPUTED_VALUE"""),141.66)</f>
        <v>141.66</v>
      </c>
      <c r="F5471" s="1">
        <f>IFERROR(__xludf.DUMMYFUNCTION("""COMPUTED_VALUE"""),5749826.0)</f>
        <v>5749826</v>
      </c>
    </row>
    <row r="5472">
      <c r="A5472" s="2">
        <f>IFERROR(__xludf.DUMMYFUNCTION("""COMPUTED_VALUE"""),44467.66666666667)</f>
        <v>44467.66667</v>
      </c>
      <c r="B5472" s="1">
        <f>IFERROR(__xludf.DUMMYFUNCTION("""COMPUTED_VALUE"""),141.05)</f>
        <v>141.05</v>
      </c>
      <c r="C5472" s="1">
        <f>IFERROR(__xludf.DUMMYFUNCTION("""COMPUTED_VALUE"""),141.37)</f>
        <v>141.37</v>
      </c>
      <c r="D5472" s="1">
        <f>IFERROR(__xludf.DUMMYFUNCTION("""COMPUTED_VALUE"""),139.56)</f>
        <v>139.56</v>
      </c>
      <c r="E5472" s="1">
        <f>IFERROR(__xludf.DUMMYFUNCTION("""COMPUTED_VALUE"""),140.59)</f>
        <v>140.59</v>
      </c>
      <c r="F5472" s="1">
        <f>IFERROR(__xludf.DUMMYFUNCTION("""COMPUTED_VALUE"""),7015310.0)</f>
        <v>7015310</v>
      </c>
    </row>
    <row r="5473">
      <c r="A5473" s="2">
        <f>IFERROR(__xludf.DUMMYFUNCTION("""COMPUTED_VALUE"""),44468.66666666667)</f>
        <v>44468.66667</v>
      </c>
      <c r="B5473" s="1">
        <f>IFERROR(__xludf.DUMMYFUNCTION("""COMPUTED_VALUE"""),140.27)</f>
        <v>140.27</v>
      </c>
      <c r="C5473" s="1">
        <f>IFERROR(__xludf.DUMMYFUNCTION("""COMPUTED_VALUE"""),142.68)</f>
        <v>142.68</v>
      </c>
      <c r="D5473" s="1">
        <f>IFERROR(__xludf.DUMMYFUNCTION("""COMPUTED_VALUE"""),140.18)</f>
        <v>140.18</v>
      </c>
      <c r="E5473" s="1">
        <f>IFERROR(__xludf.DUMMYFUNCTION("""COMPUTED_VALUE"""),142.02)</f>
        <v>142.02</v>
      </c>
      <c r="F5473" s="1">
        <f>IFERROR(__xludf.DUMMYFUNCTION("""COMPUTED_VALUE"""),5459953.0)</f>
        <v>5459953</v>
      </c>
    </row>
    <row r="5474">
      <c r="A5474" s="2">
        <f>IFERROR(__xludf.DUMMYFUNCTION("""COMPUTED_VALUE"""),44469.66666666667)</f>
        <v>44469.66667</v>
      </c>
      <c r="B5474" s="1">
        <f>IFERROR(__xludf.DUMMYFUNCTION("""COMPUTED_VALUE"""),142.64)</f>
        <v>142.64</v>
      </c>
      <c r="C5474" s="1">
        <f>IFERROR(__xludf.DUMMYFUNCTION("""COMPUTED_VALUE"""),142.74)</f>
        <v>142.74</v>
      </c>
      <c r="D5474" s="1">
        <f>IFERROR(__xludf.DUMMYFUNCTION("""COMPUTED_VALUE"""),139.53)</f>
        <v>139.53</v>
      </c>
      <c r="E5474" s="1">
        <f>IFERROR(__xludf.DUMMYFUNCTION("""COMPUTED_VALUE"""),139.8)</f>
        <v>139.8</v>
      </c>
      <c r="F5474" s="1">
        <f>IFERROR(__xludf.DUMMYFUNCTION("""COMPUTED_VALUE"""),6936629.0)</f>
        <v>6936629</v>
      </c>
    </row>
    <row r="5475">
      <c r="A5475" s="2">
        <f>IFERROR(__xludf.DUMMYFUNCTION("""COMPUTED_VALUE"""),44470.66666666667)</f>
        <v>44470.66667</v>
      </c>
      <c r="B5475" s="1">
        <f>IFERROR(__xludf.DUMMYFUNCTION("""COMPUTED_VALUE"""),139.93)</f>
        <v>139.93</v>
      </c>
      <c r="C5475" s="1">
        <f>IFERROR(__xludf.DUMMYFUNCTION("""COMPUTED_VALUE"""),140.23)</f>
        <v>140.23</v>
      </c>
      <c r="D5475" s="1">
        <f>IFERROR(__xludf.DUMMYFUNCTION("""COMPUTED_VALUE"""),138.32)</f>
        <v>138.32</v>
      </c>
      <c r="E5475" s="1">
        <f>IFERROR(__xludf.DUMMYFUNCTION("""COMPUTED_VALUE"""),139.58)</f>
        <v>139.58</v>
      </c>
      <c r="F5475" s="1">
        <f>IFERROR(__xludf.DUMMYFUNCTION("""COMPUTED_VALUE"""),5587249.0)</f>
        <v>5587249</v>
      </c>
    </row>
    <row r="5476">
      <c r="A5476" s="2">
        <f>IFERROR(__xludf.DUMMYFUNCTION("""COMPUTED_VALUE"""),44473.66666666667)</f>
        <v>44473.66667</v>
      </c>
      <c r="B5476" s="1">
        <f>IFERROR(__xludf.DUMMYFUNCTION("""COMPUTED_VALUE"""),139.39)</f>
        <v>139.39</v>
      </c>
      <c r="C5476" s="1">
        <f>IFERROR(__xludf.DUMMYFUNCTION("""COMPUTED_VALUE"""),140.4)</f>
        <v>140.4</v>
      </c>
      <c r="D5476" s="1">
        <f>IFERROR(__xludf.DUMMYFUNCTION("""COMPUTED_VALUE"""),137.6)</f>
        <v>137.6</v>
      </c>
      <c r="E5476" s="1">
        <f>IFERROR(__xludf.DUMMYFUNCTION("""COMPUTED_VALUE"""),138.79)</f>
        <v>138.79</v>
      </c>
      <c r="F5476" s="1">
        <f>IFERROR(__xludf.DUMMYFUNCTION("""COMPUTED_VALUE"""),5816040.0)</f>
        <v>5816040</v>
      </c>
    </row>
    <row r="5477">
      <c r="A5477" s="2">
        <f>IFERROR(__xludf.DUMMYFUNCTION("""COMPUTED_VALUE"""),44474.66666666667)</f>
        <v>44474.66667</v>
      </c>
      <c r="B5477" s="1">
        <f>IFERROR(__xludf.DUMMYFUNCTION("""COMPUTED_VALUE"""),138.8)</f>
        <v>138.8</v>
      </c>
      <c r="C5477" s="1">
        <f>IFERROR(__xludf.DUMMYFUNCTION("""COMPUTED_VALUE"""),140.52)</f>
        <v>140.52</v>
      </c>
      <c r="D5477" s="1">
        <f>IFERROR(__xludf.DUMMYFUNCTION("""COMPUTED_VALUE"""),138.72)</f>
        <v>138.72</v>
      </c>
      <c r="E5477" s="1">
        <f>IFERROR(__xludf.DUMMYFUNCTION("""COMPUTED_VALUE"""),139.33)</f>
        <v>139.33</v>
      </c>
      <c r="F5477" s="1">
        <f>IFERROR(__xludf.DUMMYFUNCTION("""COMPUTED_VALUE"""),6902715.0)</f>
        <v>6902715</v>
      </c>
    </row>
    <row r="5478">
      <c r="A5478" s="2">
        <f>IFERROR(__xludf.DUMMYFUNCTION("""COMPUTED_VALUE"""),44475.66666666667)</f>
        <v>44475.66667</v>
      </c>
      <c r="B5478" s="1">
        <f>IFERROR(__xludf.DUMMYFUNCTION("""COMPUTED_VALUE"""),138.99)</f>
        <v>138.99</v>
      </c>
      <c r="C5478" s="1">
        <f>IFERROR(__xludf.DUMMYFUNCTION("""COMPUTED_VALUE"""),141.26)</f>
        <v>141.26</v>
      </c>
      <c r="D5478" s="1">
        <f>IFERROR(__xludf.DUMMYFUNCTION("""COMPUTED_VALUE"""),138.62)</f>
        <v>138.62</v>
      </c>
      <c r="E5478" s="1">
        <f>IFERROR(__xludf.DUMMYFUNCTION("""COMPUTED_VALUE"""),141.19)</f>
        <v>141.19</v>
      </c>
      <c r="F5478" s="1">
        <f>IFERROR(__xludf.DUMMYFUNCTION("""COMPUTED_VALUE"""),5333051.0)</f>
        <v>5333051</v>
      </c>
    </row>
    <row r="5479">
      <c r="A5479" s="2">
        <f>IFERROR(__xludf.DUMMYFUNCTION("""COMPUTED_VALUE"""),44476.66666666667)</f>
        <v>44476.66667</v>
      </c>
      <c r="B5479" s="1">
        <f>IFERROR(__xludf.DUMMYFUNCTION("""COMPUTED_VALUE"""),141.75)</f>
        <v>141.75</v>
      </c>
      <c r="C5479" s="1">
        <f>IFERROR(__xludf.DUMMYFUNCTION("""COMPUTED_VALUE"""),143.03)</f>
        <v>143.03</v>
      </c>
      <c r="D5479" s="1">
        <f>IFERROR(__xludf.DUMMYFUNCTION("""COMPUTED_VALUE"""),141.75)</f>
        <v>141.75</v>
      </c>
      <c r="E5479" s="1">
        <f>IFERROR(__xludf.DUMMYFUNCTION("""COMPUTED_VALUE"""),142.32)</f>
        <v>142.32</v>
      </c>
      <c r="F5479" s="1">
        <f>IFERROR(__xludf.DUMMYFUNCTION("""COMPUTED_VALUE"""),5334558.0)</f>
        <v>5334558</v>
      </c>
    </row>
    <row r="5480">
      <c r="A5480" s="2">
        <f>IFERROR(__xludf.DUMMYFUNCTION("""COMPUTED_VALUE"""),44477.66666666667)</f>
        <v>44477.66667</v>
      </c>
      <c r="B5480" s="1">
        <f>IFERROR(__xludf.DUMMYFUNCTION("""COMPUTED_VALUE"""),142.29)</f>
        <v>142.29</v>
      </c>
      <c r="C5480" s="1">
        <f>IFERROR(__xludf.DUMMYFUNCTION("""COMPUTED_VALUE"""),142.62)</f>
        <v>142.62</v>
      </c>
      <c r="D5480" s="1">
        <f>IFERROR(__xludf.DUMMYFUNCTION("""COMPUTED_VALUE"""),141.04)</f>
        <v>141.04</v>
      </c>
      <c r="E5480" s="1">
        <f>IFERROR(__xludf.DUMMYFUNCTION("""COMPUTED_VALUE"""),141.73)</f>
        <v>141.73</v>
      </c>
      <c r="F5480" s="1">
        <f>IFERROR(__xludf.DUMMYFUNCTION("""COMPUTED_VALUE"""),6131852.0)</f>
        <v>6131852</v>
      </c>
    </row>
    <row r="5481">
      <c r="A5481" s="2">
        <f>IFERROR(__xludf.DUMMYFUNCTION("""COMPUTED_VALUE"""),44480.66666666667)</f>
        <v>44480.66667</v>
      </c>
      <c r="B5481" s="1">
        <f>IFERROR(__xludf.DUMMYFUNCTION("""COMPUTED_VALUE"""),142.37)</f>
        <v>142.37</v>
      </c>
      <c r="C5481" s="1">
        <f>IFERROR(__xludf.DUMMYFUNCTION("""COMPUTED_VALUE"""),142.77)</f>
        <v>142.77</v>
      </c>
      <c r="D5481" s="1">
        <f>IFERROR(__xludf.DUMMYFUNCTION("""COMPUTED_VALUE"""),141.77)</f>
        <v>141.77</v>
      </c>
      <c r="E5481" s="1">
        <f>IFERROR(__xludf.DUMMYFUNCTION("""COMPUTED_VALUE"""),142.32)</f>
        <v>142.32</v>
      </c>
      <c r="F5481" s="1">
        <f>IFERROR(__xludf.DUMMYFUNCTION("""COMPUTED_VALUE"""),5995592.0)</f>
        <v>5995592</v>
      </c>
    </row>
    <row r="5482">
      <c r="A5482" s="2">
        <f>IFERROR(__xludf.DUMMYFUNCTION("""COMPUTED_VALUE"""),44481.66666666667)</f>
        <v>44481.66667</v>
      </c>
      <c r="B5482" s="1">
        <f>IFERROR(__xludf.DUMMYFUNCTION("""COMPUTED_VALUE"""),142.6)</f>
        <v>142.6</v>
      </c>
      <c r="C5482" s="1">
        <f>IFERROR(__xludf.DUMMYFUNCTION("""COMPUTED_VALUE"""),143.04)</f>
        <v>143.04</v>
      </c>
      <c r="D5482" s="1">
        <f>IFERROR(__xludf.DUMMYFUNCTION("""COMPUTED_VALUE"""),141.7)</f>
        <v>141.7</v>
      </c>
      <c r="E5482" s="1">
        <f>IFERROR(__xludf.DUMMYFUNCTION("""COMPUTED_VALUE"""),142.11)</f>
        <v>142.11</v>
      </c>
      <c r="F5482" s="1">
        <f>IFERROR(__xludf.DUMMYFUNCTION("""COMPUTED_VALUE"""),6734918.0)</f>
        <v>6734918</v>
      </c>
    </row>
    <row r="5483">
      <c r="A5483" s="2">
        <f>IFERROR(__xludf.DUMMYFUNCTION("""COMPUTED_VALUE"""),44482.66666666667)</f>
        <v>44482.66667</v>
      </c>
      <c r="B5483" s="1">
        <f>IFERROR(__xludf.DUMMYFUNCTION("""COMPUTED_VALUE"""),142.4)</f>
        <v>142.4</v>
      </c>
      <c r="C5483" s="1">
        <f>IFERROR(__xludf.DUMMYFUNCTION("""COMPUTED_VALUE"""),142.76)</f>
        <v>142.76</v>
      </c>
      <c r="D5483" s="1">
        <f>IFERROR(__xludf.DUMMYFUNCTION("""COMPUTED_VALUE"""),141.03)</f>
        <v>141.03</v>
      </c>
      <c r="E5483" s="1">
        <f>IFERROR(__xludf.DUMMYFUNCTION("""COMPUTED_VALUE"""),142.44)</f>
        <v>142.44</v>
      </c>
      <c r="F5483" s="1">
        <f>IFERROR(__xludf.DUMMYFUNCTION("""COMPUTED_VALUE"""),5689846.0)</f>
        <v>5689846</v>
      </c>
    </row>
    <row r="5484">
      <c r="A5484" s="2">
        <f>IFERROR(__xludf.DUMMYFUNCTION("""COMPUTED_VALUE"""),44483.66666666667)</f>
        <v>44483.66667</v>
      </c>
      <c r="B5484" s="1">
        <f>IFERROR(__xludf.DUMMYFUNCTION("""COMPUTED_VALUE"""),142.83)</f>
        <v>142.83</v>
      </c>
      <c r="C5484" s="1">
        <f>IFERROR(__xludf.DUMMYFUNCTION("""COMPUTED_VALUE"""),144.31)</f>
        <v>144.31</v>
      </c>
      <c r="D5484" s="1">
        <f>IFERROR(__xludf.DUMMYFUNCTION("""COMPUTED_VALUE"""),142.81)</f>
        <v>142.81</v>
      </c>
      <c r="E5484" s="1">
        <f>IFERROR(__xludf.DUMMYFUNCTION("""COMPUTED_VALUE"""),144.05)</f>
        <v>144.05</v>
      </c>
      <c r="F5484" s="1">
        <f>IFERROR(__xludf.DUMMYFUNCTION("""COMPUTED_VALUE"""),6778788.0)</f>
        <v>6778788</v>
      </c>
    </row>
    <row r="5485">
      <c r="A5485" s="2">
        <f>IFERROR(__xludf.DUMMYFUNCTION("""COMPUTED_VALUE"""),44484.66666666667)</f>
        <v>44484.66667</v>
      </c>
      <c r="B5485" s="1">
        <f>IFERROR(__xludf.DUMMYFUNCTION("""COMPUTED_VALUE"""),144.52)</f>
        <v>144.52</v>
      </c>
      <c r="C5485" s="1">
        <f>IFERROR(__xludf.DUMMYFUNCTION("""COMPUTED_VALUE"""),144.87)</f>
        <v>144.87</v>
      </c>
      <c r="D5485" s="1">
        <f>IFERROR(__xludf.DUMMYFUNCTION("""COMPUTED_VALUE"""),143.68)</f>
        <v>143.68</v>
      </c>
      <c r="E5485" s="1">
        <f>IFERROR(__xludf.DUMMYFUNCTION("""COMPUTED_VALUE"""),144.42)</f>
        <v>144.42</v>
      </c>
      <c r="F5485" s="1">
        <f>IFERROR(__xludf.DUMMYFUNCTION("""COMPUTED_VALUE"""),6923850.0)</f>
        <v>6923850</v>
      </c>
    </row>
    <row r="5486">
      <c r="A5486" s="2">
        <f>IFERROR(__xludf.DUMMYFUNCTION("""COMPUTED_VALUE"""),44487.66666666667)</f>
        <v>44487.66667</v>
      </c>
      <c r="B5486" s="1">
        <f>IFERROR(__xludf.DUMMYFUNCTION("""COMPUTED_VALUE"""),143.55)</f>
        <v>143.55</v>
      </c>
      <c r="C5486" s="1">
        <f>IFERROR(__xludf.DUMMYFUNCTION("""COMPUTED_VALUE"""),143.7)</f>
        <v>143.7</v>
      </c>
      <c r="D5486" s="1">
        <f>IFERROR(__xludf.DUMMYFUNCTION("""COMPUTED_VALUE"""),142.1)</f>
        <v>142.1</v>
      </c>
      <c r="E5486" s="1">
        <f>IFERROR(__xludf.DUMMYFUNCTION("""COMPUTED_VALUE"""),142.34)</f>
        <v>142.34</v>
      </c>
      <c r="F5486" s="1">
        <f>IFERROR(__xludf.DUMMYFUNCTION("""COMPUTED_VALUE"""),9119005.0)</f>
        <v>9119005</v>
      </c>
    </row>
    <row r="5487">
      <c r="A5487" s="2">
        <f>IFERROR(__xludf.DUMMYFUNCTION("""COMPUTED_VALUE"""),44488.66666666667)</f>
        <v>44488.66667</v>
      </c>
      <c r="B5487" s="1">
        <f>IFERROR(__xludf.DUMMYFUNCTION("""COMPUTED_VALUE"""),139.08)</f>
        <v>139.08</v>
      </c>
      <c r="C5487" s="1">
        <f>IFERROR(__xludf.DUMMYFUNCTION("""COMPUTED_VALUE"""),140.82)</f>
        <v>140.82</v>
      </c>
      <c r="D5487" s="1">
        <f>IFERROR(__xludf.DUMMYFUNCTION("""COMPUTED_VALUE"""),138.8)</f>
        <v>138.8</v>
      </c>
      <c r="E5487" s="1">
        <f>IFERROR(__xludf.DUMMYFUNCTION("""COMPUTED_VALUE"""),140.66)</f>
        <v>140.66</v>
      </c>
      <c r="F5487" s="1">
        <f>IFERROR(__xludf.DUMMYFUNCTION("""COMPUTED_VALUE"""),9555253.0)</f>
        <v>9555253</v>
      </c>
    </row>
    <row r="5488">
      <c r="A5488" s="2">
        <f>IFERROR(__xludf.DUMMYFUNCTION("""COMPUTED_VALUE"""),44489.66666666667)</f>
        <v>44489.66667</v>
      </c>
      <c r="B5488" s="1">
        <f>IFERROR(__xludf.DUMMYFUNCTION("""COMPUTED_VALUE"""),140.15)</f>
        <v>140.15</v>
      </c>
      <c r="C5488" s="1">
        <f>IFERROR(__xludf.DUMMYFUNCTION("""COMPUTED_VALUE"""),141.96)</f>
        <v>141.96</v>
      </c>
      <c r="D5488" s="1">
        <f>IFERROR(__xludf.DUMMYFUNCTION("""COMPUTED_VALUE"""),139.85)</f>
        <v>139.85</v>
      </c>
      <c r="E5488" s="1">
        <f>IFERROR(__xludf.DUMMYFUNCTION("""COMPUTED_VALUE"""),141.21)</f>
        <v>141.21</v>
      </c>
      <c r="F5488" s="1">
        <f>IFERROR(__xludf.DUMMYFUNCTION("""COMPUTED_VALUE"""),7352748.0)</f>
        <v>7352748</v>
      </c>
    </row>
    <row r="5489">
      <c r="A5489" s="2">
        <f>IFERROR(__xludf.DUMMYFUNCTION("""COMPUTED_VALUE"""),44490.66666666667)</f>
        <v>44490.66667</v>
      </c>
      <c r="B5489" s="1">
        <f>IFERROR(__xludf.DUMMYFUNCTION("""COMPUTED_VALUE"""),140.86)</f>
        <v>140.86</v>
      </c>
      <c r="C5489" s="1">
        <f>IFERROR(__xludf.DUMMYFUNCTION("""COMPUTED_VALUE"""),141.16)</f>
        <v>141.16</v>
      </c>
      <c r="D5489" s="1">
        <f>IFERROR(__xludf.DUMMYFUNCTION("""COMPUTED_VALUE"""),139.18)</f>
        <v>139.18</v>
      </c>
      <c r="E5489" s="1">
        <f>IFERROR(__xludf.DUMMYFUNCTION("""COMPUTED_VALUE"""),139.33)</f>
        <v>139.33</v>
      </c>
      <c r="F5489" s="1">
        <f>IFERROR(__xludf.DUMMYFUNCTION("""COMPUTED_VALUE"""),6545835.0)</f>
        <v>6545835</v>
      </c>
    </row>
    <row r="5490">
      <c r="A5490" s="2">
        <f>IFERROR(__xludf.DUMMYFUNCTION("""COMPUTED_VALUE"""),44491.66666666667)</f>
        <v>44491.66667</v>
      </c>
      <c r="B5490" s="1">
        <f>IFERROR(__xludf.DUMMYFUNCTION("""COMPUTED_VALUE"""),139.39)</f>
        <v>139.39</v>
      </c>
      <c r="C5490" s="1">
        <f>IFERROR(__xludf.DUMMYFUNCTION("""COMPUTED_VALUE"""),141.01)</f>
        <v>141.01</v>
      </c>
      <c r="D5490" s="1">
        <f>IFERROR(__xludf.DUMMYFUNCTION("""COMPUTED_VALUE"""),139.32)</f>
        <v>139.32</v>
      </c>
      <c r="E5490" s="1">
        <f>IFERROR(__xludf.DUMMYFUNCTION("""COMPUTED_VALUE"""),140.83)</f>
        <v>140.83</v>
      </c>
      <c r="F5490" s="1">
        <f>IFERROR(__xludf.DUMMYFUNCTION("""COMPUTED_VALUE"""),5265017.0)</f>
        <v>5265017</v>
      </c>
    </row>
    <row r="5491">
      <c r="A5491" s="2">
        <f>IFERROR(__xludf.DUMMYFUNCTION("""COMPUTED_VALUE"""),44494.66666666667)</f>
        <v>44494.66667</v>
      </c>
      <c r="B5491" s="1">
        <f>IFERROR(__xludf.DUMMYFUNCTION("""COMPUTED_VALUE"""),140.41)</f>
        <v>140.41</v>
      </c>
      <c r="C5491" s="1">
        <f>IFERROR(__xludf.DUMMYFUNCTION("""COMPUTED_VALUE"""),140.92)</f>
        <v>140.92</v>
      </c>
      <c r="D5491" s="1">
        <f>IFERROR(__xludf.DUMMYFUNCTION("""COMPUTED_VALUE"""),139.05)</f>
        <v>139.05</v>
      </c>
      <c r="E5491" s="1">
        <f>IFERROR(__xludf.DUMMYFUNCTION("""COMPUTED_VALUE"""),140.85)</f>
        <v>140.85</v>
      </c>
      <c r="F5491" s="1">
        <f>IFERROR(__xludf.DUMMYFUNCTION("""COMPUTED_VALUE"""),5382085.0)</f>
        <v>5382085</v>
      </c>
    </row>
    <row r="5492">
      <c r="A5492" s="2">
        <f>IFERROR(__xludf.DUMMYFUNCTION("""COMPUTED_VALUE"""),44495.66666666667)</f>
        <v>44495.66667</v>
      </c>
      <c r="B5492" s="1">
        <f>IFERROR(__xludf.DUMMYFUNCTION("""COMPUTED_VALUE"""),141.62)</f>
        <v>141.62</v>
      </c>
      <c r="C5492" s="1">
        <f>IFERROR(__xludf.DUMMYFUNCTION("""COMPUTED_VALUE"""),143.18)</f>
        <v>143.18</v>
      </c>
      <c r="D5492" s="1">
        <f>IFERROR(__xludf.DUMMYFUNCTION("""COMPUTED_VALUE"""),141.24)</f>
        <v>141.24</v>
      </c>
      <c r="E5492" s="1">
        <f>IFERROR(__xludf.DUMMYFUNCTION("""COMPUTED_VALUE"""),142.85)</f>
        <v>142.85</v>
      </c>
      <c r="F5492" s="1">
        <f>IFERROR(__xludf.DUMMYFUNCTION("""COMPUTED_VALUE"""),6234859.0)</f>
        <v>6234859</v>
      </c>
    </row>
    <row r="5493">
      <c r="A5493" s="2">
        <f>IFERROR(__xludf.DUMMYFUNCTION("""COMPUTED_VALUE"""),44496.66666666667)</f>
        <v>44496.66667</v>
      </c>
      <c r="B5493" s="1">
        <f>IFERROR(__xludf.DUMMYFUNCTION("""COMPUTED_VALUE"""),143.14)</f>
        <v>143.14</v>
      </c>
      <c r="C5493" s="1">
        <f>IFERROR(__xludf.DUMMYFUNCTION("""COMPUTED_VALUE"""),143.68)</f>
        <v>143.68</v>
      </c>
      <c r="D5493" s="1">
        <f>IFERROR(__xludf.DUMMYFUNCTION("""COMPUTED_VALUE"""),141.69)</f>
        <v>141.69</v>
      </c>
      <c r="E5493" s="1">
        <f>IFERROR(__xludf.DUMMYFUNCTION("""COMPUTED_VALUE"""),141.83)</f>
        <v>141.83</v>
      </c>
      <c r="F5493" s="1">
        <f>IFERROR(__xludf.DUMMYFUNCTION("""COMPUTED_VALUE"""),9643487.0)</f>
        <v>9643487</v>
      </c>
    </row>
    <row r="5494">
      <c r="A5494" s="2">
        <f>IFERROR(__xludf.DUMMYFUNCTION("""COMPUTED_VALUE"""),44497.66666666667)</f>
        <v>44497.66667</v>
      </c>
      <c r="B5494" s="1">
        <f>IFERROR(__xludf.DUMMYFUNCTION("""COMPUTED_VALUE"""),141.89)</f>
        <v>141.89</v>
      </c>
      <c r="C5494" s="1">
        <f>IFERROR(__xludf.DUMMYFUNCTION("""COMPUTED_VALUE"""),142.88)</f>
        <v>142.88</v>
      </c>
      <c r="D5494" s="1">
        <f>IFERROR(__xludf.DUMMYFUNCTION("""COMPUTED_VALUE"""),141.71)</f>
        <v>141.71</v>
      </c>
      <c r="E5494" s="1">
        <f>IFERROR(__xludf.DUMMYFUNCTION("""COMPUTED_VALUE"""),142.68)</f>
        <v>142.68</v>
      </c>
      <c r="F5494" s="1">
        <f>IFERROR(__xludf.DUMMYFUNCTION("""COMPUTED_VALUE"""),4538687.0)</f>
        <v>4538687</v>
      </c>
    </row>
    <row r="5495">
      <c r="A5495" s="2">
        <f>IFERROR(__xludf.DUMMYFUNCTION("""COMPUTED_VALUE"""),44498.66666666667)</f>
        <v>44498.66667</v>
      </c>
      <c r="B5495" s="1">
        <f>IFERROR(__xludf.DUMMYFUNCTION("""COMPUTED_VALUE"""),142.16)</f>
        <v>142.16</v>
      </c>
      <c r="C5495" s="1">
        <f>IFERROR(__xludf.DUMMYFUNCTION("""COMPUTED_VALUE"""),143.48)</f>
        <v>143.48</v>
      </c>
      <c r="D5495" s="1">
        <f>IFERROR(__xludf.DUMMYFUNCTION("""COMPUTED_VALUE"""),142.02)</f>
        <v>142.02</v>
      </c>
      <c r="E5495" s="1">
        <f>IFERROR(__xludf.DUMMYFUNCTION("""COMPUTED_VALUE"""),142.99)</f>
        <v>142.99</v>
      </c>
      <c r="F5495" s="1">
        <f>IFERROR(__xludf.DUMMYFUNCTION("""COMPUTED_VALUE"""),6239699.0)</f>
        <v>6239699</v>
      </c>
    </row>
    <row r="5496">
      <c r="A5496" s="2">
        <f>IFERROR(__xludf.DUMMYFUNCTION("""COMPUTED_VALUE"""),44501.66666666667)</f>
        <v>44501.66667</v>
      </c>
      <c r="B5496" s="1">
        <f>IFERROR(__xludf.DUMMYFUNCTION("""COMPUTED_VALUE"""),143.36)</f>
        <v>143.36</v>
      </c>
      <c r="C5496" s="1">
        <f>IFERROR(__xludf.DUMMYFUNCTION("""COMPUTED_VALUE"""),143.8)</f>
        <v>143.8</v>
      </c>
      <c r="D5496" s="1">
        <f>IFERROR(__xludf.DUMMYFUNCTION("""COMPUTED_VALUE"""),142.49)</f>
        <v>142.49</v>
      </c>
      <c r="E5496" s="1">
        <f>IFERROR(__xludf.DUMMYFUNCTION("""COMPUTED_VALUE"""),142.64)</f>
        <v>142.64</v>
      </c>
      <c r="F5496" s="1">
        <f>IFERROR(__xludf.DUMMYFUNCTION("""COMPUTED_VALUE"""),5038861.0)</f>
        <v>5038861</v>
      </c>
    </row>
    <row r="5497">
      <c r="A5497" s="2">
        <f>IFERROR(__xludf.DUMMYFUNCTION("""COMPUTED_VALUE"""),44502.66666666667)</f>
        <v>44502.66667</v>
      </c>
      <c r="B5497" s="1">
        <f>IFERROR(__xludf.DUMMYFUNCTION("""COMPUTED_VALUE"""),142.72)</f>
        <v>142.72</v>
      </c>
      <c r="C5497" s="1">
        <f>IFERROR(__xludf.DUMMYFUNCTION("""COMPUTED_VALUE"""),144.58)</f>
        <v>144.58</v>
      </c>
      <c r="D5497" s="1">
        <f>IFERROR(__xludf.DUMMYFUNCTION("""COMPUTED_VALUE"""),142.28)</f>
        <v>142.28</v>
      </c>
      <c r="E5497" s="1">
        <f>IFERROR(__xludf.DUMMYFUNCTION("""COMPUTED_VALUE"""),144.06)</f>
        <v>144.06</v>
      </c>
      <c r="F5497" s="1">
        <f>IFERROR(__xludf.DUMMYFUNCTION("""COMPUTED_VALUE"""),9954302.0)</f>
        <v>9954302</v>
      </c>
    </row>
    <row r="5498">
      <c r="A5498" s="2">
        <f>IFERROR(__xludf.DUMMYFUNCTION("""COMPUTED_VALUE"""),44503.66666666667)</f>
        <v>44503.66667</v>
      </c>
      <c r="B5498" s="1">
        <f>IFERROR(__xludf.DUMMYFUNCTION("""COMPUTED_VALUE"""),144.13)</f>
        <v>144.13</v>
      </c>
      <c r="C5498" s="1">
        <f>IFERROR(__xludf.DUMMYFUNCTION("""COMPUTED_VALUE"""),145.11)</f>
        <v>145.11</v>
      </c>
      <c r="D5498" s="1">
        <f>IFERROR(__xludf.DUMMYFUNCTION("""COMPUTED_VALUE"""),143.52)</f>
        <v>143.52</v>
      </c>
      <c r="E5498" s="1">
        <f>IFERROR(__xludf.DUMMYFUNCTION("""COMPUTED_VALUE"""),145.05)</f>
        <v>145.05</v>
      </c>
      <c r="F5498" s="1">
        <f>IFERROR(__xludf.DUMMYFUNCTION("""COMPUTED_VALUE"""),7620097.0)</f>
        <v>7620097</v>
      </c>
    </row>
    <row r="5499">
      <c r="A5499" s="2">
        <f>IFERROR(__xludf.DUMMYFUNCTION("""COMPUTED_VALUE"""),44504.66666666667)</f>
        <v>44504.66667</v>
      </c>
      <c r="B5499" s="1">
        <f>IFERROR(__xludf.DUMMYFUNCTION("""COMPUTED_VALUE"""),142.84)</f>
        <v>142.84</v>
      </c>
      <c r="C5499" s="1">
        <f>IFERROR(__xludf.DUMMYFUNCTION("""COMPUTED_VALUE"""),145.39)</f>
        <v>145.39</v>
      </c>
      <c r="D5499" s="1">
        <f>IFERROR(__xludf.DUMMYFUNCTION("""COMPUTED_VALUE"""),142.34)</f>
        <v>142.34</v>
      </c>
      <c r="E5499" s="1">
        <f>IFERROR(__xludf.DUMMYFUNCTION("""COMPUTED_VALUE"""),145.32)</f>
        <v>145.32</v>
      </c>
      <c r="F5499" s="1">
        <f>IFERROR(__xludf.DUMMYFUNCTION("""COMPUTED_VALUE"""),6402451.0)</f>
        <v>6402451</v>
      </c>
    </row>
    <row r="5500">
      <c r="A5500" s="2">
        <f>IFERROR(__xludf.DUMMYFUNCTION("""COMPUTED_VALUE"""),44505.66666666667)</f>
        <v>44505.66667</v>
      </c>
      <c r="B5500" s="1">
        <f>IFERROR(__xludf.DUMMYFUNCTION("""COMPUTED_VALUE"""),145.44)</f>
        <v>145.44</v>
      </c>
      <c r="C5500" s="1">
        <f>IFERROR(__xludf.DUMMYFUNCTION("""COMPUTED_VALUE"""),146.37)</f>
        <v>146.37</v>
      </c>
      <c r="D5500" s="1">
        <f>IFERROR(__xludf.DUMMYFUNCTION("""COMPUTED_VALUE"""),144.8)</f>
        <v>144.8</v>
      </c>
      <c r="E5500" s="1">
        <f>IFERROR(__xludf.DUMMYFUNCTION("""COMPUTED_VALUE"""),146.04)</f>
        <v>146.04</v>
      </c>
      <c r="F5500" s="1">
        <f>IFERROR(__xludf.DUMMYFUNCTION("""COMPUTED_VALUE"""),6062769.0)</f>
        <v>6062769</v>
      </c>
    </row>
    <row r="5501">
      <c r="A5501" s="2">
        <f>IFERROR(__xludf.DUMMYFUNCTION("""COMPUTED_VALUE"""),44508.66666666667)</f>
        <v>44508.66667</v>
      </c>
      <c r="B5501" s="1">
        <f>IFERROR(__xludf.DUMMYFUNCTION("""COMPUTED_VALUE"""),145.5)</f>
        <v>145.5</v>
      </c>
      <c r="C5501" s="1">
        <f>IFERROR(__xludf.DUMMYFUNCTION("""COMPUTED_VALUE"""),146.1)</f>
        <v>146.1</v>
      </c>
      <c r="D5501" s="1">
        <f>IFERROR(__xludf.DUMMYFUNCTION("""COMPUTED_VALUE"""),144.02)</f>
        <v>144.02</v>
      </c>
      <c r="E5501" s="1">
        <f>IFERROR(__xludf.DUMMYFUNCTION("""COMPUTED_VALUE"""),144.95)</f>
        <v>144.95</v>
      </c>
      <c r="F5501" s="1">
        <f>IFERROR(__xludf.DUMMYFUNCTION("""COMPUTED_VALUE"""),5854509.0)</f>
        <v>5854509</v>
      </c>
    </row>
    <row r="5502">
      <c r="A5502" s="2">
        <f>IFERROR(__xludf.DUMMYFUNCTION("""COMPUTED_VALUE"""),44509.66666666667)</f>
        <v>44509.66667</v>
      </c>
      <c r="B5502" s="1">
        <f>IFERROR(__xludf.DUMMYFUNCTION("""COMPUTED_VALUE"""),145.03)</f>
        <v>145.03</v>
      </c>
      <c r="C5502" s="1">
        <f>IFERROR(__xludf.DUMMYFUNCTION("""COMPUTED_VALUE"""),145.83)</f>
        <v>145.83</v>
      </c>
      <c r="D5502" s="1">
        <f>IFERROR(__xludf.DUMMYFUNCTION("""COMPUTED_VALUE"""),144.58)</f>
        <v>144.58</v>
      </c>
      <c r="E5502" s="1">
        <f>IFERROR(__xludf.DUMMYFUNCTION("""COMPUTED_VALUE"""),145.39)</f>
        <v>145.39</v>
      </c>
      <c r="F5502" s="1">
        <f>IFERROR(__xludf.DUMMYFUNCTION("""COMPUTED_VALUE"""),4873235.0)</f>
        <v>4873235</v>
      </c>
    </row>
    <row r="5503">
      <c r="A5503" s="2">
        <f>IFERROR(__xludf.DUMMYFUNCTION("""COMPUTED_VALUE"""),44510.66666666667)</f>
        <v>44510.66667</v>
      </c>
      <c r="B5503" s="1">
        <f>IFERROR(__xludf.DUMMYFUNCTION("""COMPUTED_VALUE"""),145.74)</f>
        <v>145.74</v>
      </c>
      <c r="C5503" s="1">
        <f>IFERROR(__xludf.DUMMYFUNCTION("""COMPUTED_VALUE"""),147.31)</f>
        <v>147.31</v>
      </c>
      <c r="D5503" s="1">
        <f>IFERROR(__xludf.DUMMYFUNCTION("""COMPUTED_VALUE"""),145.59)</f>
        <v>145.59</v>
      </c>
      <c r="E5503" s="1">
        <f>IFERROR(__xludf.DUMMYFUNCTION("""COMPUTED_VALUE"""),146.82)</f>
        <v>146.82</v>
      </c>
      <c r="F5503" s="1">
        <f>IFERROR(__xludf.DUMMYFUNCTION("""COMPUTED_VALUE"""),7334936.0)</f>
        <v>7334936</v>
      </c>
    </row>
    <row r="5504">
      <c r="A5504" s="2">
        <f>IFERROR(__xludf.DUMMYFUNCTION("""COMPUTED_VALUE"""),44511.66666666667)</f>
        <v>44511.66667</v>
      </c>
      <c r="B5504" s="1">
        <f>IFERROR(__xludf.DUMMYFUNCTION("""COMPUTED_VALUE"""),146.86)</f>
        <v>146.86</v>
      </c>
      <c r="C5504" s="1">
        <f>IFERROR(__xludf.DUMMYFUNCTION("""COMPUTED_VALUE"""),146.97)</f>
        <v>146.97</v>
      </c>
      <c r="D5504" s="1">
        <f>IFERROR(__xludf.DUMMYFUNCTION("""COMPUTED_VALUE"""),146.21)</f>
        <v>146.21</v>
      </c>
      <c r="E5504" s="1">
        <f>IFERROR(__xludf.DUMMYFUNCTION("""COMPUTED_VALUE"""),146.4)</f>
        <v>146.4</v>
      </c>
      <c r="F5504" s="1">
        <f>IFERROR(__xludf.DUMMYFUNCTION("""COMPUTED_VALUE"""),4096274.0)</f>
        <v>4096274</v>
      </c>
    </row>
    <row r="5505">
      <c r="A5505" s="2">
        <f>IFERROR(__xludf.DUMMYFUNCTION("""COMPUTED_VALUE"""),44512.66666666667)</f>
        <v>44512.66667</v>
      </c>
      <c r="B5505" s="1">
        <f>IFERROR(__xludf.DUMMYFUNCTION("""COMPUTED_VALUE"""),146.74)</f>
        <v>146.74</v>
      </c>
      <c r="C5505" s="1">
        <f>IFERROR(__xludf.DUMMYFUNCTION("""COMPUTED_VALUE"""),147.08)</f>
        <v>147.08</v>
      </c>
      <c r="D5505" s="1">
        <f>IFERROR(__xludf.DUMMYFUNCTION("""COMPUTED_VALUE"""),145.98)</f>
        <v>145.98</v>
      </c>
      <c r="E5505" s="1">
        <f>IFERROR(__xludf.DUMMYFUNCTION("""COMPUTED_VALUE"""),146.56)</f>
        <v>146.56</v>
      </c>
      <c r="F5505" s="1">
        <f>IFERROR(__xludf.DUMMYFUNCTION("""COMPUTED_VALUE"""),5687659.0)</f>
        <v>5687659</v>
      </c>
    </row>
    <row r="5506">
      <c r="A5506" s="2">
        <f>IFERROR(__xludf.DUMMYFUNCTION("""COMPUTED_VALUE"""),44515.66666666667)</f>
        <v>44515.66667</v>
      </c>
      <c r="B5506" s="1">
        <f>IFERROR(__xludf.DUMMYFUNCTION("""COMPUTED_VALUE"""),147.03)</f>
        <v>147.03</v>
      </c>
      <c r="C5506" s="1">
        <f>IFERROR(__xludf.DUMMYFUNCTION("""COMPUTED_VALUE"""),147.75)</f>
        <v>147.75</v>
      </c>
      <c r="D5506" s="1">
        <f>IFERROR(__xludf.DUMMYFUNCTION("""COMPUTED_VALUE"""),146.47)</f>
        <v>146.47</v>
      </c>
      <c r="E5506" s="1">
        <f>IFERROR(__xludf.DUMMYFUNCTION("""COMPUTED_VALUE"""),147.4)</f>
        <v>147.4</v>
      </c>
      <c r="F5506" s="1">
        <f>IFERROR(__xludf.DUMMYFUNCTION("""COMPUTED_VALUE"""),5510265.0)</f>
        <v>5510265</v>
      </c>
    </row>
    <row r="5507">
      <c r="A5507" s="2">
        <f>IFERROR(__xludf.DUMMYFUNCTION("""COMPUTED_VALUE"""),44516.66666666667)</f>
        <v>44516.66667</v>
      </c>
      <c r="B5507" s="1">
        <f>IFERROR(__xludf.DUMMYFUNCTION("""COMPUTED_VALUE"""),147.39)</f>
        <v>147.39</v>
      </c>
      <c r="C5507" s="1">
        <f>IFERROR(__xludf.DUMMYFUNCTION("""COMPUTED_VALUE"""),148.59)</f>
        <v>148.59</v>
      </c>
      <c r="D5507" s="1">
        <f>IFERROR(__xludf.DUMMYFUNCTION("""COMPUTED_VALUE"""),147.01)</f>
        <v>147.01</v>
      </c>
      <c r="E5507" s="1">
        <f>IFERROR(__xludf.DUMMYFUNCTION("""COMPUTED_VALUE"""),147.19)</f>
        <v>147.19</v>
      </c>
      <c r="F5507" s="1">
        <f>IFERROR(__xludf.DUMMYFUNCTION("""COMPUTED_VALUE"""),7603940.0)</f>
        <v>7603940</v>
      </c>
    </row>
    <row r="5508">
      <c r="A5508" s="2">
        <f>IFERROR(__xludf.DUMMYFUNCTION("""COMPUTED_VALUE"""),44517.66666666667)</f>
        <v>44517.66667</v>
      </c>
      <c r="B5508" s="1">
        <f>IFERROR(__xludf.DUMMYFUNCTION("""COMPUTED_VALUE"""),146.97)</f>
        <v>146.97</v>
      </c>
      <c r="C5508" s="1">
        <f>IFERROR(__xludf.DUMMYFUNCTION("""COMPUTED_VALUE"""),147.78)</f>
        <v>147.78</v>
      </c>
      <c r="D5508" s="1">
        <f>IFERROR(__xludf.DUMMYFUNCTION("""COMPUTED_VALUE"""),146.42)</f>
        <v>146.42</v>
      </c>
      <c r="E5508" s="1">
        <f>IFERROR(__xludf.DUMMYFUNCTION("""COMPUTED_VALUE"""),147.1)</f>
        <v>147.1</v>
      </c>
      <c r="F5508" s="1">
        <f>IFERROR(__xludf.DUMMYFUNCTION("""COMPUTED_VALUE"""),4900232.0)</f>
        <v>4900232</v>
      </c>
    </row>
    <row r="5509">
      <c r="A5509" s="2">
        <f>IFERROR(__xludf.DUMMYFUNCTION("""COMPUTED_VALUE"""),44518.66666666667)</f>
        <v>44518.66667</v>
      </c>
      <c r="B5509" s="1">
        <f>IFERROR(__xludf.DUMMYFUNCTION("""COMPUTED_VALUE"""),147.04)</f>
        <v>147.04</v>
      </c>
      <c r="C5509" s="1">
        <f>IFERROR(__xludf.DUMMYFUNCTION("""COMPUTED_VALUE"""),148.08)</f>
        <v>148.08</v>
      </c>
      <c r="D5509" s="1">
        <f>IFERROR(__xludf.DUMMYFUNCTION("""COMPUTED_VALUE"""),146.51)</f>
        <v>146.51</v>
      </c>
      <c r="E5509" s="1">
        <f>IFERROR(__xludf.DUMMYFUNCTION("""COMPUTED_VALUE"""),147.12)</f>
        <v>147.12</v>
      </c>
      <c r="F5509" s="1">
        <f>IFERROR(__xludf.DUMMYFUNCTION("""COMPUTED_VALUE"""),5509373.0)</f>
        <v>5509373</v>
      </c>
    </row>
    <row r="5510">
      <c r="A5510" s="2">
        <f>IFERROR(__xludf.DUMMYFUNCTION("""COMPUTED_VALUE"""),44519.66666666667)</f>
        <v>44519.66667</v>
      </c>
      <c r="B5510" s="1">
        <f>IFERROR(__xludf.DUMMYFUNCTION("""COMPUTED_VALUE"""),147.95)</f>
        <v>147.95</v>
      </c>
      <c r="C5510" s="1">
        <f>IFERROR(__xludf.DUMMYFUNCTION("""COMPUTED_VALUE"""),148.23)</f>
        <v>148.23</v>
      </c>
      <c r="D5510" s="1">
        <f>IFERROR(__xludf.DUMMYFUNCTION("""COMPUTED_VALUE"""),146.79)</f>
        <v>146.79</v>
      </c>
      <c r="E5510" s="1">
        <f>IFERROR(__xludf.DUMMYFUNCTION("""COMPUTED_VALUE"""),146.82)</f>
        <v>146.82</v>
      </c>
      <c r="F5510" s="1">
        <f>IFERROR(__xludf.DUMMYFUNCTION("""COMPUTED_VALUE"""),6274297.0)</f>
        <v>6274297</v>
      </c>
    </row>
    <row r="5511">
      <c r="A5511" s="2">
        <f>IFERROR(__xludf.DUMMYFUNCTION("""COMPUTED_VALUE"""),44522.66666666667)</f>
        <v>44522.66667</v>
      </c>
      <c r="B5511" s="1">
        <f>IFERROR(__xludf.DUMMYFUNCTION("""COMPUTED_VALUE"""),146.97)</f>
        <v>146.97</v>
      </c>
      <c r="C5511" s="1">
        <f>IFERROR(__xludf.DUMMYFUNCTION("""COMPUTED_VALUE"""),148.94)</f>
        <v>148.94</v>
      </c>
      <c r="D5511" s="1">
        <f>IFERROR(__xludf.DUMMYFUNCTION("""COMPUTED_VALUE"""),146.83)</f>
        <v>146.83</v>
      </c>
      <c r="E5511" s="1">
        <f>IFERROR(__xludf.DUMMYFUNCTION("""COMPUTED_VALUE"""),147.8)</f>
        <v>147.8</v>
      </c>
      <c r="F5511" s="1">
        <f>IFERROR(__xludf.DUMMYFUNCTION("""COMPUTED_VALUE"""),6625408.0)</f>
        <v>6625408</v>
      </c>
    </row>
    <row r="5512">
      <c r="A5512" s="2">
        <f>IFERROR(__xludf.DUMMYFUNCTION("""COMPUTED_VALUE"""),44523.66666666667)</f>
        <v>44523.66667</v>
      </c>
      <c r="B5512" s="1">
        <f>IFERROR(__xludf.DUMMYFUNCTION("""COMPUTED_VALUE"""),147.83)</f>
        <v>147.83</v>
      </c>
      <c r="C5512" s="1">
        <f>IFERROR(__xludf.DUMMYFUNCTION("""COMPUTED_VALUE"""),149.5)</f>
        <v>149.5</v>
      </c>
      <c r="D5512" s="1">
        <f>IFERROR(__xludf.DUMMYFUNCTION("""COMPUTED_VALUE"""),147.67)</f>
        <v>147.67</v>
      </c>
      <c r="E5512" s="1">
        <f>IFERROR(__xludf.DUMMYFUNCTION("""COMPUTED_VALUE"""),149.44)</f>
        <v>149.44</v>
      </c>
      <c r="F5512" s="1">
        <f>IFERROR(__xludf.DUMMYFUNCTION("""COMPUTED_VALUE"""),7913048.0)</f>
        <v>7913048</v>
      </c>
    </row>
    <row r="5513">
      <c r="A5513" s="2">
        <f>IFERROR(__xludf.DUMMYFUNCTION("""COMPUTED_VALUE"""),44524.66666666667)</f>
        <v>44524.66667</v>
      </c>
      <c r="B5513" s="1">
        <f>IFERROR(__xludf.DUMMYFUNCTION("""COMPUTED_VALUE"""),148.77)</f>
        <v>148.77</v>
      </c>
      <c r="C5513" s="1">
        <f>IFERROR(__xludf.DUMMYFUNCTION("""COMPUTED_VALUE"""),148.88)</f>
        <v>148.88</v>
      </c>
      <c r="D5513" s="1">
        <f>IFERROR(__xludf.DUMMYFUNCTION("""COMPUTED_VALUE"""),147.68)</f>
        <v>147.68</v>
      </c>
      <c r="E5513" s="1">
        <f>IFERROR(__xludf.DUMMYFUNCTION("""COMPUTED_VALUE"""),148.66)</f>
        <v>148.66</v>
      </c>
      <c r="F5513" s="1">
        <f>IFERROR(__xludf.DUMMYFUNCTION("""COMPUTED_VALUE"""),5665173.0)</f>
        <v>5665173</v>
      </c>
    </row>
    <row r="5514">
      <c r="A5514" s="2">
        <f>IFERROR(__xludf.DUMMYFUNCTION("""COMPUTED_VALUE"""),44526.54166666667)</f>
        <v>44526.54167</v>
      </c>
      <c r="B5514" s="1">
        <f>IFERROR(__xludf.DUMMYFUNCTION("""COMPUTED_VALUE"""),148.58)</f>
        <v>148.58</v>
      </c>
      <c r="C5514" s="1">
        <f>IFERROR(__xludf.DUMMYFUNCTION("""COMPUTED_VALUE"""),149.72)</f>
        <v>149.72</v>
      </c>
      <c r="D5514" s="1">
        <f>IFERROR(__xludf.DUMMYFUNCTION("""COMPUTED_VALUE"""),147.31)</f>
        <v>147.31</v>
      </c>
      <c r="E5514" s="1">
        <f>IFERROR(__xludf.DUMMYFUNCTION("""COMPUTED_VALUE"""),147.47)</f>
        <v>147.47</v>
      </c>
      <c r="F5514" s="1">
        <f>IFERROR(__xludf.DUMMYFUNCTION("""COMPUTED_VALUE"""),6299783.0)</f>
        <v>6299783</v>
      </c>
    </row>
    <row r="5515">
      <c r="A5515" s="2">
        <f>IFERROR(__xludf.DUMMYFUNCTION("""COMPUTED_VALUE"""),44529.66666666667)</f>
        <v>44529.66667</v>
      </c>
      <c r="B5515" s="1">
        <f>IFERROR(__xludf.DUMMYFUNCTION("""COMPUTED_VALUE"""),147.79)</f>
        <v>147.79</v>
      </c>
      <c r="C5515" s="1">
        <f>IFERROR(__xludf.DUMMYFUNCTION("""COMPUTED_VALUE"""),149.66)</f>
        <v>149.66</v>
      </c>
      <c r="D5515" s="1">
        <f>IFERROR(__xludf.DUMMYFUNCTION("""COMPUTED_VALUE"""),146.79)</f>
        <v>146.79</v>
      </c>
      <c r="E5515" s="1">
        <f>IFERROR(__xludf.DUMMYFUNCTION("""COMPUTED_VALUE"""),149.02)</f>
        <v>149.02</v>
      </c>
      <c r="F5515" s="1">
        <f>IFERROR(__xludf.DUMMYFUNCTION("""COMPUTED_VALUE"""),7113503.0)</f>
        <v>7113503</v>
      </c>
    </row>
    <row r="5516">
      <c r="A5516" s="2">
        <f>IFERROR(__xludf.DUMMYFUNCTION("""COMPUTED_VALUE"""),44530.66666666667)</f>
        <v>44530.66667</v>
      </c>
      <c r="B5516" s="1">
        <f>IFERROR(__xludf.DUMMYFUNCTION("""COMPUTED_VALUE"""),147.81)</f>
        <v>147.81</v>
      </c>
      <c r="C5516" s="1">
        <f>IFERROR(__xludf.DUMMYFUNCTION("""COMPUTED_VALUE"""),148.54)</f>
        <v>148.54</v>
      </c>
      <c r="D5516" s="1">
        <f>IFERROR(__xludf.DUMMYFUNCTION("""COMPUTED_VALUE"""),144.12)</f>
        <v>144.12</v>
      </c>
      <c r="E5516" s="1">
        <f>IFERROR(__xludf.DUMMYFUNCTION("""COMPUTED_VALUE"""),144.58)</f>
        <v>144.58</v>
      </c>
      <c r="F5516" s="1">
        <f>IFERROR(__xludf.DUMMYFUNCTION("""COMPUTED_VALUE"""),1.1696448E7)</f>
        <v>11696448</v>
      </c>
    </row>
    <row r="5517">
      <c r="A5517" s="2">
        <f>IFERROR(__xludf.DUMMYFUNCTION("""COMPUTED_VALUE"""),44531.66666666667)</f>
        <v>44531.66667</v>
      </c>
      <c r="B5517" s="1">
        <f>IFERROR(__xludf.DUMMYFUNCTION("""COMPUTED_VALUE"""),144.85)</f>
        <v>144.85</v>
      </c>
      <c r="C5517" s="1">
        <f>IFERROR(__xludf.DUMMYFUNCTION("""COMPUTED_VALUE"""),147.87)</f>
        <v>147.87</v>
      </c>
      <c r="D5517" s="1">
        <f>IFERROR(__xludf.DUMMYFUNCTION("""COMPUTED_VALUE"""),144.85)</f>
        <v>144.85</v>
      </c>
      <c r="E5517" s="1">
        <f>IFERROR(__xludf.DUMMYFUNCTION("""COMPUTED_VALUE"""),146.4)</f>
        <v>146.4</v>
      </c>
      <c r="F5517" s="1">
        <f>IFERROR(__xludf.DUMMYFUNCTION("""COMPUTED_VALUE"""),8313557.0)</f>
        <v>8313557</v>
      </c>
    </row>
    <row r="5518">
      <c r="A5518" s="2">
        <f>IFERROR(__xludf.DUMMYFUNCTION("""COMPUTED_VALUE"""),44532.66666666667)</f>
        <v>44532.66667</v>
      </c>
      <c r="B5518" s="1">
        <f>IFERROR(__xludf.DUMMYFUNCTION("""COMPUTED_VALUE"""),147.01)</f>
        <v>147.01</v>
      </c>
      <c r="C5518" s="1">
        <f>IFERROR(__xludf.DUMMYFUNCTION("""COMPUTED_VALUE"""),148.46)</f>
        <v>148.46</v>
      </c>
      <c r="D5518" s="1">
        <f>IFERROR(__xludf.DUMMYFUNCTION("""COMPUTED_VALUE"""),146.94)</f>
        <v>146.94</v>
      </c>
      <c r="E5518" s="1">
        <f>IFERROR(__xludf.DUMMYFUNCTION("""COMPUTED_VALUE"""),147.26)</f>
        <v>147.26</v>
      </c>
      <c r="F5518" s="1">
        <f>IFERROR(__xludf.DUMMYFUNCTION("""COMPUTED_VALUE"""),9468906.0)</f>
        <v>9468906</v>
      </c>
    </row>
    <row r="5519">
      <c r="A5519" s="2">
        <f>IFERROR(__xludf.DUMMYFUNCTION("""COMPUTED_VALUE"""),44533.66666666667)</f>
        <v>44533.66667</v>
      </c>
      <c r="B5519" s="1">
        <f>IFERROR(__xludf.DUMMYFUNCTION("""COMPUTED_VALUE"""),148.02)</f>
        <v>148.02</v>
      </c>
      <c r="C5519" s="1">
        <f>IFERROR(__xludf.DUMMYFUNCTION("""COMPUTED_VALUE"""),150.0)</f>
        <v>150</v>
      </c>
      <c r="D5519" s="1">
        <f>IFERROR(__xludf.DUMMYFUNCTION("""COMPUTED_VALUE"""),147.66)</f>
        <v>147.66</v>
      </c>
      <c r="E5519" s="1">
        <f>IFERROR(__xludf.DUMMYFUNCTION("""COMPUTED_VALUE"""),149.88)</f>
        <v>149.88</v>
      </c>
      <c r="F5519" s="1">
        <f>IFERROR(__xludf.DUMMYFUNCTION("""COMPUTED_VALUE"""),1.1200808E7)</f>
        <v>11200808</v>
      </c>
    </row>
    <row r="5520">
      <c r="A5520" s="2">
        <f>IFERROR(__xludf.DUMMYFUNCTION("""COMPUTED_VALUE"""),44536.66666666667)</f>
        <v>44536.66667</v>
      </c>
      <c r="B5520" s="1">
        <f>IFERROR(__xludf.DUMMYFUNCTION("""COMPUTED_VALUE"""),150.19)</f>
        <v>150.19</v>
      </c>
      <c r="C5520" s="1">
        <f>IFERROR(__xludf.DUMMYFUNCTION("""COMPUTED_VALUE"""),152.39)</f>
        <v>152.39</v>
      </c>
      <c r="D5520" s="1">
        <f>IFERROR(__xludf.DUMMYFUNCTION("""COMPUTED_VALUE"""),150.19)</f>
        <v>150.19</v>
      </c>
      <c r="E5520" s="1">
        <f>IFERROR(__xludf.DUMMYFUNCTION("""COMPUTED_VALUE"""),152.15)</f>
        <v>152.15</v>
      </c>
      <c r="F5520" s="1">
        <f>IFERROR(__xludf.DUMMYFUNCTION("""COMPUTED_VALUE"""),1.1935078E7)</f>
        <v>11935078</v>
      </c>
    </row>
    <row r="5521">
      <c r="A5521" s="2">
        <f>IFERROR(__xludf.DUMMYFUNCTION("""COMPUTED_VALUE"""),44537.66666666667)</f>
        <v>44537.66667</v>
      </c>
      <c r="B5521" s="1">
        <f>IFERROR(__xludf.DUMMYFUNCTION("""COMPUTED_VALUE"""),151.95)</f>
        <v>151.95</v>
      </c>
      <c r="C5521" s="1">
        <f>IFERROR(__xludf.DUMMYFUNCTION("""COMPUTED_VALUE"""),152.58)</f>
        <v>152.58</v>
      </c>
      <c r="D5521" s="1">
        <f>IFERROR(__xludf.DUMMYFUNCTION("""COMPUTED_VALUE"""),151.27)</f>
        <v>151.27</v>
      </c>
      <c r="E5521" s="1">
        <f>IFERROR(__xludf.DUMMYFUNCTION("""COMPUTED_VALUE"""),151.75)</f>
        <v>151.75</v>
      </c>
      <c r="F5521" s="1">
        <f>IFERROR(__xludf.DUMMYFUNCTION("""COMPUTED_VALUE"""),7913393.0)</f>
        <v>7913393</v>
      </c>
    </row>
    <row r="5522">
      <c r="A5522" s="2">
        <f>IFERROR(__xludf.DUMMYFUNCTION("""COMPUTED_VALUE"""),44538.66666666667)</f>
        <v>44538.66667</v>
      </c>
      <c r="B5522" s="1">
        <f>IFERROR(__xludf.DUMMYFUNCTION("""COMPUTED_VALUE"""),151.67)</f>
        <v>151.67</v>
      </c>
      <c r="C5522" s="1">
        <f>IFERROR(__xludf.DUMMYFUNCTION("""COMPUTED_VALUE"""),152.66)</f>
        <v>152.66</v>
      </c>
      <c r="D5522" s="1">
        <f>IFERROR(__xludf.DUMMYFUNCTION("""COMPUTED_VALUE"""),150.28)</f>
        <v>150.28</v>
      </c>
      <c r="E5522" s="1">
        <f>IFERROR(__xludf.DUMMYFUNCTION("""COMPUTED_VALUE"""),152.43)</f>
        <v>152.43</v>
      </c>
      <c r="F5522" s="1">
        <f>IFERROR(__xludf.DUMMYFUNCTION("""COMPUTED_VALUE"""),8329342.0)</f>
        <v>8329342</v>
      </c>
    </row>
    <row r="5523">
      <c r="A5523" s="2">
        <f>IFERROR(__xludf.DUMMYFUNCTION("""COMPUTED_VALUE"""),44539.66666666667)</f>
        <v>44539.66667</v>
      </c>
      <c r="B5523" s="1">
        <f>IFERROR(__xludf.DUMMYFUNCTION("""COMPUTED_VALUE"""),152.31)</f>
        <v>152.31</v>
      </c>
      <c r="C5523" s="1">
        <f>IFERROR(__xludf.DUMMYFUNCTION("""COMPUTED_VALUE"""),154.19)</f>
        <v>154.19</v>
      </c>
      <c r="D5523" s="1">
        <f>IFERROR(__xludf.DUMMYFUNCTION("""COMPUTED_VALUE"""),151.6)</f>
        <v>151.6</v>
      </c>
      <c r="E5523" s="1">
        <f>IFERROR(__xludf.DUMMYFUNCTION("""COMPUTED_VALUE"""),153.32)</f>
        <v>153.32</v>
      </c>
      <c r="F5523" s="1">
        <f>IFERROR(__xludf.DUMMYFUNCTION("""COMPUTED_VALUE"""),8334318.0)</f>
        <v>8334318</v>
      </c>
    </row>
    <row r="5524">
      <c r="A5524" s="2">
        <f>IFERROR(__xludf.DUMMYFUNCTION("""COMPUTED_VALUE"""),44540.66666666667)</f>
        <v>44540.66667</v>
      </c>
      <c r="B5524" s="1">
        <f>IFERROR(__xludf.DUMMYFUNCTION("""COMPUTED_VALUE"""),153.85)</f>
        <v>153.85</v>
      </c>
      <c r="C5524" s="1">
        <f>IFERROR(__xludf.DUMMYFUNCTION("""COMPUTED_VALUE"""),155.8)</f>
        <v>155.8</v>
      </c>
      <c r="D5524" s="1">
        <f>IFERROR(__xludf.DUMMYFUNCTION("""COMPUTED_VALUE"""),153.43)</f>
        <v>153.43</v>
      </c>
      <c r="E5524" s="1">
        <f>IFERROR(__xludf.DUMMYFUNCTION("""COMPUTED_VALUE"""),155.46)</f>
        <v>155.46</v>
      </c>
      <c r="F5524" s="1">
        <f>IFERROR(__xludf.DUMMYFUNCTION("""COMPUTED_VALUE"""),7172321.0)</f>
        <v>7172321</v>
      </c>
    </row>
    <row r="5525">
      <c r="A5525" s="2">
        <f>IFERROR(__xludf.DUMMYFUNCTION("""COMPUTED_VALUE"""),44543.66666666667)</f>
        <v>44543.66667</v>
      </c>
      <c r="B5525" s="1">
        <f>IFERROR(__xludf.DUMMYFUNCTION("""COMPUTED_VALUE"""),155.3)</f>
        <v>155.3</v>
      </c>
      <c r="C5525" s="1">
        <f>IFERROR(__xludf.DUMMYFUNCTION("""COMPUTED_VALUE"""),158.33)</f>
        <v>158.33</v>
      </c>
      <c r="D5525" s="1">
        <f>IFERROR(__xludf.DUMMYFUNCTION("""COMPUTED_VALUE"""),154.91)</f>
        <v>154.91</v>
      </c>
      <c r="E5525" s="1">
        <f>IFERROR(__xludf.DUMMYFUNCTION("""COMPUTED_VALUE"""),157.67)</f>
        <v>157.67</v>
      </c>
      <c r="F5525" s="1">
        <f>IFERROR(__xludf.DUMMYFUNCTION("""COMPUTED_VALUE"""),8944147.0)</f>
        <v>8944147</v>
      </c>
    </row>
    <row r="5526">
      <c r="A5526" s="2">
        <f>IFERROR(__xludf.DUMMYFUNCTION("""COMPUTED_VALUE"""),44544.66666666667)</f>
        <v>44544.66667</v>
      </c>
      <c r="B5526" s="1">
        <f>IFERROR(__xludf.DUMMYFUNCTION("""COMPUTED_VALUE"""),157.9)</f>
        <v>157.9</v>
      </c>
      <c r="C5526" s="1">
        <f>IFERROR(__xludf.DUMMYFUNCTION("""COMPUTED_VALUE"""),158.63)</f>
        <v>158.63</v>
      </c>
      <c r="D5526" s="1">
        <f>IFERROR(__xludf.DUMMYFUNCTION("""COMPUTED_VALUE"""),156.66)</f>
        <v>156.66</v>
      </c>
      <c r="E5526" s="1">
        <f>IFERROR(__xludf.DUMMYFUNCTION("""COMPUTED_VALUE"""),158.25)</f>
        <v>158.25</v>
      </c>
      <c r="F5526" s="1">
        <f>IFERROR(__xludf.DUMMYFUNCTION("""COMPUTED_VALUE"""),8677544.0)</f>
        <v>8677544</v>
      </c>
    </row>
    <row r="5527">
      <c r="A5527" s="2">
        <f>IFERROR(__xludf.DUMMYFUNCTION("""COMPUTED_VALUE"""),44545.66666666667)</f>
        <v>44545.66667</v>
      </c>
      <c r="B5527" s="1">
        <f>IFERROR(__xludf.DUMMYFUNCTION("""COMPUTED_VALUE"""),157.64)</f>
        <v>157.64</v>
      </c>
      <c r="C5527" s="1">
        <f>IFERROR(__xludf.DUMMYFUNCTION("""COMPUTED_VALUE"""),159.64)</f>
        <v>159.64</v>
      </c>
      <c r="D5527" s="1">
        <f>IFERROR(__xludf.DUMMYFUNCTION("""COMPUTED_VALUE"""),157.64)</f>
        <v>157.64</v>
      </c>
      <c r="E5527" s="1">
        <f>IFERROR(__xludf.DUMMYFUNCTION("""COMPUTED_VALUE"""),158.86)</f>
        <v>158.86</v>
      </c>
      <c r="F5527" s="1">
        <f>IFERROR(__xludf.DUMMYFUNCTION("""COMPUTED_VALUE"""),9152566.0)</f>
        <v>9152566</v>
      </c>
    </row>
    <row r="5528">
      <c r="A5528" s="2">
        <f>IFERROR(__xludf.DUMMYFUNCTION("""COMPUTED_VALUE"""),44546.66666666667)</f>
        <v>44546.66667</v>
      </c>
      <c r="B5528" s="1">
        <f>IFERROR(__xludf.DUMMYFUNCTION("""COMPUTED_VALUE"""),158.73)</f>
        <v>158.73</v>
      </c>
      <c r="C5528" s="1">
        <f>IFERROR(__xludf.DUMMYFUNCTION("""COMPUTED_VALUE"""),161.32)</f>
        <v>161.32</v>
      </c>
      <c r="D5528" s="1">
        <f>IFERROR(__xludf.DUMMYFUNCTION("""COMPUTED_VALUE"""),158.42)</f>
        <v>158.42</v>
      </c>
      <c r="E5528" s="1">
        <f>IFERROR(__xludf.DUMMYFUNCTION("""COMPUTED_VALUE"""),161.11)</f>
        <v>161.11</v>
      </c>
      <c r="F5528" s="1">
        <f>IFERROR(__xludf.DUMMYFUNCTION("""COMPUTED_VALUE"""),1.0852862E7)</f>
        <v>10852862</v>
      </c>
    </row>
    <row r="5529">
      <c r="A5529" s="2">
        <f>IFERROR(__xludf.DUMMYFUNCTION("""COMPUTED_VALUE"""),44547.66666666667)</f>
        <v>44547.66667</v>
      </c>
      <c r="B5529" s="1">
        <f>IFERROR(__xludf.DUMMYFUNCTION("""COMPUTED_VALUE"""),160.66)</f>
        <v>160.66</v>
      </c>
      <c r="C5529" s="1">
        <f>IFERROR(__xludf.DUMMYFUNCTION("""COMPUTED_VALUE"""),161.72)</f>
        <v>161.72</v>
      </c>
      <c r="D5529" s="1">
        <f>IFERROR(__xludf.DUMMYFUNCTION("""COMPUTED_VALUE"""),157.31)</f>
        <v>157.31</v>
      </c>
      <c r="E5529" s="1">
        <f>IFERROR(__xludf.DUMMYFUNCTION("""COMPUTED_VALUE"""),157.46)</f>
        <v>157.46</v>
      </c>
      <c r="F5529" s="1">
        <f>IFERROR(__xludf.DUMMYFUNCTION("""COMPUTED_VALUE"""),2.4352824E7)</f>
        <v>24352824</v>
      </c>
    </row>
    <row r="5530">
      <c r="A5530" s="2">
        <f>IFERROR(__xludf.DUMMYFUNCTION("""COMPUTED_VALUE"""),44550.66666666667)</f>
        <v>44550.66667</v>
      </c>
      <c r="B5530" s="1">
        <f>IFERROR(__xludf.DUMMYFUNCTION("""COMPUTED_VALUE"""),156.6)</f>
        <v>156.6</v>
      </c>
      <c r="C5530" s="1">
        <f>IFERROR(__xludf.DUMMYFUNCTION("""COMPUTED_VALUE"""),158.46)</f>
        <v>158.46</v>
      </c>
      <c r="D5530" s="1">
        <f>IFERROR(__xludf.DUMMYFUNCTION("""COMPUTED_VALUE"""),156.57)</f>
        <v>156.57</v>
      </c>
      <c r="E5530" s="1">
        <f>IFERROR(__xludf.DUMMYFUNCTION("""COMPUTED_VALUE"""),157.86)</f>
        <v>157.86</v>
      </c>
      <c r="F5530" s="1">
        <f>IFERROR(__xludf.DUMMYFUNCTION("""COMPUTED_VALUE"""),9202608.0)</f>
        <v>9202608</v>
      </c>
    </row>
    <row r="5531">
      <c r="A5531" s="2">
        <f>IFERROR(__xludf.DUMMYFUNCTION("""COMPUTED_VALUE"""),44551.66666666667)</f>
        <v>44551.66667</v>
      </c>
      <c r="B5531" s="1">
        <f>IFERROR(__xludf.DUMMYFUNCTION("""COMPUTED_VALUE"""),157.65)</f>
        <v>157.65</v>
      </c>
      <c r="C5531" s="1">
        <f>IFERROR(__xludf.DUMMYFUNCTION("""COMPUTED_VALUE"""),158.15)</f>
        <v>158.15</v>
      </c>
      <c r="D5531" s="1">
        <f>IFERROR(__xludf.DUMMYFUNCTION("""COMPUTED_VALUE"""),156.79)</f>
        <v>156.79</v>
      </c>
      <c r="E5531" s="1">
        <f>IFERROR(__xludf.DUMMYFUNCTION("""COMPUTED_VALUE"""),157.76)</f>
        <v>157.76</v>
      </c>
      <c r="F5531" s="1">
        <f>IFERROR(__xludf.DUMMYFUNCTION("""COMPUTED_VALUE"""),6946009.0)</f>
        <v>6946009</v>
      </c>
    </row>
    <row r="5532">
      <c r="A5532" s="2">
        <f>IFERROR(__xludf.DUMMYFUNCTION("""COMPUTED_VALUE"""),44552.66666666667)</f>
        <v>44552.66667</v>
      </c>
      <c r="B5532" s="1">
        <f>IFERROR(__xludf.DUMMYFUNCTION("""COMPUTED_VALUE"""),157.77)</f>
        <v>157.77</v>
      </c>
      <c r="C5532" s="1">
        <f>IFERROR(__xludf.DUMMYFUNCTION("""COMPUTED_VALUE"""),159.58)</f>
        <v>159.58</v>
      </c>
      <c r="D5532" s="1">
        <f>IFERROR(__xludf.DUMMYFUNCTION("""COMPUTED_VALUE"""),157.27)</f>
        <v>157.27</v>
      </c>
      <c r="E5532" s="1">
        <f>IFERROR(__xludf.DUMMYFUNCTION("""COMPUTED_VALUE"""),159.32)</f>
        <v>159.32</v>
      </c>
      <c r="F5532" s="1">
        <f>IFERROR(__xludf.DUMMYFUNCTION("""COMPUTED_VALUE"""),6626414.0)</f>
        <v>6626414</v>
      </c>
    </row>
    <row r="5533">
      <c r="A5533" s="2">
        <f>IFERROR(__xludf.DUMMYFUNCTION("""COMPUTED_VALUE"""),44553.66666666667)</f>
        <v>44553.66667</v>
      </c>
      <c r="B5533" s="1">
        <f>IFERROR(__xludf.DUMMYFUNCTION("""COMPUTED_VALUE"""),159.5)</f>
        <v>159.5</v>
      </c>
      <c r="C5533" s="1">
        <f>IFERROR(__xludf.DUMMYFUNCTION("""COMPUTED_VALUE"""),160.92)</f>
        <v>160.92</v>
      </c>
      <c r="D5533" s="1">
        <f>IFERROR(__xludf.DUMMYFUNCTION("""COMPUTED_VALUE"""),159.44)</f>
        <v>159.44</v>
      </c>
      <c r="E5533" s="1">
        <f>IFERROR(__xludf.DUMMYFUNCTION("""COMPUTED_VALUE"""),160.1)</f>
        <v>160.1</v>
      </c>
      <c r="F5533" s="1">
        <f>IFERROR(__xludf.DUMMYFUNCTION("""COMPUTED_VALUE"""),5640972.0)</f>
        <v>5640972</v>
      </c>
    </row>
    <row r="5534">
      <c r="A5534" s="2">
        <f>IFERROR(__xludf.DUMMYFUNCTION("""COMPUTED_VALUE"""),44557.66666666667)</f>
        <v>44557.66667</v>
      </c>
      <c r="B5534" s="1">
        <f>IFERROR(__xludf.DUMMYFUNCTION("""COMPUTED_VALUE"""),160.67)</f>
        <v>160.67</v>
      </c>
      <c r="C5534" s="1">
        <f>IFERROR(__xludf.DUMMYFUNCTION("""COMPUTED_VALUE"""),161.99)</f>
        <v>161.99</v>
      </c>
      <c r="D5534" s="1">
        <f>IFERROR(__xludf.DUMMYFUNCTION("""COMPUTED_VALUE"""),160.61)</f>
        <v>160.61</v>
      </c>
      <c r="E5534" s="1">
        <f>IFERROR(__xludf.DUMMYFUNCTION("""COMPUTED_VALUE"""),161.97)</f>
        <v>161.97</v>
      </c>
      <c r="F5534" s="1">
        <f>IFERROR(__xludf.DUMMYFUNCTION("""COMPUTED_VALUE"""),4548828.0)</f>
        <v>4548828</v>
      </c>
    </row>
    <row r="5535">
      <c r="A5535" s="2">
        <f>IFERROR(__xludf.DUMMYFUNCTION("""COMPUTED_VALUE"""),44558.66666666667)</f>
        <v>44558.66667</v>
      </c>
      <c r="B5535" s="1">
        <f>IFERROR(__xludf.DUMMYFUNCTION("""COMPUTED_VALUE"""),161.96)</f>
        <v>161.96</v>
      </c>
      <c r="C5535" s="1">
        <f>IFERROR(__xludf.DUMMYFUNCTION("""COMPUTED_VALUE"""),163.38)</f>
        <v>163.38</v>
      </c>
      <c r="D5535" s="1">
        <f>IFERROR(__xludf.DUMMYFUNCTION("""COMPUTED_VALUE"""),161.94)</f>
        <v>161.94</v>
      </c>
      <c r="E5535" s="1">
        <f>IFERROR(__xludf.DUMMYFUNCTION("""COMPUTED_VALUE"""),162.84)</f>
        <v>162.84</v>
      </c>
      <c r="F5535" s="1">
        <f>IFERROR(__xludf.DUMMYFUNCTION("""COMPUTED_VALUE"""),5929835.0)</f>
        <v>5929835</v>
      </c>
    </row>
    <row r="5536">
      <c r="A5536" s="2">
        <f>IFERROR(__xludf.DUMMYFUNCTION("""COMPUTED_VALUE"""),44559.66666666667)</f>
        <v>44559.66667</v>
      </c>
      <c r="B5536" s="1">
        <f>IFERROR(__xludf.DUMMYFUNCTION("""COMPUTED_VALUE"""),163.21)</f>
        <v>163.21</v>
      </c>
      <c r="C5536" s="1">
        <f>IFERROR(__xludf.DUMMYFUNCTION("""COMPUTED_VALUE"""),164.98)</f>
        <v>164.98</v>
      </c>
      <c r="D5536" s="1">
        <f>IFERROR(__xludf.DUMMYFUNCTION("""COMPUTED_VALUE"""),163.08)</f>
        <v>163.08</v>
      </c>
      <c r="E5536" s="1">
        <f>IFERROR(__xludf.DUMMYFUNCTION("""COMPUTED_VALUE"""),164.19)</f>
        <v>164.19</v>
      </c>
      <c r="F5536" s="1">
        <f>IFERROR(__xludf.DUMMYFUNCTION("""COMPUTED_VALUE"""),5346427.0)</f>
        <v>5346427</v>
      </c>
    </row>
    <row r="5537">
      <c r="A5537" s="2">
        <f>IFERROR(__xludf.DUMMYFUNCTION("""COMPUTED_VALUE"""),44560.66666666667)</f>
        <v>44560.66667</v>
      </c>
      <c r="B5537" s="1">
        <f>IFERROR(__xludf.DUMMYFUNCTION("""COMPUTED_VALUE"""),164.4)</f>
        <v>164.4</v>
      </c>
      <c r="C5537" s="1">
        <f>IFERROR(__xludf.DUMMYFUNCTION("""COMPUTED_VALUE"""),164.59)</f>
        <v>164.59</v>
      </c>
      <c r="D5537" s="1">
        <f>IFERROR(__xludf.DUMMYFUNCTION("""COMPUTED_VALUE"""),162.61)</f>
        <v>162.61</v>
      </c>
      <c r="E5537" s="1">
        <f>IFERROR(__xludf.DUMMYFUNCTION("""COMPUTED_VALUE"""),162.77)</f>
        <v>162.77</v>
      </c>
      <c r="F5537" s="1">
        <f>IFERROR(__xludf.DUMMYFUNCTION("""COMPUTED_VALUE"""),5911500.0)</f>
        <v>5911500</v>
      </c>
    </row>
    <row r="5538">
      <c r="A5538" s="2">
        <f>IFERROR(__xludf.DUMMYFUNCTION("""COMPUTED_VALUE"""),44561.66666666667)</f>
        <v>44561.66667</v>
      </c>
      <c r="B5538" s="1">
        <f>IFERROR(__xludf.DUMMYFUNCTION("""COMPUTED_VALUE"""),162.86)</f>
        <v>162.86</v>
      </c>
      <c r="C5538" s="1">
        <f>IFERROR(__xludf.DUMMYFUNCTION("""COMPUTED_VALUE"""),163.73)</f>
        <v>163.73</v>
      </c>
      <c r="D5538" s="1">
        <f>IFERROR(__xludf.DUMMYFUNCTION("""COMPUTED_VALUE"""),162.46)</f>
        <v>162.46</v>
      </c>
      <c r="E5538" s="1">
        <f>IFERROR(__xludf.DUMMYFUNCTION("""COMPUTED_VALUE"""),163.58)</f>
        <v>163.58</v>
      </c>
      <c r="F5538" s="1">
        <f>IFERROR(__xludf.DUMMYFUNCTION("""COMPUTED_VALUE"""),5327027.0)</f>
        <v>5327027</v>
      </c>
    </row>
    <row r="5539">
      <c r="A5539" s="2">
        <f>IFERROR(__xludf.DUMMYFUNCTION("""COMPUTED_VALUE"""),44564.66666666667)</f>
        <v>44564.66667</v>
      </c>
      <c r="B5539" s="1">
        <f>IFERROR(__xludf.DUMMYFUNCTION("""COMPUTED_VALUE"""),161.69)</f>
        <v>161.69</v>
      </c>
      <c r="C5539" s="1">
        <f>IFERROR(__xludf.DUMMYFUNCTION("""COMPUTED_VALUE"""),162.94)</f>
        <v>162.94</v>
      </c>
      <c r="D5539" s="1">
        <f>IFERROR(__xludf.DUMMYFUNCTION("""COMPUTED_VALUE"""),159.88)</f>
        <v>159.88</v>
      </c>
      <c r="E5539" s="1">
        <f>IFERROR(__xludf.DUMMYFUNCTION("""COMPUTED_VALUE"""),162.9)</f>
        <v>162.9</v>
      </c>
      <c r="F5539" s="1">
        <f>IFERROR(__xludf.DUMMYFUNCTION("""COMPUTED_VALUE"""),9317892.0)</f>
        <v>9317892</v>
      </c>
    </row>
    <row r="5540">
      <c r="A5540" s="2">
        <f>IFERROR(__xludf.DUMMYFUNCTION("""COMPUTED_VALUE"""),44565.66666666667)</f>
        <v>44565.66667</v>
      </c>
      <c r="B5540" s="1">
        <f>IFERROR(__xludf.DUMMYFUNCTION("""COMPUTED_VALUE"""),162.29)</f>
        <v>162.29</v>
      </c>
      <c r="C5540" s="1">
        <f>IFERROR(__xludf.DUMMYFUNCTION("""COMPUTED_VALUE"""),164.39)</f>
        <v>164.39</v>
      </c>
      <c r="D5540" s="1">
        <f>IFERROR(__xludf.DUMMYFUNCTION("""COMPUTED_VALUE"""),162.18)</f>
        <v>162.18</v>
      </c>
      <c r="E5540" s="1">
        <f>IFERROR(__xludf.DUMMYFUNCTION("""COMPUTED_VALUE"""),163.47)</f>
        <v>163.47</v>
      </c>
      <c r="F5540" s="1">
        <f>IFERROR(__xludf.DUMMYFUNCTION("""COMPUTED_VALUE"""),9253754.0)</f>
        <v>9253754</v>
      </c>
    </row>
    <row r="5541">
      <c r="A5541" s="2">
        <f>IFERROR(__xludf.DUMMYFUNCTION("""COMPUTED_VALUE"""),44566.66666666667)</f>
        <v>44566.66667</v>
      </c>
      <c r="B5541" s="1">
        <f>IFERROR(__xludf.DUMMYFUNCTION("""COMPUTED_VALUE"""),163.44)</f>
        <v>163.44</v>
      </c>
      <c r="C5541" s="1">
        <f>IFERROR(__xludf.DUMMYFUNCTION("""COMPUTED_VALUE"""),165.32)</f>
        <v>165.32</v>
      </c>
      <c r="D5541" s="1">
        <f>IFERROR(__xludf.DUMMYFUNCTION("""COMPUTED_VALUE"""),163.4)</f>
        <v>163.4</v>
      </c>
      <c r="E5541" s="1">
        <f>IFERROR(__xludf.DUMMYFUNCTION("""COMPUTED_VALUE"""),164.21)</f>
        <v>164.21</v>
      </c>
      <c r="F5541" s="1">
        <f>IFERROR(__xludf.DUMMYFUNCTION("""COMPUTED_VALUE"""),9330245.0)</f>
        <v>9330245</v>
      </c>
    </row>
    <row r="5542">
      <c r="A5542" s="2">
        <f>IFERROR(__xludf.DUMMYFUNCTION("""COMPUTED_VALUE"""),44567.66666666667)</f>
        <v>44567.66667</v>
      </c>
      <c r="B5542" s="1">
        <f>IFERROR(__xludf.DUMMYFUNCTION("""COMPUTED_VALUE"""),164.34)</f>
        <v>164.34</v>
      </c>
      <c r="C5542" s="1">
        <f>IFERROR(__xludf.DUMMYFUNCTION("""COMPUTED_VALUE"""),165.2)</f>
        <v>165.2</v>
      </c>
      <c r="D5542" s="1">
        <f>IFERROR(__xludf.DUMMYFUNCTION("""COMPUTED_VALUE"""),162.61)</f>
        <v>162.61</v>
      </c>
      <c r="E5542" s="1">
        <f>IFERROR(__xludf.DUMMYFUNCTION("""COMPUTED_VALUE"""),162.83)</f>
        <v>162.83</v>
      </c>
      <c r="F5542" s="1">
        <f>IFERROR(__xludf.DUMMYFUNCTION("""COMPUTED_VALUE"""),7555999.0)</f>
        <v>7555999</v>
      </c>
    </row>
    <row r="5543">
      <c r="A5543" s="2">
        <f>IFERROR(__xludf.DUMMYFUNCTION("""COMPUTED_VALUE"""),44568.66666666667)</f>
        <v>44568.66667</v>
      </c>
      <c r="B5543" s="1">
        <f>IFERROR(__xludf.DUMMYFUNCTION("""COMPUTED_VALUE"""),163.13)</f>
        <v>163.13</v>
      </c>
      <c r="C5543" s="1">
        <f>IFERROR(__xludf.DUMMYFUNCTION("""COMPUTED_VALUE"""),163.53)</f>
        <v>163.53</v>
      </c>
      <c r="D5543" s="1">
        <f>IFERROR(__xludf.DUMMYFUNCTION("""COMPUTED_VALUE"""),161.95)</f>
        <v>161.95</v>
      </c>
      <c r="E5543" s="1">
        <f>IFERROR(__xludf.DUMMYFUNCTION("""COMPUTED_VALUE"""),162.74)</f>
        <v>162.74</v>
      </c>
      <c r="F5543" s="1">
        <f>IFERROR(__xludf.DUMMYFUNCTION("""COMPUTED_VALUE"""),6098455.0)</f>
        <v>6098455</v>
      </c>
    </row>
    <row r="5544">
      <c r="A5544" s="2">
        <f>IFERROR(__xludf.DUMMYFUNCTION("""COMPUTED_VALUE"""),44571.66666666667)</f>
        <v>44571.66667</v>
      </c>
      <c r="B5544" s="1">
        <f>IFERROR(__xludf.DUMMYFUNCTION("""COMPUTED_VALUE"""),162.51)</f>
        <v>162.51</v>
      </c>
      <c r="C5544" s="1">
        <f>IFERROR(__xludf.DUMMYFUNCTION("""COMPUTED_VALUE"""),163.12)</f>
        <v>163.12</v>
      </c>
      <c r="D5544" s="1">
        <f>IFERROR(__xludf.DUMMYFUNCTION("""COMPUTED_VALUE"""),160.17)</f>
        <v>160.17</v>
      </c>
      <c r="E5544" s="1">
        <f>IFERROR(__xludf.DUMMYFUNCTION("""COMPUTED_VALUE"""),160.52)</f>
        <v>160.52</v>
      </c>
      <c r="F5544" s="1">
        <f>IFERROR(__xludf.DUMMYFUNCTION("""COMPUTED_VALUE"""),8054984.0)</f>
        <v>8054984</v>
      </c>
    </row>
    <row r="5545">
      <c r="A5545" s="2">
        <f>IFERROR(__xludf.DUMMYFUNCTION("""COMPUTED_VALUE"""),44572.66666666667)</f>
        <v>44572.66667</v>
      </c>
      <c r="B5545" s="1">
        <f>IFERROR(__xludf.DUMMYFUNCTION("""COMPUTED_VALUE"""),160.22)</f>
        <v>160.22</v>
      </c>
      <c r="C5545" s="1">
        <f>IFERROR(__xludf.DUMMYFUNCTION("""COMPUTED_VALUE"""),160.22)</f>
        <v>160.22</v>
      </c>
      <c r="D5545" s="1">
        <f>IFERROR(__xludf.DUMMYFUNCTION("""COMPUTED_VALUE"""),156.91)</f>
        <v>156.91</v>
      </c>
      <c r="E5545" s="1">
        <f>IFERROR(__xludf.DUMMYFUNCTION("""COMPUTED_VALUE"""),158.66)</f>
        <v>158.66</v>
      </c>
      <c r="F5545" s="1">
        <f>IFERROR(__xludf.DUMMYFUNCTION("""COMPUTED_VALUE"""),1.1957885E7)</f>
        <v>11957885</v>
      </c>
    </row>
    <row r="5546">
      <c r="A5546" s="2">
        <f>IFERROR(__xludf.DUMMYFUNCTION("""COMPUTED_VALUE"""),44573.66666666667)</f>
        <v>44573.66667</v>
      </c>
      <c r="B5546" s="1">
        <f>IFERROR(__xludf.DUMMYFUNCTION("""COMPUTED_VALUE"""),158.26)</f>
        <v>158.26</v>
      </c>
      <c r="C5546" s="1">
        <f>IFERROR(__xludf.DUMMYFUNCTION("""COMPUTED_VALUE"""),159.36)</f>
        <v>159.36</v>
      </c>
      <c r="D5546" s="1">
        <f>IFERROR(__xludf.DUMMYFUNCTION("""COMPUTED_VALUE"""),157.83)</f>
        <v>157.83</v>
      </c>
      <c r="E5546" s="1">
        <f>IFERROR(__xludf.DUMMYFUNCTION("""COMPUTED_VALUE"""),159.01)</f>
        <v>159.01</v>
      </c>
      <c r="F5546" s="1">
        <f>IFERROR(__xludf.DUMMYFUNCTION("""COMPUTED_VALUE"""),7126650.0)</f>
        <v>7126650</v>
      </c>
    </row>
    <row r="5547">
      <c r="A5547" s="2">
        <f>IFERROR(__xludf.DUMMYFUNCTION("""COMPUTED_VALUE"""),44574.66666666667)</f>
        <v>44574.66667</v>
      </c>
      <c r="B5547" s="1">
        <f>IFERROR(__xludf.DUMMYFUNCTION("""COMPUTED_VALUE"""),159.31)</f>
        <v>159.31</v>
      </c>
      <c r="C5547" s="1">
        <f>IFERROR(__xludf.DUMMYFUNCTION("""COMPUTED_VALUE"""),159.45)</f>
        <v>159.45</v>
      </c>
      <c r="D5547" s="1">
        <f>IFERROR(__xludf.DUMMYFUNCTION("""COMPUTED_VALUE"""),157.78)</f>
        <v>157.78</v>
      </c>
      <c r="E5547" s="1">
        <f>IFERROR(__xludf.DUMMYFUNCTION("""COMPUTED_VALUE"""),158.29)</f>
        <v>158.29</v>
      </c>
      <c r="F5547" s="1">
        <f>IFERROR(__xludf.DUMMYFUNCTION("""COMPUTED_VALUE"""),6551083.0)</f>
        <v>6551083</v>
      </c>
    </row>
    <row r="5548">
      <c r="A5548" s="2">
        <f>IFERROR(__xludf.DUMMYFUNCTION("""COMPUTED_VALUE"""),44575.66666666667)</f>
        <v>44575.66667</v>
      </c>
      <c r="B5548" s="1">
        <f>IFERROR(__xludf.DUMMYFUNCTION("""COMPUTED_VALUE"""),158.07)</f>
        <v>158.07</v>
      </c>
      <c r="C5548" s="1">
        <f>IFERROR(__xludf.DUMMYFUNCTION("""COMPUTED_VALUE"""),160.49)</f>
        <v>160.49</v>
      </c>
      <c r="D5548" s="1">
        <f>IFERROR(__xludf.DUMMYFUNCTION("""COMPUTED_VALUE"""),157.56)</f>
        <v>157.56</v>
      </c>
      <c r="E5548" s="1">
        <f>IFERROR(__xludf.DUMMYFUNCTION("""COMPUTED_VALUE"""),159.81)</f>
        <v>159.81</v>
      </c>
      <c r="F5548" s="1">
        <f>IFERROR(__xludf.DUMMYFUNCTION("""COMPUTED_VALUE"""),1.0708197E7)</f>
        <v>10708197</v>
      </c>
    </row>
    <row r="5549">
      <c r="A5549" s="2">
        <f>IFERROR(__xludf.DUMMYFUNCTION("""COMPUTED_VALUE"""),44579.66666666667)</f>
        <v>44579.66667</v>
      </c>
      <c r="B5549" s="1">
        <f>IFERROR(__xludf.DUMMYFUNCTION("""COMPUTED_VALUE"""),158.53)</f>
        <v>158.53</v>
      </c>
      <c r="C5549" s="1">
        <f>IFERROR(__xludf.DUMMYFUNCTION("""COMPUTED_VALUE"""),158.53)</f>
        <v>158.53</v>
      </c>
      <c r="D5549" s="1">
        <f>IFERROR(__xludf.DUMMYFUNCTION("""COMPUTED_VALUE"""),156.04)</f>
        <v>156.04</v>
      </c>
      <c r="E5549" s="1">
        <f>IFERROR(__xludf.DUMMYFUNCTION("""COMPUTED_VALUE"""),156.73)</f>
        <v>156.73</v>
      </c>
      <c r="F5549" s="1">
        <f>IFERROR(__xludf.DUMMYFUNCTION("""COMPUTED_VALUE"""),1.099141E7)</f>
        <v>10991410</v>
      </c>
    </row>
    <row r="5550">
      <c r="A5550" s="2">
        <f>IFERROR(__xludf.DUMMYFUNCTION("""COMPUTED_VALUE"""),44580.66666666667)</f>
        <v>44580.66667</v>
      </c>
      <c r="B5550" s="1">
        <f>IFERROR(__xludf.DUMMYFUNCTION("""COMPUTED_VALUE"""),157.61)</f>
        <v>157.61</v>
      </c>
      <c r="C5550" s="1">
        <f>IFERROR(__xludf.DUMMYFUNCTION("""COMPUTED_VALUE"""),164.19)</f>
        <v>164.19</v>
      </c>
      <c r="D5550" s="1">
        <f>IFERROR(__xludf.DUMMYFUNCTION("""COMPUTED_VALUE"""),156.97)</f>
        <v>156.97</v>
      </c>
      <c r="E5550" s="1">
        <f>IFERROR(__xludf.DUMMYFUNCTION("""COMPUTED_VALUE"""),162.0)</f>
        <v>162</v>
      </c>
      <c r="F5550" s="1">
        <f>IFERROR(__xludf.DUMMYFUNCTION("""COMPUTED_VALUE"""),1.4088282E7)</f>
        <v>14088282</v>
      </c>
    </row>
    <row r="5551">
      <c r="A5551" s="2">
        <f>IFERROR(__xludf.DUMMYFUNCTION("""COMPUTED_VALUE"""),44581.66666666667)</f>
        <v>44581.66667</v>
      </c>
      <c r="B5551" s="1">
        <f>IFERROR(__xludf.DUMMYFUNCTION("""COMPUTED_VALUE"""),160.12)</f>
        <v>160.12</v>
      </c>
      <c r="C5551" s="1">
        <f>IFERROR(__xludf.DUMMYFUNCTION("""COMPUTED_VALUE"""),164.33)</f>
        <v>164.33</v>
      </c>
      <c r="D5551" s="1">
        <f>IFERROR(__xludf.DUMMYFUNCTION("""COMPUTED_VALUE"""),160.12)</f>
        <v>160.12</v>
      </c>
      <c r="E5551" s="1">
        <f>IFERROR(__xludf.DUMMYFUNCTION("""COMPUTED_VALUE"""),162.0)</f>
        <v>162</v>
      </c>
      <c r="F5551" s="1">
        <f>IFERROR(__xludf.DUMMYFUNCTION("""COMPUTED_VALUE"""),1.0799065E7)</f>
        <v>10799065</v>
      </c>
    </row>
    <row r="5552">
      <c r="A5552" s="2">
        <f>IFERROR(__xludf.DUMMYFUNCTION("""COMPUTED_VALUE"""),44582.66666666667)</f>
        <v>44582.66667</v>
      </c>
      <c r="B5552" s="1">
        <f>IFERROR(__xludf.DUMMYFUNCTION("""COMPUTED_VALUE"""),163.0)</f>
        <v>163</v>
      </c>
      <c r="C5552" s="1">
        <f>IFERROR(__xludf.DUMMYFUNCTION("""COMPUTED_VALUE"""),165.35)</f>
        <v>165.35</v>
      </c>
      <c r="D5552" s="1">
        <f>IFERROR(__xludf.DUMMYFUNCTION("""COMPUTED_VALUE"""),162.1)</f>
        <v>162.1</v>
      </c>
      <c r="E5552" s="1">
        <f>IFERROR(__xludf.DUMMYFUNCTION("""COMPUTED_VALUE"""),162.62)</f>
        <v>162.62</v>
      </c>
      <c r="F5552" s="1">
        <f>IFERROR(__xludf.DUMMYFUNCTION("""COMPUTED_VALUE"""),1.0900398E7)</f>
        <v>10900398</v>
      </c>
    </row>
    <row r="5553">
      <c r="A5553" s="2">
        <f>IFERROR(__xludf.DUMMYFUNCTION("""COMPUTED_VALUE"""),44585.66666666667)</f>
        <v>44585.66667</v>
      </c>
      <c r="B5553" s="1">
        <f>IFERROR(__xludf.DUMMYFUNCTION("""COMPUTED_VALUE"""),163.43)</f>
        <v>163.43</v>
      </c>
      <c r="C5553" s="1">
        <f>IFERROR(__xludf.DUMMYFUNCTION("""COMPUTED_VALUE"""),164.12)</f>
        <v>164.12</v>
      </c>
      <c r="D5553" s="1">
        <f>IFERROR(__xludf.DUMMYFUNCTION("""COMPUTED_VALUE"""),158.72)</f>
        <v>158.72</v>
      </c>
      <c r="E5553" s="1">
        <f>IFERROR(__xludf.DUMMYFUNCTION("""COMPUTED_VALUE"""),161.3)</f>
        <v>161.3</v>
      </c>
      <c r="F5553" s="1">
        <f>IFERROR(__xludf.DUMMYFUNCTION("""COMPUTED_VALUE"""),1.4846686E7)</f>
        <v>14846686</v>
      </c>
    </row>
    <row r="5554">
      <c r="A5554" s="2">
        <f>IFERROR(__xludf.DUMMYFUNCTION("""COMPUTED_VALUE"""),44586.66666666667)</f>
        <v>44586.66667</v>
      </c>
      <c r="B5554" s="1">
        <f>IFERROR(__xludf.DUMMYFUNCTION("""COMPUTED_VALUE"""),160.45)</f>
        <v>160.45</v>
      </c>
      <c r="C5554" s="1">
        <f>IFERROR(__xludf.DUMMYFUNCTION("""COMPUTED_VALUE"""),161.3)</f>
        <v>161.3</v>
      </c>
      <c r="D5554" s="1">
        <f>IFERROR(__xludf.DUMMYFUNCTION("""COMPUTED_VALUE"""),157.89)</f>
        <v>157.89</v>
      </c>
      <c r="E5554" s="1">
        <f>IFERROR(__xludf.DUMMYFUNCTION("""COMPUTED_VALUE"""),159.54)</f>
        <v>159.54</v>
      </c>
      <c r="F5554" s="1">
        <f>IFERROR(__xludf.DUMMYFUNCTION("""COMPUTED_VALUE"""),9369589.0)</f>
        <v>9369589</v>
      </c>
    </row>
    <row r="5555">
      <c r="A5555" s="2">
        <f>IFERROR(__xludf.DUMMYFUNCTION("""COMPUTED_VALUE"""),44587.66666666667)</f>
        <v>44587.66667</v>
      </c>
      <c r="B5555" s="1">
        <f>IFERROR(__xludf.DUMMYFUNCTION("""COMPUTED_VALUE"""),157.34)</f>
        <v>157.34</v>
      </c>
      <c r="C5555" s="1">
        <f>IFERROR(__xludf.DUMMYFUNCTION("""COMPUTED_VALUE"""),159.57)</f>
        <v>159.57</v>
      </c>
      <c r="D5555" s="1">
        <f>IFERROR(__xludf.DUMMYFUNCTION("""COMPUTED_VALUE"""),156.38)</f>
        <v>156.38</v>
      </c>
      <c r="E5555" s="1">
        <f>IFERROR(__xludf.DUMMYFUNCTION("""COMPUTED_VALUE"""),158.15)</f>
        <v>158.15</v>
      </c>
      <c r="F5555" s="1">
        <f>IFERROR(__xludf.DUMMYFUNCTION("""COMPUTED_VALUE"""),1.0707105E7)</f>
        <v>10707105</v>
      </c>
    </row>
    <row r="5556">
      <c r="A5556" s="2">
        <f>IFERROR(__xludf.DUMMYFUNCTION("""COMPUTED_VALUE"""),44588.66666666667)</f>
        <v>44588.66667</v>
      </c>
      <c r="B5556" s="1">
        <f>IFERROR(__xludf.DUMMYFUNCTION("""COMPUTED_VALUE"""),158.73)</f>
        <v>158.73</v>
      </c>
      <c r="C5556" s="1">
        <f>IFERROR(__xludf.DUMMYFUNCTION("""COMPUTED_VALUE"""),161.35)</f>
        <v>161.35</v>
      </c>
      <c r="D5556" s="1">
        <f>IFERROR(__xludf.DUMMYFUNCTION("""COMPUTED_VALUE"""),158.58)</f>
        <v>158.58</v>
      </c>
      <c r="E5556" s="1">
        <f>IFERROR(__xludf.DUMMYFUNCTION("""COMPUTED_VALUE"""),159.13)</f>
        <v>159.13</v>
      </c>
      <c r="F5556" s="1">
        <f>IFERROR(__xludf.DUMMYFUNCTION("""COMPUTED_VALUE"""),9084347.0)</f>
        <v>9084347</v>
      </c>
    </row>
    <row r="5557">
      <c r="A5557" s="2">
        <f>IFERROR(__xludf.DUMMYFUNCTION("""COMPUTED_VALUE"""),44589.66666666667)</f>
        <v>44589.66667</v>
      </c>
      <c r="B5557" s="1">
        <f>IFERROR(__xludf.DUMMYFUNCTION("""COMPUTED_VALUE"""),158.61)</f>
        <v>158.61</v>
      </c>
      <c r="C5557" s="1">
        <f>IFERROR(__xludf.DUMMYFUNCTION("""COMPUTED_VALUE"""),160.95)</f>
        <v>160.95</v>
      </c>
      <c r="D5557" s="1">
        <f>IFERROR(__xludf.DUMMYFUNCTION("""COMPUTED_VALUE"""),157.32)</f>
        <v>157.32</v>
      </c>
      <c r="E5557" s="1">
        <f>IFERROR(__xludf.DUMMYFUNCTION("""COMPUTED_VALUE"""),160.5)</f>
        <v>160.5</v>
      </c>
      <c r="F5557" s="1">
        <f>IFERROR(__xludf.DUMMYFUNCTION("""COMPUTED_VALUE"""),9494403.0)</f>
        <v>9494403</v>
      </c>
    </row>
    <row r="5558">
      <c r="A5558" s="2">
        <f>IFERROR(__xludf.DUMMYFUNCTION("""COMPUTED_VALUE"""),44592.66666666667)</f>
        <v>44592.66667</v>
      </c>
      <c r="B5558" s="1">
        <f>IFERROR(__xludf.DUMMYFUNCTION("""COMPUTED_VALUE"""),159.35)</f>
        <v>159.35</v>
      </c>
      <c r="C5558" s="1">
        <f>IFERROR(__xludf.DUMMYFUNCTION("""COMPUTED_VALUE"""),160.65)</f>
        <v>160.65</v>
      </c>
      <c r="D5558" s="1">
        <f>IFERROR(__xludf.DUMMYFUNCTION("""COMPUTED_VALUE"""),158.87)</f>
        <v>158.87</v>
      </c>
      <c r="E5558" s="1">
        <f>IFERROR(__xludf.DUMMYFUNCTION("""COMPUTED_VALUE"""),160.45)</f>
        <v>160.45</v>
      </c>
      <c r="F5558" s="1">
        <f>IFERROR(__xludf.DUMMYFUNCTION("""COMPUTED_VALUE"""),8950094.0)</f>
        <v>8950094</v>
      </c>
    </row>
    <row r="5559">
      <c r="A5559" s="2">
        <f>IFERROR(__xludf.DUMMYFUNCTION("""COMPUTED_VALUE"""),44593.66666666667)</f>
        <v>44593.66667</v>
      </c>
      <c r="B5559" s="1">
        <f>IFERROR(__xludf.DUMMYFUNCTION("""COMPUTED_VALUE"""),160.79)</f>
        <v>160.79</v>
      </c>
      <c r="C5559" s="1">
        <f>IFERROR(__xludf.DUMMYFUNCTION("""COMPUTED_VALUE"""),161.3)</f>
        <v>161.3</v>
      </c>
      <c r="D5559" s="1">
        <f>IFERROR(__xludf.DUMMYFUNCTION("""COMPUTED_VALUE"""),157.73)</f>
        <v>157.73</v>
      </c>
      <c r="E5559" s="1">
        <f>IFERROR(__xludf.DUMMYFUNCTION("""COMPUTED_VALUE"""),159.74)</f>
        <v>159.74</v>
      </c>
      <c r="F5559" s="1">
        <f>IFERROR(__xludf.DUMMYFUNCTION("""COMPUTED_VALUE"""),6284069.0)</f>
        <v>6284069</v>
      </c>
    </row>
    <row r="5560">
      <c r="A5560" s="2">
        <f>IFERROR(__xludf.DUMMYFUNCTION("""COMPUTED_VALUE"""),44594.66666666667)</f>
        <v>44594.66667</v>
      </c>
      <c r="B5560" s="1">
        <f>IFERROR(__xludf.DUMMYFUNCTION("""COMPUTED_VALUE"""),160.14)</f>
        <v>160.14</v>
      </c>
      <c r="C5560" s="1">
        <f>IFERROR(__xludf.DUMMYFUNCTION("""COMPUTED_VALUE"""),162.84)</f>
        <v>162.84</v>
      </c>
      <c r="D5560" s="1">
        <f>IFERROR(__xludf.DUMMYFUNCTION("""COMPUTED_VALUE"""),159.47)</f>
        <v>159.47</v>
      </c>
      <c r="E5560" s="1">
        <f>IFERROR(__xludf.DUMMYFUNCTION("""COMPUTED_VALUE"""),162.6)</f>
        <v>162.6</v>
      </c>
      <c r="F5560" s="1">
        <f>IFERROR(__xludf.DUMMYFUNCTION("""COMPUTED_VALUE"""),7558750.0)</f>
        <v>7558750</v>
      </c>
    </row>
    <row r="5561">
      <c r="A5561" s="2">
        <f>IFERROR(__xludf.DUMMYFUNCTION("""COMPUTED_VALUE"""),44595.66666666667)</f>
        <v>44595.66667</v>
      </c>
      <c r="B5561" s="1">
        <f>IFERROR(__xludf.DUMMYFUNCTION("""COMPUTED_VALUE"""),161.98)</f>
        <v>161.98</v>
      </c>
      <c r="C5561" s="1">
        <f>IFERROR(__xludf.DUMMYFUNCTION("""COMPUTED_VALUE"""),164.98)</f>
        <v>164.98</v>
      </c>
      <c r="D5561" s="1">
        <f>IFERROR(__xludf.DUMMYFUNCTION("""COMPUTED_VALUE"""),161.62)</f>
        <v>161.62</v>
      </c>
      <c r="E5561" s="1">
        <f>IFERROR(__xludf.DUMMYFUNCTION("""COMPUTED_VALUE"""),164.14)</f>
        <v>164.14</v>
      </c>
      <c r="F5561" s="1">
        <f>IFERROR(__xludf.DUMMYFUNCTION("""COMPUTED_VALUE"""),1.0474542E7)</f>
        <v>10474542</v>
      </c>
    </row>
    <row r="5562">
      <c r="A5562" s="2">
        <f>IFERROR(__xludf.DUMMYFUNCTION("""COMPUTED_VALUE"""),44596.66666666667)</f>
        <v>44596.66667</v>
      </c>
      <c r="B5562" s="1">
        <f>IFERROR(__xludf.DUMMYFUNCTION("""COMPUTED_VALUE"""),163.13)</f>
        <v>163.13</v>
      </c>
      <c r="C5562" s="1">
        <f>IFERROR(__xludf.DUMMYFUNCTION("""COMPUTED_VALUE"""),164.49)</f>
        <v>164.49</v>
      </c>
      <c r="D5562" s="1">
        <f>IFERROR(__xludf.DUMMYFUNCTION("""COMPUTED_VALUE"""),161.41)</f>
        <v>161.41</v>
      </c>
      <c r="E5562" s="1">
        <f>IFERROR(__xludf.DUMMYFUNCTION("""COMPUTED_VALUE"""),161.53)</f>
        <v>161.53</v>
      </c>
      <c r="F5562" s="1">
        <f>IFERROR(__xludf.DUMMYFUNCTION("""COMPUTED_VALUE"""),8960135.0)</f>
        <v>8960135</v>
      </c>
    </row>
    <row r="5563">
      <c r="A5563" s="2">
        <f>IFERROR(__xludf.DUMMYFUNCTION("""COMPUTED_VALUE"""),44599.66666666667)</f>
        <v>44599.66667</v>
      </c>
      <c r="B5563" s="1">
        <f>IFERROR(__xludf.DUMMYFUNCTION("""COMPUTED_VALUE"""),161.87)</f>
        <v>161.87</v>
      </c>
      <c r="C5563" s="1">
        <f>IFERROR(__xludf.DUMMYFUNCTION("""COMPUTED_VALUE"""),162.26)</f>
        <v>162.26</v>
      </c>
      <c r="D5563" s="1">
        <f>IFERROR(__xludf.DUMMYFUNCTION("""COMPUTED_VALUE"""),159.67)</f>
        <v>159.67</v>
      </c>
      <c r="E5563" s="1">
        <f>IFERROR(__xludf.DUMMYFUNCTION("""COMPUTED_VALUE"""),160.32)</f>
        <v>160.32</v>
      </c>
      <c r="F5563" s="1">
        <f>IFERROR(__xludf.DUMMYFUNCTION("""COMPUTED_VALUE"""),6430488.0)</f>
        <v>6430488</v>
      </c>
    </row>
    <row r="5564">
      <c r="A5564" s="2">
        <f>IFERROR(__xludf.DUMMYFUNCTION("""COMPUTED_VALUE"""),44600.66666666667)</f>
        <v>44600.66667</v>
      </c>
      <c r="B5564" s="1">
        <f>IFERROR(__xludf.DUMMYFUNCTION("""COMPUTED_VALUE"""),161.12)</f>
        <v>161.12</v>
      </c>
      <c r="C5564" s="1">
        <f>IFERROR(__xludf.DUMMYFUNCTION("""COMPUTED_VALUE"""),161.27)</f>
        <v>161.27</v>
      </c>
      <c r="D5564" s="1">
        <f>IFERROR(__xludf.DUMMYFUNCTION("""COMPUTED_VALUE"""),159.65)</f>
        <v>159.65</v>
      </c>
      <c r="E5564" s="1">
        <f>IFERROR(__xludf.DUMMYFUNCTION("""COMPUTED_VALUE"""),159.96)</f>
        <v>159.96</v>
      </c>
      <c r="F5564" s="1">
        <f>IFERROR(__xludf.DUMMYFUNCTION("""COMPUTED_VALUE"""),5048797.0)</f>
        <v>5048797</v>
      </c>
    </row>
    <row r="5565">
      <c r="A5565" s="2">
        <f>IFERROR(__xludf.DUMMYFUNCTION("""COMPUTED_VALUE"""),44601.66666666667)</f>
        <v>44601.66667</v>
      </c>
      <c r="B5565" s="1">
        <f>IFERROR(__xludf.DUMMYFUNCTION("""COMPUTED_VALUE"""),160.36)</f>
        <v>160.36</v>
      </c>
      <c r="C5565" s="1">
        <f>IFERROR(__xludf.DUMMYFUNCTION("""COMPUTED_VALUE"""),160.64)</f>
        <v>160.64</v>
      </c>
      <c r="D5565" s="1">
        <f>IFERROR(__xludf.DUMMYFUNCTION("""COMPUTED_VALUE"""),159.27)</f>
        <v>159.27</v>
      </c>
      <c r="E5565" s="1">
        <f>IFERROR(__xludf.DUMMYFUNCTION("""COMPUTED_VALUE"""),159.6)</f>
        <v>159.6</v>
      </c>
      <c r="F5565" s="1">
        <f>IFERROR(__xludf.DUMMYFUNCTION("""COMPUTED_VALUE"""),8077550.0)</f>
        <v>8077550</v>
      </c>
    </row>
    <row r="5566">
      <c r="A5566" s="2">
        <f>IFERROR(__xludf.DUMMYFUNCTION("""COMPUTED_VALUE"""),44602.66666666667)</f>
        <v>44602.66667</v>
      </c>
      <c r="B5566" s="1">
        <f>IFERROR(__xludf.DUMMYFUNCTION("""COMPUTED_VALUE"""),159.09)</f>
        <v>159.09</v>
      </c>
      <c r="C5566" s="1">
        <f>IFERROR(__xludf.DUMMYFUNCTION("""COMPUTED_VALUE"""),159.5)</f>
        <v>159.5</v>
      </c>
      <c r="D5566" s="1">
        <f>IFERROR(__xludf.DUMMYFUNCTION("""COMPUTED_VALUE"""),156.65)</f>
        <v>156.65</v>
      </c>
      <c r="E5566" s="1">
        <f>IFERROR(__xludf.DUMMYFUNCTION("""COMPUTED_VALUE"""),157.17)</f>
        <v>157.17</v>
      </c>
      <c r="F5566" s="1">
        <f>IFERROR(__xludf.DUMMYFUNCTION("""COMPUTED_VALUE"""),7032976.0)</f>
        <v>7032976</v>
      </c>
    </row>
    <row r="5567">
      <c r="A5567" s="2">
        <f>IFERROR(__xludf.DUMMYFUNCTION("""COMPUTED_VALUE"""),44603.66666666667)</f>
        <v>44603.66667</v>
      </c>
      <c r="B5567" s="1">
        <f>IFERROR(__xludf.DUMMYFUNCTION("""COMPUTED_VALUE"""),158.01)</f>
        <v>158.01</v>
      </c>
      <c r="C5567" s="1">
        <f>IFERROR(__xludf.DUMMYFUNCTION("""COMPUTED_VALUE"""),158.58)</f>
        <v>158.58</v>
      </c>
      <c r="D5567" s="1">
        <f>IFERROR(__xludf.DUMMYFUNCTION("""COMPUTED_VALUE"""),155.58)</f>
        <v>155.58</v>
      </c>
      <c r="E5567" s="1">
        <f>IFERROR(__xludf.DUMMYFUNCTION("""COMPUTED_VALUE"""),156.29)</f>
        <v>156.29</v>
      </c>
      <c r="F5567" s="1">
        <f>IFERROR(__xludf.DUMMYFUNCTION("""COMPUTED_VALUE"""),9341436.0)</f>
        <v>9341436</v>
      </c>
    </row>
    <row r="5568">
      <c r="A5568" s="2">
        <f>IFERROR(__xludf.DUMMYFUNCTION("""COMPUTED_VALUE"""),44606.66666666667)</f>
        <v>44606.66667</v>
      </c>
      <c r="B5568" s="1">
        <f>IFERROR(__xludf.DUMMYFUNCTION("""COMPUTED_VALUE"""),156.14)</f>
        <v>156.14</v>
      </c>
      <c r="C5568" s="1">
        <f>IFERROR(__xludf.DUMMYFUNCTION("""COMPUTED_VALUE"""),157.06)</f>
        <v>157.06</v>
      </c>
      <c r="D5568" s="1">
        <f>IFERROR(__xludf.DUMMYFUNCTION("""COMPUTED_VALUE"""),153.36)</f>
        <v>153.36</v>
      </c>
      <c r="E5568" s="1">
        <f>IFERROR(__xludf.DUMMYFUNCTION("""COMPUTED_VALUE"""),156.74)</f>
        <v>156.74</v>
      </c>
      <c r="F5568" s="1">
        <f>IFERROR(__xludf.DUMMYFUNCTION("""COMPUTED_VALUE"""),9472171.0)</f>
        <v>9472171</v>
      </c>
    </row>
    <row r="5569">
      <c r="A5569" s="2">
        <f>IFERROR(__xludf.DUMMYFUNCTION("""COMPUTED_VALUE"""),44607.66666666667)</f>
        <v>44607.66667</v>
      </c>
      <c r="B5569" s="1">
        <f>IFERROR(__xludf.DUMMYFUNCTION("""COMPUTED_VALUE"""),157.77)</f>
        <v>157.77</v>
      </c>
      <c r="C5569" s="1">
        <f>IFERROR(__xludf.DUMMYFUNCTION("""COMPUTED_VALUE"""),159.32)</f>
        <v>159.32</v>
      </c>
      <c r="D5569" s="1">
        <f>IFERROR(__xludf.DUMMYFUNCTION("""COMPUTED_VALUE"""),156.11)</f>
        <v>156.11</v>
      </c>
      <c r="E5569" s="1">
        <f>IFERROR(__xludf.DUMMYFUNCTION("""COMPUTED_VALUE"""),156.82)</f>
        <v>156.82</v>
      </c>
      <c r="F5569" s="1">
        <f>IFERROR(__xludf.DUMMYFUNCTION("""COMPUTED_VALUE"""),6659367.0)</f>
        <v>6659367</v>
      </c>
    </row>
    <row r="5570">
      <c r="A5570" s="2">
        <f>IFERROR(__xludf.DUMMYFUNCTION("""COMPUTED_VALUE"""),44608.66666666667)</f>
        <v>44608.66667</v>
      </c>
      <c r="B5570" s="1">
        <f>IFERROR(__xludf.DUMMYFUNCTION("""COMPUTED_VALUE"""),156.83)</f>
        <v>156.83</v>
      </c>
      <c r="C5570" s="1">
        <f>IFERROR(__xludf.DUMMYFUNCTION("""COMPUTED_VALUE"""),158.78)</f>
        <v>158.78</v>
      </c>
      <c r="D5570" s="1">
        <f>IFERROR(__xludf.DUMMYFUNCTION("""COMPUTED_VALUE"""),156.27)</f>
        <v>156.27</v>
      </c>
      <c r="E5570" s="1">
        <f>IFERROR(__xludf.DUMMYFUNCTION("""COMPUTED_VALUE"""),158.01)</f>
        <v>158.01</v>
      </c>
      <c r="F5570" s="1">
        <f>IFERROR(__xludf.DUMMYFUNCTION("""COMPUTED_VALUE"""),9315668.0)</f>
        <v>9315668</v>
      </c>
    </row>
    <row r="5571">
      <c r="A5571" s="2">
        <f>IFERROR(__xludf.DUMMYFUNCTION("""COMPUTED_VALUE"""),44609.66666666667)</f>
        <v>44609.66667</v>
      </c>
      <c r="B5571" s="1">
        <f>IFERROR(__xludf.DUMMYFUNCTION("""COMPUTED_VALUE"""),158.38)</f>
        <v>158.38</v>
      </c>
      <c r="C5571" s="1">
        <f>IFERROR(__xludf.DUMMYFUNCTION("""COMPUTED_VALUE"""),160.38)</f>
        <v>160.38</v>
      </c>
      <c r="D5571" s="1">
        <f>IFERROR(__xludf.DUMMYFUNCTION("""COMPUTED_VALUE"""),157.35)</f>
        <v>157.35</v>
      </c>
      <c r="E5571" s="1">
        <f>IFERROR(__xludf.DUMMYFUNCTION("""COMPUTED_VALUE"""),159.82)</f>
        <v>159.82</v>
      </c>
      <c r="F5571" s="1">
        <f>IFERROR(__xludf.DUMMYFUNCTION("""COMPUTED_VALUE"""),7925454.0)</f>
        <v>7925454</v>
      </c>
    </row>
    <row r="5572">
      <c r="A5572" s="2">
        <f>IFERROR(__xludf.DUMMYFUNCTION("""COMPUTED_VALUE"""),44610.66666666667)</f>
        <v>44610.66667</v>
      </c>
      <c r="B5572" s="1">
        <f>IFERROR(__xludf.DUMMYFUNCTION("""COMPUTED_VALUE"""),159.5)</f>
        <v>159.5</v>
      </c>
      <c r="C5572" s="1">
        <f>IFERROR(__xludf.DUMMYFUNCTION("""COMPUTED_VALUE"""),161.06)</f>
        <v>161.06</v>
      </c>
      <c r="D5572" s="1">
        <f>IFERROR(__xludf.DUMMYFUNCTION("""COMPUTED_VALUE"""),158.82)</f>
        <v>158.82</v>
      </c>
      <c r="E5572" s="1">
        <f>IFERROR(__xludf.DUMMYFUNCTION("""COMPUTED_VALUE"""),159.9)</f>
        <v>159.9</v>
      </c>
      <c r="F5572" s="1">
        <f>IFERROR(__xludf.DUMMYFUNCTION("""COMPUTED_VALUE"""),8063159.0)</f>
        <v>8063159</v>
      </c>
    </row>
    <row r="5573">
      <c r="A5573" s="2">
        <f>IFERROR(__xludf.DUMMYFUNCTION("""COMPUTED_VALUE"""),44614.66666666667)</f>
        <v>44614.66667</v>
      </c>
      <c r="B5573" s="1">
        <f>IFERROR(__xludf.DUMMYFUNCTION("""COMPUTED_VALUE"""),160.11)</f>
        <v>160.11</v>
      </c>
      <c r="C5573" s="1">
        <f>IFERROR(__xludf.DUMMYFUNCTION("""COMPUTED_VALUE"""),160.88)</f>
        <v>160.88</v>
      </c>
      <c r="D5573" s="1">
        <f>IFERROR(__xludf.DUMMYFUNCTION("""COMPUTED_VALUE"""),156.66)</f>
        <v>156.66</v>
      </c>
      <c r="E5573" s="1">
        <f>IFERROR(__xludf.DUMMYFUNCTION("""COMPUTED_VALUE"""),157.93)</f>
        <v>157.93</v>
      </c>
      <c r="F5573" s="1">
        <f>IFERROR(__xludf.DUMMYFUNCTION("""COMPUTED_VALUE"""),8179551.0)</f>
        <v>8179551</v>
      </c>
    </row>
    <row r="5574">
      <c r="A5574" s="2">
        <f>IFERROR(__xludf.DUMMYFUNCTION("""COMPUTED_VALUE"""),44615.66666666667)</f>
        <v>44615.66667</v>
      </c>
      <c r="B5574" s="1">
        <f>IFERROR(__xludf.DUMMYFUNCTION("""COMPUTED_VALUE"""),158.3)</f>
        <v>158.3</v>
      </c>
      <c r="C5574" s="1">
        <f>IFERROR(__xludf.DUMMYFUNCTION("""COMPUTED_VALUE"""),158.6)</f>
        <v>158.6</v>
      </c>
      <c r="D5574" s="1">
        <f>IFERROR(__xludf.DUMMYFUNCTION("""COMPUTED_VALUE"""),155.6)</f>
        <v>155.6</v>
      </c>
      <c r="E5574" s="1">
        <f>IFERROR(__xludf.DUMMYFUNCTION("""COMPUTED_VALUE"""),155.96)</f>
        <v>155.96</v>
      </c>
      <c r="F5574" s="1">
        <f>IFERROR(__xludf.DUMMYFUNCTION("""COMPUTED_VALUE"""),6273013.0)</f>
        <v>6273013</v>
      </c>
    </row>
    <row r="5575">
      <c r="A5575" s="2">
        <f>IFERROR(__xludf.DUMMYFUNCTION("""COMPUTED_VALUE"""),44616.66666666667)</f>
        <v>44616.66667</v>
      </c>
      <c r="B5575" s="1">
        <f>IFERROR(__xludf.DUMMYFUNCTION("""COMPUTED_VALUE"""),155.64)</f>
        <v>155.64</v>
      </c>
      <c r="C5575" s="1">
        <f>IFERROR(__xludf.DUMMYFUNCTION("""COMPUTED_VALUE"""),155.98)</f>
        <v>155.98</v>
      </c>
      <c r="D5575" s="1">
        <f>IFERROR(__xludf.DUMMYFUNCTION("""COMPUTED_VALUE"""),150.56)</f>
        <v>150.56</v>
      </c>
      <c r="E5575" s="1">
        <f>IFERROR(__xludf.DUMMYFUNCTION("""COMPUTED_VALUE"""),151.76)</f>
        <v>151.76</v>
      </c>
      <c r="F5575" s="1">
        <f>IFERROR(__xludf.DUMMYFUNCTION("""COMPUTED_VALUE"""),1.3145073E7)</f>
        <v>13145073</v>
      </c>
    </row>
    <row r="5576">
      <c r="A5576" s="2">
        <f>IFERROR(__xludf.DUMMYFUNCTION("""COMPUTED_VALUE"""),44617.66666666667)</f>
        <v>44617.66667</v>
      </c>
      <c r="B5576" s="1">
        <f>IFERROR(__xludf.DUMMYFUNCTION("""COMPUTED_VALUE"""),152.33)</f>
        <v>152.33</v>
      </c>
      <c r="C5576" s="1">
        <f>IFERROR(__xludf.DUMMYFUNCTION("""COMPUTED_VALUE"""),158.94)</f>
        <v>158.94</v>
      </c>
      <c r="D5576" s="1">
        <f>IFERROR(__xludf.DUMMYFUNCTION("""COMPUTED_VALUE"""),152.25)</f>
        <v>152.25</v>
      </c>
      <c r="E5576" s="1">
        <f>IFERROR(__xludf.DUMMYFUNCTION("""COMPUTED_VALUE"""),158.24)</f>
        <v>158.24</v>
      </c>
      <c r="F5576" s="1">
        <f>IFERROR(__xludf.DUMMYFUNCTION("""COMPUTED_VALUE"""),8866983.0)</f>
        <v>8866983</v>
      </c>
    </row>
    <row r="5577">
      <c r="A5577" s="2">
        <f>IFERROR(__xludf.DUMMYFUNCTION("""COMPUTED_VALUE"""),44620.66666666667)</f>
        <v>44620.66667</v>
      </c>
      <c r="B5577" s="1">
        <f>IFERROR(__xludf.DUMMYFUNCTION("""COMPUTED_VALUE"""),156.29)</f>
        <v>156.29</v>
      </c>
      <c r="C5577" s="1">
        <f>IFERROR(__xludf.DUMMYFUNCTION("""COMPUTED_VALUE"""),157.19)</f>
        <v>157.19</v>
      </c>
      <c r="D5577" s="1">
        <f>IFERROR(__xludf.DUMMYFUNCTION("""COMPUTED_VALUE"""),153.82)</f>
        <v>153.82</v>
      </c>
      <c r="E5577" s="1">
        <f>IFERROR(__xludf.DUMMYFUNCTION("""COMPUTED_VALUE"""),155.89)</f>
        <v>155.89</v>
      </c>
      <c r="F5577" s="1">
        <f>IFERROR(__xludf.DUMMYFUNCTION("""COMPUTED_VALUE"""),8669154.0)</f>
        <v>8669154</v>
      </c>
    </row>
    <row r="5578">
      <c r="A5578" s="2">
        <f>IFERROR(__xludf.DUMMYFUNCTION("""COMPUTED_VALUE"""),44621.66666666667)</f>
        <v>44621.66667</v>
      </c>
      <c r="B5578" s="1">
        <f>IFERROR(__xludf.DUMMYFUNCTION("""COMPUTED_VALUE"""),154.31)</f>
        <v>154.31</v>
      </c>
      <c r="C5578" s="1">
        <f>IFERROR(__xludf.DUMMYFUNCTION("""COMPUTED_VALUE"""),155.4)</f>
        <v>155.4</v>
      </c>
      <c r="D5578" s="1">
        <f>IFERROR(__xludf.DUMMYFUNCTION("""COMPUTED_VALUE"""),152.34)</f>
        <v>152.34</v>
      </c>
      <c r="E5578" s="1">
        <f>IFERROR(__xludf.DUMMYFUNCTION("""COMPUTED_VALUE"""),153.31)</f>
        <v>153.31</v>
      </c>
      <c r="F5578" s="1">
        <f>IFERROR(__xludf.DUMMYFUNCTION("""COMPUTED_VALUE"""),8311984.0)</f>
        <v>8311984</v>
      </c>
    </row>
    <row r="5579">
      <c r="A5579" s="2">
        <f>IFERROR(__xludf.DUMMYFUNCTION("""COMPUTED_VALUE"""),44622.66666666667)</f>
        <v>44622.66667</v>
      </c>
      <c r="B5579" s="1">
        <f>IFERROR(__xludf.DUMMYFUNCTION("""COMPUTED_VALUE"""),152.96)</f>
        <v>152.96</v>
      </c>
      <c r="C5579" s="1">
        <f>IFERROR(__xludf.DUMMYFUNCTION("""COMPUTED_VALUE"""),155.08)</f>
        <v>155.08</v>
      </c>
      <c r="D5579" s="1">
        <f>IFERROR(__xludf.DUMMYFUNCTION("""COMPUTED_VALUE"""),152.6)</f>
        <v>152.6</v>
      </c>
      <c r="E5579" s="1">
        <f>IFERROR(__xludf.DUMMYFUNCTION("""COMPUTED_VALUE"""),153.79)</f>
        <v>153.79</v>
      </c>
      <c r="F5579" s="1">
        <f>IFERROR(__xludf.DUMMYFUNCTION("""COMPUTED_VALUE"""),6111319.0)</f>
        <v>6111319</v>
      </c>
    </row>
    <row r="5580">
      <c r="A5580" s="2">
        <f>IFERROR(__xludf.DUMMYFUNCTION("""COMPUTED_VALUE"""),44623.66666666667)</f>
        <v>44623.66667</v>
      </c>
      <c r="B5580" s="1">
        <f>IFERROR(__xludf.DUMMYFUNCTION("""COMPUTED_VALUE"""),153.77)</f>
        <v>153.77</v>
      </c>
      <c r="C5580" s="1">
        <f>IFERROR(__xludf.DUMMYFUNCTION("""COMPUTED_VALUE"""),155.86)</f>
        <v>155.86</v>
      </c>
      <c r="D5580" s="1">
        <f>IFERROR(__xludf.DUMMYFUNCTION("""COMPUTED_VALUE"""),153.77)</f>
        <v>153.77</v>
      </c>
      <c r="E5580" s="1">
        <f>IFERROR(__xludf.DUMMYFUNCTION("""COMPUTED_VALUE"""),154.36)</f>
        <v>154.36</v>
      </c>
      <c r="F5580" s="1">
        <f>IFERROR(__xludf.DUMMYFUNCTION("""COMPUTED_VALUE"""),7451233.0)</f>
        <v>7451233</v>
      </c>
    </row>
    <row r="5581">
      <c r="A5581" s="2">
        <f>IFERROR(__xludf.DUMMYFUNCTION("""COMPUTED_VALUE"""),44624.66666666667)</f>
        <v>44624.66667</v>
      </c>
      <c r="B5581" s="1">
        <f>IFERROR(__xludf.DUMMYFUNCTION("""COMPUTED_VALUE"""),153.12)</f>
        <v>153.12</v>
      </c>
      <c r="C5581" s="1">
        <f>IFERROR(__xludf.DUMMYFUNCTION("""COMPUTED_VALUE"""),155.35)</f>
        <v>155.35</v>
      </c>
      <c r="D5581" s="1">
        <f>IFERROR(__xludf.DUMMYFUNCTION("""COMPUTED_VALUE"""),152.55)</f>
        <v>152.55</v>
      </c>
      <c r="E5581" s="1">
        <f>IFERROR(__xludf.DUMMYFUNCTION("""COMPUTED_VALUE"""),155.14)</f>
        <v>155.14</v>
      </c>
      <c r="F5581" s="1">
        <f>IFERROR(__xludf.DUMMYFUNCTION("""COMPUTED_VALUE"""),8639712.0)</f>
        <v>8639712</v>
      </c>
    </row>
    <row r="5582">
      <c r="A5582" s="2">
        <f>IFERROR(__xludf.DUMMYFUNCTION("""COMPUTED_VALUE"""),44627.66666666667)</f>
        <v>44627.66667</v>
      </c>
      <c r="B5582" s="1">
        <f>IFERROR(__xludf.DUMMYFUNCTION("""COMPUTED_VALUE"""),154.49)</f>
        <v>154.49</v>
      </c>
      <c r="C5582" s="1">
        <f>IFERROR(__xludf.DUMMYFUNCTION("""COMPUTED_VALUE"""),154.52)</f>
        <v>154.52</v>
      </c>
      <c r="D5582" s="1">
        <f>IFERROR(__xludf.DUMMYFUNCTION("""COMPUTED_VALUE"""),151.14)</f>
        <v>151.14</v>
      </c>
      <c r="E5582" s="1">
        <f>IFERROR(__xludf.DUMMYFUNCTION("""COMPUTED_VALUE"""),152.84)</f>
        <v>152.84</v>
      </c>
      <c r="F5582" s="1">
        <f>IFERROR(__xludf.DUMMYFUNCTION("""COMPUTED_VALUE"""),8374459.0)</f>
        <v>8374459</v>
      </c>
    </row>
    <row r="5583">
      <c r="A5583" s="2">
        <f>IFERROR(__xludf.DUMMYFUNCTION("""COMPUTED_VALUE"""),44628.66666666667)</f>
        <v>44628.66667</v>
      </c>
      <c r="B5583" s="1">
        <f>IFERROR(__xludf.DUMMYFUNCTION("""COMPUTED_VALUE"""),152.18)</f>
        <v>152.18</v>
      </c>
      <c r="C5583" s="1">
        <f>IFERROR(__xludf.DUMMYFUNCTION("""COMPUTED_VALUE"""),152.95)</f>
        <v>152.95</v>
      </c>
      <c r="D5583" s="1">
        <f>IFERROR(__xludf.DUMMYFUNCTION("""COMPUTED_VALUE"""),146.58)</f>
        <v>146.58</v>
      </c>
      <c r="E5583" s="1">
        <f>IFERROR(__xludf.DUMMYFUNCTION("""COMPUTED_VALUE"""),146.79)</f>
        <v>146.79</v>
      </c>
      <c r="F5583" s="1">
        <f>IFERROR(__xludf.DUMMYFUNCTION("""COMPUTED_VALUE"""),9517238.0)</f>
        <v>9517238</v>
      </c>
    </row>
    <row r="5584">
      <c r="A5584" s="2">
        <f>IFERROR(__xludf.DUMMYFUNCTION("""COMPUTED_VALUE"""),44629.66666666667)</f>
        <v>44629.66667</v>
      </c>
      <c r="B5584" s="1">
        <f>IFERROR(__xludf.DUMMYFUNCTION("""COMPUTED_VALUE"""),148.83)</f>
        <v>148.83</v>
      </c>
      <c r="C5584" s="1">
        <f>IFERROR(__xludf.DUMMYFUNCTION("""COMPUTED_VALUE"""),150.47)</f>
        <v>150.47</v>
      </c>
      <c r="D5584" s="1">
        <f>IFERROR(__xludf.DUMMYFUNCTION("""COMPUTED_VALUE"""),147.81)</f>
        <v>147.81</v>
      </c>
      <c r="E5584" s="1">
        <f>IFERROR(__xludf.DUMMYFUNCTION("""COMPUTED_VALUE"""),148.77)</f>
        <v>148.77</v>
      </c>
      <c r="F5584" s="1">
        <f>IFERROR(__xludf.DUMMYFUNCTION("""COMPUTED_VALUE"""),7044122.0)</f>
        <v>7044122</v>
      </c>
    </row>
    <row r="5585">
      <c r="A5585" s="2">
        <f>IFERROR(__xludf.DUMMYFUNCTION("""COMPUTED_VALUE"""),44630.66666666667)</f>
        <v>44630.66667</v>
      </c>
      <c r="B5585" s="1">
        <f>IFERROR(__xludf.DUMMYFUNCTION("""COMPUTED_VALUE"""),147.8)</f>
        <v>147.8</v>
      </c>
      <c r="C5585" s="1">
        <f>IFERROR(__xludf.DUMMYFUNCTION("""COMPUTED_VALUE"""),148.28)</f>
        <v>148.28</v>
      </c>
      <c r="D5585" s="1">
        <f>IFERROR(__xludf.DUMMYFUNCTION("""COMPUTED_VALUE"""),143.94)</f>
        <v>143.94</v>
      </c>
      <c r="E5585" s="1">
        <f>IFERROR(__xludf.DUMMYFUNCTION("""COMPUTED_VALUE"""),144.94)</f>
        <v>144.94</v>
      </c>
      <c r="F5585" s="1">
        <f>IFERROR(__xludf.DUMMYFUNCTION("""COMPUTED_VALUE"""),9221108.0)</f>
        <v>9221108</v>
      </c>
    </row>
    <row r="5586">
      <c r="A5586" s="2">
        <f>IFERROR(__xludf.DUMMYFUNCTION("""COMPUTED_VALUE"""),44631.66666666667)</f>
        <v>44631.66667</v>
      </c>
      <c r="B5586" s="1">
        <f>IFERROR(__xludf.DUMMYFUNCTION("""COMPUTED_VALUE"""),145.4)</f>
        <v>145.4</v>
      </c>
      <c r="C5586" s="1">
        <f>IFERROR(__xludf.DUMMYFUNCTION("""COMPUTED_VALUE"""),146.16)</f>
        <v>146.16</v>
      </c>
      <c r="D5586" s="1">
        <f>IFERROR(__xludf.DUMMYFUNCTION("""COMPUTED_VALUE"""),143.03)</f>
        <v>143.03</v>
      </c>
      <c r="E5586" s="1">
        <f>IFERROR(__xludf.DUMMYFUNCTION("""COMPUTED_VALUE"""),143.22)</f>
        <v>143.22</v>
      </c>
      <c r="F5586" s="1">
        <f>IFERROR(__xludf.DUMMYFUNCTION("""COMPUTED_VALUE"""),7086146.0)</f>
        <v>7086146</v>
      </c>
    </row>
    <row r="5587">
      <c r="A5587" s="2">
        <f>IFERROR(__xludf.DUMMYFUNCTION("""COMPUTED_VALUE"""),44634.66666666667)</f>
        <v>44634.66667</v>
      </c>
      <c r="B5587" s="1">
        <f>IFERROR(__xludf.DUMMYFUNCTION("""COMPUTED_VALUE"""),144.45)</f>
        <v>144.45</v>
      </c>
      <c r="C5587" s="1">
        <f>IFERROR(__xludf.DUMMYFUNCTION("""COMPUTED_VALUE"""),146.04)</f>
        <v>146.04</v>
      </c>
      <c r="D5587" s="1">
        <f>IFERROR(__xludf.DUMMYFUNCTION("""COMPUTED_VALUE"""),143.35)</f>
        <v>143.35</v>
      </c>
      <c r="E5587" s="1">
        <f>IFERROR(__xludf.DUMMYFUNCTION("""COMPUTED_VALUE"""),145.05)</f>
        <v>145.05</v>
      </c>
      <c r="F5587" s="1">
        <f>IFERROR(__xludf.DUMMYFUNCTION("""COMPUTED_VALUE"""),7964794.0)</f>
        <v>7964794</v>
      </c>
    </row>
    <row r="5588">
      <c r="A5588" s="2">
        <f>IFERROR(__xludf.DUMMYFUNCTION("""COMPUTED_VALUE"""),44635.66666666667)</f>
        <v>44635.66667</v>
      </c>
      <c r="B5588" s="1">
        <f>IFERROR(__xludf.DUMMYFUNCTION("""COMPUTED_VALUE"""),147.01)</f>
        <v>147.01</v>
      </c>
      <c r="C5588" s="1">
        <f>IFERROR(__xludf.DUMMYFUNCTION("""COMPUTED_VALUE"""),150.54)</f>
        <v>150.54</v>
      </c>
      <c r="D5588" s="1">
        <f>IFERROR(__xludf.DUMMYFUNCTION("""COMPUTED_VALUE"""),146.89)</f>
        <v>146.89</v>
      </c>
      <c r="E5588" s="1">
        <f>IFERROR(__xludf.DUMMYFUNCTION("""COMPUTED_VALUE"""),150.27)</f>
        <v>150.27</v>
      </c>
      <c r="F5588" s="1">
        <f>IFERROR(__xludf.DUMMYFUNCTION("""COMPUTED_VALUE"""),9868370.0)</f>
        <v>9868370</v>
      </c>
    </row>
    <row r="5589">
      <c r="A5589" s="2">
        <f>IFERROR(__xludf.DUMMYFUNCTION("""COMPUTED_VALUE"""),44636.66666666667)</f>
        <v>44636.66667</v>
      </c>
      <c r="B5589" s="1">
        <f>IFERROR(__xludf.DUMMYFUNCTION("""COMPUTED_VALUE"""),150.63)</f>
        <v>150.63</v>
      </c>
      <c r="C5589" s="1">
        <f>IFERROR(__xludf.DUMMYFUNCTION("""COMPUTED_VALUE"""),151.79)</f>
        <v>151.79</v>
      </c>
      <c r="D5589" s="1">
        <f>IFERROR(__xludf.DUMMYFUNCTION("""COMPUTED_VALUE"""),148.04)</f>
        <v>148.04</v>
      </c>
      <c r="E5589" s="1">
        <f>IFERROR(__xludf.DUMMYFUNCTION("""COMPUTED_VALUE"""),149.76)</f>
        <v>149.76</v>
      </c>
      <c r="F5589" s="1">
        <f>IFERROR(__xludf.DUMMYFUNCTION("""COMPUTED_VALUE"""),6908879.0)</f>
        <v>6908879</v>
      </c>
    </row>
    <row r="5590">
      <c r="A5590" s="2">
        <f>IFERROR(__xludf.DUMMYFUNCTION("""COMPUTED_VALUE"""),44637.66666666667)</f>
        <v>44637.66667</v>
      </c>
      <c r="B5590" s="1">
        <f>IFERROR(__xludf.DUMMYFUNCTION("""COMPUTED_VALUE"""),149.99)</f>
        <v>149.99</v>
      </c>
      <c r="C5590" s="1">
        <f>IFERROR(__xludf.DUMMYFUNCTION("""COMPUTED_VALUE"""),150.47)</f>
        <v>150.47</v>
      </c>
      <c r="D5590" s="1">
        <f>IFERROR(__xludf.DUMMYFUNCTION("""COMPUTED_VALUE"""),148.5)</f>
        <v>148.5</v>
      </c>
      <c r="E5590" s="1">
        <f>IFERROR(__xludf.DUMMYFUNCTION("""COMPUTED_VALUE"""),150.23)</f>
        <v>150.23</v>
      </c>
      <c r="F5590" s="1">
        <f>IFERROR(__xludf.DUMMYFUNCTION("""COMPUTED_VALUE"""),6003952.0)</f>
        <v>6003952</v>
      </c>
    </row>
    <row r="5591">
      <c r="A5591" s="2">
        <f>IFERROR(__xludf.DUMMYFUNCTION("""COMPUTED_VALUE"""),44638.66666666667)</f>
        <v>44638.66667</v>
      </c>
      <c r="B5591" s="1">
        <f>IFERROR(__xludf.DUMMYFUNCTION("""COMPUTED_VALUE"""),150.87)</f>
        <v>150.87</v>
      </c>
      <c r="C5591" s="1">
        <f>IFERROR(__xludf.DUMMYFUNCTION("""COMPUTED_VALUE"""),150.87)</f>
        <v>150.87</v>
      </c>
      <c r="D5591" s="1">
        <f>IFERROR(__xludf.DUMMYFUNCTION("""COMPUTED_VALUE"""),148.24)</f>
        <v>148.24</v>
      </c>
      <c r="E5591" s="1">
        <f>IFERROR(__xludf.DUMMYFUNCTION("""COMPUTED_VALUE"""),150.15)</f>
        <v>150.15</v>
      </c>
      <c r="F5591" s="1">
        <f>IFERROR(__xludf.DUMMYFUNCTION("""COMPUTED_VALUE"""),1.5570273E7)</f>
        <v>15570273</v>
      </c>
    </row>
    <row r="5592">
      <c r="A5592" s="2">
        <f>IFERROR(__xludf.DUMMYFUNCTION("""COMPUTED_VALUE"""),44641.66666666667)</f>
        <v>44641.66667</v>
      </c>
      <c r="B5592" s="1">
        <f>IFERROR(__xludf.DUMMYFUNCTION("""COMPUTED_VALUE"""),150.44)</f>
        <v>150.44</v>
      </c>
      <c r="C5592" s="1">
        <f>IFERROR(__xludf.DUMMYFUNCTION("""COMPUTED_VALUE"""),151.42)</f>
        <v>151.42</v>
      </c>
      <c r="D5592" s="1">
        <f>IFERROR(__xludf.DUMMYFUNCTION("""COMPUTED_VALUE"""),149.24)</f>
        <v>149.24</v>
      </c>
      <c r="E5592" s="1">
        <f>IFERROR(__xludf.DUMMYFUNCTION("""COMPUTED_VALUE"""),150.72)</f>
        <v>150.72</v>
      </c>
      <c r="F5592" s="1">
        <f>IFERROR(__xludf.DUMMYFUNCTION("""COMPUTED_VALUE"""),6937482.0)</f>
        <v>6937482</v>
      </c>
    </row>
    <row r="5593">
      <c r="A5593" s="2">
        <f>IFERROR(__xludf.DUMMYFUNCTION("""COMPUTED_VALUE"""),44642.66666666667)</f>
        <v>44642.66667</v>
      </c>
      <c r="B5593" s="1">
        <f>IFERROR(__xludf.DUMMYFUNCTION("""COMPUTED_VALUE"""),153.43)</f>
        <v>153.43</v>
      </c>
      <c r="C5593" s="1">
        <f>IFERROR(__xludf.DUMMYFUNCTION("""COMPUTED_VALUE"""),153.6)</f>
        <v>153.6</v>
      </c>
      <c r="D5593" s="1">
        <f>IFERROR(__xludf.DUMMYFUNCTION("""COMPUTED_VALUE"""),150.52)</f>
        <v>150.52</v>
      </c>
      <c r="E5593" s="1">
        <f>IFERROR(__xludf.DUMMYFUNCTION("""COMPUTED_VALUE"""),151.88)</f>
        <v>151.88</v>
      </c>
      <c r="F5593" s="1">
        <f>IFERROR(__xludf.DUMMYFUNCTION("""COMPUTED_VALUE"""),7292080.0)</f>
        <v>7292080</v>
      </c>
    </row>
    <row r="5594">
      <c r="A5594" s="2">
        <f>IFERROR(__xludf.DUMMYFUNCTION("""COMPUTED_VALUE"""),44643.66666666667)</f>
        <v>44643.66667</v>
      </c>
      <c r="B5594" s="1">
        <f>IFERROR(__xludf.DUMMYFUNCTION("""COMPUTED_VALUE"""),152.2)</f>
        <v>152.2</v>
      </c>
      <c r="C5594" s="1">
        <f>IFERROR(__xludf.DUMMYFUNCTION("""COMPUTED_VALUE"""),153.01)</f>
        <v>153.01</v>
      </c>
      <c r="D5594" s="1">
        <f>IFERROR(__xludf.DUMMYFUNCTION("""COMPUTED_VALUE"""),150.69)</f>
        <v>150.69</v>
      </c>
      <c r="E5594" s="1">
        <f>IFERROR(__xludf.DUMMYFUNCTION("""COMPUTED_VALUE"""),150.82)</f>
        <v>150.82</v>
      </c>
      <c r="F5594" s="1">
        <f>IFERROR(__xludf.DUMMYFUNCTION("""COMPUTED_VALUE"""),5531995.0)</f>
        <v>5531995</v>
      </c>
    </row>
    <row r="5595">
      <c r="A5595" s="2">
        <f>IFERROR(__xludf.DUMMYFUNCTION("""COMPUTED_VALUE"""),44644.66666666667)</f>
        <v>44644.66667</v>
      </c>
      <c r="B5595" s="1">
        <f>IFERROR(__xludf.DUMMYFUNCTION("""COMPUTED_VALUE"""),150.89)</f>
        <v>150.89</v>
      </c>
      <c r="C5595" s="1">
        <f>IFERROR(__xludf.DUMMYFUNCTION("""COMPUTED_VALUE"""),151.56)</f>
        <v>151.56</v>
      </c>
      <c r="D5595" s="1">
        <f>IFERROR(__xludf.DUMMYFUNCTION("""COMPUTED_VALUE"""),150.16)</f>
        <v>150.16</v>
      </c>
      <c r="E5595" s="1">
        <f>IFERROR(__xludf.DUMMYFUNCTION("""COMPUTED_VALUE"""),151.08)</f>
        <v>151.08</v>
      </c>
      <c r="F5595" s="1">
        <f>IFERROR(__xludf.DUMMYFUNCTION("""COMPUTED_VALUE"""),4203133.0)</f>
        <v>4203133</v>
      </c>
    </row>
    <row r="5596">
      <c r="A5596" s="2">
        <f>IFERROR(__xludf.DUMMYFUNCTION("""COMPUTED_VALUE"""),44645.66666666667)</f>
        <v>44645.66667</v>
      </c>
      <c r="B5596" s="1">
        <f>IFERROR(__xludf.DUMMYFUNCTION("""COMPUTED_VALUE"""),151.63)</f>
        <v>151.63</v>
      </c>
      <c r="C5596" s="1">
        <f>IFERROR(__xludf.DUMMYFUNCTION("""COMPUTED_VALUE"""),153.92)</f>
        <v>153.92</v>
      </c>
      <c r="D5596" s="1">
        <f>IFERROR(__xludf.DUMMYFUNCTION("""COMPUTED_VALUE"""),151.51)</f>
        <v>151.51</v>
      </c>
      <c r="E5596" s="1">
        <f>IFERROR(__xludf.DUMMYFUNCTION("""COMPUTED_VALUE"""),152.83)</f>
        <v>152.83</v>
      </c>
      <c r="F5596" s="1">
        <f>IFERROR(__xludf.DUMMYFUNCTION("""COMPUTED_VALUE"""),5047710.0)</f>
        <v>5047710</v>
      </c>
    </row>
    <row r="5597">
      <c r="A5597" s="2">
        <f>IFERROR(__xludf.DUMMYFUNCTION("""COMPUTED_VALUE"""),44648.66666666667)</f>
        <v>44648.66667</v>
      </c>
      <c r="B5597" s="1">
        <f>IFERROR(__xludf.DUMMYFUNCTION("""COMPUTED_VALUE"""),153.64)</f>
        <v>153.64</v>
      </c>
      <c r="C5597" s="1">
        <f>IFERROR(__xludf.DUMMYFUNCTION("""COMPUTED_VALUE"""),153.9)</f>
        <v>153.9</v>
      </c>
      <c r="D5597" s="1">
        <f>IFERROR(__xludf.DUMMYFUNCTION("""COMPUTED_VALUE"""),152.63)</f>
        <v>152.63</v>
      </c>
      <c r="E5597" s="1">
        <f>IFERROR(__xludf.DUMMYFUNCTION("""COMPUTED_VALUE"""),153.88)</f>
        <v>153.88</v>
      </c>
      <c r="F5597" s="1">
        <f>IFERROR(__xludf.DUMMYFUNCTION("""COMPUTED_VALUE"""),4234012.0)</f>
        <v>4234012</v>
      </c>
    </row>
    <row r="5598">
      <c r="A5598" s="2">
        <f>IFERROR(__xludf.DUMMYFUNCTION("""COMPUTED_VALUE"""),44649.66666666667)</f>
        <v>44649.66667</v>
      </c>
      <c r="B5598" s="1">
        <f>IFERROR(__xludf.DUMMYFUNCTION("""COMPUTED_VALUE"""),155.37)</f>
        <v>155.37</v>
      </c>
      <c r="C5598" s="1">
        <f>IFERROR(__xludf.DUMMYFUNCTION("""COMPUTED_VALUE"""),156.47)</f>
        <v>156.47</v>
      </c>
      <c r="D5598" s="1">
        <f>IFERROR(__xludf.DUMMYFUNCTION("""COMPUTED_VALUE"""),154.02)</f>
        <v>154.02</v>
      </c>
      <c r="E5598" s="1">
        <f>IFERROR(__xludf.DUMMYFUNCTION("""COMPUTED_VALUE"""),155.46)</f>
        <v>155.46</v>
      </c>
      <c r="F5598" s="1">
        <f>IFERROR(__xludf.DUMMYFUNCTION("""COMPUTED_VALUE"""),5643428.0)</f>
        <v>5643428</v>
      </c>
    </row>
    <row r="5599">
      <c r="A5599" s="2">
        <f>IFERROR(__xludf.DUMMYFUNCTION("""COMPUTED_VALUE"""),44650.66666666667)</f>
        <v>44650.66667</v>
      </c>
      <c r="B5599" s="1">
        <f>IFERROR(__xludf.DUMMYFUNCTION("""COMPUTED_VALUE"""),152.5)</f>
        <v>152.5</v>
      </c>
      <c r="C5599" s="1">
        <f>IFERROR(__xludf.DUMMYFUNCTION("""COMPUTED_VALUE"""),154.43)</f>
        <v>154.43</v>
      </c>
      <c r="D5599" s="1">
        <f>IFERROR(__xludf.DUMMYFUNCTION("""COMPUTED_VALUE"""),151.94)</f>
        <v>151.94</v>
      </c>
      <c r="E5599" s="1">
        <f>IFERROR(__xludf.DUMMYFUNCTION("""COMPUTED_VALUE"""),154.39)</f>
        <v>154.39</v>
      </c>
      <c r="F5599" s="1">
        <f>IFERROR(__xludf.DUMMYFUNCTION("""COMPUTED_VALUE"""),5779503.0)</f>
        <v>5779503</v>
      </c>
    </row>
    <row r="5600">
      <c r="A5600" s="2">
        <f>IFERROR(__xludf.DUMMYFUNCTION("""COMPUTED_VALUE"""),44651.66666666667)</f>
        <v>44651.66667</v>
      </c>
      <c r="B5600" s="1">
        <f>IFERROR(__xludf.DUMMYFUNCTION("""COMPUTED_VALUE"""),154.1)</f>
        <v>154.1</v>
      </c>
      <c r="C5600" s="1">
        <f>IFERROR(__xludf.DUMMYFUNCTION("""COMPUTED_VALUE"""),154.34)</f>
        <v>154.34</v>
      </c>
      <c r="D5600" s="1">
        <f>IFERROR(__xludf.DUMMYFUNCTION("""COMPUTED_VALUE"""),152.4)</f>
        <v>152.4</v>
      </c>
      <c r="E5600" s="1">
        <f>IFERROR(__xludf.DUMMYFUNCTION("""COMPUTED_VALUE"""),152.8)</f>
        <v>152.8</v>
      </c>
      <c r="F5600" s="1">
        <f>IFERROR(__xludf.DUMMYFUNCTION("""COMPUTED_VALUE"""),7538629.0)</f>
        <v>7538629</v>
      </c>
    </row>
    <row r="5601">
      <c r="A5601" s="2">
        <f>IFERROR(__xludf.DUMMYFUNCTION("""COMPUTED_VALUE"""),44652.66666666667)</f>
        <v>44652.66667</v>
      </c>
      <c r="B5601" s="1">
        <f>IFERROR(__xludf.DUMMYFUNCTION("""COMPUTED_VALUE"""),153.52)</f>
        <v>153.52</v>
      </c>
      <c r="C5601" s="1">
        <f>IFERROR(__xludf.DUMMYFUNCTION("""COMPUTED_VALUE"""),155.46)</f>
        <v>155.46</v>
      </c>
      <c r="D5601" s="1">
        <f>IFERROR(__xludf.DUMMYFUNCTION("""COMPUTED_VALUE"""),152.06)</f>
        <v>152.06</v>
      </c>
      <c r="E5601" s="1">
        <f>IFERROR(__xludf.DUMMYFUNCTION("""COMPUTED_VALUE"""),155.09)</f>
        <v>155.09</v>
      </c>
      <c r="F5601" s="1">
        <f>IFERROR(__xludf.DUMMYFUNCTION("""COMPUTED_VALUE"""),5742629.0)</f>
        <v>5742629</v>
      </c>
    </row>
    <row r="5602">
      <c r="A5602" s="2">
        <f>IFERROR(__xludf.DUMMYFUNCTION("""COMPUTED_VALUE"""),44655.66666666667)</f>
        <v>44655.66667</v>
      </c>
      <c r="B5602" s="1">
        <f>IFERROR(__xludf.DUMMYFUNCTION("""COMPUTED_VALUE"""),153.81)</f>
        <v>153.81</v>
      </c>
      <c r="C5602" s="1">
        <f>IFERROR(__xludf.DUMMYFUNCTION("""COMPUTED_VALUE"""),154.35)</f>
        <v>154.35</v>
      </c>
      <c r="D5602" s="1">
        <f>IFERROR(__xludf.DUMMYFUNCTION("""COMPUTED_VALUE"""),151.26)</f>
        <v>151.26</v>
      </c>
      <c r="E5602" s="1">
        <f>IFERROR(__xludf.DUMMYFUNCTION("""COMPUTED_VALUE"""),154.08)</f>
        <v>154.08</v>
      </c>
      <c r="F5602" s="1">
        <f>IFERROR(__xludf.DUMMYFUNCTION("""COMPUTED_VALUE"""),5992017.0)</f>
        <v>5992017</v>
      </c>
    </row>
    <row r="5603">
      <c r="A5603" s="2">
        <f>IFERROR(__xludf.DUMMYFUNCTION("""COMPUTED_VALUE"""),44656.66666666667)</f>
        <v>44656.66667</v>
      </c>
      <c r="B5603" s="1">
        <f>IFERROR(__xludf.DUMMYFUNCTION("""COMPUTED_VALUE"""),153.61)</f>
        <v>153.61</v>
      </c>
      <c r="C5603" s="1">
        <f>IFERROR(__xludf.DUMMYFUNCTION("""COMPUTED_VALUE"""),157.37)</f>
        <v>157.37</v>
      </c>
      <c r="D5603" s="1">
        <f>IFERROR(__xludf.DUMMYFUNCTION("""COMPUTED_VALUE"""),153.54)</f>
        <v>153.54</v>
      </c>
      <c r="E5603" s="1">
        <f>IFERROR(__xludf.DUMMYFUNCTION("""COMPUTED_VALUE"""),154.62)</f>
        <v>154.62</v>
      </c>
      <c r="F5603" s="1">
        <f>IFERROR(__xludf.DUMMYFUNCTION("""COMPUTED_VALUE"""),7653018.0)</f>
        <v>7653018</v>
      </c>
    </row>
    <row r="5604">
      <c r="A5604" s="2">
        <f>IFERROR(__xludf.DUMMYFUNCTION("""COMPUTED_VALUE"""),44657.66666666667)</f>
        <v>44657.66667</v>
      </c>
      <c r="B5604" s="1">
        <f>IFERROR(__xludf.DUMMYFUNCTION("""COMPUTED_VALUE"""),154.42)</f>
        <v>154.42</v>
      </c>
      <c r="C5604" s="1">
        <f>IFERROR(__xludf.DUMMYFUNCTION("""COMPUTED_VALUE"""),157.29)</f>
        <v>157.29</v>
      </c>
      <c r="D5604" s="1">
        <f>IFERROR(__xludf.DUMMYFUNCTION("""COMPUTED_VALUE"""),153.94)</f>
        <v>153.94</v>
      </c>
      <c r="E5604" s="1">
        <f>IFERROR(__xludf.DUMMYFUNCTION("""COMPUTED_VALUE"""),156.83)</f>
        <v>156.83</v>
      </c>
      <c r="F5604" s="1">
        <f>IFERROR(__xludf.DUMMYFUNCTION("""COMPUTED_VALUE"""),8884737.0)</f>
        <v>8884737</v>
      </c>
    </row>
    <row r="5605">
      <c r="A5605" s="2">
        <f>IFERROR(__xludf.DUMMYFUNCTION("""COMPUTED_VALUE"""),44658.66666666667)</f>
        <v>44658.66667</v>
      </c>
      <c r="B5605" s="1">
        <f>IFERROR(__xludf.DUMMYFUNCTION("""COMPUTED_VALUE"""),157.87)</f>
        <v>157.87</v>
      </c>
      <c r="C5605" s="1">
        <f>IFERROR(__xludf.DUMMYFUNCTION("""COMPUTED_VALUE"""),159.39)</f>
        <v>159.39</v>
      </c>
      <c r="D5605" s="1">
        <f>IFERROR(__xludf.DUMMYFUNCTION("""COMPUTED_VALUE"""),156.97)</f>
        <v>156.97</v>
      </c>
      <c r="E5605" s="1">
        <f>IFERROR(__xludf.DUMMYFUNCTION("""COMPUTED_VALUE"""),158.86)</f>
        <v>158.86</v>
      </c>
      <c r="F5605" s="1">
        <f>IFERROR(__xludf.DUMMYFUNCTION("""COMPUTED_VALUE"""),6889726.0)</f>
        <v>6889726</v>
      </c>
    </row>
    <row r="5606">
      <c r="A5606" s="2">
        <f>IFERROR(__xludf.DUMMYFUNCTION("""COMPUTED_VALUE"""),44659.66666666667)</f>
        <v>44659.66667</v>
      </c>
      <c r="B5606" s="1">
        <f>IFERROR(__xludf.DUMMYFUNCTION("""COMPUTED_VALUE"""),159.7)</f>
        <v>159.7</v>
      </c>
      <c r="C5606" s="1">
        <f>IFERROR(__xludf.DUMMYFUNCTION("""COMPUTED_VALUE"""),160.53)</f>
        <v>160.53</v>
      </c>
      <c r="D5606" s="1">
        <f>IFERROR(__xludf.DUMMYFUNCTION("""COMPUTED_VALUE"""),158.92)</f>
        <v>158.92</v>
      </c>
      <c r="E5606" s="1">
        <f>IFERROR(__xludf.DUMMYFUNCTION("""COMPUTED_VALUE"""),160.1)</f>
        <v>160.1</v>
      </c>
      <c r="F5606" s="1">
        <f>IFERROR(__xludf.DUMMYFUNCTION("""COMPUTED_VALUE"""),6045430.0)</f>
        <v>6045430</v>
      </c>
    </row>
    <row r="5607">
      <c r="A5607" s="2">
        <f>IFERROR(__xludf.DUMMYFUNCTION("""COMPUTED_VALUE"""),44662.66666666667)</f>
        <v>44662.66667</v>
      </c>
      <c r="B5607" s="1">
        <f>IFERROR(__xludf.DUMMYFUNCTION("""COMPUTED_VALUE"""),159.95)</f>
        <v>159.95</v>
      </c>
      <c r="C5607" s="1">
        <f>IFERROR(__xludf.DUMMYFUNCTION("""COMPUTED_VALUE"""),161.21)</f>
        <v>161.21</v>
      </c>
      <c r="D5607" s="1">
        <f>IFERROR(__xludf.DUMMYFUNCTION("""COMPUTED_VALUE"""),158.63)</f>
        <v>158.63</v>
      </c>
      <c r="E5607" s="1">
        <f>IFERROR(__xludf.DUMMYFUNCTION("""COMPUTED_VALUE"""),159.49)</f>
        <v>159.49</v>
      </c>
      <c r="F5607" s="1">
        <f>IFERROR(__xludf.DUMMYFUNCTION("""COMPUTED_VALUE"""),6158360.0)</f>
        <v>6158360</v>
      </c>
    </row>
    <row r="5608">
      <c r="A5608" s="2">
        <f>IFERROR(__xludf.DUMMYFUNCTION("""COMPUTED_VALUE"""),44663.66666666667)</f>
        <v>44663.66667</v>
      </c>
      <c r="B5608" s="1">
        <f>IFERROR(__xludf.DUMMYFUNCTION("""COMPUTED_VALUE"""),159.31)</f>
        <v>159.31</v>
      </c>
      <c r="C5608" s="1">
        <f>IFERROR(__xludf.DUMMYFUNCTION("""COMPUTED_VALUE"""),160.63)</f>
        <v>160.63</v>
      </c>
      <c r="D5608" s="1">
        <f>IFERROR(__xludf.DUMMYFUNCTION("""COMPUTED_VALUE"""),158.7)</f>
        <v>158.7</v>
      </c>
      <c r="E5608" s="1">
        <f>IFERROR(__xludf.DUMMYFUNCTION("""COMPUTED_VALUE"""),159.01)</f>
        <v>159.01</v>
      </c>
      <c r="F5608" s="1">
        <f>IFERROR(__xludf.DUMMYFUNCTION("""COMPUTED_VALUE"""),7221479.0)</f>
        <v>7221479</v>
      </c>
    </row>
    <row r="5609">
      <c r="A5609" s="2">
        <f>IFERROR(__xludf.DUMMYFUNCTION("""COMPUTED_VALUE"""),44664.66666666667)</f>
        <v>44664.66667</v>
      </c>
      <c r="B5609" s="1">
        <f>IFERROR(__xludf.DUMMYFUNCTION("""COMPUTED_VALUE"""),159.08)</f>
        <v>159.08</v>
      </c>
      <c r="C5609" s="1">
        <f>IFERROR(__xludf.DUMMYFUNCTION("""COMPUTED_VALUE"""),160.41)</f>
        <v>160.41</v>
      </c>
      <c r="D5609" s="1">
        <f>IFERROR(__xludf.DUMMYFUNCTION("""COMPUTED_VALUE"""),158.71)</f>
        <v>158.71</v>
      </c>
      <c r="E5609" s="1">
        <f>IFERROR(__xludf.DUMMYFUNCTION("""COMPUTED_VALUE"""),159.46)</f>
        <v>159.46</v>
      </c>
      <c r="F5609" s="1">
        <f>IFERROR(__xludf.DUMMYFUNCTION("""COMPUTED_VALUE"""),5247722.0)</f>
        <v>5247722</v>
      </c>
    </row>
    <row r="5610">
      <c r="A5610" s="2">
        <f>IFERROR(__xludf.DUMMYFUNCTION("""COMPUTED_VALUE"""),44665.66666666667)</f>
        <v>44665.66667</v>
      </c>
      <c r="B5610" s="1">
        <f>IFERROR(__xludf.DUMMYFUNCTION("""COMPUTED_VALUE"""),159.98)</f>
        <v>159.98</v>
      </c>
      <c r="C5610" s="1">
        <f>IFERROR(__xludf.DUMMYFUNCTION("""COMPUTED_VALUE"""),160.3)</f>
        <v>160.3</v>
      </c>
      <c r="D5610" s="1">
        <f>IFERROR(__xludf.DUMMYFUNCTION("""COMPUTED_VALUE"""),158.45)</f>
        <v>158.45</v>
      </c>
      <c r="E5610" s="1">
        <f>IFERROR(__xludf.DUMMYFUNCTION("""COMPUTED_VALUE"""),158.57)</f>
        <v>158.57</v>
      </c>
      <c r="F5610" s="1">
        <f>IFERROR(__xludf.DUMMYFUNCTION("""COMPUTED_VALUE"""),7806452.0)</f>
        <v>7806452</v>
      </c>
    </row>
    <row r="5611">
      <c r="A5611" s="2">
        <f>IFERROR(__xludf.DUMMYFUNCTION("""COMPUTED_VALUE"""),44669.66666666667)</f>
        <v>44669.66667</v>
      </c>
      <c r="B5611" s="1">
        <f>IFERROR(__xludf.DUMMYFUNCTION("""COMPUTED_VALUE"""),158.48)</f>
        <v>158.48</v>
      </c>
      <c r="C5611" s="1">
        <f>IFERROR(__xludf.DUMMYFUNCTION("""COMPUTED_VALUE"""),158.98)</f>
        <v>158.98</v>
      </c>
      <c r="D5611" s="1">
        <f>IFERROR(__xludf.DUMMYFUNCTION("""COMPUTED_VALUE"""),156.53)</f>
        <v>156.53</v>
      </c>
      <c r="E5611" s="1">
        <f>IFERROR(__xludf.DUMMYFUNCTION("""COMPUTED_VALUE"""),157.06)</f>
        <v>157.06</v>
      </c>
      <c r="F5611" s="1">
        <f>IFERROR(__xludf.DUMMYFUNCTION("""COMPUTED_VALUE"""),6034506.0)</f>
        <v>6034506</v>
      </c>
    </row>
    <row r="5612">
      <c r="A5612" s="2">
        <f>IFERROR(__xludf.DUMMYFUNCTION("""COMPUTED_VALUE"""),44670.66666666667)</f>
        <v>44670.66667</v>
      </c>
      <c r="B5612" s="1">
        <f>IFERROR(__xludf.DUMMYFUNCTION("""COMPUTED_VALUE"""),156.77)</f>
        <v>156.77</v>
      </c>
      <c r="C5612" s="1">
        <f>IFERROR(__xludf.DUMMYFUNCTION("""COMPUTED_VALUE"""),160.03)</f>
        <v>160.03</v>
      </c>
      <c r="D5612" s="1">
        <f>IFERROR(__xludf.DUMMYFUNCTION("""COMPUTED_VALUE"""),156.3)</f>
        <v>156.3</v>
      </c>
      <c r="E5612" s="1">
        <f>IFERROR(__xludf.DUMMYFUNCTION("""COMPUTED_VALUE"""),159.41)</f>
        <v>159.41</v>
      </c>
      <c r="F5612" s="1">
        <f>IFERROR(__xludf.DUMMYFUNCTION("""COMPUTED_VALUE"""),7897048.0)</f>
        <v>7897048</v>
      </c>
    </row>
    <row r="5613">
      <c r="A5613" s="2">
        <f>IFERROR(__xludf.DUMMYFUNCTION("""COMPUTED_VALUE"""),44671.66666666667)</f>
        <v>44671.66667</v>
      </c>
      <c r="B5613" s="1">
        <f>IFERROR(__xludf.DUMMYFUNCTION("""COMPUTED_VALUE"""),160.5)</f>
        <v>160.5</v>
      </c>
      <c r="C5613" s="1">
        <f>IFERROR(__xludf.DUMMYFUNCTION("""COMPUTED_VALUE"""),164.48)</f>
        <v>164.48</v>
      </c>
      <c r="D5613" s="1">
        <f>IFERROR(__xludf.DUMMYFUNCTION("""COMPUTED_VALUE"""),160.0)</f>
        <v>160</v>
      </c>
      <c r="E5613" s="1">
        <f>IFERROR(__xludf.DUMMYFUNCTION("""COMPUTED_VALUE"""),163.65)</f>
        <v>163.65</v>
      </c>
      <c r="F5613" s="1">
        <f>IFERROR(__xludf.DUMMYFUNCTION("""COMPUTED_VALUE"""),1.0196125E7)</f>
        <v>10196125</v>
      </c>
    </row>
    <row r="5614">
      <c r="A5614" s="2">
        <f>IFERROR(__xludf.DUMMYFUNCTION("""COMPUTED_VALUE"""),44672.66666666667)</f>
        <v>44672.66667</v>
      </c>
      <c r="B5614" s="1">
        <f>IFERROR(__xludf.DUMMYFUNCTION("""COMPUTED_VALUE"""),163.82)</f>
        <v>163.82</v>
      </c>
      <c r="C5614" s="1">
        <f>IFERROR(__xludf.DUMMYFUNCTION("""COMPUTED_VALUE"""),164.9)</f>
        <v>164.9</v>
      </c>
      <c r="D5614" s="1">
        <f>IFERROR(__xludf.DUMMYFUNCTION("""COMPUTED_VALUE"""),162.43)</f>
        <v>162.43</v>
      </c>
      <c r="E5614" s="1">
        <f>IFERROR(__xludf.DUMMYFUNCTION("""COMPUTED_VALUE"""),162.61)</f>
        <v>162.61</v>
      </c>
      <c r="F5614" s="1">
        <f>IFERROR(__xludf.DUMMYFUNCTION("""COMPUTED_VALUE"""),9365701.0)</f>
        <v>9365701</v>
      </c>
    </row>
    <row r="5615">
      <c r="A5615" s="2">
        <f>IFERROR(__xludf.DUMMYFUNCTION("""COMPUTED_VALUE"""),44673.66666666667)</f>
        <v>44673.66667</v>
      </c>
      <c r="B5615" s="1">
        <f>IFERROR(__xludf.DUMMYFUNCTION("""COMPUTED_VALUE"""),163.24)</f>
        <v>163.24</v>
      </c>
      <c r="C5615" s="1">
        <f>IFERROR(__xludf.DUMMYFUNCTION("""COMPUTED_VALUE"""),163.52)</f>
        <v>163.52</v>
      </c>
      <c r="D5615" s="1">
        <f>IFERROR(__xludf.DUMMYFUNCTION("""COMPUTED_VALUE"""),160.91)</f>
        <v>160.91</v>
      </c>
      <c r="E5615" s="1">
        <f>IFERROR(__xludf.DUMMYFUNCTION("""COMPUTED_VALUE"""),161.25)</f>
        <v>161.25</v>
      </c>
      <c r="F5615" s="1">
        <f>IFERROR(__xludf.DUMMYFUNCTION("""COMPUTED_VALUE"""),9394646.0)</f>
        <v>9394646</v>
      </c>
    </row>
    <row r="5616">
      <c r="A5616" s="2">
        <f>IFERROR(__xludf.DUMMYFUNCTION("""COMPUTED_VALUE"""),44676.66666666667)</f>
        <v>44676.66667</v>
      </c>
      <c r="B5616" s="1">
        <f>IFERROR(__xludf.DUMMYFUNCTION("""COMPUTED_VALUE"""),161.7)</f>
        <v>161.7</v>
      </c>
      <c r="C5616" s="1">
        <f>IFERROR(__xludf.DUMMYFUNCTION("""COMPUTED_VALUE"""),163.29)</f>
        <v>163.29</v>
      </c>
      <c r="D5616" s="1">
        <f>IFERROR(__xludf.DUMMYFUNCTION("""COMPUTED_VALUE"""),159.8)</f>
        <v>159.8</v>
      </c>
      <c r="E5616" s="1">
        <f>IFERROR(__xludf.DUMMYFUNCTION("""COMPUTED_VALUE"""),162.55)</f>
        <v>162.55</v>
      </c>
      <c r="F5616" s="1">
        <f>IFERROR(__xludf.DUMMYFUNCTION("""COMPUTED_VALUE"""),6986760.0)</f>
        <v>6986760</v>
      </c>
    </row>
    <row r="5617">
      <c r="A5617" s="2">
        <f>IFERROR(__xludf.DUMMYFUNCTION("""COMPUTED_VALUE"""),44677.66666666667)</f>
        <v>44677.66667</v>
      </c>
      <c r="B5617" s="1">
        <f>IFERROR(__xludf.DUMMYFUNCTION("""COMPUTED_VALUE"""),162.68)</f>
        <v>162.68</v>
      </c>
      <c r="C5617" s="1">
        <f>IFERROR(__xludf.DUMMYFUNCTION("""COMPUTED_VALUE"""),163.64)</f>
        <v>163.64</v>
      </c>
      <c r="D5617" s="1">
        <f>IFERROR(__xludf.DUMMYFUNCTION("""COMPUTED_VALUE"""),159.75)</f>
        <v>159.75</v>
      </c>
      <c r="E5617" s="1">
        <f>IFERROR(__xludf.DUMMYFUNCTION("""COMPUTED_VALUE"""),159.79)</f>
        <v>159.79</v>
      </c>
      <c r="F5617" s="1">
        <f>IFERROR(__xludf.DUMMYFUNCTION("""COMPUTED_VALUE"""),7769465.0)</f>
        <v>7769465</v>
      </c>
    </row>
    <row r="5618">
      <c r="A5618" s="2">
        <f>IFERROR(__xludf.DUMMYFUNCTION("""COMPUTED_VALUE"""),44678.66666666667)</f>
        <v>44678.66667</v>
      </c>
      <c r="B5618" s="1">
        <f>IFERROR(__xludf.DUMMYFUNCTION("""COMPUTED_VALUE"""),160.21)</f>
        <v>160.21</v>
      </c>
      <c r="C5618" s="1">
        <f>IFERROR(__xludf.DUMMYFUNCTION("""COMPUTED_VALUE"""),161.45)</f>
        <v>161.45</v>
      </c>
      <c r="D5618" s="1">
        <f>IFERROR(__xludf.DUMMYFUNCTION("""COMPUTED_VALUE"""),159.11)</f>
        <v>159.11</v>
      </c>
      <c r="E5618" s="1">
        <f>IFERROR(__xludf.DUMMYFUNCTION("""COMPUTED_VALUE"""),159.36)</f>
        <v>159.36</v>
      </c>
      <c r="F5618" s="1">
        <f>IFERROR(__xludf.DUMMYFUNCTION("""COMPUTED_VALUE"""),6754947.0)</f>
        <v>6754947</v>
      </c>
    </row>
    <row r="5619">
      <c r="A5619" s="2">
        <f>IFERROR(__xludf.DUMMYFUNCTION("""COMPUTED_VALUE"""),44679.66666666667)</f>
        <v>44679.66667</v>
      </c>
      <c r="B5619" s="1">
        <f>IFERROR(__xludf.DUMMYFUNCTION("""COMPUTED_VALUE"""),160.54)</f>
        <v>160.54</v>
      </c>
      <c r="C5619" s="1">
        <f>IFERROR(__xludf.DUMMYFUNCTION("""COMPUTED_VALUE"""),163.71)</f>
        <v>163.71</v>
      </c>
      <c r="D5619" s="1">
        <f>IFERROR(__xludf.DUMMYFUNCTION("""COMPUTED_VALUE"""),159.27)</f>
        <v>159.27</v>
      </c>
      <c r="E5619" s="1">
        <f>IFERROR(__xludf.DUMMYFUNCTION("""COMPUTED_VALUE"""),163.41)</f>
        <v>163.41</v>
      </c>
      <c r="F5619" s="1">
        <f>IFERROR(__xludf.DUMMYFUNCTION("""COMPUTED_VALUE"""),9308388.0)</f>
        <v>9308388</v>
      </c>
    </row>
    <row r="5620">
      <c r="A5620" s="2">
        <f>IFERROR(__xludf.DUMMYFUNCTION("""COMPUTED_VALUE"""),44680.66666666667)</f>
        <v>44680.66667</v>
      </c>
      <c r="B5620" s="1">
        <f>IFERROR(__xludf.DUMMYFUNCTION("""COMPUTED_VALUE"""),162.47)</f>
        <v>162.47</v>
      </c>
      <c r="C5620" s="1">
        <f>IFERROR(__xludf.DUMMYFUNCTION("""COMPUTED_VALUE"""),162.95)</f>
        <v>162.95</v>
      </c>
      <c r="D5620" s="1">
        <f>IFERROR(__xludf.DUMMYFUNCTION("""COMPUTED_VALUE"""),160.2)</f>
        <v>160.2</v>
      </c>
      <c r="E5620" s="1">
        <f>IFERROR(__xludf.DUMMYFUNCTION("""COMPUTED_VALUE"""),160.55)</f>
        <v>160.55</v>
      </c>
      <c r="F5620" s="1">
        <f>IFERROR(__xludf.DUMMYFUNCTION("""COMPUTED_VALUE"""),1.0637046E7)</f>
        <v>10637046</v>
      </c>
    </row>
    <row r="5621">
      <c r="A5621" s="2">
        <f>IFERROR(__xludf.DUMMYFUNCTION("""COMPUTED_VALUE"""),44683.66666666667)</f>
        <v>44683.66667</v>
      </c>
      <c r="B5621" s="1">
        <f>IFERROR(__xludf.DUMMYFUNCTION("""COMPUTED_VALUE"""),161.6)</f>
        <v>161.6</v>
      </c>
      <c r="C5621" s="1">
        <f>IFERROR(__xludf.DUMMYFUNCTION("""COMPUTED_VALUE"""),162.0)</f>
        <v>162</v>
      </c>
      <c r="D5621" s="1">
        <f>IFERROR(__xludf.DUMMYFUNCTION("""COMPUTED_VALUE"""),156.19)</f>
        <v>156.19</v>
      </c>
      <c r="E5621" s="1">
        <f>IFERROR(__xludf.DUMMYFUNCTION("""COMPUTED_VALUE"""),158.38)</f>
        <v>158.38</v>
      </c>
      <c r="F5621" s="1">
        <f>IFERROR(__xludf.DUMMYFUNCTION("""COMPUTED_VALUE"""),1.0351637E7)</f>
        <v>10351637</v>
      </c>
    </row>
    <row r="5622">
      <c r="A5622" s="2">
        <f>IFERROR(__xludf.DUMMYFUNCTION("""COMPUTED_VALUE"""),44684.66666666667)</f>
        <v>44684.66667</v>
      </c>
      <c r="B5622" s="1">
        <f>IFERROR(__xludf.DUMMYFUNCTION("""COMPUTED_VALUE"""),158.22)</f>
        <v>158.22</v>
      </c>
      <c r="C5622" s="1">
        <f>IFERROR(__xludf.DUMMYFUNCTION("""COMPUTED_VALUE"""),158.99)</f>
        <v>158.99</v>
      </c>
      <c r="D5622" s="1">
        <f>IFERROR(__xludf.DUMMYFUNCTION("""COMPUTED_VALUE"""),155.01)</f>
        <v>155.01</v>
      </c>
      <c r="E5622" s="1">
        <f>IFERROR(__xludf.DUMMYFUNCTION("""COMPUTED_VALUE"""),156.21)</f>
        <v>156.21</v>
      </c>
      <c r="F5622" s="1">
        <f>IFERROR(__xludf.DUMMYFUNCTION("""COMPUTED_VALUE"""),1.0344012E7)</f>
        <v>10344012</v>
      </c>
    </row>
    <row r="5623">
      <c r="A5623" s="2">
        <f>IFERROR(__xludf.DUMMYFUNCTION("""COMPUTED_VALUE"""),44685.66666666667)</f>
        <v>44685.66667</v>
      </c>
      <c r="B5623" s="1">
        <f>IFERROR(__xludf.DUMMYFUNCTION("""COMPUTED_VALUE"""),155.83)</f>
        <v>155.83</v>
      </c>
      <c r="C5623" s="1">
        <f>IFERROR(__xludf.DUMMYFUNCTION("""COMPUTED_VALUE"""),157.55)</f>
        <v>157.55</v>
      </c>
      <c r="D5623" s="1">
        <f>IFERROR(__xludf.DUMMYFUNCTION("""COMPUTED_VALUE"""),155.15)</f>
        <v>155.15</v>
      </c>
      <c r="E5623" s="1">
        <f>IFERROR(__xludf.DUMMYFUNCTION("""COMPUTED_VALUE"""),157.36)</f>
        <v>157.36</v>
      </c>
      <c r="F5623" s="1">
        <f>IFERROR(__xludf.DUMMYFUNCTION("""COMPUTED_VALUE"""),7770988.0)</f>
        <v>7770988</v>
      </c>
    </row>
    <row r="5624">
      <c r="A5624" s="2">
        <f>IFERROR(__xludf.DUMMYFUNCTION("""COMPUTED_VALUE"""),44686.66666666667)</f>
        <v>44686.66667</v>
      </c>
      <c r="B5624" s="1">
        <f>IFERROR(__xludf.DUMMYFUNCTION("""COMPUTED_VALUE"""),156.3)</f>
        <v>156.3</v>
      </c>
      <c r="C5624" s="1">
        <f>IFERROR(__xludf.DUMMYFUNCTION("""COMPUTED_VALUE"""),157.29)</f>
        <v>157.29</v>
      </c>
      <c r="D5624" s="1">
        <f>IFERROR(__xludf.DUMMYFUNCTION("""COMPUTED_VALUE"""),153.14)</f>
        <v>153.14</v>
      </c>
      <c r="E5624" s="1">
        <f>IFERROR(__xludf.DUMMYFUNCTION("""COMPUTED_VALUE"""),154.46)</f>
        <v>154.46</v>
      </c>
      <c r="F5624" s="1">
        <f>IFERROR(__xludf.DUMMYFUNCTION("""COMPUTED_VALUE"""),8217145.0)</f>
        <v>8217145</v>
      </c>
    </row>
    <row r="5625">
      <c r="A5625" s="2">
        <f>IFERROR(__xludf.DUMMYFUNCTION("""COMPUTED_VALUE"""),44687.66666666667)</f>
        <v>44687.66667</v>
      </c>
      <c r="B5625" s="1">
        <f>IFERROR(__xludf.DUMMYFUNCTION("""COMPUTED_VALUE"""),154.77)</f>
        <v>154.77</v>
      </c>
      <c r="C5625" s="1">
        <f>IFERROR(__xludf.DUMMYFUNCTION("""COMPUTED_VALUE"""),156.24)</f>
        <v>156.24</v>
      </c>
      <c r="D5625" s="1">
        <f>IFERROR(__xludf.DUMMYFUNCTION("""COMPUTED_VALUE"""),153.87)</f>
        <v>153.87</v>
      </c>
      <c r="E5625" s="1">
        <f>IFERROR(__xludf.DUMMYFUNCTION("""COMPUTED_VALUE"""),156.0)</f>
        <v>156</v>
      </c>
      <c r="F5625" s="1">
        <f>IFERROR(__xludf.DUMMYFUNCTION("""COMPUTED_VALUE"""),7304756.0)</f>
        <v>7304756</v>
      </c>
    </row>
    <row r="5626">
      <c r="A5626" s="2">
        <f>IFERROR(__xludf.DUMMYFUNCTION("""COMPUTED_VALUE"""),44690.66666666667)</f>
        <v>44690.66667</v>
      </c>
      <c r="B5626" s="1">
        <f>IFERROR(__xludf.DUMMYFUNCTION("""COMPUTED_VALUE"""),153.96)</f>
        <v>153.96</v>
      </c>
      <c r="C5626" s="1">
        <f>IFERROR(__xludf.DUMMYFUNCTION("""COMPUTED_VALUE"""),156.76)</f>
        <v>156.76</v>
      </c>
      <c r="D5626" s="1">
        <f>IFERROR(__xludf.DUMMYFUNCTION("""COMPUTED_VALUE"""),152.75)</f>
        <v>152.75</v>
      </c>
      <c r="E5626" s="1">
        <f>IFERROR(__xludf.DUMMYFUNCTION("""COMPUTED_VALUE"""),155.61)</f>
        <v>155.61</v>
      </c>
      <c r="F5626" s="1">
        <f>IFERROR(__xludf.DUMMYFUNCTION("""COMPUTED_VALUE"""),8540760.0)</f>
        <v>8540760</v>
      </c>
    </row>
    <row r="5627">
      <c r="A5627" s="2">
        <f>IFERROR(__xludf.DUMMYFUNCTION("""COMPUTED_VALUE"""),44691.66666666667)</f>
        <v>44691.66667</v>
      </c>
      <c r="B5627" s="1">
        <f>IFERROR(__xludf.DUMMYFUNCTION("""COMPUTED_VALUE"""),155.55)</f>
        <v>155.55</v>
      </c>
      <c r="C5627" s="1">
        <f>IFERROR(__xludf.DUMMYFUNCTION("""COMPUTED_VALUE"""),156.62)</f>
        <v>156.62</v>
      </c>
      <c r="D5627" s="1">
        <f>IFERROR(__xludf.DUMMYFUNCTION("""COMPUTED_VALUE"""),153.94)</f>
        <v>153.94</v>
      </c>
      <c r="E5627" s="1">
        <f>IFERROR(__xludf.DUMMYFUNCTION("""COMPUTED_VALUE"""),154.79)</f>
        <v>154.79</v>
      </c>
      <c r="F5627" s="1">
        <f>IFERROR(__xludf.DUMMYFUNCTION("""COMPUTED_VALUE"""),7447352.0)</f>
        <v>7447352</v>
      </c>
    </row>
    <row r="5628">
      <c r="A5628" s="2">
        <f>IFERROR(__xludf.DUMMYFUNCTION("""COMPUTED_VALUE"""),44692.66666666667)</f>
        <v>44692.66667</v>
      </c>
      <c r="B5628" s="1">
        <f>IFERROR(__xludf.DUMMYFUNCTION("""COMPUTED_VALUE"""),154.03)</f>
        <v>154.03</v>
      </c>
      <c r="C5628" s="1">
        <f>IFERROR(__xludf.DUMMYFUNCTION("""COMPUTED_VALUE"""),155.9)</f>
        <v>155.9</v>
      </c>
      <c r="D5628" s="1">
        <f>IFERROR(__xludf.DUMMYFUNCTION("""COMPUTED_VALUE"""),152.35)</f>
        <v>152.35</v>
      </c>
      <c r="E5628" s="1">
        <f>IFERROR(__xludf.DUMMYFUNCTION("""COMPUTED_VALUE"""),152.61)</f>
        <v>152.61</v>
      </c>
      <c r="F5628" s="1">
        <f>IFERROR(__xludf.DUMMYFUNCTION("""COMPUTED_VALUE"""),7692196.0)</f>
        <v>7692196</v>
      </c>
    </row>
    <row r="5629">
      <c r="A5629" s="2">
        <f>IFERROR(__xludf.DUMMYFUNCTION("""COMPUTED_VALUE"""),44693.66666666667)</f>
        <v>44693.66667</v>
      </c>
      <c r="B5629" s="1">
        <f>IFERROR(__xludf.DUMMYFUNCTION("""COMPUTED_VALUE"""),153.52)</f>
        <v>153.52</v>
      </c>
      <c r="C5629" s="1">
        <f>IFERROR(__xludf.DUMMYFUNCTION("""COMPUTED_VALUE"""),153.61)</f>
        <v>153.61</v>
      </c>
      <c r="D5629" s="1">
        <f>IFERROR(__xludf.DUMMYFUNCTION("""COMPUTED_VALUE"""),149.88)</f>
        <v>149.88</v>
      </c>
      <c r="E5629" s="1">
        <f>IFERROR(__xludf.DUMMYFUNCTION("""COMPUTED_VALUE"""),151.99)</f>
        <v>151.99</v>
      </c>
      <c r="F5629" s="1">
        <f>IFERROR(__xludf.DUMMYFUNCTION("""COMPUTED_VALUE"""),9600841.0)</f>
        <v>9600841</v>
      </c>
    </row>
    <row r="5630">
      <c r="A5630" s="2">
        <f>IFERROR(__xludf.DUMMYFUNCTION("""COMPUTED_VALUE"""),44694.66666666667)</f>
        <v>44694.66667</v>
      </c>
      <c r="B5630" s="1">
        <f>IFERROR(__xludf.DUMMYFUNCTION("""COMPUTED_VALUE"""),152.58)</f>
        <v>152.58</v>
      </c>
      <c r="C5630" s="1">
        <f>IFERROR(__xludf.DUMMYFUNCTION("""COMPUTED_VALUE"""),153.73)</f>
        <v>153.73</v>
      </c>
      <c r="D5630" s="1">
        <f>IFERROR(__xludf.DUMMYFUNCTION("""COMPUTED_VALUE"""),150.42)</f>
        <v>150.42</v>
      </c>
      <c r="E5630" s="1">
        <f>IFERROR(__xludf.DUMMYFUNCTION("""COMPUTED_VALUE"""),153.62)</f>
        <v>153.62</v>
      </c>
      <c r="F5630" s="1">
        <f>IFERROR(__xludf.DUMMYFUNCTION("""COMPUTED_VALUE"""),5675512.0)</f>
        <v>5675512</v>
      </c>
    </row>
    <row r="5631">
      <c r="A5631" s="2">
        <f>IFERROR(__xludf.DUMMYFUNCTION("""COMPUTED_VALUE"""),44697.66666666667)</f>
        <v>44697.66667</v>
      </c>
      <c r="B5631" s="1">
        <f>IFERROR(__xludf.DUMMYFUNCTION("""COMPUTED_VALUE"""),153.47)</f>
        <v>153.47</v>
      </c>
      <c r="C5631" s="1">
        <f>IFERROR(__xludf.DUMMYFUNCTION("""COMPUTED_VALUE"""),155.9)</f>
        <v>155.9</v>
      </c>
      <c r="D5631" s="1">
        <f>IFERROR(__xludf.DUMMYFUNCTION("""COMPUTED_VALUE"""),152.03)</f>
        <v>152.03</v>
      </c>
      <c r="E5631" s="1">
        <f>IFERROR(__xludf.DUMMYFUNCTION("""COMPUTED_VALUE"""),155.12)</f>
        <v>155.12</v>
      </c>
      <c r="F5631" s="1">
        <f>IFERROR(__xludf.DUMMYFUNCTION("""COMPUTED_VALUE"""),5970990.0)</f>
        <v>5970990</v>
      </c>
    </row>
    <row r="5632">
      <c r="A5632" s="2">
        <f>IFERROR(__xludf.DUMMYFUNCTION("""COMPUTED_VALUE"""),44698.66666666667)</f>
        <v>44698.66667</v>
      </c>
      <c r="B5632" s="1">
        <f>IFERROR(__xludf.DUMMYFUNCTION("""COMPUTED_VALUE"""),155.13)</f>
        <v>155.13</v>
      </c>
      <c r="C5632" s="1">
        <f>IFERROR(__xludf.DUMMYFUNCTION("""COMPUTED_VALUE"""),156.75)</f>
        <v>156.75</v>
      </c>
      <c r="D5632" s="1">
        <f>IFERROR(__xludf.DUMMYFUNCTION("""COMPUTED_VALUE"""),153.07)</f>
        <v>153.07</v>
      </c>
      <c r="E5632" s="1">
        <f>IFERROR(__xludf.DUMMYFUNCTION("""COMPUTED_VALUE"""),154.68)</f>
        <v>154.68</v>
      </c>
      <c r="F5632" s="1">
        <f>IFERROR(__xludf.DUMMYFUNCTION("""COMPUTED_VALUE"""),6509118.0)</f>
        <v>6509118</v>
      </c>
    </row>
    <row r="5633">
      <c r="A5633" s="2">
        <f>IFERROR(__xludf.DUMMYFUNCTION("""COMPUTED_VALUE"""),44699.66666666667)</f>
        <v>44699.66667</v>
      </c>
      <c r="B5633" s="1">
        <f>IFERROR(__xludf.DUMMYFUNCTION("""COMPUTED_VALUE"""),154.67)</f>
        <v>154.67</v>
      </c>
      <c r="C5633" s="1">
        <f>IFERROR(__xludf.DUMMYFUNCTION("""COMPUTED_VALUE"""),154.76)</f>
        <v>154.76</v>
      </c>
      <c r="D5633" s="1">
        <f>IFERROR(__xludf.DUMMYFUNCTION("""COMPUTED_VALUE"""),144.54)</f>
        <v>144.54</v>
      </c>
      <c r="E5633" s="1">
        <f>IFERROR(__xludf.DUMMYFUNCTION("""COMPUTED_VALUE"""),145.04)</f>
        <v>145.04</v>
      </c>
      <c r="F5633" s="1">
        <f>IFERROR(__xludf.DUMMYFUNCTION("""COMPUTED_VALUE"""),9670680.0)</f>
        <v>9670680</v>
      </c>
    </row>
    <row r="5634">
      <c r="A5634" s="2">
        <f>IFERROR(__xludf.DUMMYFUNCTION("""COMPUTED_VALUE"""),44700.66666666667)</f>
        <v>44700.66667</v>
      </c>
      <c r="B5634" s="1">
        <f>IFERROR(__xludf.DUMMYFUNCTION("""COMPUTED_VALUE"""),143.41)</f>
        <v>143.41</v>
      </c>
      <c r="C5634" s="1">
        <f>IFERROR(__xludf.DUMMYFUNCTION("""COMPUTED_VALUE"""),143.42)</f>
        <v>143.42</v>
      </c>
      <c r="D5634" s="1">
        <f>IFERROR(__xludf.DUMMYFUNCTION("""COMPUTED_VALUE"""),140.6)</f>
        <v>140.6</v>
      </c>
      <c r="E5634" s="1">
        <f>IFERROR(__xludf.DUMMYFUNCTION("""COMPUTED_VALUE"""),141.7)</f>
        <v>141.7</v>
      </c>
      <c r="F5634" s="1">
        <f>IFERROR(__xludf.DUMMYFUNCTION("""COMPUTED_VALUE"""),9694141.0)</f>
        <v>9694141</v>
      </c>
    </row>
    <row r="5635">
      <c r="A5635" s="2">
        <f>IFERROR(__xludf.DUMMYFUNCTION("""COMPUTED_VALUE"""),44701.66666666667)</f>
        <v>44701.66667</v>
      </c>
      <c r="B5635" s="1">
        <f>IFERROR(__xludf.DUMMYFUNCTION("""COMPUTED_VALUE"""),142.15)</f>
        <v>142.15</v>
      </c>
      <c r="C5635" s="1">
        <f>IFERROR(__xludf.DUMMYFUNCTION("""COMPUTED_VALUE"""),142.45)</f>
        <v>142.45</v>
      </c>
      <c r="D5635" s="1">
        <f>IFERROR(__xludf.DUMMYFUNCTION("""COMPUTED_VALUE"""),139.18)</f>
        <v>139.18</v>
      </c>
      <c r="E5635" s="1">
        <f>IFERROR(__xludf.DUMMYFUNCTION("""COMPUTED_VALUE"""),141.79)</f>
        <v>141.79</v>
      </c>
      <c r="F5635" s="1">
        <f>IFERROR(__xludf.DUMMYFUNCTION("""COMPUTED_VALUE"""),7786869.0)</f>
        <v>7786869</v>
      </c>
    </row>
    <row r="5636">
      <c r="A5636" s="2">
        <f>IFERROR(__xludf.DUMMYFUNCTION("""COMPUTED_VALUE"""),44704.66666666667)</f>
        <v>44704.66667</v>
      </c>
      <c r="B5636" s="1">
        <f>IFERROR(__xludf.DUMMYFUNCTION("""COMPUTED_VALUE"""),142.84)</f>
        <v>142.84</v>
      </c>
      <c r="C5636" s="1">
        <f>IFERROR(__xludf.DUMMYFUNCTION("""COMPUTED_VALUE"""),145.63)</f>
        <v>145.63</v>
      </c>
      <c r="D5636" s="1">
        <f>IFERROR(__xludf.DUMMYFUNCTION("""COMPUTED_VALUE"""),142.08)</f>
        <v>142.08</v>
      </c>
      <c r="E5636" s="1">
        <f>IFERROR(__xludf.DUMMYFUNCTION("""COMPUTED_VALUE"""),145.05)</f>
        <v>145.05</v>
      </c>
      <c r="F5636" s="1">
        <f>IFERROR(__xludf.DUMMYFUNCTION("""COMPUTED_VALUE"""),7134483.0)</f>
        <v>7134483</v>
      </c>
    </row>
    <row r="5637">
      <c r="A5637" s="2">
        <f>IFERROR(__xludf.DUMMYFUNCTION("""COMPUTED_VALUE"""),44705.66666666667)</f>
        <v>44705.66667</v>
      </c>
      <c r="B5637" s="1">
        <f>IFERROR(__xludf.DUMMYFUNCTION("""COMPUTED_VALUE"""),144.89)</f>
        <v>144.89</v>
      </c>
      <c r="C5637" s="1">
        <f>IFERROR(__xludf.DUMMYFUNCTION("""COMPUTED_VALUE"""),147.94)</f>
        <v>147.94</v>
      </c>
      <c r="D5637" s="1">
        <f>IFERROR(__xludf.DUMMYFUNCTION("""COMPUTED_VALUE"""),144.82)</f>
        <v>144.82</v>
      </c>
      <c r="E5637" s="1">
        <f>IFERROR(__xludf.DUMMYFUNCTION("""COMPUTED_VALUE"""),147.63)</f>
        <v>147.63</v>
      </c>
      <c r="F5637" s="1">
        <f>IFERROR(__xludf.DUMMYFUNCTION("""COMPUTED_VALUE"""),7207400.0)</f>
        <v>7207400</v>
      </c>
    </row>
    <row r="5638">
      <c r="A5638" s="2">
        <f>IFERROR(__xludf.DUMMYFUNCTION("""COMPUTED_VALUE"""),44706.66666666667)</f>
        <v>44706.66667</v>
      </c>
      <c r="B5638" s="1">
        <f>IFERROR(__xludf.DUMMYFUNCTION("""COMPUTED_VALUE"""),147.11)</f>
        <v>147.11</v>
      </c>
      <c r="C5638" s="1">
        <f>IFERROR(__xludf.DUMMYFUNCTION("""COMPUTED_VALUE"""),147.14)</f>
        <v>147.14</v>
      </c>
      <c r="D5638" s="1">
        <f>IFERROR(__xludf.DUMMYFUNCTION("""COMPUTED_VALUE"""),143.5)</f>
        <v>143.5</v>
      </c>
      <c r="E5638" s="1">
        <f>IFERROR(__xludf.DUMMYFUNCTION("""COMPUTED_VALUE"""),145.21)</f>
        <v>145.21</v>
      </c>
      <c r="F5638" s="1">
        <f>IFERROR(__xludf.DUMMYFUNCTION("""COMPUTED_VALUE"""),8217750.0)</f>
        <v>8217750</v>
      </c>
    </row>
    <row r="5639">
      <c r="A5639" s="2">
        <f>IFERROR(__xludf.DUMMYFUNCTION("""COMPUTED_VALUE"""),44707.66666666667)</f>
        <v>44707.66667</v>
      </c>
      <c r="B5639" s="1">
        <f>IFERROR(__xludf.DUMMYFUNCTION("""COMPUTED_VALUE"""),146.48)</f>
        <v>146.48</v>
      </c>
      <c r="C5639" s="1">
        <f>IFERROR(__xludf.DUMMYFUNCTION("""COMPUTED_VALUE"""),147.38)</f>
        <v>147.38</v>
      </c>
      <c r="D5639" s="1">
        <f>IFERROR(__xludf.DUMMYFUNCTION("""COMPUTED_VALUE"""),145.04)</f>
        <v>145.04</v>
      </c>
      <c r="E5639" s="1">
        <f>IFERROR(__xludf.DUMMYFUNCTION("""COMPUTED_VALUE"""),146.48)</f>
        <v>146.48</v>
      </c>
      <c r="F5639" s="1">
        <f>IFERROR(__xludf.DUMMYFUNCTION("""COMPUTED_VALUE"""),5702555.0)</f>
        <v>5702555</v>
      </c>
    </row>
    <row r="5640">
      <c r="A5640" s="2">
        <f>IFERROR(__xludf.DUMMYFUNCTION("""COMPUTED_VALUE"""),44708.66666666667)</f>
        <v>44708.66667</v>
      </c>
      <c r="B5640" s="1">
        <f>IFERROR(__xludf.DUMMYFUNCTION("""COMPUTED_VALUE"""),146.97)</f>
        <v>146.97</v>
      </c>
      <c r="C5640" s="1">
        <f>IFERROR(__xludf.DUMMYFUNCTION("""COMPUTED_VALUE"""),148.72)</f>
        <v>148.72</v>
      </c>
      <c r="D5640" s="1">
        <f>IFERROR(__xludf.DUMMYFUNCTION("""COMPUTED_VALUE"""),146.63)</f>
        <v>146.63</v>
      </c>
      <c r="E5640" s="1">
        <f>IFERROR(__xludf.DUMMYFUNCTION("""COMPUTED_VALUE"""),148.72)</f>
        <v>148.72</v>
      </c>
      <c r="F5640" s="1">
        <f>IFERROR(__xludf.DUMMYFUNCTION("""COMPUTED_VALUE"""),6028846.0)</f>
        <v>6028846</v>
      </c>
    </row>
    <row r="5641">
      <c r="A5641" s="2">
        <f>IFERROR(__xludf.DUMMYFUNCTION("""COMPUTED_VALUE"""),44712.66666666667)</f>
        <v>44712.66667</v>
      </c>
      <c r="B5641" s="1">
        <f>IFERROR(__xludf.DUMMYFUNCTION("""COMPUTED_VALUE"""),147.29)</f>
        <v>147.29</v>
      </c>
      <c r="C5641" s="1">
        <f>IFERROR(__xludf.DUMMYFUNCTION("""COMPUTED_VALUE"""),148.99)</f>
        <v>148.99</v>
      </c>
      <c r="D5641" s="1">
        <f>IFERROR(__xludf.DUMMYFUNCTION("""COMPUTED_VALUE"""),146.16)</f>
        <v>146.16</v>
      </c>
      <c r="E5641" s="1">
        <f>IFERROR(__xludf.DUMMYFUNCTION("""COMPUTED_VALUE"""),147.88)</f>
        <v>147.88</v>
      </c>
      <c r="F5641" s="1">
        <f>IFERROR(__xludf.DUMMYFUNCTION("""COMPUTED_VALUE"""),1.2416917E7)</f>
        <v>12416917</v>
      </c>
    </row>
    <row r="5642">
      <c r="A5642" s="2">
        <f>IFERROR(__xludf.DUMMYFUNCTION("""COMPUTED_VALUE"""),44713.66666666667)</f>
        <v>44713.66667</v>
      </c>
      <c r="B5642" s="1">
        <f>IFERROR(__xludf.DUMMYFUNCTION("""COMPUTED_VALUE"""),148.0)</f>
        <v>148</v>
      </c>
      <c r="C5642" s="1">
        <f>IFERROR(__xludf.DUMMYFUNCTION("""COMPUTED_VALUE"""),148.12)</f>
        <v>148.12</v>
      </c>
      <c r="D5642" s="1">
        <f>IFERROR(__xludf.DUMMYFUNCTION("""COMPUTED_VALUE"""),144.71)</f>
        <v>144.71</v>
      </c>
      <c r="E5642" s="1">
        <f>IFERROR(__xludf.DUMMYFUNCTION("""COMPUTED_VALUE"""),145.64)</f>
        <v>145.64</v>
      </c>
      <c r="F5642" s="1">
        <f>IFERROR(__xludf.DUMMYFUNCTION("""COMPUTED_VALUE"""),7036042.0)</f>
        <v>7036042</v>
      </c>
    </row>
    <row r="5643">
      <c r="A5643" s="2">
        <f>IFERROR(__xludf.DUMMYFUNCTION("""COMPUTED_VALUE"""),44714.66666666667)</f>
        <v>44714.66667</v>
      </c>
      <c r="B5643" s="1">
        <f>IFERROR(__xludf.DUMMYFUNCTION("""COMPUTED_VALUE"""),145.97)</f>
        <v>145.97</v>
      </c>
      <c r="C5643" s="1">
        <f>IFERROR(__xludf.DUMMYFUNCTION("""COMPUTED_VALUE"""),147.26)</f>
        <v>147.26</v>
      </c>
      <c r="D5643" s="1">
        <f>IFERROR(__xludf.DUMMYFUNCTION("""COMPUTED_VALUE"""),142.63)</f>
        <v>142.63</v>
      </c>
      <c r="E5643" s="1">
        <f>IFERROR(__xludf.DUMMYFUNCTION("""COMPUTED_VALUE"""),147.21)</f>
        <v>147.21</v>
      </c>
      <c r="F5643" s="1">
        <f>IFERROR(__xludf.DUMMYFUNCTION("""COMPUTED_VALUE"""),6480034.0)</f>
        <v>6480034</v>
      </c>
    </row>
    <row r="5644">
      <c r="A5644" s="2">
        <f>IFERROR(__xludf.DUMMYFUNCTION("""COMPUTED_VALUE"""),44715.66666666667)</f>
        <v>44715.66667</v>
      </c>
      <c r="B5644" s="1">
        <f>IFERROR(__xludf.DUMMYFUNCTION("""COMPUTED_VALUE"""),146.36)</f>
        <v>146.36</v>
      </c>
      <c r="C5644" s="1">
        <f>IFERROR(__xludf.DUMMYFUNCTION("""COMPUTED_VALUE"""),147.21)</f>
        <v>147.21</v>
      </c>
      <c r="D5644" s="1">
        <f>IFERROR(__xludf.DUMMYFUNCTION("""COMPUTED_VALUE"""),145.12)</f>
        <v>145.12</v>
      </c>
      <c r="E5644" s="1">
        <f>IFERROR(__xludf.DUMMYFUNCTION("""COMPUTED_VALUE"""),145.89)</f>
        <v>145.89</v>
      </c>
      <c r="F5644" s="1">
        <f>IFERROR(__xludf.DUMMYFUNCTION("""COMPUTED_VALUE"""),4720680.0)</f>
        <v>4720680</v>
      </c>
    </row>
    <row r="5645">
      <c r="A5645" s="2">
        <f>IFERROR(__xludf.DUMMYFUNCTION("""COMPUTED_VALUE"""),44718.66666666667)</f>
        <v>44718.66667</v>
      </c>
      <c r="B5645" s="1">
        <f>IFERROR(__xludf.DUMMYFUNCTION("""COMPUTED_VALUE"""),147.37)</f>
        <v>147.37</v>
      </c>
      <c r="C5645" s="1">
        <f>IFERROR(__xludf.DUMMYFUNCTION("""COMPUTED_VALUE"""),147.64)</f>
        <v>147.64</v>
      </c>
      <c r="D5645" s="1">
        <f>IFERROR(__xludf.DUMMYFUNCTION("""COMPUTED_VALUE"""),144.59)</f>
        <v>144.59</v>
      </c>
      <c r="E5645" s="1">
        <f>IFERROR(__xludf.DUMMYFUNCTION("""COMPUTED_VALUE"""),145.32)</f>
        <v>145.32</v>
      </c>
      <c r="F5645" s="1">
        <f>IFERROR(__xludf.DUMMYFUNCTION("""COMPUTED_VALUE"""),4751096.0)</f>
        <v>4751096</v>
      </c>
    </row>
    <row r="5646">
      <c r="A5646" s="2">
        <f>IFERROR(__xludf.DUMMYFUNCTION("""COMPUTED_VALUE"""),44719.66666666667)</f>
        <v>44719.66667</v>
      </c>
      <c r="B5646" s="1">
        <f>IFERROR(__xludf.DUMMYFUNCTION("""COMPUTED_VALUE"""),143.67)</f>
        <v>143.67</v>
      </c>
      <c r="C5646" s="1">
        <f>IFERROR(__xludf.DUMMYFUNCTION("""COMPUTED_VALUE"""),147.18)</f>
        <v>147.18</v>
      </c>
      <c r="D5646" s="1">
        <f>IFERROR(__xludf.DUMMYFUNCTION("""COMPUTED_VALUE"""),143.43)</f>
        <v>143.43</v>
      </c>
      <c r="E5646" s="1">
        <f>IFERROR(__xludf.DUMMYFUNCTION("""COMPUTED_VALUE"""),146.94)</f>
        <v>146.94</v>
      </c>
      <c r="F5646" s="1">
        <f>IFERROR(__xludf.DUMMYFUNCTION("""COMPUTED_VALUE"""),4918620.0)</f>
        <v>4918620</v>
      </c>
    </row>
    <row r="5647">
      <c r="A5647" s="2">
        <f>IFERROR(__xludf.DUMMYFUNCTION("""COMPUTED_VALUE"""),44720.66666666667)</f>
        <v>44720.66667</v>
      </c>
      <c r="B5647" s="1">
        <f>IFERROR(__xludf.DUMMYFUNCTION("""COMPUTED_VALUE"""),146.3)</f>
        <v>146.3</v>
      </c>
      <c r="C5647" s="1">
        <f>IFERROR(__xludf.DUMMYFUNCTION("""COMPUTED_VALUE"""),146.43)</f>
        <v>146.43</v>
      </c>
      <c r="D5647" s="1">
        <f>IFERROR(__xludf.DUMMYFUNCTION("""COMPUTED_VALUE"""),144.99)</f>
        <v>144.99</v>
      </c>
      <c r="E5647" s="1">
        <f>IFERROR(__xludf.DUMMYFUNCTION("""COMPUTED_VALUE"""),145.11)</f>
        <v>145.11</v>
      </c>
      <c r="F5647" s="1">
        <f>IFERROR(__xludf.DUMMYFUNCTION("""COMPUTED_VALUE"""),4369642.0)</f>
        <v>4369642</v>
      </c>
    </row>
    <row r="5648">
      <c r="A5648" s="2">
        <f>IFERROR(__xludf.DUMMYFUNCTION("""COMPUTED_VALUE"""),44721.66666666667)</f>
        <v>44721.66667</v>
      </c>
      <c r="B5648" s="1">
        <f>IFERROR(__xludf.DUMMYFUNCTION("""COMPUTED_VALUE"""),145.41)</f>
        <v>145.41</v>
      </c>
      <c r="C5648" s="1">
        <f>IFERROR(__xludf.DUMMYFUNCTION("""COMPUTED_VALUE"""),146.89)</f>
        <v>146.89</v>
      </c>
      <c r="D5648" s="1">
        <f>IFERROR(__xludf.DUMMYFUNCTION("""COMPUTED_VALUE"""),142.34)</f>
        <v>142.34</v>
      </c>
      <c r="E5648" s="1">
        <f>IFERROR(__xludf.DUMMYFUNCTION("""COMPUTED_VALUE"""),142.49)</f>
        <v>142.49</v>
      </c>
      <c r="F5648" s="1">
        <f>IFERROR(__xludf.DUMMYFUNCTION("""COMPUTED_VALUE"""),4626787.0)</f>
        <v>4626787</v>
      </c>
    </row>
    <row r="5649">
      <c r="A5649" s="2">
        <f>IFERROR(__xludf.DUMMYFUNCTION("""COMPUTED_VALUE"""),44722.66666666667)</f>
        <v>44722.66667</v>
      </c>
      <c r="B5649" s="1">
        <f>IFERROR(__xludf.DUMMYFUNCTION("""COMPUTED_VALUE"""),140.89)</f>
        <v>140.89</v>
      </c>
      <c r="C5649" s="1">
        <f>IFERROR(__xludf.DUMMYFUNCTION("""COMPUTED_VALUE"""),143.15)</f>
        <v>143.15</v>
      </c>
      <c r="D5649" s="1">
        <f>IFERROR(__xludf.DUMMYFUNCTION("""COMPUTED_VALUE"""),139.45)</f>
        <v>139.45</v>
      </c>
      <c r="E5649" s="1">
        <f>IFERROR(__xludf.DUMMYFUNCTION("""COMPUTED_VALUE"""),141.95)</f>
        <v>141.95</v>
      </c>
      <c r="F5649" s="1">
        <f>IFERROR(__xludf.DUMMYFUNCTION("""COMPUTED_VALUE"""),6632052.0)</f>
        <v>6632052</v>
      </c>
    </row>
    <row r="5650">
      <c r="A5650" s="2">
        <f>IFERROR(__xludf.DUMMYFUNCTION("""COMPUTED_VALUE"""),44725.66666666667)</f>
        <v>44725.66667</v>
      </c>
      <c r="B5650" s="1">
        <f>IFERROR(__xludf.DUMMYFUNCTION("""COMPUTED_VALUE"""),139.5)</f>
        <v>139.5</v>
      </c>
      <c r="C5650" s="1">
        <f>IFERROR(__xludf.DUMMYFUNCTION("""COMPUTED_VALUE"""),140.49)</f>
        <v>140.49</v>
      </c>
      <c r="D5650" s="1">
        <f>IFERROR(__xludf.DUMMYFUNCTION("""COMPUTED_VALUE"""),137.63)</f>
        <v>137.63</v>
      </c>
      <c r="E5650" s="1">
        <f>IFERROR(__xludf.DUMMYFUNCTION("""COMPUTED_VALUE"""),138.15)</f>
        <v>138.15</v>
      </c>
      <c r="F5650" s="1">
        <f>IFERROR(__xludf.DUMMYFUNCTION("""COMPUTED_VALUE"""),8549451.0)</f>
        <v>8549451</v>
      </c>
    </row>
    <row r="5651">
      <c r="A5651" s="2">
        <f>IFERROR(__xludf.DUMMYFUNCTION("""COMPUTED_VALUE"""),44726.66666666667)</f>
        <v>44726.66667</v>
      </c>
      <c r="B5651" s="1">
        <f>IFERROR(__xludf.DUMMYFUNCTION("""COMPUTED_VALUE"""),137.51)</f>
        <v>137.51</v>
      </c>
      <c r="C5651" s="1">
        <f>IFERROR(__xludf.DUMMYFUNCTION("""COMPUTED_VALUE"""),137.58)</f>
        <v>137.58</v>
      </c>
      <c r="D5651" s="1">
        <f>IFERROR(__xludf.DUMMYFUNCTION("""COMPUTED_VALUE"""),132.54)</f>
        <v>132.54</v>
      </c>
      <c r="E5651" s="1">
        <f>IFERROR(__xludf.DUMMYFUNCTION("""COMPUTED_VALUE"""),133.84)</f>
        <v>133.84</v>
      </c>
      <c r="F5651" s="1">
        <f>IFERROR(__xludf.DUMMYFUNCTION("""COMPUTED_VALUE"""),9980162.0)</f>
        <v>9980162</v>
      </c>
    </row>
    <row r="5652">
      <c r="A5652" s="2">
        <f>IFERROR(__xludf.DUMMYFUNCTION("""COMPUTED_VALUE"""),44727.66666666667)</f>
        <v>44727.66667</v>
      </c>
      <c r="B5652" s="1">
        <f>IFERROR(__xludf.DUMMYFUNCTION("""COMPUTED_VALUE"""),134.44)</f>
        <v>134.44</v>
      </c>
      <c r="C5652" s="1">
        <f>IFERROR(__xludf.DUMMYFUNCTION("""COMPUTED_VALUE"""),134.9)</f>
        <v>134.9</v>
      </c>
      <c r="D5652" s="1">
        <f>IFERROR(__xludf.DUMMYFUNCTION("""COMPUTED_VALUE"""),129.5)</f>
        <v>129.5</v>
      </c>
      <c r="E5652" s="1">
        <f>IFERROR(__xludf.DUMMYFUNCTION("""COMPUTED_VALUE"""),132.51)</f>
        <v>132.51</v>
      </c>
      <c r="F5652" s="1">
        <f>IFERROR(__xludf.DUMMYFUNCTION("""COMPUTED_VALUE"""),1.217807E7)</f>
        <v>12178070</v>
      </c>
    </row>
    <row r="5653">
      <c r="A5653" s="2">
        <f>IFERROR(__xludf.DUMMYFUNCTION("""COMPUTED_VALUE"""),44728.66666666667)</f>
        <v>44728.66667</v>
      </c>
      <c r="B5653" s="1">
        <f>IFERROR(__xludf.DUMMYFUNCTION("""COMPUTED_VALUE"""),131.03)</f>
        <v>131.03</v>
      </c>
      <c r="C5653" s="1">
        <f>IFERROR(__xludf.DUMMYFUNCTION("""COMPUTED_VALUE"""),135.07)</f>
        <v>135.07</v>
      </c>
      <c r="D5653" s="1">
        <f>IFERROR(__xludf.DUMMYFUNCTION("""COMPUTED_VALUE"""),130.6)</f>
        <v>130.6</v>
      </c>
      <c r="E5653" s="1">
        <f>IFERROR(__xludf.DUMMYFUNCTION("""COMPUTED_VALUE"""),133.32)</f>
        <v>133.32</v>
      </c>
      <c r="F5653" s="1">
        <f>IFERROR(__xludf.DUMMYFUNCTION("""COMPUTED_VALUE"""),9683288.0)</f>
        <v>9683288</v>
      </c>
    </row>
    <row r="5654">
      <c r="A5654" s="2">
        <f>IFERROR(__xludf.DUMMYFUNCTION("""COMPUTED_VALUE"""),44729.66666666667)</f>
        <v>44729.66667</v>
      </c>
      <c r="B5654" s="1">
        <f>IFERROR(__xludf.DUMMYFUNCTION("""COMPUTED_VALUE"""),132.56)</f>
        <v>132.56</v>
      </c>
      <c r="C5654" s="1">
        <f>IFERROR(__xludf.DUMMYFUNCTION("""COMPUTED_VALUE"""),134.26)</f>
        <v>134.26</v>
      </c>
      <c r="D5654" s="1">
        <f>IFERROR(__xludf.DUMMYFUNCTION("""COMPUTED_VALUE"""),131.43)</f>
        <v>131.43</v>
      </c>
      <c r="E5654" s="1">
        <f>IFERROR(__xludf.DUMMYFUNCTION("""COMPUTED_VALUE"""),132.36)</f>
        <v>132.36</v>
      </c>
      <c r="F5654" s="1">
        <f>IFERROR(__xludf.DUMMYFUNCTION("""COMPUTED_VALUE"""),1.7113329E7)</f>
        <v>17113329</v>
      </c>
    </row>
    <row r="5655">
      <c r="A5655" s="2">
        <f>IFERROR(__xludf.DUMMYFUNCTION("""COMPUTED_VALUE"""),44733.66666666667)</f>
        <v>44733.66667</v>
      </c>
      <c r="B5655" s="1">
        <f>IFERROR(__xludf.DUMMYFUNCTION("""COMPUTED_VALUE"""),134.62)</f>
        <v>134.62</v>
      </c>
      <c r="C5655" s="1">
        <f>IFERROR(__xludf.DUMMYFUNCTION("""COMPUTED_VALUE"""),137.0)</f>
        <v>137</v>
      </c>
      <c r="D5655" s="1">
        <f>IFERROR(__xludf.DUMMYFUNCTION("""COMPUTED_VALUE"""),133.43)</f>
        <v>133.43</v>
      </c>
      <c r="E5655" s="1">
        <f>IFERROR(__xludf.DUMMYFUNCTION("""COMPUTED_VALUE"""),136.37)</f>
        <v>136.37</v>
      </c>
      <c r="F5655" s="1">
        <f>IFERROR(__xludf.DUMMYFUNCTION("""COMPUTED_VALUE"""),9017016.0)</f>
        <v>9017016</v>
      </c>
    </row>
    <row r="5656">
      <c r="A5656" s="2">
        <f>IFERROR(__xludf.DUMMYFUNCTION("""COMPUTED_VALUE"""),44734.66666666667)</f>
        <v>44734.66667</v>
      </c>
      <c r="B5656" s="1">
        <f>IFERROR(__xludf.DUMMYFUNCTION("""COMPUTED_VALUE"""),135.68)</f>
        <v>135.68</v>
      </c>
      <c r="C5656" s="1">
        <f>IFERROR(__xludf.DUMMYFUNCTION("""COMPUTED_VALUE"""),139.69)</f>
        <v>139.69</v>
      </c>
      <c r="D5656" s="1">
        <f>IFERROR(__xludf.DUMMYFUNCTION("""COMPUTED_VALUE"""),135.67)</f>
        <v>135.67</v>
      </c>
      <c r="E5656" s="1">
        <f>IFERROR(__xludf.DUMMYFUNCTION("""COMPUTED_VALUE"""),138.5)</f>
        <v>138.5</v>
      </c>
      <c r="F5656" s="1">
        <f>IFERROR(__xludf.DUMMYFUNCTION("""COMPUTED_VALUE"""),8374622.0)</f>
        <v>8374622</v>
      </c>
    </row>
    <row r="5657">
      <c r="A5657" s="2">
        <f>IFERROR(__xludf.DUMMYFUNCTION("""COMPUTED_VALUE"""),44735.66666666667)</f>
        <v>44735.66667</v>
      </c>
      <c r="B5657" s="1">
        <f>IFERROR(__xludf.DUMMYFUNCTION("""COMPUTED_VALUE"""),139.05)</f>
        <v>139.05</v>
      </c>
      <c r="C5657" s="1">
        <f>IFERROR(__xludf.DUMMYFUNCTION("""COMPUTED_VALUE"""),142.48)</f>
        <v>142.48</v>
      </c>
      <c r="D5657" s="1">
        <f>IFERROR(__xludf.DUMMYFUNCTION("""COMPUTED_VALUE"""),138.9)</f>
        <v>138.9</v>
      </c>
      <c r="E5657" s="1">
        <f>IFERROR(__xludf.DUMMYFUNCTION("""COMPUTED_VALUE"""),142.3)</f>
        <v>142.3</v>
      </c>
      <c r="F5657" s="1">
        <f>IFERROR(__xludf.DUMMYFUNCTION("""COMPUTED_VALUE"""),6418526.0)</f>
        <v>6418526</v>
      </c>
    </row>
    <row r="5658">
      <c r="A5658" s="2">
        <f>IFERROR(__xludf.DUMMYFUNCTION("""COMPUTED_VALUE"""),44736.66666666667)</f>
        <v>44736.66667</v>
      </c>
      <c r="B5658" s="1">
        <f>IFERROR(__xludf.DUMMYFUNCTION("""COMPUTED_VALUE"""),144.2)</f>
        <v>144.2</v>
      </c>
      <c r="C5658" s="1">
        <f>IFERROR(__xludf.DUMMYFUNCTION("""COMPUTED_VALUE"""),145.24)</f>
        <v>145.24</v>
      </c>
      <c r="D5658" s="1">
        <f>IFERROR(__xludf.DUMMYFUNCTION("""COMPUTED_VALUE"""),143.12)</f>
        <v>143.12</v>
      </c>
      <c r="E5658" s="1">
        <f>IFERROR(__xludf.DUMMYFUNCTION("""COMPUTED_VALUE"""),144.35)</f>
        <v>144.35</v>
      </c>
      <c r="F5658" s="1">
        <f>IFERROR(__xludf.DUMMYFUNCTION("""COMPUTED_VALUE"""),1.9440635E7)</f>
        <v>19440635</v>
      </c>
    </row>
    <row r="5659">
      <c r="A5659" s="2">
        <f>IFERROR(__xludf.DUMMYFUNCTION("""COMPUTED_VALUE"""),44739.66666666667)</f>
        <v>44739.66667</v>
      </c>
      <c r="B5659" s="1">
        <f>IFERROR(__xludf.DUMMYFUNCTION("""COMPUTED_VALUE"""),144.12)</f>
        <v>144.12</v>
      </c>
      <c r="C5659" s="1">
        <f>IFERROR(__xludf.DUMMYFUNCTION("""COMPUTED_VALUE"""),144.76)</f>
        <v>144.76</v>
      </c>
      <c r="D5659" s="1">
        <f>IFERROR(__xludf.DUMMYFUNCTION("""COMPUTED_VALUE"""),142.71)</f>
        <v>142.71</v>
      </c>
      <c r="E5659" s="1">
        <f>IFERROR(__xludf.DUMMYFUNCTION("""COMPUTED_VALUE"""),143.25)</f>
        <v>143.25</v>
      </c>
      <c r="F5659" s="1">
        <f>IFERROR(__xludf.DUMMYFUNCTION("""COMPUTED_VALUE"""),5618524.0)</f>
        <v>5618524</v>
      </c>
    </row>
    <row r="5660">
      <c r="A5660" s="2">
        <f>IFERROR(__xludf.DUMMYFUNCTION("""COMPUTED_VALUE"""),44740.66666666667)</f>
        <v>44740.66667</v>
      </c>
      <c r="B5660" s="1">
        <f>IFERROR(__xludf.DUMMYFUNCTION("""COMPUTED_VALUE"""),143.54)</f>
        <v>143.54</v>
      </c>
      <c r="C5660" s="1">
        <f>IFERROR(__xludf.DUMMYFUNCTION("""COMPUTED_VALUE"""),144.09)</f>
        <v>144.09</v>
      </c>
      <c r="D5660" s="1">
        <f>IFERROR(__xludf.DUMMYFUNCTION("""COMPUTED_VALUE"""),140.58)</f>
        <v>140.58</v>
      </c>
      <c r="E5660" s="1">
        <f>IFERROR(__xludf.DUMMYFUNCTION("""COMPUTED_VALUE"""),140.92)</f>
        <v>140.92</v>
      </c>
      <c r="F5660" s="1">
        <f>IFERROR(__xludf.DUMMYFUNCTION("""COMPUTED_VALUE"""),6100267.0)</f>
        <v>6100267</v>
      </c>
    </row>
    <row r="5661">
      <c r="A5661" s="2">
        <f>IFERROR(__xludf.DUMMYFUNCTION("""COMPUTED_VALUE"""),44741.66666666667)</f>
        <v>44741.66667</v>
      </c>
      <c r="B5661" s="1">
        <f>IFERROR(__xludf.DUMMYFUNCTION("""COMPUTED_VALUE"""),141.6)</f>
        <v>141.6</v>
      </c>
      <c r="C5661" s="1">
        <f>IFERROR(__xludf.DUMMYFUNCTION("""COMPUTED_VALUE"""),142.86)</f>
        <v>142.86</v>
      </c>
      <c r="D5661" s="1">
        <f>IFERROR(__xludf.DUMMYFUNCTION("""COMPUTED_VALUE"""),141.15)</f>
        <v>141.15</v>
      </c>
      <c r="E5661" s="1">
        <f>IFERROR(__xludf.DUMMYFUNCTION("""COMPUTED_VALUE"""),142.2)</f>
        <v>142.2</v>
      </c>
      <c r="F5661" s="1">
        <f>IFERROR(__xludf.DUMMYFUNCTION("""COMPUTED_VALUE"""),5174562.0)</f>
        <v>5174562</v>
      </c>
    </row>
    <row r="5662">
      <c r="A5662" s="2">
        <f>IFERROR(__xludf.DUMMYFUNCTION("""COMPUTED_VALUE"""),44742.66666666667)</f>
        <v>44742.66667</v>
      </c>
      <c r="B5662" s="1">
        <f>IFERROR(__xludf.DUMMYFUNCTION("""COMPUTED_VALUE"""),141.69)</f>
        <v>141.69</v>
      </c>
      <c r="C5662" s="1">
        <f>IFERROR(__xludf.DUMMYFUNCTION("""COMPUTED_VALUE"""),144.44)</f>
        <v>144.44</v>
      </c>
      <c r="D5662" s="1">
        <f>IFERROR(__xludf.DUMMYFUNCTION("""COMPUTED_VALUE"""),141.23)</f>
        <v>141.23</v>
      </c>
      <c r="E5662" s="1">
        <f>IFERROR(__xludf.DUMMYFUNCTION("""COMPUTED_VALUE"""),143.79)</f>
        <v>143.79</v>
      </c>
      <c r="F5662" s="1">
        <f>IFERROR(__xludf.DUMMYFUNCTION("""COMPUTED_VALUE"""),7410304.0)</f>
        <v>7410304</v>
      </c>
    </row>
    <row r="5663">
      <c r="A5663" s="2">
        <f>IFERROR(__xludf.DUMMYFUNCTION("""COMPUTED_VALUE"""),44743.66666666667)</f>
        <v>44743.66667</v>
      </c>
      <c r="B5663" s="1">
        <f>IFERROR(__xludf.DUMMYFUNCTION("""COMPUTED_VALUE"""),144.24)</f>
        <v>144.24</v>
      </c>
      <c r="C5663" s="1">
        <f>IFERROR(__xludf.DUMMYFUNCTION("""COMPUTED_VALUE"""),146.25)</f>
        <v>146.25</v>
      </c>
      <c r="D5663" s="1">
        <f>IFERROR(__xludf.DUMMYFUNCTION("""COMPUTED_VALUE"""),143.4)</f>
        <v>143.4</v>
      </c>
      <c r="E5663" s="1">
        <f>IFERROR(__xludf.DUMMYFUNCTION("""COMPUTED_VALUE"""),146.11)</f>
        <v>146.11</v>
      </c>
      <c r="F5663" s="1">
        <f>IFERROR(__xludf.DUMMYFUNCTION("""COMPUTED_VALUE"""),5937238.0)</f>
        <v>5937238</v>
      </c>
    </row>
    <row r="5664">
      <c r="A5664" s="2">
        <f>IFERROR(__xludf.DUMMYFUNCTION("""COMPUTED_VALUE"""),44747.66666666667)</f>
        <v>44747.66667</v>
      </c>
      <c r="B5664" s="1">
        <f>IFERROR(__xludf.DUMMYFUNCTION("""COMPUTED_VALUE"""),144.58)</f>
        <v>144.58</v>
      </c>
      <c r="C5664" s="1">
        <f>IFERROR(__xludf.DUMMYFUNCTION("""COMPUTED_VALUE"""),146.1)</f>
        <v>146.1</v>
      </c>
      <c r="D5664" s="1">
        <f>IFERROR(__xludf.DUMMYFUNCTION("""COMPUTED_VALUE"""),142.54)</f>
        <v>142.54</v>
      </c>
      <c r="E5664" s="1">
        <f>IFERROR(__xludf.DUMMYFUNCTION("""COMPUTED_VALUE"""),144.7)</f>
        <v>144.7</v>
      </c>
      <c r="F5664" s="1">
        <f>IFERROR(__xludf.DUMMYFUNCTION("""COMPUTED_VALUE"""),5761117.0)</f>
        <v>5761117</v>
      </c>
    </row>
    <row r="5665">
      <c r="A5665" s="2">
        <f>IFERROR(__xludf.DUMMYFUNCTION("""COMPUTED_VALUE"""),44748.66666666667)</f>
        <v>44748.66667</v>
      </c>
      <c r="B5665" s="1">
        <f>IFERROR(__xludf.DUMMYFUNCTION("""COMPUTED_VALUE"""),145.51)</f>
        <v>145.51</v>
      </c>
      <c r="C5665" s="1">
        <f>IFERROR(__xludf.DUMMYFUNCTION("""COMPUTED_VALUE"""),147.49)</f>
        <v>147.49</v>
      </c>
      <c r="D5665" s="1">
        <f>IFERROR(__xludf.DUMMYFUNCTION("""COMPUTED_VALUE"""),144.97)</f>
        <v>144.97</v>
      </c>
      <c r="E5665" s="1">
        <f>IFERROR(__xludf.DUMMYFUNCTION("""COMPUTED_VALUE"""),146.05)</f>
        <v>146.05</v>
      </c>
      <c r="F5665" s="1">
        <f>IFERROR(__xludf.DUMMYFUNCTION("""COMPUTED_VALUE"""),5485269.0)</f>
        <v>5485269</v>
      </c>
    </row>
    <row r="5666">
      <c r="A5666" s="2">
        <f>IFERROR(__xludf.DUMMYFUNCTION("""COMPUTED_VALUE"""),44749.66666666667)</f>
        <v>44749.66667</v>
      </c>
      <c r="B5666" s="1">
        <f>IFERROR(__xludf.DUMMYFUNCTION("""COMPUTED_VALUE"""),145.29)</f>
        <v>145.29</v>
      </c>
      <c r="C5666" s="1">
        <f>IFERROR(__xludf.DUMMYFUNCTION("""COMPUTED_VALUE"""),146.19)</f>
        <v>146.19</v>
      </c>
      <c r="D5666" s="1">
        <f>IFERROR(__xludf.DUMMYFUNCTION("""COMPUTED_VALUE"""),144.6)</f>
        <v>144.6</v>
      </c>
      <c r="E5666" s="1">
        <f>IFERROR(__xludf.DUMMYFUNCTION("""COMPUTED_VALUE"""),146.0)</f>
        <v>146</v>
      </c>
      <c r="F5666" s="1">
        <f>IFERROR(__xludf.DUMMYFUNCTION("""COMPUTED_VALUE"""),6623363.0)</f>
        <v>6623363</v>
      </c>
    </row>
    <row r="5667">
      <c r="A5667" s="2">
        <f>IFERROR(__xludf.DUMMYFUNCTION("""COMPUTED_VALUE"""),44750.66666666667)</f>
        <v>44750.66667</v>
      </c>
      <c r="B5667" s="1">
        <f>IFERROR(__xludf.DUMMYFUNCTION("""COMPUTED_VALUE"""),145.99)</f>
        <v>145.99</v>
      </c>
      <c r="C5667" s="1">
        <f>IFERROR(__xludf.DUMMYFUNCTION("""COMPUTED_VALUE"""),146.81)</f>
        <v>146.81</v>
      </c>
      <c r="D5667" s="1">
        <f>IFERROR(__xludf.DUMMYFUNCTION("""COMPUTED_VALUE"""),144.57)</f>
        <v>144.57</v>
      </c>
      <c r="E5667" s="1">
        <f>IFERROR(__xludf.DUMMYFUNCTION("""COMPUTED_VALUE"""),145.02)</f>
        <v>145.02</v>
      </c>
      <c r="F5667" s="1">
        <f>IFERROR(__xludf.DUMMYFUNCTION("""COMPUTED_VALUE"""),4294177.0)</f>
        <v>4294177</v>
      </c>
    </row>
    <row r="5668">
      <c r="A5668" s="2">
        <f>IFERROR(__xludf.DUMMYFUNCTION("""COMPUTED_VALUE"""),44753.66666666667)</f>
        <v>44753.66667</v>
      </c>
      <c r="B5668" s="1">
        <f>IFERROR(__xludf.DUMMYFUNCTION("""COMPUTED_VALUE"""),145.15)</f>
        <v>145.15</v>
      </c>
      <c r="C5668" s="1">
        <f>IFERROR(__xludf.DUMMYFUNCTION("""COMPUTED_VALUE"""),146.58)</f>
        <v>146.58</v>
      </c>
      <c r="D5668" s="1">
        <f>IFERROR(__xludf.DUMMYFUNCTION("""COMPUTED_VALUE"""),144.68)</f>
        <v>144.68</v>
      </c>
      <c r="E5668" s="1">
        <f>IFERROR(__xludf.DUMMYFUNCTION("""COMPUTED_VALUE"""),146.04)</f>
        <v>146.04</v>
      </c>
      <c r="F5668" s="1">
        <f>IFERROR(__xludf.DUMMYFUNCTION("""COMPUTED_VALUE"""),5483189.0)</f>
        <v>5483189</v>
      </c>
    </row>
    <row r="5669">
      <c r="A5669" s="2">
        <f>IFERROR(__xludf.DUMMYFUNCTION("""COMPUTED_VALUE"""),44754.66666666667)</f>
        <v>44754.66667</v>
      </c>
      <c r="B5669" s="1">
        <f>IFERROR(__xludf.DUMMYFUNCTION("""COMPUTED_VALUE"""),145.86)</f>
        <v>145.86</v>
      </c>
      <c r="C5669" s="1">
        <f>IFERROR(__xludf.DUMMYFUNCTION("""COMPUTED_VALUE"""),146.92)</f>
        <v>146.92</v>
      </c>
      <c r="D5669" s="1">
        <f>IFERROR(__xludf.DUMMYFUNCTION("""COMPUTED_VALUE"""),144.37)</f>
        <v>144.37</v>
      </c>
      <c r="E5669" s="1">
        <f>IFERROR(__xludf.DUMMYFUNCTION("""COMPUTED_VALUE"""),144.75)</f>
        <v>144.75</v>
      </c>
      <c r="F5669" s="1">
        <f>IFERROR(__xludf.DUMMYFUNCTION("""COMPUTED_VALUE"""),5204424.0)</f>
        <v>5204424</v>
      </c>
    </row>
    <row r="5670">
      <c r="A5670" s="2">
        <f>IFERROR(__xludf.DUMMYFUNCTION("""COMPUTED_VALUE"""),44755.66666666667)</f>
        <v>44755.66667</v>
      </c>
      <c r="B5670" s="1">
        <f>IFERROR(__xludf.DUMMYFUNCTION("""COMPUTED_VALUE"""),144.41)</f>
        <v>144.41</v>
      </c>
      <c r="C5670" s="1">
        <f>IFERROR(__xludf.DUMMYFUNCTION("""COMPUTED_VALUE"""),146.96)</f>
        <v>146.96</v>
      </c>
      <c r="D5670" s="1">
        <f>IFERROR(__xludf.DUMMYFUNCTION("""COMPUTED_VALUE"""),144.21)</f>
        <v>144.21</v>
      </c>
      <c r="E5670" s="1">
        <f>IFERROR(__xludf.DUMMYFUNCTION("""COMPUTED_VALUE"""),145.7)</f>
        <v>145.7</v>
      </c>
      <c r="F5670" s="1">
        <f>IFERROR(__xludf.DUMMYFUNCTION("""COMPUTED_VALUE"""),5075613.0)</f>
        <v>5075613</v>
      </c>
    </row>
    <row r="5671">
      <c r="A5671" s="2">
        <f>IFERROR(__xludf.DUMMYFUNCTION("""COMPUTED_VALUE"""),44756.66666666667)</f>
        <v>44756.66667</v>
      </c>
      <c r="B5671" s="1">
        <f>IFERROR(__xludf.DUMMYFUNCTION("""COMPUTED_VALUE"""),143.76)</f>
        <v>143.76</v>
      </c>
      <c r="C5671" s="1">
        <f>IFERROR(__xludf.DUMMYFUNCTION("""COMPUTED_VALUE"""),145.53)</f>
        <v>145.53</v>
      </c>
      <c r="D5671" s="1">
        <f>IFERROR(__xludf.DUMMYFUNCTION("""COMPUTED_VALUE"""),143.47)</f>
        <v>143.47</v>
      </c>
      <c r="E5671" s="1">
        <f>IFERROR(__xludf.DUMMYFUNCTION("""COMPUTED_VALUE"""),145.27)</f>
        <v>145.27</v>
      </c>
      <c r="F5671" s="1">
        <f>IFERROR(__xludf.DUMMYFUNCTION("""COMPUTED_VALUE"""),4867147.0)</f>
        <v>4867147</v>
      </c>
    </row>
    <row r="5672">
      <c r="A5672" s="2">
        <f>IFERROR(__xludf.DUMMYFUNCTION("""COMPUTED_VALUE"""),44757.66666666667)</f>
        <v>44757.66667</v>
      </c>
      <c r="B5672" s="1">
        <f>IFERROR(__xludf.DUMMYFUNCTION("""COMPUTED_VALUE"""),145.34)</f>
        <v>145.34</v>
      </c>
      <c r="C5672" s="1">
        <f>IFERROR(__xludf.DUMMYFUNCTION("""COMPUTED_VALUE"""),145.7)</f>
        <v>145.7</v>
      </c>
      <c r="D5672" s="1">
        <f>IFERROR(__xludf.DUMMYFUNCTION("""COMPUTED_VALUE"""),144.1)</f>
        <v>144.1</v>
      </c>
      <c r="E5672" s="1">
        <f>IFERROR(__xludf.DUMMYFUNCTION("""COMPUTED_VALUE"""),145.07)</f>
        <v>145.07</v>
      </c>
      <c r="F5672" s="1">
        <f>IFERROR(__xludf.DUMMYFUNCTION("""COMPUTED_VALUE"""),6264592.0)</f>
        <v>6264592</v>
      </c>
    </row>
    <row r="5673">
      <c r="A5673" s="2">
        <f>IFERROR(__xludf.DUMMYFUNCTION("""COMPUTED_VALUE"""),44760.66666666667)</f>
        <v>44760.66667</v>
      </c>
      <c r="B5673" s="1">
        <f>IFERROR(__xludf.DUMMYFUNCTION("""COMPUTED_VALUE"""),144.94)</f>
        <v>144.94</v>
      </c>
      <c r="C5673" s="1">
        <f>IFERROR(__xludf.DUMMYFUNCTION("""COMPUTED_VALUE"""),145.09)</f>
        <v>145.09</v>
      </c>
      <c r="D5673" s="1">
        <f>IFERROR(__xludf.DUMMYFUNCTION("""COMPUTED_VALUE"""),143.17)</f>
        <v>143.17</v>
      </c>
      <c r="E5673" s="1">
        <f>IFERROR(__xludf.DUMMYFUNCTION("""COMPUTED_VALUE"""),143.31)</f>
        <v>143.31</v>
      </c>
      <c r="F5673" s="1">
        <f>IFERROR(__xludf.DUMMYFUNCTION("""COMPUTED_VALUE"""),6047504.0)</f>
        <v>6047504</v>
      </c>
    </row>
    <row r="5674">
      <c r="A5674" s="2">
        <f>IFERROR(__xludf.DUMMYFUNCTION("""COMPUTED_VALUE"""),44761.66666666667)</f>
        <v>44761.66667</v>
      </c>
      <c r="B5674" s="1">
        <f>IFERROR(__xludf.DUMMYFUNCTION("""COMPUTED_VALUE"""),144.57)</f>
        <v>144.57</v>
      </c>
      <c r="C5674" s="1">
        <f>IFERROR(__xludf.DUMMYFUNCTION("""COMPUTED_VALUE"""),145.01)</f>
        <v>145.01</v>
      </c>
      <c r="D5674" s="1">
        <f>IFERROR(__xludf.DUMMYFUNCTION("""COMPUTED_VALUE"""),143.64)</f>
        <v>143.64</v>
      </c>
      <c r="E5674" s="1">
        <f>IFERROR(__xludf.DUMMYFUNCTION("""COMPUTED_VALUE"""),144.04)</f>
        <v>144.04</v>
      </c>
      <c r="F5674" s="1">
        <f>IFERROR(__xludf.DUMMYFUNCTION("""COMPUTED_VALUE"""),5943647.0)</f>
        <v>5943647</v>
      </c>
    </row>
    <row r="5675">
      <c r="A5675" s="2">
        <f>IFERROR(__xludf.DUMMYFUNCTION("""COMPUTED_VALUE"""),44762.66666666667)</f>
        <v>44762.66667</v>
      </c>
      <c r="B5675" s="1">
        <f>IFERROR(__xludf.DUMMYFUNCTION("""COMPUTED_VALUE"""),144.0)</f>
        <v>144</v>
      </c>
      <c r="C5675" s="1">
        <f>IFERROR(__xludf.DUMMYFUNCTION("""COMPUTED_VALUE"""),144.22)</f>
        <v>144.22</v>
      </c>
      <c r="D5675" s="1">
        <f>IFERROR(__xludf.DUMMYFUNCTION("""COMPUTED_VALUE"""),140.64)</f>
        <v>140.64</v>
      </c>
      <c r="E5675" s="1">
        <f>IFERROR(__xludf.DUMMYFUNCTION("""COMPUTED_VALUE"""),141.55)</f>
        <v>141.55</v>
      </c>
      <c r="F5675" s="1">
        <f>IFERROR(__xludf.DUMMYFUNCTION("""COMPUTED_VALUE"""),8635300.0)</f>
        <v>8635300</v>
      </c>
    </row>
    <row r="5676">
      <c r="A5676" s="2">
        <f>IFERROR(__xludf.DUMMYFUNCTION("""COMPUTED_VALUE"""),44763.66666666667)</f>
        <v>44763.66667</v>
      </c>
      <c r="B5676" s="1">
        <f>IFERROR(__xludf.DUMMYFUNCTION("""COMPUTED_VALUE"""),140.6)</f>
        <v>140.6</v>
      </c>
      <c r="C5676" s="1">
        <f>IFERROR(__xludf.DUMMYFUNCTION("""COMPUTED_VALUE"""),141.36)</f>
        <v>141.36</v>
      </c>
      <c r="D5676" s="1">
        <f>IFERROR(__xludf.DUMMYFUNCTION("""COMPUTED_VALUE"""),138.95)</f>
        <v>138.95</v>
      </c>
      <c r="E5676" s="1">
        <f>IFERROR(__xludf.DUMMYFUNCTION("""COMPUTED_VALUE"""),140.77)</f>
        <v>140.77</v>
      </c>
      <c r="F5676" s="1">
        <f>IFERROR(__xludf.DUMMYFUNCTION("""COMPUTED_VALUE"""),8310202.0)</f>
        <v>8310202</v>
      </c>
    </row>
    <row r="5677">
      <c r="A5677" s="2">
        <f>IFERROR(__xludf.DUMMYFUNCTION("""COMPUTED_VALUE"""),44764.66666666667)</f>
        <v>44764.66667</v>
      </c>
      <c r="B5677" s="1">
        <f>IFERROR(__xludf.DUMMYFUNCTION("""COMPUTED_VALUE"""),140.76)</f>
        <v>140.76</v>
      </c>
      <c r="C5677" s="1">
        <f>IFERROR(__xludf.DUMMYFUNCTION("""COMPUTED_VALUE"""),143.17)</f>
        <v>143.17</v>
      </c>
      <c r="D5677" s="1">
        <f>IFERROR(__xludf.DUMMYFUNCTION("""COMPUTED_VALUE"""),140.67)</f>
        <v>140.67</v>
      </c>
      <c r="E5677" s="1">
        <f>IFERROR(__xludf.DUMMYFUNCTION("""COMPUTED_VALUE"""),143.02)</f>
        <v>143.02</v>
      </c>
      <c r="F5677" s="1">
        <f>IFERROR(__xludf.DUMMYFUNCTION("""COMPUTED_VALUE"""),5292834.0)</f>
        <v>5292834</v>
      </c>
    </row>
    <row r="5678">
      <c r="A5678" s="2">
        <f>IFERROR(__xludf.DUMMYFUNCTION("""COMPUTED_VALUE"""),44767.66666666667)</f>
        <v>44767.66667</v>
      </c>
      <c r="B5678" s="1">
        <f>IFERROR(__xludf.DUMMYFUNCTION("""COMPUTED_VALUE"""),142.8)</f>
        <v>142.8</v>
      </c>
      <c r="C5678" s="1">
        <f>IFERROR(__xludf.DUMMYFUNCTION("""COMPUTED_VALUE"""),144.42)</f>
        <v>144.42</v>
      </c>
      <c r="D5678" s="1">
        <f>IFERROR(__xludf.DUMMYFUNCTION("""COMPUTED_VALUE"""),142.53)</f>
        <v>142.53</v>
      </c>
      <c r="E5678" s="1">
        <f>IFERROR(__xludf.DUMMYFUNCTION("""COMPUTED_VALUE"""),143.99)</f>
        <v>143.99</v>
      </c>
      <c r="F5678" s="1">
        <f>IFERROR(__xludf.DUMMYFUNCTION("""COMPUTED_VALUE"""),5262135.0)</f>
        <v>5262135</v>
      </c>
    </row>
    <row r="5679">
      <c r="A5679" s="2">
        <f>IFERROR(__xludf.DUMMYFUNCTION("""COMPUTED_VALUE"""),44768.66666666667)</f>
        <v>44768.66667</v>
      </c>
      <c r="B5679" s="1">
        <f>IFERROR(__xludf.DUMMYFUNCTION("""COMPUTED_VALUE"""),142.69)</f>
        <v>142.69</v>
      </c>
      <c r="C5679" s="1">
        <f>IFERROR(__xludf.DUMMYFUNCTION("""COMPUTED_VALUE"""),144.49)</f>
        <v>144.49</v>
      </c>
      <c r="D5679" s="1">
        <f>IFERROR(__xludf.DUMMYFUNCTION("""COMPUTED_VALUE"""),141.71)</f>
        <v>141.71</v>
      </c>
      <c r="E5679" s="1">
        <f>IFERROR(__xludf.DUMMYFUNCTION("""COMPUTED_VALUE"""),144.27)</f>
        <v>144.27</v>
      </c>
      <c r="F5679" s="1">
        <f>IFERROR(__xludf.DUMMYFUNCTION("""COMPUTED_VALUE"""),5375711.0)</f>
        <v>5375711</v>
      </c>
    </row>
    <row r="5680">
      <c r="A5680" s="2">
        <f>IFERROR(__xludf.DUMMYFUNCTION("""COMPUTED_VALUE"""),44769.66666666667)</f>
        <v>44769.66667</v>
      </c>
      <c r="B5680" s="1">
        <f>IFERROR(__xludf.DUMMYFUNCTION("""COMPUTED_VALUE"""),143.88)</f>
        <v>143.88</v>
      </c>
      <c r="C5680" s="1">
        <f>IFERROR(__xludf.DUMMYFUNCTION("""COMPUTED_VALUE"""),146.21)</f>
        <v>146.21</v>
      </c>
      <c r="D5680" s="1">
        <f>IFERROR(__xludf.DUMMYFUNCTION("""COMPUTED_VALUE"""),143.53)</f>
        <v>143.53</v>
      </c>
      <c r="E5680" s="1">
        <f>IFERROR(__xludf.DUMMYFUNCTION("""COMPUTED_VALUE"""),145.64)</f>
        <v>145.64</v>
      </c>
      <c r="F5680" s="1">
        <f>IFERROR(__xludf.DUMMYFUNCTION("""COMPUTED_VALUE"""),5500030.0)</f>
        <v>5500030</v>
      </c>
    </row>
    <row r="5681">
      <c r="A5681" s="2">
        <f>IFERROR(__xludf.DUMMYFUNCTION("""COMPUTED_VALUE"""),44770.66666666667)</f>
        <v>44770.66667</v>
      </c>
      <c r="B5681" s="1">
        <f>IFERROR(__xludf.DUMMYFUNCTION("""COMPUTED_VALUE"""),146.14)</f>
        <v>146.14</v>
      </c>
      <c r="C5681" s="1">
        <f>IFERROR(__xludf.DUMMYFUNCTION("""COMPUTED_VALUE"""),148.61)</f>
        <v>148.61</v>
      </c>
      <c r="D5681" s="1">
        <f>IFERROR(__xludf.DUMMYFUNCTION("""COMPUTED_VALUE"""),145.08)</f>
        <v>145.08</v>
      </c>
      <c r="E5681" s="1">
        <f>IFERROR(__xludf.DUMMYFUNCTION("""COMPUTED_VALUE"""),148.06)</f>
        <v>148.06</v>
      </c>
      <c r="F5681" s="1">
        <f>IFERROR(__xludf.DUMMYFUNCTION("""COMPUTED_VALUE"""),7115675.0)</f>
        <v>7115675</v>
      </c>
    </row>
    <row r="5682">
      <c r="A5682" s="2">
        <f>IFERROR(__xludf.DUMMYFUNCTION("""COMPUTED_VALUE"""),44771.66666666667)</f>
        <v>44771.66667</v>
      </c>
      <c r="B5682" s="1">
        <f>IFERROR(__xludf.DUMMYFUNCTION("""COMPUTED_VALUE"""),141.43)</f>
        <v>141.43</v>
      </c>
      <c r="C5682" s="1">
        <f>IFERROR(__xludf.DUMMYFUNCTION("""COMPUTED_VALUE"""),142.5)</f>
        <v>142.5</v>
      </c>
      <c r="D5682" s="1">
        <f>IFERROR(__xludf.DUMMYFUNCTION("""COMPUTED_VALUE"""),138.23)</f>
        <v>138.23</v>
      </c>
      <c r="E5682" s="1">
        <f>IFERROR(__xludf.DUMMYFUNCTION("""COMPUTED_VALUE"""),138.91)</f>
        <v>138.91</v>
      </c>
      <c r="F5682" s="1">
        <f>IFERROR(__xludf.DUMMYFUNCTION("""COMPUTED_VALUE"""),1.8694718E7)</f>
        <v>18694718</v>
      </c>
    </row>
    <row r="5683">
      <c r="A5683" s="2">
        <f>IFERROR(__xludf.DUMMYFUNCTION("""COMPUTED_VALUE"""),44774.66666666667)</f>
        <v>44774.66667</v>
      </c>
      <c r="B5683" s="1">
        <f>IFERROR(__xludf.DUMMYFUNCTION("""COMPUTED_VALUE"""),138.34)</f>
        <v>138.34</v>
      </c>
      <c r="C5683" s="1">
        <f>IFERROR(__xludf.DUMMYFUNCTION("""COMPUTED_VALUE"""),143.94)</f>
        <v>143.94</v>
      </c>
      <c r="D5683" s="1">
        <f>IFERROR(__xludf.DUMMYFUNCTION("""COMPUTED_VALUE"""),138.27)</f>
        <v>138.27</v>
      </c>
      <c r="E5683" s="1">
        <f>IFERROR(__xludf.DUMMYFUNCTION("""COMPUTED_VALUE"""),142.9)</f>
        <v>142.9</v>
      </c>
      <c r="F5683" s="1">
        <f>IFERROR(__xludf.DUMMYFUNCTION("""COMPUTED_VALUE"""),1.2590027E7)</f>
        <v>12590027</v>
      </c>
    </row>
    <row r="5684">
      <c r="A5684" s="2">
        <f>IFERROR(__xludf.DUMMYFUNCTION("""COMPUTED_VALUE"""),44775.66666666667)</f>
        <v>44775.66667</v>
      </c>
      <c r="B5684" s="1">
        <f>IFERROR(__xludf.DUMMYFUNCTION("""COMPUTED_VALUE"""),143.11)</f>
        <v>143.11</v>
      </c>
      <c r="C5684" s="1">
        <f>IFERROR(__xludf.DUMMYFUNCTION("""COMPUTED_VALUE"""),143.72)</f>
        <v>143.72</v>
      </c>
      <c r="D5684" s="1">
        <f>IFERROR(__xludf.DUMMYFUNCTION("""COMPUTED_VALUE"""),141.77)</f>
        <v>141.77</v>
      </c>
      <c r="E5684" s="1">
        <f>IFERROR(__xludf.DUMMYFUNCTION("""COMPUTED_VALUE"""),141.95)</f>
        <v>141.95</v>
      </c>
      <c r="F5684" s="1">
        <f>IFERROR(__xludf.DUMMYFUNCTION("""COMPUTED_VALUE"""),7494999.0)</f>
        <v>7494999</v>
      </c>
    </row>
    <row r="5685">
      <c r="A5685" s="2">
        <f>IFERROR(__xludf.DUMMYFUNCTION("""COMPUTED_VALUE"""),44776.66666666667)</f>
        <v>44776.66667</v>
      </c>
      <c r="B5685" s="1">
        <f>IFERROR(__xludf.DUMMYFUNCTION("""COMPUTED_VALUE"""),141.66)</f>
        <v>141.66</v>
      </c>
      <c r="C5685" s="1">
        <f>IFERROR(__xludf.DUMMYFUNCTION("""COMPUTED_VALUE"""),145.27)</f>
        <v>145.27</v>
      </c>
      <c r="D5685" s="1">
        <f>IFERROR(__xludf.DUMMYFUNCTION("""COMPUTED_VALUE"""),140.91)</f>
        <v>140.91</v>
      </c>
      <c r="E5685" s="1">
        <f>IFERROR(__xludf.DUMMYFUNCTION("""COMPUTED_VALUE"""),144.88)</f>
        <v>144.88</v>
      </c>
      <c r="F5685" s="1">
        <f>IFERROR(__xludf.DUMMYFUNCTION("""COMPUTED_VALUE"""),6811247.0)</f>
        <v>6811247</v>
      </c>
    </row>
    <row r="5686">
      <c r="A5686" s="2">
        <f>IFERROR(__xludf.DUMMYFUNCTION("""COMPUTED_VALUE"""),44777.66666666667)</f>
        <v>44777.66667</v>
      </c>
      <c r="B5686" s="1">
        <f>IFERROR(__xludf.DUMMYFUNCTION("""COMPUTED_VALUE"""),144.85)</f>
        <v>144.85</v>
      </c>
      <c r="C5686" s="1">
        <f>IFERROR(__xludf.DUMMYFUNCTION("""COMPUTED_VALUE"""),146.46)</f>
        <v>146.46</v>
      </c>
      <c r="D5686" s="1">
        <f>IFERROR(__xludf.DUMMYFUNCTION("""COMPUTED_VALUE"""),144.01)</f>
        <v>144.01</v>
      </c>
      <c r="E5686" s="1">
        <f>IFERROR(__xludf.DUMMYFUNCTION("""COMPUTED_VALUE"""),144.65)</f>
        <v>144.65</v>
      </c>
      <c r="F5686" s="1">
        <f>IFERROR(__xludf.DUMMYFUNCTION("""COMPUTED_VALUE"""),6124932.0)</f>
        <v>6124932</v>
      </c>
    </row>
    <row r="5687">
      <c r="A5687" s="2">
        <f>IFERROR(__xludf.DUMMYFUNCTION("""COMPUTED_VALUE"""),44778.66666666667)</f>
        <v>44778.66667</v>
      </c>
      <c r="B5687" s="1">
        <f>IFERROR(__xludf.DUMMYFUNCTION("""COMPUTED_VALUE"""),143.75)</f>
        <v>143.75</v>
      </c>
      <c r="C5687" s="1">
        <f>IFERROR(__xludf.DUMMYFUNCTION("""COMPUTED_VALUE"""),144.84)</f>
        <v>144.84</v>
      </c>
      <c r="D5687" s="1">
        <f>IFERROR(__xludf.DUMMYFUNCTION("""COMPUTED_VALUE"""),142.77)</f>
        <v>142.77</v>
      </c>
      <c r="E5687" s="1">
        <f>IFERROR(__xludf.DUMMYFUNCTION("""COMPUTED_VALUE"""),144.72)</f>
        <v>144.72</v>
      </c>
      <c r="F5687" s="1">
        <f>IFERROR(__xludf.DUMMYFUNCTION("""COMPUTED_VALUE"""),4580446.0)</f>
        <v>4580446</v>
      </c>
    </row>
    <row r="5688">
      <c r="A5688" s="2">
        <f>IFERROR(__xludf.DUMMYFUNCTION("""COMPUTED_VALUE"""),44781.66666666667)</f>
        <v>44781.66667</v>
      </c>
      <c r="B5688" s="1">
        <f>IFERROR(__xludf.DUMMYFUNCTION("""COMPUTED_VALUE"""),145.03)</f>
        <v>145.03</v>
      </c>
      <c r="C5688" s="1">
        <f>IFERROR(__xludf.DUMMYFUNCTION("""COMPUTED_VALUE"""),146.47)</f>
        <v>146.47</v>
      </c>
      <c r="D5688" s="1">
        <f>IFERROR(__xludf.DUMMYFUNCTION("""COMPUTED_VALUE"""),144.73)</f>
        <v>144.73</v>
      </c>
      <c r="E5688" s="1">
        <f>IFERROR(__xludf.DUMMYFUNCTION("""COMPUTED_VALUE"""),145.27)</f>
        <v>145.27</v>
      </c>
      <c r="F5688" s="1">
        <f>IFERROR(__xludf.DUMMYFUNCTION("""COMPUTED_VALUE"""),4487261.0)</f>
        <v>4487261</v>
      </c>
    </row>
    <row r="5689">
      <c r="A5689" s="2">
        <f>IFERROR(__xludf.DUMMYFUNCTION("""COMPUTED_VALUE"""),44782.66666666667)</f>
        <v>44782.66667</v>
      </c>
      <c r="B5689" s="1">
        <f>IFERROR(__xludf.DUMMYFUNCTION("""COMPUTED_VALUE"""),145.57)</f>
        <v>145.57</v>
      </c>
      <c r="C5689" s="1">
        <f>IFERROR(__xludf.DUMMYFUNCTION("""COMPUTED_VALUE"""),145.94)</f>
        <v>145.94</v>
      </c>
      <c r="D5689" s="1">
        <f>IFERROR(__xludf.DUMMYFUNCTION("""COMPUTED_VALUE"""),144.49)</f>
        <v>144.49</v>
      </c>
      <c r="E5689" s="1">
        <f>IFERROR(__xludf.DUMMYFUNCTION("""COMPUTED_VALUE"""),144.93)</f>
        <v>144.93</v>
      </c>
      <c r="F5689" s="1">
        <f>IFERROR(__xludf.DUMMYFUNCTION("""COMPUTED_VALUE"""),3977286.0)</f>
        <v>3977286</v>
      </c>
    </row>
    <row r="5690">
      <c r="A5690" s="2">
        <f>IFERROR(__xludf.DUMMYFUNCTION("""COMPUTED_VALUE"""),44783.66666666667)</f>
        <v>44783.66667</v>
      </c>
      <c r="B5690" s="1">
        <f>IFERROR(__xludf.DUMMYFUNCTION("""COMPUTED_VALUE"""),145.89)</f>
        <v>145.89</v>
      </c>
      <c r="C5690" s="1">
        <f>IFERROR(__xludf.DUMMYFUNCTION("""COMPUTED_VALUE"""),146.5)</f>
        <v>146.5</v>
      </c>
      <c r="D5690" s="1">
        <f>IFERROR(__xludf.DUMMYFUNCTION("""COMPUTED_VALUE"""),145.39)</f>
        <v>145.39</v>
      </c>
      <c r="E5690" s="1">
        <f>IFERROR(__xludf.DUMMYFUNCTION("""COMPUTED_VALUE"""),146.3)</f>
        <v>146.3</v>
      </c>
      <c r="F5690" s="1">
        <f>IFERROR(__xludf.DUMMYFUNCTION("""COMPUTED_VALUE"""),4641404.0)</f>
        <v>4641404</v>
      </c>
    </row>
    <row r="5691">
      <c r="A5691" s="2">
        <f>IFERROR(__xludf.DUMMYFUNCTION("""COMPUTED_VALUE"""),44784.66666666667)</f>
        <v>44784.66667</v>
      </c>
      <c r="B5691" s="1">
        <f>IFERROR(__xludf.DUMMYFUNCTION("""COMPUTED_VALUE"""),146.81)</f>
        <v>146.81</v>
      </c>
      <c r="C5691" s="1">
        <f>IFERROR(__xludf.DUMMYFUNCTION("""COMPUTED_VALUE"""),147.29)</f>
        <v>147.29</v>
      </c>
      <c r="D5691" s="1">
        <f>IFERROR(__xludf.DUMMYFUNCTION("""COMPUTED_VALUE"""),144.93)</f>
        <v>144.93</v>
      </c>
      <c r="E5691" s="1">
        <f>IFERROR(__xludf.DUMMYFUNCTION("""COMPUTED_VALUE"""),145.26)</f>
        <v>145.26</v>
      </c>
      <c r="F5691" s="1">
        <f>IFERROR(__xludf.DUMMYFUNCTION("""COMPUTED_VALUE"""),5954410.0)</f>
        <v>5954410</v>
      </c>
    </row>
    <row r="5692">
      <c r="A5692" s="2">
        <f>IFERROR(__xludf.DUMMYFUNCTION("""COMPUTED_VALUE"""),44785.66666666667)</f>
        <v>44785.66667</v>
      </c>
      <c r="B5692" s="1">
        <f>IFERROR(__xludf.DUMMYFUNCTION("""COMPUTED_VALUE"""),145.91)</f>
        <v>145.91</v>
      </c>
      <c r="C5692" s="1">
        <f>IFERROR(__xludf.DUMMYFUNCTION("""COMPUTED_VALUE"""),146.73)</f>
        <v>146.73</v>
      </c>
      <c r="D5692" s="1">
        <f>IFERROR(__xludf.DUMMYFUNCTION("""COMPUTED_VALUE"""),144.96)</f>
        <v>144.96</v>
      </c>
      <c r="E5692" s="1">
        <f>IFERROR(__xludf.DUMMYFUNCTION("""COMPUTED_VALUE"""),146.67)</f>
        <v>146.67</v>
      </c>
      <c r="F5692" s="1">
        <f>IFERROR(__xludf.DUMMYFUNCTION("""COMPUTED_VALUE"""),5038748.0)</f>
        <v>5038748</v>
      </c>
    </row>
    <row r="5693">
      <c r="A5693" s="2">
        <f>IFERROR(__xludf.DUMMYFUNCTION("""COMPUTED_VALUE"""),44788.66666666667)</f>
        <v>44788.66667</v>
      </c>
      <c r="B5693" s="1">
        <f>IFERROR(__xludf.DUMMYFUNCTION("""COMPUTED_VALUE"""),146.87)</f>
        <v>146.87</v>
      </c>
      <c r="C5693" s="1">
        <f>IFERROR(__xludf.DUMMYFUNCTION("""COMPUTED_VALUE"""),148.77)</f>
        <v>148.77</v>
      </c>
      <c r="D5693" s="1">
        <f>IFERROR(__xludf.DUMMYFUNCTION("""COMPUTED_VALUE"""),146.75)</f>
        <v>146.75</v>
      </c>
      <c r="E5693" s="1">
        <f>IFERROR(__xludf.DUMMYFUNCTION("""COMPUTED_VALUE"""),148.56)</f>
        <v>148.56</v>
      </c>
      <c r="F5693" s="1">
        <f>IFERROR(__xludf.DUMMYFUNCTION("""COMPUTED_VALUE"""),6007996.0)</f>
        <v>6007996</v>
      </c>
    </row>
    <row r="5694">
      <c r="A5694" s="2">
        <f>IFERROR(__xludf.DUMMYFUNCTION("""COMPUTED_VALUE"""),44789.66666666667)</f>
        <v>44789.66667</v>
      </c>
      <c r="B5694" s="1">
        <f>IFERROR(__xludf.DUMMYFUNCTION("""COMPUTED_VALUE"""),148.36)</f>
        <v>148.36</v>
      </c>
      <c r="C5694" s="1">
        <f>IFERROR(__xludf.DUMMYFUNCTION("""COMPUTED_VALUE"""),150.6)</f>
        <v>150.6</v>
      </c>
      <c r="D5694" s="1">
        <f>IFERROR(__xludf.DUMMYFUNCTION("""COMPUTED_VALUE"""),148.36)</f>
        <v>148.36</v>
      </c>
      <c r="E5694" s="1">
        <f>IFERROR(__xludf.DUMMYFUNCTION("""COMPUTED_VALUE"""),149.93)</f>
        <v>149.93</v>
      </c>
      <c r="F5694" s="1">
        <f>IFERROR(__xludf.DUMMYFUNCTION("""COMPUTED_VALUE"""),7093138.0)</f>
        <v>7093138</v>
      </c>
    </row>
    <row r="5695">
      <c r="A5695" s="2">
        <f>IFERROR(__xludf.DUMMYFUNCTION("""COMPUTED_VALUE"""),44790.66666666667)</f>
        <v>44790.66667</v>
      </c>
      <c r="B5695" s="1">
        <f>IFERROR(__xludf.DUMMYFUNCTION("""COMPUTED_VALUE"""),149.1)</f>
        <v>149.1</v>
      </c>
      <c r="C5695" s="1">
        <f>IFERROR(__xludf.DUMMYFUNCTION("""COMPUTED_VALUE"""),149.75)</f>
        <v>149.75</v>
      </c>
      <c r="D5695" s="1">
        <f>IFERROR(__xludf.DUMMYFUNCTION("""COMPUTED_VALUE"""),148.88)</f>
        <v>148.88</v>
      </c>
      <c r="E5695" s="1">
        <f>IFERROR(__xludf.DUMMYFUNCTION("""COMPUTED_VALUE"""),149.24)</f>
        <v>149.24</v>
      </c>
      <c r="F5695" s="1">
        <f>IFERROR(__xludf.DUMMYFUNCTION("""COMPUTED_VALUE"""),4834576.0)</f>
        <v>4834576</v>
      </c>
    </row>
    <row r="5696">
      <c r="A5696" s="2">
        <f>IFERROR(__xludf.DUMMYFUNCTION("""COMPUTED_VALUE"""),44791.66666666667)</f>
        <v>44791.66667</v>
      </c>
      <c r="B5696" s="1">
        <f>IFERROR(__xludf.DUMMYFUNCTION("""COMPUTED_VALUE"""),148.87)</f>
        <v>148.87</v>
      </c>
      <c r="C5696" s="1">
        <f>IFERROR(__xludf.DUMMYFUNCTION("""COMPUTED_VALUE"""),149.99)</f>
        <v>149.99</v>
      </c>
      <c r="D5696" s="1">
        <f>IFERROR(__xludf.DUMMYFUNCTION("""COMPUTED_VALUE"""),148.52)</f>
        <v>148.52</v>
      </c>
      <c r="E5696" s="1">
        <f>IFERROR(__xludf.DUMMYFUNCTION("""COMPUTED_VALUE"""),149.77)</f>
        <v>149.77</v>
      </c>
      <c r="F5696" s="1">
        <f>IFERROR(__xludf.DUMMYFUNCTION("""COMPUTED_VALUE"""),3829152.0)</f>
        <v>3829152</v>
      </c>
    </row>
    <row r="5697">
      <c r="A5697" s="2">
        <f>IFERROR(__xludf.DUMMYFUNCTION("""COMPUTED_VALUE"""),44792.66666666667)</f>
        <v>44792.66667</v>
      </c>
      <c r="B5697" s="1">
        <f>IFERROR(__xludf.DUMMYFUNCTION("""COMPUTED_VALUE"""),149.21)</f>
        <v>149.21</v>
      </c>
      <c r="C5697" s="1">
        <f>IFERROR(__xludf.DUMMYFUNCTION("""COMPUTED_VALUE"""),150.63)</f>
        <v>150.63</v>
      </c>
      <c r="D5697" s="1">
        <f>IFERROR(__xludf.DUMMYFUNCTION("""COMPUTED_VALUE"""),148.72)</f>
        <v>148.72</v>
      </c>
      <c r="E5697" s="1">
        <f>IFERROR(__xludf.DUMMYFUNCTION("""COMPUTED_VALUE"""),149.73)</f>
        <v>149.73</v>
      </c>
      <c r="F5697" s="1">
        <f>IFERROR(__xludf.DUMMYFUNCTION("""COMPUTED_VALUE"""),6502516.0)</f>
        <v>6502516</v>
      </c>
    </row>
    <row r="5698">
      <c r="A5698" s="2">
        <f>IFERROR(__xludf.DUMMYFUNCTION("""COMPUTED_VALUE"""),44795.66666666667)</f>
        <v>44795.66667</v>
      </c>
      <c r="B5698" s="1">
        <f>IFERROR(__xludf.DUMMYFUNCTION("""COMPUTED_VALUE"""),148.98)</f>
        <v>148.98</v>
      </c>
      <c r="C5698" s="1">
        <f>IFERROR(__xludf.DUMMYFUNCTION("""COMPUTED_VALUE"""),150.13)</f>
        <v>150.13</v>
      </c>
      <c r="D5698" s="1">
        <f>IFERROR(__xludf.DUMMYFUNCTION("""COMPUTED_VALUE"""),148.84)</f>
        <v>148.84</v>
      </c>
      <c r="E5698" s="1">
        <f>IFERROR(__xludf.DUMMYFUNCTION("""COMPUTED_VALUE"""),149.33)</f>
        <v>149.33</v>
      </c>
      <c r="F5698" s="1">
        <f>IFERROR(__xludf.DUMMYFUNCTION("""COMPUTED_VALUE"""),6380738.0)</f>
        <v>6380738</v>
      </c>
    </row>
    <row r="5699">
      <c r="A5699" s="2">
        <f>IFERROR(__xludf.DUMMYFUNCTION("""COMPUTED_VALUE"""),44796.66666666667)</f>
        <v>44796.66667</v>
      </c>
      <c r="B5699" s="1">
        <f>IFERROR(__xludf.DUMMYFUNCTION("""COMPUTED_VALUE"""),148.43)</f>
        <v>148.43</v>
      </c>
      <c r="C5699" s="1">
        <f>IFERROR(__xludf.DUMMYFUNCTION("""COMPUTED_VALUE"""),148.44)</f>
        <v>148.44</v>
      </c>
      <c r="D5699" s="1">
        <f>IFERROR(__xludf.DUMMYFUNCTION("""COMPUTED_VALUE"""),145.83)</f>
        <v>145.83</v>
      </c>
      <c r="E5699" s="1">
        <f>IFERROR(__xludf.DUMMYFUNCTION("""COMPUTED_VALUE"""),146.45)</f>
        <v>146.45</v>
      </c>
      <c r="F5699" s="1">
        <f>IFERROR(__xludf.DUMMYFUNCTION("""COMPUTED_VALUE"""),5268168.0)</f>
        <v>5268168</v>
      </c>
    </row>
    <row r="5700">
      <c r="A5700" s="2">
        <f>IFERROR(__xludf.DUMMYFUNCTION("""COMPUTED_VALUE"""),44797.66666666667)</f>
        <v>44797.66667</v>
      </c>
      <c r="B5700" s="1">
        <f>IFERROR(__xludf.DUMMYFUNCTION("""COMPUTED_VALUE"""),146.61)</f>
        <v>146.61</v>
      </c>
      <c r="C5700" s="1">
        <f>IFERROR(__xludf.DUMMYFUNCTION("""COMPUTED_VALUE"""),147.26)</f>
        <v>147.26</v>
      </c>
      <c r="D5700" s="1">
        <f>IFERROR(__xludf.DUMMYFUNCTION("""COMPUTED_VALUE"""),145.12)</f>
        <v>145.12</v>
      </c>
      <c r="E5700" s="1">
        <f>IFERROR(__xludf.DUMMYFUNCTION("""COMPUTED_VALUE"""),145.82)</f>
        <v>145.82</v>
      </c>
      <c r="F5700" s="1">
        <f>IFERROR(__xludf.DUMMYFUNCTION("""COMPUTED_VALUE"""),5903163.0)</f>
        <v>5903163</v>
      </c>
    </row>
    <row r="5701">
      <c r="A5701" s="2">
        <f>IFERROR(__xludf.DUMMYFUNCTION("""COMPUTED_VALUE"""),44798.66666666667)</f>
        <v>44798.66667</v>
      </c>
      <c r="B5701" s="1">
        <f>IFERROR(__xludf.DUMMYFUNCTION("""COMPUTED_VALUE"""),145.23)</f>
        <v>145.23</v>
      </c>
      <c r="C5701" s="1">
        <f>IFERROR(__xludf.DUMMYFUNCTION("""COMPUTED_VALUE"""),145.78)</f>
        <v>145.78</v>
      </c>
      <c r="D5701" s="1">
        <f>IFERROR(__xludf.DUMMYFUNCTION("""COMPUTED_VALUE"""),144.49)</f>
        <v>144.49</v>
      </c>
      <c r="E5701" s="1">
        <f>IFERROR(__xludf.DUMMYFUNCTION("""COMPUTED_VALUE"""),145.7)</f>
        <v>145.7</v>
      </c>
      <c r="F5701" s="1">
        <f>IFERROR(__xludf.DUMMYFUNCTION("""COMPUTED_VALUE"""),5097560.0)</f>
        <v>5097560</v>
      </c>
    </row>
    <row r="5702">
      <c r="A5702" s="2">
        <f>IFERROR(__xludf.DUMMYFUNCTION("""COMPUTED_VALUE"""),44799.66666666667)</f>
        <v>44799.66667</v>
      </c>
      <c r="B5702" s="1">
        <f>IFERROR(__xludf.DUMMYFUNCTION("""COMPUTED_VALUE"""),146.0)</f>
        <v>146</v>
      </c>
      <c r="C5702" s="1">
        <f>IFERROR(__xludf.DUMMYFUNCTION("""COMPUTED_VALUE"""),146.53)</f>
        <v>146.53</v>
      </c>
      <c r="D5702" s="1">
        <f>IFERROR(__xludf.DUMMYFUNCTION("""COMPUTED_VALUE"""),142.02)</f>
        <v>142.02</v>
      </c>
      <c r="E5702" s="1">
        <f>IFERROR(__xludf.DUMMYFUNCTION("""COMPUTED_VALUE"""),142.29)</f>
        <v>142.29</v>
      </c>
      <c r="F5702" s="1">
        <f>IFERROR(__xludf.DUMMYFUNCTION("""COMPUTED_VALUE"""),6086561.0)</f>
        <v>6086561</v>
      </c>
    </row>
    <row r="5703">
      <c r="A5703" s="2">
        <f>IFERROR(__xludf.DUMMYFUNCTION("""COMPUTED_VALUE"""),44802.66666666667)</f>
        <v>44802.66667</v>
      </c>
      <c r="B5703" s="1">
        <f>IFERROR(__xludf.DUMMYFUNCTION("""COMPUTED_VALUE"""),141.3)</f>
        <v>141.3</v>
      </c>
      <c r="C5703" s="1">
        <f>IFERROR(__xludf.DUMMYFUNCTION("""COMPUTED_VALUE"""),142.69)</f>
        <v>142.69</v>
      </c>
      <c r="D5703" s="1">
        <f>IFERROR(__xludf.DUMMYFUNCTION("""COMPUTED_VALUE"""),141.02)</f>
        <v>141.02</v>
      </c>
      <c r="E5703" s="1">
        <f>IFERROR(__xludf.DUMMYFUNCTION("""COMPUTED_VALUE"""),141.69)</f>
        <v>141.69</v>
      </c>
      <c r="F5703" s="1">
        <f>IFERROR(__xludf.DUMMYFUNCTION("""COMPUTED_VALUE"""),5272092.0)</f>
        <v>5272092</v>
      </c>
    </row>
    <row r="5704">
      <c r="A5704" s="2">
        <f>IFERROR(__xludf.DUMMYFUNCTION("""COMPUTED_VALUE"""),44803.66666666667)</f>
        <v>44803.66667</v>
      </c>
      <c r="B5704" s="1">
        <f>IFERROR(__xludf.DUMMYFUNCTION("""COMPUTED_VALUE"""),142.41)</f>
        <v>142.41</v>
      </c>
      <c r="C5704" s="1">
        <f>IFERROR(__xludf.DUMMYFUNCTION("""COMPUTED_VALUE"""),142.41)</f>
        <v>142.41</v>
      </c>
      <c r="D5704" s="1">
        <f>IFERROR(__xludf.DUMMYFUNCTION("""COMPUTED_VALUE"""),139.91)</f>
        <v>139.91</v>
      </c>
      <c r="E5704" s="1">
        <f>IFERROR(__xludf.DUMMYFUNCTION("""COMPUTED_VALUE"""),140.18)</f>
        <v>140.18</v>
      </c>
      <c r="F5704" s="1">
        <f>IFERROR(__xludf.DUMMYFUNCTION("""COMPUTED_VALUE"""),5203706.0)</f>
        <v>5203706</v>
      </c>
    </row>
    <row r="5705">
      <c r="A5705" s="2">
        <f>IFERROR(__xludf.DUMMYFUNCTION("""COMPUTED_VALUE"""),44804.66666666667)</f>
        <v>44804.66667</v>
      </c>
      <c r="B5705" s="1">
        <f>IFERROR(__xludf.DUMMYFUNCTION("""COMPUTED_VALUE"""),140.4)</f>
        <v>140.4</v>
      </c>
      <c r="C5705" s="1">
        <f>IFERROR(__xludf.DUMMYFUNCTION("""COMPUTED_VALUE"""),140.88)</f>
        <v>140.88</v>
      </c>
      <c r="D5705" s="1">
        <f>IFERROR(__xludf.DUMMYFUNCTION("""COMPUTED_VALUE"""),137.86)</f>
        <v>137.86</v>
      </c>
      <c r="E5705" s="1">
        <f>IFERROR(__xludf.DUMMYFUNCTION("""COMPUTED_VALUE"""),137.94)</f>
        <v>137.94</v>
      </c>
      <c r="F5705" s="1">
        <f>IFERROR(__xludf.DUMMYFUNCTION("""COMPUTED_VALUE"""),8406934.0)</f>
        <v>8406934</v>
      </c>
    </row>
    <row r="5706">
      <c r="A5706" s="2">
        <f>IFERROR(__xludf.DUMMYFUNCTION("""COMPUTED_VALUE"""),44805.66666666667)</f>
        <v>44805.66667</v>
      </c>
      <c r="B5706" s="1">
        <f>IFERROR(__xludf.DUMMYFUNCTION("""COMPUTED_VALUE"""),137.83)</f>
        <v>137.83</v>
      </c>
      <c r="C5706" s="1">
        <f>IFERROR(__xludf.DUMMYFUNCTION("""COMPUTED_VALUE"""),139.76)</f>
        <v>139.76</v>
      </c>
      <c r="D5706" s="1">
        <f>IFERROR(__xludf.DUMMYFUNCTION("""COMPUTED_VALUE"""),136.76)</f>
        <v>136.76</v>
      </c>
      <c r="E5706" s="1">
        <f>IFERROR(__xludf.DUMMYFUNCTION("""COMPUTED_VALUE"""),139.64)</f>
        <v>139.64</v>
      </c>
      <c r="F5706" s="1">
        <f>IFERROR(__xludf.DUMMYFUNCTION("""COMPUTED_VALUE"""),7446540.0)</f>
        <v>7446540</v>
      </c>
    </row>
    <row r="5707">
      <c r="A5707" s="2">
        <f>IFERROR(__xludf.DUMMYFUNCTION("""COMPUTED_VALUE"""),44806.66666666667)</f>
        <v>44806.66667</v>
      </c>
      <c r="B5707" s="1">
        <f>IFERROR(__xludf.DUMMYFUNCTION("""COMPUTED_VALUE"""),140.42)</f>
        <v>140.42</v>
      </c>
      <c r="C5707" s="1">
        <f>IFERROR(__xludf.DUMMYFUNCTION("""COMPUTED_VALUE"""),141.15)</f>
        <v>141.15</v>
      </c>
      <c r="D5707" s="1">
        <f>IFERROR(__xludf.DUMMYFUNCTION("""COMPUTED_VALUE"""),136.55)</f>
        <v>136.55</v>
      </c>
      <c r="E5707" s="1">
        <f>IFERROR(__xludf.DUMMYFUNCTION("""COMPUTED_VALUE"""),137.16)</f>
        <v>137.16</v>
      </c>
      <c r="F5707" s="1">
        <f>IFERROR(__xludf.DUMMYFUNCTION("""COMPUTED_VALUE"""),7077763.0)</f>
        <v>7077763</v>
      </c>
    </row>
    <row r="5708">
      <c r="A5708" s="2">
        <f>IFERROR(__xludf.DUMMYFUNCTION("""COMPUTED_VALUE"""),44810.66666666667)</f>
        <v>44810.66667</v>
      </c>
      <c r="B5708" s="1">
        <f>IFERROR(__xludf.DUMMYFUNCTION("""COMPUTED_VALUE"""),135.88)</f>
        <v>135.88</v>
      </c>
      <c r="C5708" s="1">
        <f>IFERROR(__xludf.DUMMYFUNCTION("""COMPUTED_VALUE"""),137.94)</f>
        <v>137.94</v>
      </c>
      <c r="D5708" s="1">
        <f>IFERROR(__xludf.DUMMYFUNCTION("""COMPUTED_VALUE"""),135.29)</f>
        <v>135.29</v>
      </c>
      <c r="E5708" s="1">
        <f>IFERROR(__xludf.DUMMYFUNCTION("""COMPUTED_VALUE"""),135.63)</f>
        <v>135.63</v>
      </c>
      <c r="F5708" s="1">
        <f>IFERROR(__xludf.DUMMYFUNCTION("""COMPUTED_VALUE"""),8217219.0)</f>
        <v>8217219</v>
      </c>
    </row>
    <row r="5709">
      <c r="A5709" s="2">
        <f>IFERROR(__xludf.DUMMYFUNCTION("""COMPUTED_VALUE"""),44811.66666666667)</f>
        <v>44811.66667</v>
      </c>
      <c r="B5709" s="1">
        <f>IFERROR(__xludf.DUMMYFUNCTION("""COMPUTED_VALUE"""),136.03)</f>
        <v>136.03</v>
      </c>
      <c r="C5709" s="1">
        <f>IFERROR(__xludf.DUMMYFUNCTION("""COMPUTED_VALUE"""),137.76)</f>
        <v>137.76</v>
      </c>
      <c r="D5709" s="1">
        <f>IFERROR(__xludf.DUMMYFUNCTION("""COMPUTED_VALUE"""),136.02)</f>
        <v>136.02</v>
      </c>
      <c r="E5709" s="1">
        <f>IFERROR(__xludf.DUMMYFUNCTION("""COMPUTED_VALUE"""),137.68)</f>
        <v>137.68</v>
      </c>
      <c r="F5709" s="1">
        <f>IFERROR(__xludf.DUMMYFUNCTION("""COMPUTED_VALUE"""),6609426.0)</f>
        <v>6609426</v>
      </c>
    </row>
    <row r="5710">
      <c r="A5710" s="2">
        <f>IFERROR(__xludf.DUMMYFUNCTION("""COMPUTED_VALUE"""),44812.66666666667)</f>
        <v>44812.66667</v>
      </c>
      <c r="B5710" s="1">
        <f>IFERROR(__xludf.DUMMYFUNCTION("""COMPUTED_VALUE"""),137.01)</f>
        <v>137.01</v>
      </c>
      <c r="C5710" s="1">
        <f>IFERROR(__xludf.DUMMYFUNCTION("""COMPUTED_VALUE"""),138.49)</f>
        <v>138.49</v>
      </c>
      <c r="D5710" s="1">
        <f>IFERROR(__xludf.DUMMYFUNCTION("""COMPUTED_VALUE"""),136.06)</f>
        <v>136.06</v>
      </c>
      <c r="E5710" s="1">
        <f>IFERROR(__xludf.DUMMYFUNCTION("""COMPUTED_VALUE"""),137.86)</f>
        <v>137.86</v>
      </c>
      <c r="F5710" s="1">
        <f>IFERROR(__xludf.DUMMYFUNCTION("""COMPUTED_VALUE"""),7380534.0)</f>
        <v>7380534</v>
      </c>
    </row>
    <row r="5711">
      <c r="A5711" s="2">
        <f>IFERROR(__xludf.DUMMYFUNCTION("""COMPUTED_VALUE"""),44813.66666666667)</f>
        <v>44813.66667</v>
      </c>
      <c r="B5711" s="1">
        <f>IFERROR(__xludf.DUMMYFUNCTION("""COMPUTED_VALUE"""),137.95)</f>
        <v>137.95</v>
      </c>
      <c r="C5711" s="1">
        <f>IFERROR(__xludf.DUMMYFUNCTION("""COMPUTED_VALUE"""),141.09)</f>
        <v>141.09</v>
      </c>
      <c r="D5711" s="1">
        <f>IFERROR(__xludf.DUMMYFUNCTION("""COMPUTED_VALUE"""),137.3)</f>
        <v>137.3</v>
      </c>
      <c r="E5711" s="1">
        <f>IFERROR(__xludf.DUMMYFUNCTION("""COMPUTED_VALUE"""),139.96)</f>
        <v>139.96</v>
      </c>
      <c r="F5711" s="1">
        <f>IFERROR(__xludf.DUMMYFUNCTION("""COMPUTED_VALUE"""),6434703.0)</f>
        <v>6434703</v>
      </c>
    </row>
    <row r="5712">
      <c r="A5712" s="2">
        <f>IFERROR(__xludf.DUMMYFUNCTION("""COMPUTED_VALUE"""),44816.66666666667)</f>
        <v>44816.66667</v>
      </c>
      <c r="B5712" s="1">
        <f>IFERROR(__xludf.DUMMYFUNCTION("""COMPUTED_VALUE"""),139.41)</f>
        <v>139.41</v>
      </c>
      <c r="C5712" s="1">
        <f>IFERROR(__xludf.DUMMYFUNCTION("""COMPUTED_VALUE"""),141.8)</f>
        <v>141.8</v>
      </c>
      <c r="D5712" s="1">
        <f>IFERROR(__xludf.DUMMYFUNCTION("""COMPUTED_VALUE"""),139.11)</f>
        <v>139.11</v>
      </c>
      <c r="E5712" s="1">
        <f>IFERROR(__xludf.DUMMYFUNCTION("""COMPUTED_VALUE"""),141.1)</f>
        <v>141.1</v>
      </c>
      <c r="F5712" s="1">
        <f>IFERROR(__xludf.DUMMYFUNCTION("""COMPUTED_VALUE"""),5818761.0)</f>
        <v>5818761</v>
      </c>
    </row>
    <row r="5713">
      <c r="A5713" s="2">
        <f>IFERROR(__xludf.DUMMYFUNCTION("""COMPUTED_VALUE"""),44817.66666666667)</f>
        <v>44817.66667</v>
      </c>
      <c r="B5713" s="1">
        <f>IFERROR(__xludf.DUMMYFUNCTION("""COMPUTED_VALUE"""),140.78)</f>
        <v>140.78</v>
      </c>
      <c r="C5713" s="1">
        <f>IFERROR(__xludf.DUMMYFUNCTION("""COMPUTED_VALUE"""),141.43)</f>
        <v>141.43</v>
      </c>
      <c r="D5713" s="1">
        <f>IFERROR(__xludf.DUMMYFUNCTION("""COMPUTED_VALUE"""),137.86)</f>
        <v>137.86</v>
      </c>
      <c r="E5713" s="1">
        <f>IFERROR(__xludf.DUMMYFUNCTION("""COMPUTED_VALUE"""),138.18)</f>
        <v>138.18</v>
      </c>
      <c r="F5713" s="1">
        <f>IFERROR(__xludf.DUMMYFUNCTION("""COMPUTED_VALUE"""),6350157.0)</f>
        <v>6350157</v>
      </c>
    </row>
    <row r="5714">
      <c r="A5714" s="2">
        <f>IFERROR(__xludf.DUMMYFUNCTION("""COMPUTED_VALUE"""),44818.66666666667)</f>
        <v>44818.66667</v>
      </c>
      <c r="B5714" s="1">
        <f>IFERROR(__xludf.DUMMYFUNCTION("""COMPUTED_VALUE"""),138.66)</f>
        <v>138.66</v>
      </c>
      <c r="C5714" s="1">
        <f>IFERROR(__xludf.DUMMYFUNCTION("""COMPUTED_VALUE"""),139.66)</f>
        <v>139.66</v>
      </c>
      <c r="D5714" s="1">
        <f>IFERROR(__xludf.DUMMYFUNCTION("""COMPUTED_VALUE"""),137.67)</f>
        <v>137.67</v>
      </c>
      <c r="E5714" s="1">
        <f>IFERROR(__xludf.DUMMYFUNCTION("""COMPUTED_VALUE"""),138.51)</f>
        <v>138.51</v>
      </c>
      <c r="F5714" s="1">
        <f>IFERROR(__xludf.DUMMYFUNCTION("""COMPUTED_VALUE"""),6138000.0)</f>
        <v>6138000</v>
      </c>
    </row>
    <row r="5715">
      <c r="A5715" s="2">
        <f>IFERROR(__xludf.DUMMYFUNCTION("""COMPUTED_VALUE"""),44819.66666666667)</f>
        <v>44819.66667</v>
      </c>
      <c r="B5715" s="1">
        <f>IFERROR(__xludf.DUMMYFUNCTION("""COMPUTED_VALUE"""),138.78)</f>
        <v>138.78</v>
      </c>
      <c r="C5715" s="1">
        <f>IFERROR(__xludf.DUMMYFUNCTION("""COMPUTED_VALUE"""),138.89)</f>
        <v>138.89</v>
      </c>
      <c r="D5715" s="1">
        <f>IFERROR(__xludf.DUMMYFUNCTION("""COMPUTED_VALUE"""),136.64)</f>
        <v>136.64</v>
      </c>
      <c r="E5715" s="1">
        <f>IFERROR(__xludf.DUMMYFUNCTION("""COMPUTED_VALUE"""),137.44)</f>
        <v>137.44</v>
      </c>
      <c r="F5715" s="1">
        <f>IFERROR(__xludf.DUMMYFUNCTION("""COMPUTED_VALUE"""),5320907.0)</f>
        <v>5320907</v>
      </c>
    </row>
    <row r="5716">
      <c r="A5716" s="2">
        <f>IFERROR(__xludf.DUMMYFUNCTION("""COMPUTED_VALUE"""),44820.66666666667)</f>
        <v>44820.66667</v>
      </c>
      <c r="B5716" s="1">
        <f>IFERROR(__xludf.DUMMYFUNCTION("""COMPUTED_VALUE"""),137.44)</f>
        <v>137.44</v>
      </c>
      <c r="C5716" s="1">
        <f>IFERROR(__xludf.DUMMYFUNCTION("""COMPUTED_VALUE"""),139.06)</f>
        <v>139.06</v>
      </c>
      <c r="D5716" s="1">
        <f>IFERROR(__xludf.DUMMYFUNCTION("""COMPUTED_VALUE"""),137.11)</f>
        <v>137.11</v>
      </c>
      <c r="E5716" s="1">
        <f>IFERROR(__xludf.DUMMYFUNCTION("""COMPUTED_VALUE"""),138.28)</f>
        <v>138.28</v>
      </c>
      <c r="F5716" s="1">
        <f>IFERROR(__xludf.DUMMYFUNCTION("""COMPUTED_VALUE"""),9321466.0)</f>
        <v>9321466</v>
      </c>
    </row>
    <row r="5717">
      <c r="A5717" s="2">
        <f>IFERROR(__xludf.DUMMYFUNCTION("""COMPUTED_VALUE"""),44823.66666666667)</f>
        <v>44823.66667</v>
      </c>
      <c r="B5717" s="1">
        <f>IFERROR(__xludf.DUMMYFUNCTION("""COMPUTED_VALUE"""),138.2)</f>
        <v>138.2</v>
      </c>
      <c r="C5717" s="1">
        <f>IFERROR(__xludf.DUMMYFUNCTION("""COMPUTED_VALUE"""),138.46)</f>
        <v>138.46</v>
      </c>
      <c r="D5717" s="1">
        <f>IFERROR(__xludf.DUMMYFUNCTION("""COMPUTED_VALUE"""),137.23)</f>
        <v>137.23</v>
      </c>
      <c r="E5717" s="1">
        <f>IFERROR(__xludf.DUMMYFUNCTION("""COMPUTED_VALUE"""),137.99)</f>
        <v>137.99</v>
      </c>
      <c r="F5717" s="1">
        <f>IFERROR(__xludf.DUMMYFUNCTION("""COMPUTED_VALUE"""),6056100.0)</f>
        <v>6056100</v>
      </c>
    </row>
    <row r="5718">
      <c r="A5718" s="2">
        <f>IFERROR(__xludf.DUMMYFUNCTION("""COMPUTED_VALUE"""),44824.66666666667)</f>
        <v>44824.66667</v>
      </c>
      <c r="B5718" s="1">
        <f>IFERROR(__xludf.DUMMYFUNCTION("""COMPUTED_VALUE"""),137.41)</f>
        <v>137.41</v>
      </c>
      <c r="C5718" s="1">
        <f>IFERROR(__xludf.DUMMYFUNCTION("""COMPUTED_VALUE"""),137.97)</f>
        <v>137.97</v>
      </c>
      <c r="D5718" s="1">
        <f>IFERROR(__xludf.DUMMYFUNCTION("""COMPUTED_VALUE"""),136.53)</f>
        <v>136.53</v>
      </c>
      <c r="E5718" s="1">
        <f>IFERROR(__xludf.DUMMYFUNCTION("""COMPUTED_VALUE"""),137.5)</f>
        <v>137.5</v>
      </c>
      <c r="F5718" s="1">
        <f>IFERROR(__xludf.DUMMYFUNCTION("""COMPUTED_VALUE"""),5589800.0)</f>
        <v>5589800</v>
      </c>
    </row>
    <row r="5719">
      <c r="A5719" s="2">
        <f>IFERROR(__xludf.DUMMYFUNCTION("""COMPUTED_VALUE"""),44825.66666666667)</f>
        <v>44825.66667</v>
      </c>
      <c r="B5719" s="1">
        <f>IFERROR(__xludf.DUMMYFUNCTION("""COMPUTED_VALUE"""),138.08)</f>
        <v>138.08</v>
      </c>
      <c r="C5719" s="1">
        <f>IFERROR(__xludf.DUMMYFUNCTION("""COMPUTED_VALUE"""),138.2)</f>
        <v>138.2</v>
      </c>
      <c r="D5719" s="1">
        <f>IFERROR(__xludf.DUMMYFUNCTION("""COMPUTED_VALUE"""),135.71)</f>
        <v>135.71</v>
      </c>
      <c r="E5719" s="1">
        <f>IFERROR(__xludf.DUMMYFUNCTION("""COMPUTED_VALUE"""),135.73)</f>
        <v>135.73</v>
      </c>
      <c r="F5719" s="1">
        <f>IFERROR(__xludf.DUMMYFUNCTION("""COMPUTED_VALUE"""),6413855.0)</f>
        <v>6413855</v>
      </c>
    </row>
    <row r="5720">
      <c r="A5720" s="2">
        <f>IFERROR(__xludf.DUMMYFUNCTION("""COMPUTED_VALUE"""),44826.66666666667)</f>
        <v>44826.66667</v>
      </c>
      <c r="B5720" s="1">
        <f>IFERROR(__xludf.DUMMYFUNCTION("""COMPUTED_VALUE"""),135.74)</f>
        <v>135.74</v>
      </c>
      <c r="C5720" s="1">
        <f>IFERROR(__xludf.DUMMYFUNCTION("""COMPUTED_VALUE"""),137.07)</f>
        <v>137.07</v>
      </c>
      <c r="D5720" s="1">
        <f>IFERROR(__xludf.DUMMYFUNCTION("""COMPUTED_VALUE"""),135.24)</f>
        <v>135.24</v>
      </c>
      <c r="E5720" s="1">
        <f>IFERROR(__xludf.DUMMYFUNCTION("""COMPUTED_VALUE"""),136.21)</f>
        <v>136.21</v>
      </c>
      <c r="F5720" s="1">
        <f>IFERROR(__xludf.DUMMYFUNCTION("""COMPUTED_VALUE"""),5061761.0)</f>
        <v>5061761</v>
      </c>
    </row>
    <row r="5721">
      <c r="A5721" s="2">
        <f>IFERROR(__xludf.DUMMYFUNCTION("""COMPUTED_VALUE"""),44827.66666666667)</f>
        <v>44827.66667</v>
      </c>
      <c r="B5721" s="1">
        <f>IFERROR(__xludf.DUMMYFUNCTION("""COMPUTED_VALUE"""),135.68)</f>
        <v>135.68</v>
      </c>
      <c r="C5721" s="1">
        <f>IFERROR(__xludf.DUMMYFUNCTION("""COMPUTED_VALUE"""),136.5)</f>
        <v>136.5</v>
      </c>
      <c r="D5721" s="1">
        <f>IFERROR(__xludf.DUMMYFUNCTION("""COMPUTED_VALUE"""),133.95)</f>
        <v>133.95</v>
      </c>
      <c r="E5721" s="1">
        <f>IFERROR(__xludf.DUMMYFUNCTION("""COMPUTED_VALUE"""),135.58)</f>
        <v>135.58</v>
      </c>
      <c r="F5721" s="1">
        <f>IFERROR(__xludf.DUMMYFUNCTION("""COMPUTED_VALUE"""),6523573.0)</f>
        <v>6523573</v>
      </c>
    </row>
    <row r="5722">
      <c r="A5722" s="2">
        <f>IFERROR(__xludf.DUMMYFUNCTION("""COMPUTED_VALUE"""),44830.66666666667)</f>
        <v>44830.66667</v>
      </c>
      <c r="B5722" s="1">
        <f>IFERROR(__xludf.DUMMYFUNCTION("""COMPUTED_VALUE"""),135.58)</f>
        <v>135.58</v>
      </c>
      <c r="C5722" s="1">
        <f>IFERROR(__xludf.DUMMYFUNCTION("""COMPUTED_VALUE"""),136.82)</f>
        <v>136.82</v>
      </c>
      <c r="D5722" s="1">
        <f>IFERROR(__xludf.DUMMYFUNCTION("""COMPUTED_VALUE"""),134.99)</f>
        <v>134.99</v>
      </c>
      <c r="E5722" s="1">
        <f>IFERROR(__xludf.DUMMYFUNCTION("""COMPUTED_VALUE"""),135.71)</f>
        <v>135.71</v>
      </c>
      <c r="F5722" s="1">
        <f>IFERROR(__xludf.DUMMYFUNCTION("""COMPUTED_VALUE"""),7396366.0)</f>
        <v>7396366</v>
      </c>
    </row>
    <row r="5723">
      <c r="A5723" s="2">
        <f>IFERROR(__xludf.DUMMYFUNCTION("""COMPUTED_VALUE"""),44831.66666666667)</f>
        <v>44831.66667</v>
      </c>
      <c r="B5723" s="1">
        <f>IFERROR(__xludf.DUMMYFUNCTION("""COMPUTED_VALUE"""),135.96)</f>
        <v>135.96</v>
      </c>
      <c r="C5723" s="1">
        <f>IFERROR(__xludf.DUMMYFUNCTION("""COMPUTED_VALUE"""),136.94)</f>
        <v>136.94</v>
      </c>
      <c r="D5723" s="1">
        <f>IFERROR(__xludf.DUMMYFUNCTION("""COMPUTED_VALUE"""),131.71)</f>
        <v>131.71</v>
      </c>
      <c r="E5723" s="1">
        <f>IFERROR(__xludf.DUMMYFUNCTION("""COMPUTED_VALUE"""),131.98)</f>
        <v>131.98</v>
      </c>
      <c r="F5723" s="1">
        <f>IFERROR(__xludf.DUMMYFUNCTION("""COMPUTED_VALUE"""),7722229.0)</f>
        <v>7722229</v>
      </c>
    </row>
    <row r="5724">
      <c r="A5724" s="2">
        <f>IFERROR(__xludf.DUMMYFUNCTION("""COMPUTED_VALUE"""),44832.66666666667)</f>
        <v>44832.66667</v>
      </c>
      <c r="B5724" s="1">
        <f>IFERROR(__xludf.DUMMYFUNCTION("""COMPUTED_VALUE"""),133.02)</f>
        <v>133.02</v>
      </c>
      <c r="C5724" s="1">
        <f>IFERROR(__xludf.DUMMYFUNCTION("""COMPUTED_VALUE"""),133.02)</f>
        <v>133.02</v>
      </c>
      <c r="D5724" s="1">
        <f>IFERROR(__xludf.DUMMYFUNCTION("""COMPUTED_VALUE"""),131.19)</f>
        <v>131.19</v>
      </c>
      <c r="E5724" s="1">
        <f>IFERROR(__xludf.DUMMYFUNCTION("""COMPUTED_VALUE"""),131.98)</f>
        <v>131.98</v>
      </c>
      <c r="F5724" s="1">
        <f>IFERROR(__xludf.DUMMYFUNCTION("""COMPUTED_VALUE"""),1.045512E7)</f>
        <v>10455120</v>
      </c>
    </row>
    <row r="5725">
      <c r="A5725" s="2">
        <f>IFERROR(__xludf.DUMMYFUNCTION("""COMPUTED_VALUE"""),44833.66666666667)</f>
        <v>44833.66667</v>
      </c>
      <c r="B5725" s="1">
        <f>IFERROR(__xludf.DUMMYFUNCTION("""COMPUTED_VALUE"""),131.87)</f>
        <v>131.87</v>
      </c>
      <c r="C5725" s="1">
        <f>IFERROR(__xludf.DUMMYFUNCTION("""COMPUTED_VALUE"""),131.87)</f>
        <v>131.87</v>
      </c>
      <c r="D5725" s="1">
        <f>IFERROR(__xludf.DUMMYFUNCTION("""COMPUTED_VALUE"""),128.26)</f>
        <v>128.26</v>
      </c>
      <c r="E5725" s="1">
        <f>IFERROR(__xludf.DUMMYFUNCTION("""COMPUTED_VALUE"""),128.7)</f>
        <v>128.7</v>
      </c>
      <c r="F5725" s="1">
        <f>IFERROR(__xludf.DUMMYFUNCTION("""COMPUTED_VALUE"""),7128463.0)</f>
        <v>7128463</v>
      </c>
    </row>
    <row r="5726">
      <c r="A5726" s="2">
        <f>IFERROR(__xludf.DUMMYFUNCTION("""COMPUTED_VALUE"""),44834.66666666667)</f>
        <v>44834.66667</v>
      </c>
      <c r="B5726" s="1">
        <f>IFERROR(__xludf.DUMMYFUNCTION("""COMPUTED_VALUE"""),129.0)</f>
        <v>129</v>
      </c>
      <c r="C5726" s="1">
        <f>IFERROR(__xludf.DUMMYFUNCTION("""COMPUTED_VALUE"""),129.04)</f>
        <v>129.04</v>
      </c>
      <c r="D5726" s="1">
        <f>IFERROR(__xludf.DUMMYFUNCTION("""COMPUTED_VALUE"""),126.21)</f>
        <v>126.21</v>
      </c>
      <c r="E5726" s="1">
        <f>IFERROR(__xludf.DUMMYFUNCTION("""COMPUTED_VALUE"""),126.25)</f>
        <v>126.25</v>
      </c>
      <c r="F5726" s="1">
        <f>IFERROR(__xludf.DUMMYFUNCTION("""COMPUTED_VALUE"""),9431937.0)</f>
        <v>9431937</v>
      </c>
    </row>
    <row r="5727">
      <c r="A5727" s="2">
        <f>IFERROR(__xludf.DUMMYFUNCTION("""COMPUTED_VALUE"""),44837.66666666667)</f>
        <v>44837.66667</v>
      </c>
      <c r="B5727" s="1">
        <f>IFERROR(__xludf.DUMMYFUNCTION("""COMPUTED_VALUE"""),127.25)</f>
        <v>127.25</v>
      </c>
      <c r="C5727" s="1">
        <f>IFERROR(__xludf.DUMMYFUNCTION("""COMPUTED_VALUE"""),129.1)</f>
        <v>129.1</v>
      </c>
      <c r="D5727" s="1">
        <f>IFERROR(__xludf.DUMMYFUNCTION("""COMPUTED_VALUE"""),126.68)</f>
        <v>126.68</v>
      </c>
      <c r="E5727" s="1">
        <f>IFERROR(__xludf.DUMMYFUNCTION("""COMPUTED_VALUE"""),128.51)</f>
        <v>128.51</v>
      </c>
      <c r="F5727" s="1">
        <f>IFERROR(__xludf.DUMMYFUNCTION("""COMPUTED_VALUE"""),8477669.0)</f>
        <v>8477669</v>
      </c>
    </row>
    <row r="5728">
      <c r="A5728" s="2">
        <f>IFERROR(__xludf.DUMMYFUNCTION("""COMPUTED_VALUE"""),44838.66666666667)</f>
        <v>44838.66667</v>
      </c>
      <c r="B5728" s="1">
        <f>IFERROR(__xludf.DUMMYFUNCTION("""COMPUTED_VALUE"""),129.1)</f>
        <v>129.1</v>
      </c>
      <c r="C5728" s="1">
        <f>IFERROR(__xludf.DUMMYFUNCTION("""COMPUTED_VALUE"""),130.87)</f>
        <v>130.87</v>
      </c>
      <c r="D5728" s="1">
        <f>IFERROR(__xludf.DUMMYFUNCTION("""COMPUTED_VALUE"""),128.7)</f>
        <v>128.7</v>
      </c>
      <c r="E5728" s="1">
        <f>IFERROR(__xludf.DUMMYFUNCTION("""COMPUTED_VALUE"""),130.1)</f>
        <v>130.1</v>
      </c>
      <c r="F5728" s="1">
        <f>IFERROR(__xludf.DUMMYFUNCTION("""COMPUTED_VALUE"""),7211561.0)</f>
        <v>7211561</v>
      </c>
    </row>
    <row r="5729">
      <c r="A5729" s="2">
        <f>IFERROR(__xludf.DUMMYFUNCTION("""COMPUTED_VALUE"""),44839.66666666667)</f>
        <v>44839.66667</v>
      </c>
      <c r="B5729" s="1">
        <f>IFERROR(__xludf.DUMMYFUNCTION("""COMPUTED_VALUE"""),129.2)</f>
        <v>129.2</v>
      </c>
      <c r="C5729" s="1">
        <f>IFERROR(__xludf.DUMMYFUNCTION("""COMPUTED_VALUE"""),130.09)</f>
        <v>130.09</v>
      </c>
      <c r="D5729" s="1">
        <f>IFERROR(__xludf.DUMMYFUNCTION("""COMPUTED_VALUE"""),128.09)</f>
        <v>128.09</v>
      </c>
      <c r="E5729" s="1">
        <f>IFERROR(__xludf.DUMMYFUNCTION("""COMPUTED_VALUE"""),129.2)</f>
        <v>129.2</v>
      </c>
      <c r="F5729" s="1">
        <f>IFERROR(__xludf.DUMMYFUNCTION("""COMPUTED_VALUE"""),5071090.0)</f>
        <v>5071090</v>
      </c>
    </row>
    <row r="5730">
      <c r="A5730" s="2">
        <f>IFERROR(__xludf.DUMMYFUNCTION("""COMPUTED_VALUE"""),44840.66666666667)</f>
        <v>44840.66667</v>
      </c>
      <c r="B5730" s="1">
        <f>IFERROR(__xludf.DUMMYFUNCTION("""COMPUTED_VALUE"""),128.89)</f>
        <v>128.89</v>
      </c>
      <c r="C5730" s="1">
        <f>IFERROR(__xludf.DUMMYFUNCTION("""COMPUTED_VALUE"""),129.06)</f>
        <v>129.06</v>
      </c>
      <c r="D5730" s="1">
        <f>IFERROR(__xludf.DUMMYFUNCTION("""COMPUTED_VALUE"""),126.35)</f>
        <v>126.35</v>
      </c>
      <c r="E5730" s="1">
        <f>IFERROR(__xludf.DUMMYFUNCTION("""COMPUTED_VALUE"""),126.48)</f>
        <v>126.48</v>
      </c>
      <c r="F5730" s="1">
        <f>IFERROR(__xludf.DUMMYFUNCTION("""COMPUTED_VALUE"""),5530781.0)</f>
        <v>5530781</v>
      </c>
    </row>
    <row r="5731">
      <c r="A5731" s="2">
        <f>IFERROR(__xludf.DUMMYFUNCTION("""COMPUTED_VALUE"""),44841.66666666667)</f>
        <v>44841.66667</v>
      </c>
      <c r="B5731" s="1">
        <f>IFERROR(__xludf.DUMMYFUNCTION("""COMPUTED_VALUE"""),126.5)</f>
        <v>126.5</v>
      </c>
      <c r="C5731" s="1">
        <f>IFERROR(__xludf.DUMMYFUNCTION("""COMPUTED_VALUE"""),126.58)</f>
        <v>126.58</v>
      </c>
      <c r="D5731" s="1">
        <f>IFERROR(__xludf.DUMMYFUNCTION("""COMPUTED_VALUE"""),123.76)</f>
        <v>123.76</v>
      </c>
      <c r="E5731" s="1">
        <f>IFERROR(__xludf.DUMMYFUNCTION("""COMPUTED_VALUE"""),124.27)</f>
        <v>124.27</v>
      </c>
      <c r="F5731" s="1">
        <f>IFERROR(__xludf.DUMMYFUNCTION("""COMPUTED_VALUE"""),6095411.0)</f>
        <v>6095411</v>
      </c>
    </row>
    <row r="5732">
      <c r="A5732" s="2">
        <f>IFERROR(__xludf.DUMMYFUNCTION("""COMPUTED_VALUE"""),44844.66666666667)</f>
        <v>44844.66667</v>
      </c>
      <c r="B5732" s="1">
        <f>IFERROR(__xludf.DUMMYFUNCTION("""COMPUTED_VALUE"""),123.37)</f>
        <v>123.37</v>
      </c>
      <c r="C5732" s="1">
        <f>IFERROR(__xludf.DUMMYFUNCTION("""COMPUTED_VALUE"""),124.25)</f>
        <v>124.25</v>
      </c>
      <c r="D5732" s="1">
        <f>IFERROR(__xludf.DUMMYFUNCTION("""COMPUTED_VALUE"""),122.18)</f>
        <v>122.18</v>
      </c>
      <c r="E5732" s="1">
        <f>IFERROR(__xludf.DUMMYFUNCTION("""COMPUTED_VALUE"""),123.76)</f>
        <v>123.76</v>
      </c>
      <c r="F5732" s="1">
        <f>IFERROR(__xludf.DUMMYFUNCTION("""COMPUTED_VALUE"""),6923335.0)</f>
        <v>6923335</v>
      </c>
    </row>
    <row r="5733">
      <c r="A5733" s="2">
        <f>IFERROR(__xludf.DUMMYFUNCTION("""COMPUTED_VALUE"""),44845.66666666667)</f>
        <v>44845.66667</v>
      </c>
      <c r="B5733" s="1">
        <f>IFERROR(__xludf.DUMMYFUNCTION("""COMPUTED_VALUE"""),123.69)</f>
        <v>123.69</v>
      </c>
      <c r="C5733" s="1">
        <f>IFERROR(__xludf.DUMMYFUNCTION("""COMPUTED_VALUE"""),125.7)</f>
        <v>125.7</v>
      </c>
      <c r="D5733" s="1">
        <f>IFERROR(__xludf.DUMMYFUNCTION("""COMPUTED_VALUE"""),123.6)</f>
        <v>123.6</v>
      </c>
      <c r="E5733" s="1">
        <f>IFERROR(__xludf.DUMMYFUNCTION("""COMPUTED_VALUE"""),124.23)</f>
        <v>124.23</v>
      </c>
      <c r="F5733" s="1">
        <f>IFERROR(__xludf.DUMMYFUNCTION("""COMPUTED_VALUE"""),5516175.0)</f>
        <v>5516175</v>
      </c>
    </row>
    <row r="5734">
      <c r="A5734" s="2">
        <f>IFERROR(__xludf.DUMMYFUNCTION("""COMPUTED_VALUE"""),44846.66666666667)</f>
        <v>44846.66667</v>
      </c>
      <c r="B5734" s="1">
        <f>IFERROR(__xludf.DUMMYFUNCTION("""COMPUTED_VALUE"""),124.84)</f>
        <v>124.84</v>
      </c>
      <c r="C5734" s="1">
        <f>IFERROR(__xludf.DUMMYFUNCTION("""COMPUTED_VALUE"""),125.81)</f>
        <v>125.81</v>
      </c>
      <c r="D5734" s="1">
        <f>IFERROR(__xludf.DUMMYFUNCTION("""COMPUTED_VALUE"""),124.41)</f>
        <v>124.41</v>
      </c>
      <c r="E5734" s="1">
        <f>IFERROR(__xludf.DUMMYFUNCTION("""COMPUTED_VALUE"""),124.43)</f>
        <v>124.43</v>
      </c>
      <c r="F5734" s="1">
        <f>IFERROR(__xludf.DUMMYFUNCTION("""COMPUTED_VALUE"""),6823671.0)</f>
        <v>6823671</v>
      </c>
    </row>
    <row r="5735">
      <c r="A5735" s="2">
        <f>IFERROR(__xludf.DUMMYFUNCTION("""COMPUTED_VALUE"""),44847.66666666667)</f>
        <v>44847.66667</v>
      </c>
      <c r="B5735" s="1">
        <f>IFERROR(__xludf.DUMMYFUNCTION("""COMPUTED_VALUE"""),123.51)</f>
        <v>123.51</v>
      </c>
      <c r="C5735" s="1">
        <f>IFERROR(__xludf.DUMMYFUNCTION("""COMPUTED_VALUE"""),126.75)</f>
        <v>126.75</v>
      </c>
      <c r="D5735" s="1">
        <f>IFERROR(__xludf.DUMMYFUNCTION("""COMPUTED_VALUE"""),122.92)</f>
        <v>122.92</v>
      </c>
      <c r="E5735" s="1">
        <f>IFERROR(__xludf.DUMMYFUNCTION("""COMPUTED_VALUE"""),126.31)</f>
        <v>126.31</v>
      </c>
      <c r="F5735" s="1">
        <f>IFERROR(__xludf.DUMMYFUNCTION("""COMPUTED_VALUE"""),6910826.0)</f>
        <v>6910826</v>
      </c>
    </row>
    <row r="5736">
      <c r="A5736" s="2">
        <f>IFERROR(__xludf.DUMMYFUNCTION("""COMPUTED_VALUE"""),44848.66666666667)</f>
        <v>44848.66667</v>
      </c>
      <c r="B5736" s="1">
        <f>IFERROR(__xludf.DUMMYFUNCTION("""COMPUTED_VALUE"""),126.75)</f>
        <v>126.75</v>
      </c>
      <c r="C5736" s="1">
        <f>IFERROR(__xludf.DUMMYFUNCTION("""COMPUTED_VALUE"""),127.02)</f>
        <v>127.02</v>
      </c>
      <c r="D5736" s="1">
        <f>IFERROR(__xludf.DUMMYFUNCTION("""COMPUTED_VALUE"""),124.77)</f>
        <v>124.77</v>
      </c>
      <c r="E5736" s="1">
        <f>IFERROR(__xludf.DUMMYFUNCTION("""COMPUTED_VALUE"""),125.08)</f>
        <v>125.08</v>
      </c>
      <c r="F5736" s="1">
        <f>IFERROR(__xludf.DUMMYFUNCTION("""COMPUTED_VALUE"""),5520319.0)</f>
        <v>5520319</v>
      </c>
    </row>
    <row r="5737">
      <c r="A5737" s="2">
        <f>IFERROR(__xludf.DUMMYFUNCTION("""COMPUTED_VALUE"""),44851.66666666667)</f>
        <v>44851.66667</v>
      </c>
      <c r="B5737" s="1">
        <f>IFERROR(__xludf.DUMMYFUNCTION("""COMPUTED_VALUE"""),126.01)</f>
        <v>126.01</v>
      </c>
      <c r="C5737" s="1">
        <f>IFERROR(__xludf.DUMMYFUNCTION("""COMPUTED_VALUE"""),128.28)</f>
        <v>128.28</v>
      </c>
      <c r="D5737" s="1">
        <f>IFERROR(__xludf.DUMMYFUNCTION("""COMPUTED_VALUE"""),125.86)</f>
        <v>125.86</v>
      </c>
      <c r="E5737" s="1">
        <f>IFERROR(__xludf.DUMMYFUNCTION("""COMPUTED_VALUE"""),127.34)</f>
        <v>127.34</v>
      </c>
      <c r="F5737" s="1">
        <f>IFERROR(__xludf.DUMMYFUNCTION("""COMPUTED_VALUE"""),6664569.0)</f>
        <v>6664569</v>
      </c>
    </row>
    <row r="5738">
      <c r="A5738" s="2">
        <f>IFERROR(__xludf.DUMMYFUNCTION("""COMPUTED_VALUE"""),44852.66666666667)</f>
        <v>44852.66667</v>
      </c>
      <c r="B5738" s="1">
        <f>IFERROR(__xludf.DUMMYFUNCTION("""COMPUTED_VALUE"""),129.33)</f>
        <v>129.33</v>
      </c>
      <c r="C5738" s="1">
        <f>IFERROR(__xludf.DUMMYFUNCTION("""COMPUTED_VALUE"""),130.07)</f>
        <v>130.07</v>
      </c>
      <c r="D5738" s="1">
        <f>IFERROR(__xludf.DUMMYFUNCTION("""COMPUTED_VALUE"""),127.66)</f>
        <v>127.66</v>
      </c>
      <c r="E5738" s="1">
        <f>IFERROR(__xludf.DUMMYFUNCTION("""COMPUTED_VALUE"""),128.37)</f>
        <v>128.37</v>
      </c>
      <c r="F5738" s="1">
        <f>IFERROR(__xludf.DUMMYFUNCTION("""COMPUTED_VALUE"""),7114181.0)</f>
        <v>7114181</v>
      </c>
    </row>
    <row r="5739">
      <c r="A5739" s="2">
        <f>IFERROR(__xludf.DUMMYFUNCTION("""COMPUTED_VALUE"""),44853.66666666667)</f>
        <v>44853.66667</v>
      </c>
      <c r="B5739" s="1">
        <f>IFERROR(__xludf.DUMMYFUNCTION("""COMPUTED_VALUE"""),131.64)</f>
        <v>131.64</v>
      </c>
      <c r="C5739" s="1">
        <f>IFERROR(__xludf.DUMMYFUNCTION("""COMPUTED_VALUE"""),133.0)</f>
        <v>133</v>
      </c>
      <c r="D5739" s="1">
        <f>IFERROR(__xludf.DUMMYFUNCTION("""COMPUTED_VALUE"""),129.51)</f>
        <v>129.51</v>
      </c>
      <c r="E5739" s="1">
        <f>IFERROR(__xludf.DUMMYFUNCTION("""COMPUTED_VALUE"""),129.56)</f>
        <v>129.56</v>
      </c>
      <c r="F5739" s="1">
        <f>IFERROR(__xludf.DUMMYFUNCTION("""COMPUTED_VALUE"""),9993668.0)</f>
        <v>9993668</v>
      </c>
    </row>
    <row r="5740">
      <c r="A5740" s="2">
        <f>IFERROR(__xludf.DUMMYFUNCTION("""COMPUTED_VALUE"""),44854.66666666667)</f>
        <v>44854.66667</v>
      </c>
      <c r="B5740" s="1">
        <f>IFERROR(__xludf.DUMMYFUNCTION("""COMPUTED_VALUE"""),128.62)</f>
        <v>128.62</v>
      </c>
      <c r="C5740" s="1">
        <f>IFERROR(__xludf.DUMMYFUNCTION("""COMPUTED_VALUE"""),129.77)</f>
        <v>129.77</v>
      </c>
      <c r="D5740" s="1">
        <f>IFERROR(__xludf.DUMMYFUNCTION("""COMPUTED_VALUE"""),126.68)</f>
        <v>126.68</v>
      </c>
      <c r="E5740" s="1">
        <f>IFERROR(__xludf.DUMMYFUNCTION("""COMPUTED_VALUE"""),126.99)</f>
        <v>126.99</v>
      </c>
      <c r="F5740" s="1">
        <f>IFERROR(__xludf.DUMMYFUNCTION("""COMPUTED_VALUE"""),8167987.0)</f>
        <v>8167987</v>
      </c>
    </row>
    <row r="5741">
      <c r="A5741" s="2">
        <f>IFERROR(__xludf.DUMMYFUNCTION("""COMPUTED_VALUE"""),44855.66666666667)</f>
        <v>44855.66667</v>
      </c>
      <c r="B5741" s="1">
        <f>IFERROR(__xludf.DUMMYFUNCTION("""COMPUTED_VALUE"""),126.54)</f>
        <v>126.54</v>
      </c>
      <c r="C5741" s="1">
        <f>IFERROR(__xludf.DUMMYFUNCTION("""COMPUTED_VALUE"""),128.95)</f>
        <v>128.95</v>
      </c>
      <c r="D5741" s="1">
        <f>IFERROR(__xludf.DUMMYFUNCTION("""COMPUTED_VALUE"""),126.48)</f>
        <v>126.48</v>
      </c>
      <c r="E5741" s="1">
        <f>IFERROR(__xludf.DUMMYFUNCTION("""COMPUTED_VALUE"""),128.58)</f>
        <v>128.58</v>
      </c>
      <c r="F5741" s="1">
        <f>IFERROR(__xludf.DUMMYFUNCTION("""COMPUTED_VALUE"""),6394604.0)</f>
        <v>6394604</v>
      </c>
    </row>
    <row r="5742">
      <c r="A5742" s="2">
        <f>IFERROR(__xludf.DUMMYFUNCTION("""COMPUTED_VALUE"""),44858.66666666667)</f>
        <v>44858.66667</v>
      </c>
      <c r="B5742" s="1">
        <f>IFERROR(__xludf.DUMMYFUNCTION("""COMPUTED_VALUE"""),129.49)</f>
        <v>129.49</v>
      </c>
      <c r="C5742" s="1">
        <f>IFERROR(__xludf.DUMMYFUNCTION("""COMPUTED_VALUE"""),130.44)</f>
        <v>130.44</v>
      </c>
      <c r="D5742" s="1">
        <f>IFERROR(__xludf.DUMMYFUNCTION("""COMPUTED_VALUE"""),128.35)</f>
        <v>128.35</v>
      </c>
      <c r="E5742" s="1">
        <f>IFERROR(__xludf.DUMMYFUNCTION("""COMPUTED_VALUE"""),129.37)</f>
        <v>129.37</v>
      </c>
      <c r="F5742" s="1">
        <f>IFERROR(__xludf.DUMMYFUNCTION("""COMPUTED_VALUE"""),6946022.0)</f>
        <v>6946022</v>
      </c>
    </row>
    <row r="5743">
      <c r="A5743" s="2">
        <f>IFERROR(__xludf.DUMMYFUNCTION("""COMPUTED_VALUE"""),44859.66666666667)</f>
        <v>44859.66667</v>
      </c>
      <c r="B5743" s="1">
        <f>IFERROR(__xludf.DUMMYFUNCTION("""COMPUTED_VALUE"""),129.6)</f>
        <v>129.6</v>
      </c>
      <c r="C5743" s="1">
        <f>IFERROR(__xludf.DUMMYFUNCTION("""COMPUTED_VALUE"""),131.18)</f>
        <v>131.18</v>
      </c>
      <c r="D5743" s="1">
        <f>IFERROR(__xludf.DUMMYFUNCTION("""COMPUTED_VALUE"""),128.47)</f>
        <v>128.47</v>
      </c>
      <c r="E5743" s="1">
        <f>IFERROR(__xludf.DUMMYFUNCTION("""COMPUTED_VALUE"""),130.86)</f>
        <v>130.86</v>
      </c>
      <c r="F5743" s="1">
        <f>IFERROR(__xludf.DUMMYFUNCTION("""COMPUTED_VALUE"""),6776004.0)</f>
        <v>6776004</v>
      </c>
    </row>
    <row r="5744">
      <c r="A5744" s="2">
        <f>IFERROR(__xludf.DUMMYFUNCTION("""COMPUTED_VALUE"""),44860.66666666667)</f>
        <v>44860.66667</v>
      </c>
      <c r="B5744" s="1">
        <f>IFERROR(__xludf.DUMMYFUNCTION("""COMPUTED_VALUE"""),130.65)</f>
        <v>130.65</v>
      </c>
      <c r="C5744" s="1">
        <f>IFERROR(__xludf.DUMMYFUNCTION("""COMPUTED_VALUE"""),132.57)</f>
        <v>132.57</v>
      </c>
      <c r="D5744" s="1">
        <f>IFERROR(__xludf.DUMMYFUNCTION("""COMPUTED_VALUE"""),130.4)</f>
        <v>130.4</v>
      </c>
      <c r="E5744" s="1">
        <f>IFERROR(__xludf.DUMMYFUNCTION("""COMPUTED_VALUE"""),131.78)</f>
        <v>131.78</v>
      </c>
      <c r="F5744" s="1">
        <f>IFERROR(__xludf.DUMMYFUNCTION("""COMPUTED_VALUE"""),6613656.0)</f>
        <v>6613656</v>
      </c>
    </row>
    <row r="5745">
      <c r="A5745" s="2">
        <f>IFERROR(__xludf.DUMMYFUNCTION("""COMPUTED_VALUE"""),44861.66666666667)</f>
        <v>44861.66667</v>
      </c>
      <c r="B5745" s="1">
        <f>IFERROR(__xludf.DUMMYFUNCTION("""COMPUTED_VALUE"""),132.0)</f>
        <v>132</v>
      </c>
      <c r="C5745" s="1">
        <f>IFERROR(__xludf.DUMMYFUNCTION("""COMPUTED_VALUE"""),133.12)</f>
        <v>133.12</v>
      </c>
      <c r="D5745" s="1">
        <f>IFERROR(__xludf.DUMMYFUNCTION("""COMPUTED_VALUE"""),131.5)</f>
        <v>131.5</v>
      </c>
      <c r="E5745" s="1">
        <f>IFERROR(__xludf.DUMMYFUNCTION("""COMPUTED_VALUE"""),131.88)</f>
        <v>131.88</v>
      </c>
      <c r="F5745" s="1">
        <f>IFERROR(__xludf.DUMMYFUNCTION("""COMPUTED_VALUE"""),6676715.0)</f>
        <v>6676715</v>
      </c>
    </row>
    <row r="5746">
      <c r="A5746" s="2">
        <f>IFERROR(__xludf.DUMMYFUNCTION("""COMPUTED_VALUE"""),44862.66666666667)</f>
        <v>44862.66667</v>
      </c>
      <c r="B5746" s="1">
        <f>IFERROR(__xludf.DUMMYFUNCTION("""COMPUTED_VALUE"""),133.17)</f>
        <v>133.17</v>
      </c>
      <c r="C5746" s="1">
        <f>IFERROR(__xludf.DUMMYFUNCTION("""COMPUTED_VALUE"""),135.51)</f>
        <v>135.51</v>
      </c>
      <c r="D5746" s="1">
        <f>IFERROR(__xludf.DUMMYFUNCTION("""COMPUTED_VALUE"""),132.92)</f>
        <v>132.92</v>
      </c>
      <c r="E5746" s="1">
        <f>IFERROR(__xludf.DUMMYFUNCTION("""COMPUTED_VALUE"""),135.22)</f>
        <v>135.22</v>
      </c>
      <c r="F5746" s="1">
        <f>IFERROR(__xludf.DUMMYFUNCTION("""COMPUTED_VALUE"""),6996421.0)</f>
        <v>6996421</v>
      </c>
    </row>
    <row r="5747">
      <c r="A5747" s="2">
        <f>IFERROR(__xludf.DUMMYFUNCTION("""COMPUTED_VALUE"""),44865.66666666667)</f>
        <v>44865.66667</v>
      </c>
      <c r="B5747" s="1">
        <f>IFERROR(__xludf.DUMMYFUNCTION("""COMPUTED_VALUE"""),135.2)</f>
        <v>135.2</v>
      </c>
      <c r="C5747" s="1">
        <f>IFERROR(__xludf.DUMMYFUNCTION("""COMPUTED_VALUE"""),135.67)</f>
        <v>135.67</v>
      </c>
      <c r="D5747" s="1">
        <f>IFERROR(__xludf.DUMMYFUNCTION("""COMPUTED_VALUE"""),134.26)</f>
        <v>134.26</v>
      </c>
      <c r="E5747" s="1">
        <f>IFERROR(__xludf.DUMMYFUNCTION("""COMPUTED_VALUE"""),134.67)</f>
        <v>134.67</v>
      </c>
      <c r="F5747" s="1">
        <f>IFERROR(__xludf.DUMMYFUNCTION("""COMPUTED_VALUE"""),8346305.0)</f>
        <v>8346305</v>
      </c>
    </row>
    <row r="5748">
      <c r="A5748" s="2">
        <f>IFERROR(__xludf.DUMMYFUNCTION("""COMPUTED_VALUE"""),44866.66666666667)</f>
        <v>44866.66667</v>
      </c>
      <c r="B5748" s="1">
        <f>IFERROR(__xludf.DUMMYFUNCTION("""COMPUTED_VALUE"""),134.7)</f>
        <v>134.7</v>
      </c>
      <c r="C5748" s="1">
        <f>IFERROR(__xludf.DUMMYFUNCTION("""COMPUTED_VALUE"""),136.28)</f>
        <v>136.28</v>
      </c>
      <c r="D5748" s="1">
        <f>IFERROR(__xludf.DUMMYFUNCTION("""COMPUTED_VALUE"""),133.84)</f>
        <v>133.84</v>
      </c>
      <c r="E5748" s="1">
        <f>IFERROR(__xludf.DUMMYFUNCTION("""COMPUTED_VALUE"""),134.88)</f>
        <v>134.88</v>
      </c>
      <c r="F5748" s="1">
        <f>IFERROR(__xludf.DUMMYFUNCTION("""COMPUTED_VALUE"""),6428377.0)</f>
        <v>6428377</v>
      </c>
    </row>
    <row r="5749">
      <c r="A5749" s="2">
        <f>IFERROR(__xludf.DUMMYFUNCTION("""COMPUTED_VALUE"""),44867.66666666667)</f>
        <v>44867.66667</v>
      </c>
      <c r="B5749" s="1">
        <f>IFERROR(__xludf.DUMMYFUNCTION("""COMPUTED_VALUE"""),134.72)</f>
        <v>134.72</v>
      </c>
      <c r="C5749" s="1">
        <f>IFERROR(__xludf.DUMMYFUNCTION("""COMPUTED_VALUE"""),136.54)</f>
        <v>136.54</v>
      </c>
      <c r="D5749" s="1">
        <f>IFERROR(__xludf.DUMMYFUNCTION("""COMPUTED_VALUE"""),132.81)</f>
        <v>132.81</v>
      </c>
      <c r="E5749" s="1">
        <f>IFERROR(__xludf.DUMMYFUNCTION("""COMPUTED_VALUE"""),132.94)</f>
        <v>132.94</v>
      </c>
      <c r="F5749" s="1">
        <f>IFERROR(__xludf.DUMMYFUNCTION("""COMPUTED_VALUE"""),7326827.0)</f>
        <v>7326827</v>
      </c>
    </row>
    <row r="5750">
      <c r="A5750" s="2">
        <f>IFERROR(__xludf.DUMMYFUNCTION("""COMPUTED_VALUE"""),44868.66666666667)</f>
        <v>44868.66667</v>
      </c>
      <c r="B5750" s="1">
        <f>IFERROR(__xludf.DUMMYFUNCTION("""COMPUTED_VALUE"""),131.73)</f>
        <v>131.73</v>
      </c>
      <c r="C5750" s="1">
        <f>IFERROR(__xludf.DUMMYFUNCTION("""COMPUTED_VALUE"""),132.64)</f>
        <v>132.64</v>
      </c>
      <c r="D5750" s="1">
        <f>IFERROR(__xludf.DUMMYFUNCTION("""COMPUTED_VALUE"""),130.96)</f>
        <v>130.96</v>
      </c>
      <c r="E5750" s="1">
        <f>IFERROR(__xludf.DUMMYFUNCTION("""COMPUTED_VALUE"""),132.03)</f>
        <v>132.03</v>
      </c>
      <c r="F5750" s="1">
        <f>IFERROR(__xludf.DUMMYFUNCTION("""COMPUTED_VALUE"""),5204163.0)</f>
        <v>5204163</v>
      </c>
    </row>
    <row r="5751">
      <c r="A5751" s="2">
        <f>IFERROR(__xludf.DUMMYFUNCTION("""COMPUTED_VALUE"""),44869.66666666667)</f>
        <v>44869.66667</v>
      </c>
      <c r="B5751" s="1">
        <f>IFERROR(__xludf.DUMMYFUNCTION("""COMPUTED_VALUE"""),133.32)</f>
        <v>133.32</v>
      </c>
      <c r="C5751" s="1">
        <f>IFERROR(__xludf.DUMMYFUNCTION("""COMPUTED_VALUE"""),135.0)</f>
        <v>135</v>
      </c>
      <c r="D5751" s="1">
        <f>IFERROR(__xludf.DUMMYFUNCTION("""COMPUTED_VALUE"""),132.52)</f>
        <v>132.52</v>
      </c>
      <c r="E5751" s="1">
        <f>IFERROR(__xludf.DUMMYFUNCTION("""COMPUTED_VALUE"""),134.44)</f>
        <v>134.44</v>
      </c>
      <c r="F5751" s="1">
        <f>IFERROR(__xludf.DUMMYFUNCTION("""COMPUTED_VALUE"""),5555471.0)</f>
        <v>5555471</v>
      </c>
    </row>
    <row r="5752">
      <c r="A5752" s="2">
        <f>IFERROR(__xludf.DUMMYFUNCTION("""COMPUTED_VALUE"""),44872.66666666667)</f>
        <v>44872.66667</v>
      </c>
      <c r="B5752" s="1">
        <f>IFERROR(__xludf.DUMMYFUNCTION("""COMPUTED_VALUE"""),135.35)</f>
        <v>135.35</v>
      </c>
      <c r="C5752" s="1">
        <f>IFERROR(__xludf.DUMMYFUNCTION("""COMPUTED_VALUE"""),137.19)</f>
        <v>137.19</v>
      </c>
      <c r="D5752" s="1">
        <f>IFERROR(__xludf.DUMMYFUNCTION("""COMPUTED_VALUE"""),135.06)</f>
        <v>135.06</v>
      </c>
      <c r="E5752" s="1">
        <f>IFERROR(__xludf.DUMMYFUNCTION("""COMPUTED_VALUE"""),136.5)</f>
        <v>136.5</v>
      </c>
      <c r="F5752" s="1">
        <f>IFERROR(__xludf.DUMMYFUNCTION("""COMPUTED_VALUE"""),6746778.0)</f>
        <v>6746778</v>
      </c>
    </row>
    <row r="5753">
      <c r="A5753" s="2">
        <f>IFERROR(__xludf.DUMMYFUNCTION("""COMPUTED_VALUE"""),44873.66666666667)</f>
        <v>44873.66667</v>
      </c>
      <c r="B5753" s="1">
        <f>IFERROR(__xludf.DUMMYFUNCTION("""COMPUTED_VALUE"""),136.82)</f>
        <v>136.82</v>
      </c>
      <c r="C5753" s="1">
        <f>IFERROR(__xludf.DUMMYFUNCTION("""COMPUTED_VALUE"""),137.52)</f>
        <v>137.52</v>
      </c>
      <c r="D5753" s="1">
        <f>IFERROR(__xludf.DUMMYFUNCTION("""COMPUTED_VALUE"""),135.8)</f>
        <v>135.8</v>
      </c>
      <c r="E5753" s="1">
        <f>IFERROR(__xludf.DUMMYFUNCTION("""COMPUTED_VALUE"""),136.81)</f>
        <v>136.81</v>
      </c>
      <c r="F5753" s="1">
        <f>IFERROR(__xludf.DUMMYFUNCTION("""COMPUTED_VALUE"""),5266204.0)</f>
        <v>5266204</v>
      </c>
    </row>
    <row r="5754">
      <c r="A5754" s="2">
        <f>IFERROR(__xludf.DUMMYFUNCTION("""COMPUTED_VALUE"""),44874.66666666667)</f>
        <v>44874.66667</v>
      </c>
      <c r="B5754" s="1">
        <f>IFERROR(__xludf.DUMMYFUNCTION("""COMPUTED_VALUE"""),136.87)</f>
        <v>136.87</v>
      </c>
      <c r="C5754" s="1">
        <f>IFERROR(__xludf.DUMMYFUNCTION("""COMPUTED_VALUE"""),137.97)</f>
        <v>137.97</v>
      </c>
      <c r="D5754" s="1">
        <f>IFERROR(__xludf.DUMMYFUNCTION("""COMPUTED_VALUE"""),136.34)</f>
        <v>136.34</v>
      </c>
      <c r="E5754" s="1">
        <f>IFERROR(__xludf.DUMMYFUNCTION("""COMPUTED_VALUE"""),136.48)</f>
        <v>136.48</v>
      </c>
      <c r="F5754" s="1">
        <f>IFERROR(__xludf.DUMMYFUNCTION("""COMPUTED_VALUE"""),5690881.0)</f>
        <v>5690881</v>
      </c>
    </row>
    <row r="5755">
      <c r="A5755" s="2">
        <f>IFERROR(__xludf.DUMMYFUNCTION("""COMPUTED_VALUE"""),44875.66666666667)</f>
        <v>44875.66667</v>
      </c>
      <c r="B5755" s="1">
        <f>IFERROR(__xludf.DUMMYFUNCTION("""COMPUTED_VALUE"""),139.46)</f>
        <v>139.46</v>
      </c>
      <c r="C5755" s="1">
        <f>IFERROR(__xludf.DUMMYFUNCTION("""COMPUTED_VALUE"""),141.63)</f>
        <v>141.63</v>
      </c>
      <c r="D5755" s="1">
        <f>IFERROR(__xludf.DUMMYFUNCTION("""COMPUTED_VALUE"""),138.2)</f>
        <v>138.2</v>
      </c>
      <c r="E5755" s="1">
        <f>IFERROR(__xludf.DUMMYFUNCTION("""COMPUTED_VALUE"""),141.18)</f>
        <v>141.18</v>
      </c>
      <c r="F5755" s="1">
        <f>IFERROR(__xludf.DUMMYFUNCTION("""COMPUTED_VALUE"""),8068902.0)</f>
        <v>8068902</v>
      </c>
    </row>
    <row r="5756">
      <c r="A5756" s="2">
        <f>IFERROR(__xludf.DUMMYFUNCTION("""COMPUTED_VALUE"""),44876.66666666667)</f>
        <v>44876.66667</v>
      </c>
      <c r="B5756" s="1">
        <f>IFERROR(__xludf.DUMMYFUNCTION("""COMPUTED_VALUE"""),141.2)</f>
        <v>141.2</v>
      </c>
      <c r="C5756" s="1">
        <f>IFERROR(__xludf.DUMMYFUNCTION("""COMPUTED_VALUE"""),141.63)</f>
        <v>141.63</v>
      </c>
      <c r="D5756" s="1">
        <f>IFERROR(__xludf.DUMMYFUNCTION("""COMPUTED_VALUE"""),139.11)</f>
        <v>139.11</v>
      </c>
      <c r="E5756" s="1">
        <f>IFERROR(__xludf.DUMMYFUNCTION("""COMPUTED_VALUE"""),140.97)</f>
        <v>140.97</v>
      </c>
      <c r="F5756" s="1">
        <f>IFERROR(__xludf.DUMMYFUNCTION("""COMPUTED_VALUE"""),7175228.0)</f>
        <v>7175228</v>
      </c>
    </row>
    <row r="5757">
      <c r="A5757" s="2">
        <f>IFERROR(__xludf.DUMMYFUNCTION("""COMPUTED_VALUE"""),44879.66666666667)</f>
        <v>44879.66667</v>
      </c>
      <c r="B5757" s="1">
        <f>IFERROR(__xludf.DUMMYFUNCTION("""COMPUTED_VALUE"""),140.51)</f>
        <v>140.51</v>
      </c>
      <c r="C5757" s="1">
        <f>IFERROR(__xludf.DUMMYFUNCTION("""COMPUTED_VALUE"""),143.56)</f>
        <v>143.56</v>
      </c>
      <c r="D5757" s="1">
        <f>IFERROR(__xludf.DUMMYFUNCTION("""COMPUTED_VALUE"""),140.26)</f>
        <v>140.26</v>
      </c>
      <c r="E5757" s="1">
        <f>IFERROR(__xludf.DUMMYFUNCTION("""COMPUTED_VALUE"""),140.98)</f>
        <v>140.98</v>
      </c>
      <c r="F5757" s="1">
        <f>IFERROR(__xludf.DUMMYFUNCTION("""COMPUTED_VALUE"""),8516206.0)</f>
        <v>8516206</v>
      </c>
    </row>
    <row r="5758">
      <c r="A5758" s="2">
        <f>IFERROR(__xludf.DUMMYFUNCTION("""COMPUTED_VALUE"""),44880.66666666667)</f>
        <v>44880.66667</v>
      </c>
      <c r="B5758" s="1">
        <f>IFERROR(__xludf.DUMMYFUNCTION("""COMPUTED_VALUE"""),142.09)</f>
        <v>142.09</v>
      </c>
      <c r="C5758" s="1">
        <f>IFERROR(__xludf.DUMMYFUNCTION("""COMPUTED_VALUE"""),143.2)</f>
        <v>143.2</v>
      </c>
      <c r="D5758" s="1">
        <f>IFERROR(__xludf.DUMMYFUNCTION("""COMPUTED_VALUE"""),139.7)</f>
        <v>139.7</v>
      </c>
      <c r="E5758" s="1">
        <f>IFERROR(__xludf.DUMMYFUNCTION("""COMPUTED_VALUE"""),140.49)</f>
        <v>140.49</v>
      </c>
      <c r="F5758" s="1">
        <f>IFERROR(__xludf.DUMMYFUNCTION("""COMPUTED_VALUE"""),7732354.0)</f>
        <v>7732354</v>
      </c>
    </row>
    <row r="5759">
      <c r="A5759" s="2">
        <f>IFERROR(__xludf.DUMMYFUNCTION("""COMPUTED_VALUE"""),44881.66666666667)</f>
        <v>44881.66667</v>
      </c>
      <c r="B5759" s="1">
        <f>IFERROR(__xludf.DUMMYFUNCTION("""COMPUTED_VALUE"""),141.5)</f>
        <v>141.5</v>
      </c>
      <c r="C5759" s="1">
        <f>IFERROR(__xludf.DUMMYFUNCTION("""COMPUTED_VALUE"""),142.91)</f>
        <v>142.91</v>
      </c>
      <c r="D5759" s="1">
        <f>IFERROR(__xludf.DUMMYFUNCTION("""COMPUTED_VALUE"""),140.98)</f>
        <v>140.98</v>
      </c>
      <c r="E5759" s="1">
        <f>IFERROR(__xludf.DUMMYFUNCTION("""COMPUTED_VALUE"""),141.74)</f>
        <v>141.74</v>
      </c>
      <c r="F5759" s="1">
        <f>IFERROR(__xludf.DUMMYFUNCTION("""COMPUTED_VALUE"""),6193736.0)</f>
        <v>6193736</v>
      </c>
    </row>
    <row r="5760">
      <c r="A5760" s="2">
        <f>IFERROR(__xludf.DUMMYFUNCTION("""COMPUTED_VALUE"""),44882.66666666667)</f>
        <v>44882.66667</v>
      </c>
      <c r="B5760" s="1">
        <f>IFERROR(__xludf.DUMMYFUNCTION("""COMPUTED_VALUE"""),141.11)</f>
        <v>141.11</v>
      </c>
      <c r="C5760" s="1">
        <f>IFERROR(__xludf.DUMMYFUNCTION("""COMPUTED_VALUE"""),141.69)</f>
        <v>141.69</v>
      </c>
      <c r="D5760" s="1">
        <f>IFERROR(__xludf.DUMMYFUNCTION("""COMPUTED_VALUE"""),139.86)</f>
        <v>139.86</v>
      </c>
      <c r="E5760" s="1">
        <f>IFERROR(__xludf.DUMMYFUNCTION("""COMPUTED_VALUE"""),140.87)</f>
        <v>140.87</v>
      </c>
      <c r="F5760" s="1">
        <f>IFERROR(__xludf.DUMMYFUNCTION("""COMPUTED_VALUE"""),5189514.0)</f>
        <v>5189514</v>
      </c>
    </row>
    <row r="5761">
      <c r="A5761" s="2">
        <f>IFERROR(__xludf.DUMMYFUNCTION("""COMPUTED_VALUE"""),44883.66666666667)</f>
        <v>44883.66667</v>
      </c>
      <c r="B5761" s="1">
        <f>IFERROR(__xludf.DUMMYFUNCTION("""COMPUTED_VALUE"""),141.92)</f>
        <v>141.92</v>
      </c>
      <c r="C5761" s="1">
        <f>IFERROR(__xludf.DUMMYFUNCTION("""COMPUTED_VALUE"""),142.76)</f>
        <v>142.76</v>
      </c>
      <c r="D5761" s="1">
        <f>IFERROR(__xludf.DUMMYFUNCTION("""COMPUTED_VALUE"""),141.27)</f>
        <v>141.27</v>
      </c>
      <c r="E5761" s="1">
        <f>IFERROR(__xludf.DUMMYFUNCTION("""COMPUTED_VALUE"""),142.57)</f>
        <v>142.57</v>
      </c>
      <c r="F5761" s="1">
        <f>IFERROR(__xludf.DUMMYFUNCTION("""COMPUTED_VALUE"""),5671628.0)</f>
        <v>5671628</v>
      </c>
    </row>
    <row r="5762">
      <c r="A5762" s="2">
        <f>IFERROR(__xludf.DUMMYFUNCTION("""COMPUTED_VALUE"""),44886.66666666667)</f>
        <v>44886.66667</v>
      </c>
      <c r="B5762" s="1">
        <f>IFERROR(__xludf.DUMMYFUNCTION("""COMPUTED_VALUE"""),143.06)</f>
        <v>143.06</v>
      </c>
      <c r="C5762" s="1">
        <f>IFERROR(__xludf.DUMMYFUNCTION("""COMPUTED_VALUE"""),145.19)</f>
        <v>145.19</v>
      </c>
      <c r="D5762" s="1">
        <f>IFERROR(__xludf.DUMMYFUNCTION("""COMPUTED_VALUE"""),142.83)</f>
        <v>142.83</v>
      </c>
      <c r="E5762" s="1">
        <f>IFERROR(__xludf.DUMMYFUNCTION("""COMPUTED_VALUE"""),144.38)</f>
        <v>144.38</v>
      </c>
      <c r="F5762" s="1">
        <f>IFERROR(__xludf.DUMMYFUNCTION("""COMPUTED_VALUE"""),6377188.0)</f>
        <v>6377188</v>
      </c>
    </row>
    <row r="5763">
      <c r="A5763" s="2">
        <f>IFERROR(__xludf.DUMMYFUNCTION("""COMPUTED_VALUE"""),44887.66666666667)</f>
        <v>44887.66667</v>
      </c>
      <c r="B5763" s="1">
        <f>IFERROR(__xludf.DUMMYFUNCTION("""COMPUTED_VALUE"""),145.43)</f>
        <v>145.43</v>
      </c>
      <c r="C5763" s="1">
        <f>IFERROR(__xludf.DUMMYFUNCTION("""COMPUTED_VALUE"""),145.79)</f>
        <v>145.79</v>
      </c>
      <c r="D5763" s="1">
        <f>IFERROR(__xludf.DUMMYFUNCTION("""COMPUTED_VALUE"""),144.84)</f>
        <v>144.84</v>
      </c>
      <c r="E5763" s="1">
        <f>IFERROR(__xludf.DUMMYFUNCTION("""COMPUTED_VALUE"""),145.62)</f>
        <v>145.62</v>
      </c>
      <c r="F5763" s="1">
        <f>IFERROR(__xludf.DUMMYFUNCTION("""COMPUTED_VALUE"""),5372884.0)</f>
        <v>5372884</v>
      </c>
    </row>
    <row r="5764">
      <c r="A5764" s="2">
        <f>IFERROR(__xludf.DUMMYFUNCTION("""COMPUTED_VALUE"""),44888.66666666667)</f>
        <v>44888.66667</v>
      </c>
      <c r="B5764" s="1">
        <f>IFERROR(__xludf.DUMMYFUNCTION("""COMPUTED_VALUE"""),145.9)</f>
        <v>145.9</v>
      </c>
      <c r="C5764" s="1">
        <f>IFERROR(__xludf.DUMMYFUNCTION("""COMPUTED_VALUE"""),146.63)</f>
        <v>146.63</v>
      </c>
      <c r="D5764" s="1">
        <f>IFERROR(__xludf.DUMMYFUNCTION("""COMPUTED_VALUE"""),145.57)</f>
        <v>145.57</v>
      </c>
      <c r="E5764" s="1">
        <f>IFERROR(__xludf.DUMMYFUNCTION("""COMPUTED_VALUE"""),146.45)</f>
        <v>146.45</v>
      </c>
      <c r="F5764" s="1">
        <f>IFERROR(__xludf.DUMMYFUNCTION("""COMPUTED_VALUE"""),4296014.0)</f>
        <v>4296014</v>
      </c>
    </row>
    <row r="5765">
      <c r="A5765" s="2">
        <f>IFERROR(__xludf.DUMMYFUNCTION("""COMPUTED_VALUE"""),44890.54166666667)</f>
        <v>44890.54167</v>
      </c>
      <c r="B5765" s="1">
        <f>IFERROR(__xludf.DUMMYFUNCTION("""COMPUTED_VALUE"""),146.79)</f>
        <v>146.79</v>
      </c>
      <c r="C5765" s="1">
        <f>IFERROR(__xludf.DUMMYFUNCTION("""COMPUTED_VALUE"""),147.2)</f>
        <v>147.2</v>
      </c>
      <c r="D5765" s="1">
        <f>IFERROR(__xludf.DUMMYFUNCTION("""COMPUTED_VALUE"""),146.4)</f>
        <v>146.4</v>
      </c>
      <c r="E5765" s="1">
        <f>IFERROR(__xludf.DUMMYFUNCTION("""COMPUTED_VALUE"""),146.72)</f>
        <v>146.72</v>
      </c>
      <c r="F5765" s="1">
        <f>IFERROR(__xludf.DUMMYFUNCTION("""COMPUTED_VALUE"""),2411113.0)</f>
        <v>2411113</v>
      </c>
    </row>
    <row r="5766">
      <c r="A5766" s="2">
        <f>IFERROR(__xludf.DUMMYFUNCTION("""COMPUTED_VALUE"""),44893.66666666667)</f>
        <v>44893.66667</v>
      </c>
      <c r="B5766" s="1">
        <f>IFERROR(__xludf.DUMMYFUNCTION("""COMPUTED_VALUE"""),146.39)</f>
        <v>146.39</v>
      </c>
      <c r="C5766" s="1">
        <f>IFERROR(__xludf.DUMMYFUNCTION("""COMPUTED_VALUE"""),147.34)</f>
        <v>147.34</v>
      </c>
      <c r="D5766" s="1">
        <f>IFERROR(__xludf.DUMMYFUNCTION("""COMPUTED_VALUE"""),146.14)</f>
        <v>146.14</v>
      </c>
      <c r="E5766" s="1">
        <f>IFERROR(__xludf.DUMMYFUNCTION("""COMPUTED_VALUE"""),146.6)</f>
        <v>146.6</v>
      </c>
      <c r="F5766" s="1">
        <f>IFERROR(__xludf.DUMMYFUNCTION("""COMPUTED_VALUE"""),6628288.0)</f>
        <v>6628288</v>
      </c>
    </row>
    <row r="5767">
      <c r="A5767" s="2">
        <f>IFERROR(__xludf.DUMMYFUNCTION("""COMPUTED_VALUE"""),44894.66666666667)</f>
        <v>44894.66667</v>
      </c>
      <c r="B5767" s="1">
        <f>IFERROR(__xludf.DUMMYFUNCTION("""COMPUTED_VALUE"""),145.75)</f>
        <v>145.75</v>
      </c>
      <c r="C5767" s="1">
        <f>IFERROR(__xludf.DUMMYFUNCTION("""COMPUTED_VALUE"""),146.06)</f>
        <v>146.06</v>
      </c>
      <c r="D5767" s="1">
        <f>IFERROR(__xludf.DUMMYFUNCTION("""COMPUTED_VALUE"""),144.53)</f>
        <v>144.53</v>
      </c>
      <c r="E5767" s="1">
        <f>IFERROR(__xludf.DUMMYFUNCTION("""COMPUTED_VALUE"""),145.48)</f>
        <v>145.48</v>
      </c>
      <c r="F5767" s="1">
        <f>IFERROR(__xludf.DUMMYFUNCTION("""COMPUTED_VALUE"""),5634161.0)</f>
        <v>5634161</v>
      </c>
    </row>
    <row r="5768">
      <c r="A5768" s="2">
        <f>IFERROR(__xludf.DUMMYFUNCTION("""COMPUTED_VALUE"""),44895.66666666667)</f>
        <v>44895.66667</v>
      </c>
      <c r="B5768" s="1">
        <f>IFERROR(__xludf.DUMMYFUNCTION("""COMPUTED_VALUE"""),145.65)</f>
        <v>145.65</v>
      </c>
      <c r="C5768" s="1">
        <f>IFERROR(__xludf.DUMMYFUNCTION("""COMPUTED_VALUE"""),149.16)</f>
        <v>149.16</v>
      </c>
      <c r="D5768" s="1">
        <f>IFERROR(__xludf.DUMMYFUNCTION("""COMPUTED_VALUE"""),145.13)</f>
        <v>145.13</v>
      </c>
      <c r="E5768" s="1">
        <f>IFERROR(__xludf.DUMMYFUNCTION("""COMPUTED_VALUE"""),149.16)</f>
        <v>149.16</v>
      </c>
      <c r="F5768" s="1">
        <f>IFERROR(__xludf.DUMMYFUNCTION("""COMPUTED_VALUE"""),1.2396781E7)</f>
        <v>12396781</v>
      </c>
    </row>
    <row r="5769">
      <c r="A5769" s="2">
        <f>IFERROR(__xludf.DUMMYFUNCTION("""COMPUTED_VALUE"""),44896.66666666667)</f>
        <v>44896.66667</v>
      </c>
      <c r="B5769" s="1">
        <f>IFERROR(__xludf.DUMMYFUNCTION("""COMPUTED_VALUE"""),149.53)</f>
        <v>149.53</v>
      </c>
      <c r="C5769" s="1">
        <f>IFERROR(__xludf.DUMMYFUNCTION("""COMPUTED_VALUE"""),150.36)</f>
        <v>150.36</v>
      </c>
      <c r="D5769" s="1">
        <f>IFERROR(__xludf.DUMMYFUNCTION("""COMPUTED_VALUE"""),148.57)</f>
        <v>148.57</v>
      </c>
      <c r="E5769" s="1">
        <f>IFERROR(__xludf.DUMMYFUNCTION("""COMPUTED_VALUE"""),149.25)</f>
        <v>149.25</v>
      </c>
      <c r="F5769" s="1">
        <f>IFERROR(__xludf.DUMMYFUNCTION("""COMPUTED_VALUE"""),6927461.0)</f>
        <v>6927461</v>
      </c>
    </row>
    <row r="5770">
      <c r="A5770" s="2">
        <f>IFERROR(__xludf.DUMMYFUNCTION("""COMPUTED_VALUE"""),44897.66666666667)</f>
        <v>44897.66667</v>
      </c>
      <c r="B5770" s="1">
        <f>IFERROR(__xludf.DUMMYFUNCTION("""COMPUTED_VALUE"""),148.47)</f>
        <v>148.47</v>
      </c>
      <c r="C5770" s="1">
        <f>IFERROR(__xludf.DUMMYFUNCTION("""COMPUTED_VALUE"""),150.77)</f>
        <v>150.77</v>
      </c>
      <c r="D5770" s="1">
        <f>IFERROR(__xludf.DUMMYFUNCTION("""COMPUTED_VALUE"""),148.08)</f>
        <v>148.08</v>
      </c>
      <c r="E5770" s="1">
        <f>IFERROR(__xludf.DUMMYFUNCTION("""COMPUTED_VALUE"""),150.61)</f>
        <v>150.61</v>
      </c>
      <c r="F5770" s="1">
        <f>IFERROR(__xludf.DUMMYFUNCTION("""COMPUTED_VALUE"""),4938278.0)</f>
        <v>4938278</v>
      </c>
    </row>
    <row r="5771">
      <c r="A5771" s="2">
        <f>IFERROR(__xludf.DUMMYFUNCTION("""COMPUTED_VALUE"""),44900.66666666667)</f>
        <v>44900.66667</v>
      </c>
      <c r="B5771" s="1">
        <f>IFERROR(__xludf.DUMMYFUNCTION("""COMPUTED_VALUE"""),148.71)</f>
        <v>148.71</v>
      </c>
      <c r="C5771" s="1">
        <f>IFERROR(__xludf.DUMMYFUNCTION("""COMPUTED_VALUE"""),149.67)</f>
        <v>149.67</v>
      </c>
      <c r="D5771" s="1">
        <f>IFERROR(__xludf.DUMMYFUNCTION("""COMPUTED_VALUE"""),148.27)</f>
        <v>148.27</v>
      </c>
      <c r="E5771" s="1">
        <f>IFERROR(__xludf.DUMMYFUNCTION("""COMPUTED_VALUE"""),149.09)</f>
        <v>149.09</v>
      </c>
      <c r="F5771" s="1">
        <f>IFERROR(__xludf.DUMMYFUNCTION("""COMPUTED_VALUE"""),5402575.0)</f>
        <v>5402575</v>
      </c>
    </row>
    <row r="5772">
      <c r="A5772" s="2">
        <f>IFERROR(__xludf.DUMMYFUNCTION("""COMPUTED_VALUE"""),44901.66666666667)</f>
        <v>44901.66667</v>
      </c>
      <c r="B5772" s="1">
        <f>IFERROR(__xludf.DUMMYFUNCTION("""COMPUTED_VALUE"""),149.72)</f>
        <v>149.72</v>
      </c>
      <c r="C5772" s="1">
        <f>IFERROR(__xludf.DUMMYFUNCTION("""COMPUTED_VALUE"""),150.08)</f>
        <v>150.08</v>
      </c>
      <c r="D5772" s="1">
        <f>IFERROR(__xludf.DUMMYFUNCTION("""COMPUTED_VALUE"""),148.28)</f>
        <v>148.28</v>
      </c>
      <c r="E5772" s="1">
        <f>IFERROR(__xludf.DUMMYFUNCTION("""COMPUTED_VALUE"""),149.28)</f>
        <v>149.28</v>
      </c>
      <c r="F5772" s="1">
        <f>IFERROR(__xludf.DUMMYFUNCTION("""COMPUTED_VALUE"""),6866696.0)</f>
        <v>6866696</v>
      </c>
    </row>
    <row r="5773">
      <c r="A5773" s="2">
        <f>IFERROR(__xludf.DUMMYFUNCTION("""COMPUTED_VALUE"""),44902.66666666667)</f>
        <v>44902.66667</v>
      </c>
      <c r="B5773" s="1">
        <f>IFERROR(__xludf.DUMMYFUNCTION("""COMPUTED_VALUE"""),149.01)</f>
        <v>149.01</v>
      </c>
      <c r="C5773" s="1">
        <f>IFERROR(__xludf.DUMMYFUNCTION("""COMPUTED_VALUE"""),150.43)</f>
        <v>150.43</v>
      </c>
      <c r="D5773" s="1">
        <f>IFERROR(__xludf.DUMMYFUNCTION("""COMPUTED_VALUE"""),149.01)</f>
        <v>149.01</v>
      </c>
      <c r="E5773" s="1">
        <f>IFERROR(__xludf.DUMMYFUNCTION("""COMPUTED_VALUE"""),150.24)</f>
        <v>150.24</v>
      </c>
      <c r="F5773" s="1">
        <f>IFERROR(__xludf.DUMMYFUNCTION("""COMPUTED_VALUE"""),6175459.0)</f>
        <v>6175459</v>
      </c>
    </row>
    <row r="5774">
      <c r="A5774" s="2">
        <f>IFERROR(__xludf.DUMMYFUNCTION("""COMPUTED_VALUE"""),44903.66666666667)</f>
        <v>44903.66667</v>
      </c>
      <c r="B5774" s="1">
        <f>IFERROR(__xludf.DUMMYFUNCTION("""COMPUTED_VALUE"""),149.46)</f>
        <v>149.46</v>
      </c>
      <c r="C5774" s="1">
        <f>IFERROR(__xludf.DUMMYFUNCTION("""COMPUTED_VALUE"""),151.38)</f>
        <v>151.38</v>
      </c>
      <c r="D5774" s="1">
        <f>IFERROR(__xludf.DUMMYFUNCTION("""COMPUTED_VALUE"""),149.01)</f>
        <v>149.01</v>
      </c>
      <c r="E5774" s="1">
        <f>IFERROR(__xludf.DUMMYFUNCTION("""COMPUTED_VALUE"""),151.32)</f>
        <v>151.32</v>
      </c>
      <c r="F5774" s="1">
        <f>IFERROR(__xludf.DUMMYFUNCTION("""COMPUTED_VALUE"""),5187058.0)</f>
        <v>5187058</v>
      </c>
    </row>
    <row r="5775">
      <c r="A5775" s="2">
        <f>IFERROR(__xludf.DUMMYFUNCTION("""COMPUTED_VALUE"""),44904.66666666667)</f>
        <v>44904.66667</v>
      </c>
      <c r="B5775" s="1">
        <f>IFERROR(__xludf.DUMMYFUNCTION("""COMPUTED_VALUE"""),150.7)</f>
        <v>150.7</v>
      </c>
      <c r="C5775" s="1">
        <f>IFERROR(__xludf.DUMMYFUNCTION("""COMPUTED_VALUE"""),151.95)</f>
        <v>151.95</v>
      </c>
      <c r="D5775" s="1">
        <f>IFERROR(__xludf.DUMMYFUNCTION("""COMPUTED_VALUE"""),150.22)</f>
        <v>150.22</v>
      </c>
      <c r="E5775" s="1">
        <f>IFERROR(__xludf.DUMMYFUNCTION("""COMPUTED_VALUE"""),150.92)</f>
        <v>150.92</v>
      </c>
      <c r="F5775" s="1">
        <f>IFERROR(__xludf.DUMMYFUNCTION("""COMPUTED_VALUE"""),5868231.0)</f>
        <v>5868231</v>
      </c>
    </row>
    <row r="5776">
      <c r="A5776" s="2">
        <f>IFERROR(__xludf.DUMMYFUNCTION("""COMPUTED_VALUE"""),44907.66666666667)</f>
        <v>44907.66667</v>
      </c>
      <c r="B5776" s="1">
        <f>IFERROR(__xludf.DUMMYFUNCTION("""COMPUTED_VALUE"""),151.22)</f>
        <v>151.22</v>
      </c>
      <c r="C5776" s="1">
        <f>IFERROR(__xludf.DUMMYFUNCTION("""COMPUTED_VALUE"""),152.56)</f>
        <v>152.56</v>
      </c>
      <c r="D5776" s="1">
        <f>IFERROR(__xludf.DUMMYFUNCTION("""COMPUTED_VALUE"""),151.04)</f>
        <v>151.04</v>
      </c>
      <c r="E5776" s="1">
        <f>IFERROR(__xludf.DUMMYFUNCTION("""COMPUTED_VALUE"""),152.47)</f>
        <v>152.47</v>
      </c>
      <c r="F5776" s="1">
        <f>IFERROR(__xludf.DUMMYFUNCTION("""COMPUTED_VALUE"""),6142366.0)</f>
        <v>6142366</v>
      </c>
    </row>
    <row r="5777">
      <c r="A5777" s="2">
        <f>IFERROR(__xludf.DUMMYFUNCTION("""COMPUTED_VALUE"""),44908.66666666667)</f>
        <v>44908.66667</v>
      </c>
      <c r="B5777" s="1">
        <f>IFERROR(__xludf.DUMMYFUNCTION("""COMPUTED_VALUE"""),153.41)</f>
        <v>153.41</v>
      </c>
      <c r="C5777" s="1">
        <f>IFERROR(__xludf.DUMMYFUNCTION("""COMPUTED_VALUE"""),154.23)</f>
        <v>154.23</v>
      </c>
      <c r="D5777" s="1">
        <f>IFERROR(__xludf.DUMMYFUNCTION("""COMPUTED_VALUE"""),150.79)</f>
        <v>150.79</v>
      </c>
      <c r="E5777" s="1">
        <f>IFERROR(__xludf.DUMMYFUNCTION("""COMPUTED_VALUE"""),152.24)</f>
        <v>152.24</v>
      </c>
      <c r="F5777" s="1">
        <f>IFERROR(__xludf.DUMMYFUNCTION("""COMPUTED_VALUE"""),7680599.0)</f>
        <v>7680599</v>
      </c>
    </row>
    <row r="5778">
      <c r="A5778" s="2">
        <f>IFERROR(__xludf.DUMMYFUNCTION("""COMPUTED_VALUE"""),44909.66666666667)</f>
        <v>44909.66667</v>
      </c>
      <c r="B5778" s="1">
        <f>IFERROR(__xludf.DUMMYFUNCTION("""COMPUTED_VALUE"""),152.79)</f>
        <v>152.79</v>
      </c>
      <c r="C5778" s="1">
        <f>IFERROR(__xludf.DUMMYFUNCTION("""COMPUTED_VALUE"""),154.44)</f>
        <v>154.44</v>
      </c>
      <c r="D5778" s="1">
        <f>IFERROR(__xludf.DUMMYFUNCTION("""COMPUTED_VALUE"""),152.17)</f>
        <v>152.17</v>
      </c>
      <c r="E5778" s="1">
        <f>IFERROR(__xludf.DUMMYFUNCTION("""COMPUTED_VALUE"""),152.84)</f>
        <v>152.84</v>
      </c>
      <c r="F5778" s="1">
        <f>IFERROR(__xludf.DUMMYFUNCTION("""COMPUTED_VALUE"""),7385563.0)</f>
        <v>7385563</v>
      </c>
    </row>
    <row r="5779">
      <c r="A5779" s="2">
        <f>IFERROR(__xludf.DUMMYFUNCTION("""COMPUTED_VALUE"""),44910.66666666667)</f>
        <v>44910.66667</v>
      </c>
      <c r="B5779" s="1">
        <f>IFERROR(__xludf.DUMMYFUNCTION("""COMPUTED_VALUE"""),151.72)</f>
        <v>151.72</v>
      </c>
      <c r="C5779" s="1">
        <f>IFERROR(__xludf.DUMMYFUNCTION("""COMPUTED_VALUE"""),152.0)</f>
        <v>152</v>
      </c>
      <c r="D5779" s="1">
        <f>IFERROR(__xludf.DUMMYFUNCTION("""COMPUTED_VALUE"""),149.74)</f>
        <v>149.74</v>
      </c>
      <c r="E5779" s="1">
        <f>IFERROR(__xludf.DUMMYFUNCTION("""COMPUTED_VALUE"""),151.11)</f>
        <v>151.11</v>
      </c>
      <c r="F5779" s="1">
        <f>IFERROR(__xludf.DUMMYFUNCTION("""COMPUTED_VALUE"""),7117943.0)</f>
        <v>7117943</v>
      </c>
    </row>
    <row r="5780">
      <c r="A5780" s="2">
        <f>IFERROR(__xludf.DUMMYFUNCTION("""COMPUTED_VALUE"""),44911.66666666667)</f>
        <v>44911.66667</v>
      </c>
      <c r="B5780" s="1">
        <f>IFERROR(__xludf.DUMMYFUNCTION("""COMPUTED_VALUE"""),150.36)</f>
        <v>150.36</v>
      </c>
      <c r="C5780" s="1">
        <f>IFERROR(__xludf.DUMMYFUNCTION("""COMPUTED_VALUE"""),151.07)</f>
        <v>151.07</v>
      </c>
      <c r="D5780" s="1">
        <f>IFERROR(__xludf.DUMMYFUNCTION("""COMPUTED_VALUE"""),149.02)</f>
        <v>149.02</v>
      </c>
      <c r="E5780" s="1">
        <f>IFERROR(__xludf.DUMMYFUNCTION("""COMPUTED_VALUE"""),150.44)</f>
        <v>150.44</v>
      </c>
      <c r="F5780" s="1">
        <f>IFERROR(__xludf.DUMMYFUNCTION("""COMPUTED_VALUE"""),1.996641E7)</f>
        <v>19966410</v>
      </c>
    </row>
    <row r="5781">
      <c r="A5781" s="2">
        <f>IFERROR(__xludf.DUMMYFUNCTION("""COMPUTED_VALUE"""),44914.66666666667)</f>
        <v>44914.66667</v>
      </c>
      <c r="B5781" s="1">
        <f>IFERROR(__xludf.DUMMYFUNCTION("""COMPUTED_VALUE"""),150.22)</f>
        <v>150.22</v>
      </c>
      <c r="C5781" s="1">
        <f>IFERROR(__xludf.DUMMYFUNCTION("""COMPUTED_VALUE"""),151.38)</f>
        <v>151.38</v>
      </c>
      <c r="D5781" s="1">
        <f>IFERROR(__xludf.DUMMYFUNCTION("""COMPUTED_VALUE"""),149.24)</f>
        <v>149.24</v>
      </c>
      <c r="E5781" s="1">
        <f>IFERROR(__xludf.DUMMYFUNCTION("""COMPUTED_VALUE"""),150.4)</f>
        <v>150.4</v>
      </c>
      <c r="F5781" s="1">
        <f>IFERROR(__xludf.DUMMYFUNCTION("""COMPUTED_VALUE"""),5881793.0)</f>
        <v>5881793</v>
      </c>
    </row>
    <row r="5782">
      <c r="A5782" s="2">
        <f>IFERROR(__xludf.DUMMYFUNCTION("""COMPUTED_VALUE"""),44915.66666666667)</f>
        <v>44915.66667</v>
      </c>
      <c r="B5782" s="1">
        <f>IFERROR(__xludf.DUMMYFUNCTION("""COMPUTED_VALUE"""),149.32)</f>
        <v>149.32</v>
      </c>
      <c r="C5782" s="1">
        <f>IFERROR(__xludf.DUMMYFUNCTION("""COMPUTED_VALUE"""),150.9)</f>
        <v>150.9</v>
      </c>
      <c r="D5782" s="1">
        <f>IFERROR(__xludf.DUMMYFUNCTION("""COMPUTED_VALUE"""),149.27)</f>
        <v>149.27</v>
      </c>
      <c r="E5782" s="1">
        <f>IFERROR(__xludf.DUMMYFUNCTION("""COMPUTED_VALUE"""),150.46)</f>
        <v>150.46</v>
      </c>
      <c r="F5782" s="1">
        <f>IFERROR(__xludf.DUMMYFUNCTION("""COMPUTED_VALUE"""),5646275.0)</f>
        <v>5646275</v>
      </c>
    </row>
    <row r="5783">
      <c r="A5783" s="2">
        <f>IFERROR(__xludf.DUMMYFUNCTION("""COMPUTED_VALUE"""),44916.66666666667)</f>
        <v>44916.66667</v>
      </c>
      <c r="B5783" s="1">
        <f>IFERROR(__xludf.DUMMYFUNCTION("""COMPUTED_VALUE"""),150.75)</f>
        <v>150.75</v>
      </c>
      <c r="C5783" s="1">
        <f>IFERROR(__xludf.DUMMYFUNCTION("""COMPUTED_VALUE"""),152.63)</f>
        <v>152.63</v>
      </c>
      <c r="D5783" s="1">
        <f>IFERROR(__xludf.DUMMYFUNCTION("""COMPUTED_VALUE"""),150.72)</f>
        <v>150.72</v>
      </c>
      <c r="E5783" s="1">
        <f>IFERROR(__xludf.DUMMYFUNCTION("""COMPUTED_VALUE"""),151.84)</f>
        <v>151.84</v>
      </c>
      <c r="F5783" s="1">
        <f>IFERROR(__xludf.DUMMYFUNCTION("""COMPUTED_VALUE"""),5024739.0)</f>
        <v>5024739</v>
      </c>
    </row>
    <row r="5784">
      <c r="A5784" s="2">
        <f>IFERROR(__xludf.DUMMYFUNCTION("""COMPUTED_VALUE"""),44917.66666666667)</f>
        <v>44917.66667</v>
      </c>
      <c r="B5784" s="1">
        <f>IFERROR(__xludf.DUMMYFUNCTION("""COMPUTED_VALUE"""),151.13)</f>
        <v>151.13</v>
      </c>
      <c r="C5784" s="1">
        <f>IFERROR(__xludf.DUMMYFUNCTION("""COMPUTED_VALUE"""),152.41)</f>
        <v>152.41</v>
      </c>
      <c r="D5784" s="1">
        <f>IFERROR(__xludf.DUMMYFUNCTION("""COMPUTED_VALUE"""),150.88)</f>
        <v>150.88</v>
      </c>
      <c r="E5784" s="1">
        <f>IFERROR(__xludf.DUMMYFUNCTION("""COMPUTED_VALUE"""),152.19)</f>
        <v>152.19</v>
      </c>
      <c r="F5784" s="1">
        <f>IFERROR(__xludf.DUMMYFUNCTION("""COMPUTED_VALUE"""),5905909.0)</f>
        <v>5905909</v>
      </c>
    </row>
    <row r="5785">
      <c r="A5785" s="2">
        <f>IFERROR(__xludf.DUMMYFUNCTION("""COMPUTED_VALUE"""),44918.66666666667)</f>
        <v>44918.66667</v>
      </c>
      <c r="B5785" s="1">
        <f>IFERROR(__xludf.DUMMYFUNCTION("""COMPUTED_VALUE"""),152.31)</f>
        <v>152.31</v>
      </c>
      <c r="C5785" s="1">
        <f>IFERROR(__xludf.DUMMYFUNCTION("""COMPUTED_VALUE"""),152.92)</f>
        <v>152.92</v>
      </c>
      <c r="D5785" s="1">
        <f>IFERROR(__xludf.DUMMYFUNCTION("""COMPUTED_VALUE"""),151.67)</f>
        <v>151.67</v>
      </c>
      <c r="E5785" s="1">
        <f>IFERROR(__xludf.DUMMYFUNCTION("""COMPUTED_VALUE"""),152.62)</f>
        <v>152.62</v>
      </c>
      <c r="F5785" s="1">
        <f>IFERROR(__xludf.DUMMYFUNCTION("""COMPUTED_VALUE"""),3401860.0)</f>
        <v>3401860</v>
      </c>
    </row>
    <row r="5786">
      <c r="A5786" s="2">
        <f>IFERROR(__xludf.DUMMYFUNCTION("""COMPUTED_VALUE"""),44922.66666666667)</f>
        <v>44922.66667</v>
      </c>
      <c r="B5786" s="1">
        <f>IFERROR(__xludf.DUMMYFUNCTION("""COMPUTED_VALUE"""),152.7)</f>
        <v>152.7</v>
      </c>
      <c r="C5786" s="1">
        <f>IFERROR(__xludf.DUMMYFUNCTION("""COMPUTED_VALUE"""),154.32)</f>
        <v>154.32</v>
      </c>
      <c r="D5786" s="1">
        <f>IFERROR(__xludf.DUMMYFUNCTION("""COMPUTED_VALUE"""),152.66)</f>
        <v>152.66</v>
      </c>
      <c r="E5786" s="1">
        <f>IFERROR(__xludf.DUMMYFUNCTION("""COMPUTED_VALUE"""),153.95)</f>
        <v>153.95</v>
      </c>
      <c r="F5786" s="1">
        <f>IFERROR(__xludf.DUMMYFUNCTION("""COMPUTED_VALUE"""),4215100.0)</f>
        <v>4215100</v>
      </c>
    </row>
    <row r="5787">
      <c r="A5787" s="2">
        <f>IFERROR(__xludf.DUMMYFUNCTION("""COMPUTED_VALUE"""),44923.66666666667)</f>
        <v>44923.66667</v>
      </c>
      <c r="B5787" s="1">
        <f>IFERROR(__xludf.DUMMYFUNCTION("""COMPUTED_VALUE"""),154.28)</f>
        <v>154.28</v>
      </c>
      <c r="C5787" s="1">
        <f>IFERROR(__xludf.DUMMYFUNCTION("""COMPUTED_VALUE"""),154.65)</f>
        <v>154.65</v>
      </c>
      <c r="D5787" s="1">
        <f>IFERROR(__xludf.DUMMYFUNCTION("""COMPUTED_VALUE"""),151.9)</f>
        <v>151.9</v>
      </c>
      <c r="E5787" s="1">
        <f>IFERROR(__xludf.DUMMYFUNCTION("""COMPUTED_VALUE"""),151.96)</f>
        <v>151.96</v>
      </c>
      <c r="F5787" s="1">
        <f>IFERROR(__xludf.DUMMYFUNCTION("""COMPUTED_VALUE"""),4197560.0)</f>
        <v>4197560</v>
      </c>
    </row>
    <row r="5788">
      <c r="A5788" s="2">
        <f>IFERROR(__xludf.DUMMYFUNCTION("""COMPUTED_VALUE"""),44924.66666666667)</f>
        <v>44924.66667</v>
      </c>
      <c r="B5788" s="1">
        <f>IFERROR(__xludf.DUMMYFUNCTION("""COMPUTED_VALUE"""),152.81)</f>
        <v>152.81</v>
      </c>
      <c r="C5788" s="1">
        <f>IFERROR(__xludf.DUMMYFUNCTION("""COMPUTED_VALUE"""),153.24)</f>
        <v>153.24</v>
      </c>
      <c r="D5788" s="1">
        <f>IFERROR(__xludf.DUMMYFUNCTION("""COMPUTED_VALUE"""),152.14)</f>
        <v>152.14</v>
      </c>
      <c r="E5788" s="1">
        <f>IFERROR(__xludf.DUMMYFUNCTION("""COMPUTED_VALUE"""),152.59)</f>
        <v>152.59</v>
      </c>
      <c r="F5788" s="1">
        <f>IFERROR(__xludf.DUMMYFUNCTION("""COMPUTED_VALUE"""),3809088.0)</f>
        <v>3809088</v>
      </c>
    </row>
    <row r="5789">
      <c r="A5789" s="2">
        <f>IFERROR(__xludf.DUMMYFUNCTION("""COMPUTED_VALUE"""),44925.66666666667)</f>
        <v>44925.66667</v>
      </c>
      <c r="B5789" s="1">
        <f>IFERROR(__xludf.DUMMYFUNCTION("""COMPUTED_VALUE"""),152.43)</f>
        <v>152.43</v>
      </c>
      <c r="C5789" s="1">
        <f>IFERROR(__xludf.DUMMYFUNCTION("""COMPUTED_VALUE"""),152.68)</f>
        <v>152.68</v>
      </c>
      <c r="D5789" s="1">
        <f>IFERROR(__xludf.DUMMYFUNCTION("""COMPUTED_VALUE"""),150.44)</f>
        <v>150.44</v>
      </c>
      <c r="E5789" s="1">
        <f>IFERROR(__xludf.DUMMYFUNCTION("""COMPUTED_VALUE"""),151.56)</f>
        <v>151.56</v>
      </c>
      <c r="F5789" s="1">
        <f>IFERROR(__xludf.DUMMYFUNCTION("""COMPUTED_VALUE"""),4532157.0)</f>
        <v>4532157</v>
      </c>
    </row>
    <row r="5790">
      <c r="A5790" s="2">
        <f>IFERROR(__xludf.DUMMYFUNCTION("""COMPUTED_VALUE"""),44929.66666666667)</f>
        <v>44929.66667</v>
      </c>
      <c r="B5790" s="1">
        <f>IFERROR(__xludf.DUMMYFUNCTION("""COMPUTED_VALUE"""),150.95)</f>
        <v>150.95</v>
      </c>
      <c r="C5790" s="1">
        <f>IFERROR(__xludf.DUMMYFUNCTION("""COMPUTED_VALUE"""),151.71)</f>
        <v>151.71</v>
      </c>
      <c r="D5790" s="1">
        <f>IFERROR(__xludf.DUMMYFUNCTION("""COMPUTED_VALUE"""),149.12)</f>
        <v>149.12</v>
      </c>
      <c r="E5790" s="1">
        <f>IFERROR(__xludf.DUMMYFUNCTION("""COMPUTED_VALUE"""),151.57)</f>
        <v>151.57</v>
      </c>
      <c r="F5790" s="1">
        <f>IFERROR(__xludf.DUMMYFUNCTION("""COMPUTED_VALUE"""),6447341.0)</f>
        <v>6447341</v>
      </c>
    </row>
    <row r="5791">
      <c r="A5791" s="2">
        <f>IFERROR(__xludf.DUMMYFUNCTION("""COMPUTED_VALUE"""),44930.66666666667)</f>
        <v>44930.66667</v>
      </c>
      <c r="B5791" s="1">
        <f>IFERROR(__xludf.DUMMYFUNCTION("""COMPUTED_VALUE"""),151.99)</f>
        <v>151.99</v>
      </c>
      <c r="C5791" s="1">
        <f>IFERROR(__xludf.DUMMYFUNCTION("""COMPUTED_VALUE"""),153.39)</f>
        <v>153.39</v>
      </c>
      <c r="D5791" s="1">
        <f>IFERROR(__xludf.DUMMYFUNCTION("""COMPUTED_VALUE"""),151.23)</f>
        <v>151.23</v>
      </c>
      <c r="E5791" s="1">
        <f>IFERROR(__xludf.DUMMYFUNCTION("""COMPUTED_VALUE"""),152.23)</f>
        <v>152.23</v>
      </c>
      <c r="F5791" s="1">
        <f>IFERROR(__xludf.DUMMYFUNCTION("""COMPUTED_VALUE"""),7313373.0)</f>
        <v>7313373</v>
      </c>
    </row>
    <row r="5792">
      <c r="A5792" s="2">
        <f>IFERROR(__xludf.DUMMYFUNCTION("""COMPUTED_VALUE"""),44931.66666666667)</f>
        <v>44931.66667</v>
      </c>
      <c r="B5792" s="1">
        <f>IFERROR(__xludf.DUMMYFUNCTION("""COMPUTED_VALUE"""),152.21)</f>
        <v>152.21</v>
      </c>
      <c r="C5792" s="1">
        <f>IFERROR(__xludf.DUMMYFUNCTION("""COMPUTED_VALUE"""),152.48)</f>
        <v>152.48</v>
      </c>
      <c r="D5792" s="1">
        <f>IFERROR(__xludf.DUMMYFUNCTION("""COMPUTED_VALUE"""),150.13)</f>
        <v>150.13</v>
      </c>
      <c r="E5792" s="1">
        <f>IFERROR(__xludf.DUMMYFUNCTION("""COMPUTED_VALUE"""),150.34)</f>
        <v>150.34</v>
      </c>
      <c r="F5792" s="1">
        <f>IFERROR(__xludf.DUMMYFUNCTION("""COMPUTED_VALUE"""),5373998.0)</f>
        <v>5373998</v>
      </c>
    </row>
    <row r="5793">
      <c r="A5793" s="2">
        <f>IFERROR(__xludf.DUMMYFUNCTION("""COMPUTED_VALUE"""),44932.66666666667)</f>
        <v>44932.66667</v>
      </c>
      <c r="B5793" s="1">
        <f>IFERROR(__xludf.DUMMYFUNCTION("""COMPUTED_VALUE"""),151.85)</f>
        <v>151.85</v>
      </c>
      <c r="C5793" s="1">
        <f>IFERROR(__xludf.DUMMYFUNCTION("""COMPUTED_VALUE"""),154.46)</f>
        <v>154.46</v>
      </c>
      <c r="D5793" s="1">
        <f>IFERROR(__xludf.DUMMYFUNCTION("""COMPUTED_VALUE"""),151.75)</f>
        <v>151.75</v>
      </c>
      <c r="E5793" s="1">
        <f>IFERROR(__xludf.DUMMYFUNCTION("""COMPUTED_VALUE"""),153.92)</f>
        <v>153.92</v>
      </c>
      <c r="F5793" s="1">
        <f>IFERROR(__xludf.DUMMYFUNCTION("""COMPUTED_VALUE"""),7882208.0)</f>
        <v>7882208</v>
      </c>
    </row>
    <row r="5794">
      <c r="A5794" s="2">
        <f>IFERROR(__xludf.DUMMYFUNCTION("""COMPUTED_VALUE"""),44935.66666666667)</f>
        <v>44935.66667</v>
      </c>
      <c r="B5794" s="1">
        <f>IFERROR(__xludf.DUMMYFUNCTION("""COMPUTED_VALUE"""),153.44)</f>
        <v>153.44</v>
      </c>
      <c r="C5794" s="1">
        <f>IFERROR(__xludf.DUMMYFUNCTION("""COMPUTED_VALUE"""),154.8)</f>
        <v>154.8</v>
      </c>
      <c r="D5794" s="1">
        <f>IFERROR(__xludf.DUMMYFUNCTION("""COMPUTED_VALUE"""),152.0)</f>
        <v>152</v>
      </c>
      <c r="E5794" s="1">
        <f>IFERROR(__xludf.DUMMYFUNCTION("""COMPUTED_VALUE"""),152.04)</f>
        <v>152.04</v>
      </c>
      <c r="F5794" s="1">
        <f>IFERROR(__xludf.DUMMYFUNCTION("""COMPUTED_VALUE"""),5727156.0)</f>
        <v>5727156</v>
      </c>
    </row>
    <row r="5795">
      <c r="A5795" s="2">
        <f>IFERROR(__xludf.DUMMYFUNCTION("""COMPUTED_VALUE"""),44936.66666666667)</f>
        <v>44936.66667</v>
      </c>
      <c r="B5795" s="1">
        <f>IFERROR(__xludf.DUMMYFUNCTION("""COMPUTED_VALUE"""),152.1)</f>
        <v>152.1</v>
      </c>
      <c r="C5795" s="1">
        <f>IFERROR(__xludf.DUMMYFUNCTION("""COMPUTED_VALUE"""),152.7)</f>
        <v>152.7</v>
      </c>
      <c r="D5795" s="1">
        <f>IFERROR(__xludf.DUMMYFUNCTION("""COMPUTED_VALUE"""),150.94)</f>
        <v>150.94</v>
      </c>
      <c r="E5795" s="1">
        <f>IFERROR(__xludf.DUMMYFUNCTION("""COMPUTED_VALUE"""),151.89)</f>
        <v>151.89</v>
      </c>
      <c r="F5795" s="1">
        <f>IFERROR(__xludf.DUMMYFUNCTION("""COMPUTED_VALUE"""),4716522.0)</f>
        <v>4716522</v>
      </c>
    </row>
    <row r="5796">
      <c r="A5796" s="2">
        <f>IFERROR(__xludf.DUMMYFUNCTION("""COMPUTED_VALUE"""),44937.66666666667)</f>
        <v>44937.66667</v>
      </c>
      <c r="B5796" s="1">
        <f>IFERROR(__xludf.DUMMYFUNCTION("""COMPUTED_VALUE"""),152.32)</f>
        <v>152.32</v>
      </c>
      <c r="C5796" s="1">
        <f>IFERROR(__xludf.DUMMYFUNCTION("""COMPUTED_VALUE"""),152.56)</f>
        <v>152.56</v>
      </c>
      <c r="D5796" s="1">
        <f>IFERROR(__xludf.DUMMYFUNCTION("""COMPUTED_VALUE"""),149.35)</f>
        <v>149.35</v>
      </c>
      <c r="E5796" s="1">
        <f>IFERROR(__xludf.DUMMYFUNCTION("""COMPUTED_VALUE"""),150.66)</f>
        <v>150.66</v>
      </c>
      <c r="F5796" s="1">
        <f>IFERROR(__xludf.DUMMYFUNCTION("""COMPUTED_VALUE"""),8691287.0)</f>
        <v>8691287</v>
      </c>
    </row>
    <row r="5797">
      <c r="A5797" s="2">
        <f>IFERROR(__xludf.DUMMYFUNCTION("""COMPUTED_VALUE"""),44938.66666666667)</f>
        <v>44938.66667</v>
      </c>
      <c r="B5797" s="1">
        <f>IFERROR(__xludf.DUMMYFUNCTION("""COMPUTED_VALUE"""),151.7)</f>
        <v>151.7</v>
      </c>
      <c r="C5797" s="1">
        <f>IFERROR(__xludf.DUMMYFUNCTION("""COMPUTED_VALUE"""),151.73)</f>
        <v>151.73</v>
      </c>
      <c r="D5797" s="1">
        <f>IFERROR(__xludf.DUMMYFUNCTION("""COMPUTED_VALUE"""),149.52)</f>
        <v>149.52</v>
      </c>
      <c r="E5797" s="1">
        <f>IFERROR(__xludf.DUMMYFUNCTION("""COMPUTED_VALUE"""),149.81)</f>
        <v>149.81</v>
      </c>
      <c r="F5797" s="1">
        <f>IFERROR(__xludf.DUMMYFUNCTION("""COMPUTED_VALUE"""),7801586.0)</f>
        <v>7801586</v>
      </c>
    </row>
    <row r="5798">
      <c r="A5798" s="2">
        <f>IFERROR(__xludf.DUMMYFUNCTION("""COMPUTED_VALUE"""),44939.66666666667)</f>
        <v>44939.66667</v>
      </c>
      <c r="B5798" s="1">
        <f>IFERROR(__xludf.DUMMYFUNCTION("""COMPUTED_VALUE"""),149.61)</f>
        <v>149.61</v>
      </c>
      <c r="C5798" s="1">
        <f>IFERROR(__xludf.DUMMYFUNCTION("""COMPUTED_VALUE"""),151.05)</f>
        <v>151.05</v>
      </c>
      <c r="D5798" s="1">
        <f>IFERROR(__xludf.DUMMYFUNCTION("""COMPUTED_VALUE"""),149.42)</f>
        <v>149.42</v>
      </c>
      <c r="E5798" s="1">
        <f>IFERROR(__xludf.DUMMYFUNCTION("""COMPUTED_VALUE"""),150.88)</f>
        <v>150.88</v>
      </c>
      <c r="F5798" s="1">
        <f>IFERROR(__xludf.DUMMYFUNCTION("""COMPUTED_VALUE"""),5535776.0)</f>
        <v>5535776</v>
      </c>
    </row>
    <row r="5799">
      <c r="A5799" s="2">
        <f>IFERROR(__xludf.DUMMYFUNCTION("""COMPUTED_VALUE"""),44943.66666666667)</f>
        <v>44943.66667</v>
      </c>
      <c r="B5799" s="1">
        <f>IFERROR(__xludf.DUMMYFUNCTION("""COMPUTED_VALUE"""),150.79)</f>
        <v>150.79</v>
      </c>
      <c r="C5799" s="1">
        <f>IFERROR(__xludf.DUMMYFUNCTION("""COMPUTED_VALUE"""),152.13)</f>
        <v>152.13</v>
      </c>
      <c r="D5799" s="1">
        <f>IFERROR(__xludf.DUMMYFUNCTION("""COMPUTED_VALUE"""),150.4)</f>
        <v>150.4</v>
      </c>
      <c r="E5799" s="1">
        <f>IFERROR(__xludf.DUMMYFUNCTION("""COMPUTED_VALUE"""),150.44)</f>
        <v>150.44</v>
      </c>
      <c r="F5799" s="1">
        <f>IFERROR(__xludf.DUMMYFUNCTION("""COMPUTED_VALUE"""),9611836.0)</f>
        <v>9611836</v>
      </c>
    </row>
    <row r="5800">
      <c r="A5800" s="2">
        <f>IFERROR(__xludf.DUMMYFUNCTION("""COMPUTED_VALUE"""),44944.66666666667)</f>
        <v>44944.66667</v>
      </c>
      <c r="B5800" s="1">
        <f>IFERROR(__xludf.DUMMYFUNCTION("""COMPUTED_VALUE"""),149.66)</f>
        <v>149.66</v>
      </c>
      <c r="C5800" s="1">
        <f>IFERROR(__xludf.DUMMYFUNCTION("""COMPUTED_VALUE"""),149.93)</f>
        <v>149.93</v>
      </c>
      <c r="D5800" s="1">
        <f>IFERROR(__xludf.DUMMYFUNCTION("""COMPUTED_VALUE"""),146.04)</f>
        <v>146.04</v>
      </c>
      <c r="E5800" s="1">
        <f>IFERROR(__xludf.DUMMYFUNCTION("""COMPUTED_VALUE"""),146.41)</f>
        <v>146.41</v>
      </c>
      <c r="F5800" s="1">
        <f>IFERROR(__xludf.DUMMYFUNCTION("""COMPUTED_VALUE"""),1.0461183E7)</f>
        <v>10461183</v>
      </c>
    </row>
    <row r="5801">
      <c r="A5801" s="2">
        <f>IFERROR(__xludf.DUMMYFUNCTION("""COMPUTED_VALUE"""),44945.66666666667)</f>
        <v>44945.66667</v>
      </c>
      <c r="B5801" s="1">
        <f>IFERROR(__xludf.DUMMYFUNCTION("""COMPUTED_VALUE"""),143.31)</f>
        <v>143.31</v>
      </c>
      <c r="C5801" s="1">
        <f>IFERROR(__xludf.DUMMYFUNCTION("""COMPUTED_VALUE"""),146.22)</f>
        <v>146.22</v>
      </c>
      <c r="D5801" s="1">
        <f>IFERROR(__xludf.DUMMYFUNCTION("""COMPUTED_VALUE"""),142.24)</f>
        <v>142.24</v>
      </c>
      <c r="E5801" s="1">
        <f>IFERROR(__xludf.DUMMYFUNCTION("""COMPUTED_VALUE"""),142.42)</f>
        <v>142.42</v>
      </c>
      <c r="F5801" s="1">
        <f>IFERROR(__xludf.DUMMYFUNCTION("""COMPUTED_VALUE"""),1.2683743E7)</f>
        <v>12683743</v>
      </c>
    </row>
    <row r="5802">
      <c r="A5802" s="2">
        <f>IFERROR(__xludf.DUMMYFUNCTION("""COMPUTED_VALUE"""),44946.66666666667)</f>
        <v>44946.66667</v>
      </c>
      <c r="B5802" s="1">
        <f>IFERROR(__xludf.DUMMYFUNCTION("""COMPUTED_VALUE"""),142.32)</f>
        <v>142.32</v>
      </c>
      <c r="C5802" s="1">
        <f>IFERROR(__xludf.DUMMYFUNCTION("""COMPUTED_VALUE"""),143.15)</f>
        <v>143.15</v>
      </c>
      <c r="D5802" s="1">
        <f>IFERROR(__xludf.DUMMYFUNCTION("""COMPUTED_VALUE"""),140.15)</f>
        <v>140.15</v>
      </c>
      <c r="E5802" s="1">
        <f>IFERROR(__xludf.DUMMYFUNCTION("""COMPUTED_VALUE"""),142.97)</f>
        <v>142.97</v>
      </c>
      <c r="F5802" s="1">
        <f>IFERROR(__xludf.DUMMYFUNCTION("""COMPUTED_VALUE"""),8603327.0)</f>
        <v>8603327</v>
      </c>
    </row>
    <row r="5803">
      <c r="A5803" s="2">
        <f>IFERROR(__xludf.DUMMYFUNCTION("""COMPUTED_VALUE"""),44949.66666666667)</f>
        <v>44949.66667</v>
      </c>
      <c r="B5803" s="1">
        <f>IFERROR(__xludf.DUMMYFUNCTION("""COMPUTED_VALUE"""),143.36)</f>
        <v>143.36</v>
      </c>
      <c r="C5803" s="1">
        <f>IFERROR(__xludf.DUMMYFUNCTION("""COMPUTED_VALUE"""),143.7)</f>
        <v>143.7</v>
      </c>
      <c r="D5803" s="1">
        <f>IFERROR(__xludf.DUMMYFUNCTION("""COMPUTED_VALUE"""),140.69)</f>
        <v>140.69</v>
      </c>
      <c r="E5803" s="1">
        <f>IFERROR(__xludf.DUMMYFUNCTION("""COMPUTED_VALUE"""),141.05)</f>
        <v>141.05</v>
      </c>
      <c r="F5803" s="1">
        <f>IFERROR(__xludf.DUMMYFUNCTION("""COMPUTED_VALUE"""),7473056.0)</f>
        <v>7473056</v>
      </c>
    </row>
    <row r="5804">
      <c r="A5804" s="2">
        <f>IFERROR(__xludf.DUMMYFUNCTION("""COMPUTED_VALUE"""),44950.66666666667)</f>
        <v>44950.66667</v>
      </c>
      <c r="B5804" s="1">
        <f>IFERROR(__xludf.DUMMYFUNCTION("""COMPUTED_VALUE"""),140.69)</f>
        <v>140.69</v>
      </c>
      <c r="C5804" s="1">
        <f>IFERROR(__xludf.DUMMYFUNCTION("""COMPUTED_VALUE"""),142.38)</f>
        <v>142.38</v>
      </c>
      <c r="D5804" s="1">
        <f>IFERROR(__xludf.DUMMYFUNCTION("""COMPUTED_VALUE"""),139.81)</f>
        <v>139.81</v>
      </c>
      <c r="E5804" s="1">
        <f>IFERROR(__xludf.DUMMYFUNCTION("""COMPUTED_VALUE"""),141.82)</f>
        <v>141.82</v>
      </c>
      <c r="F5804" s="1">
        <f>IFERROR(__xludf.DUMMYFUNCTION("""COMPUTED_VALUE"""),6822541.0)</f>
        <v>6822541</v>
      </c>
    </row>
    <row r="5805">
      <c r="A5805" s="2">
        <f>IFERROR(__xludf.DUMMYFUNCTION("""COMPUTED_VALUE"""),44951.66666666667)</f>
        <v>44951.66667</v>
      </c>
      <c r="B5805" s="1">
        <f>IFERROR(__xludf.DUMMYFUNCTION("""COMPUTED_VALUE"""),140.39)</f>
        <v>140.39</v>
      </c>
      <c r="C5805" s="1">
        <f>IFERROR(__xludf.DUMMYFUNCTION("""COMPUTED_VALUE"""),141.75)</f>
        <v>141.75</v>
      </c>
      <c r="D5805" s="1">
        <f>IFERROR(__xludf.DUMMYFUNCTION("""COMPUTED_VALUE"""),138.73)</f>
        <v>138.73</v>
      </c>
      <c r="E5805" s="1">
        <f>IFERROR(__xludf.DUMMYFUNCTION("""COMPUTED_VALUE"""),141.72)</f>
        <v>141.72</v>
      </c>
      <c r="F5805" s="1">
        <f>IFERROR(__xludf.DUMMYFUNCTION("""COMPUTED_VALUE"""),6902580.0)</f>
        <v>6902580</v>
      </c>
    </row>
    <row r="5806">
      <c r="A5806" s="2">
        <f>IFERROR(__xludf.DUMMYFUNCTION("""COMPUTED_VALUE"""),44952.66666666667)</f>
        <v>44952.66667</v>
      </c>
      <c r="B5806" s="1">
        <f>IFERROR(__xludf.DUMMYFUNCTION("""COMPUTED_VALUE"""),141.73)</f>
        <v>141.73</v>
      </c>
      <c r="C5806" s="1">
        <f>IFERROR(__xludf.DUMMYFUNCTION("""COMPUTED_VALUE"""),141.74)</f>
        <v>141.74</v>
      </c>
      <c r="D5806" s="1">
        <f>IFERROR(__xludf.DUMMYFUNCTION("""COMPUTED_VALUE"""),140.74)</f>
        <v>140.74</v>
      </c>
      <c r="E5806" s="1">
        <f>IFERROR(__xludf.DUMMYFUNCTION("""COMPUTED_VALUE"""),141.15)</f>
        <v>141.15</v>
      </c>
      <c r="F5806" s="1">
        <f>IFERROR(__xludf.DUMMYFUNCTION("""COMPUTED_VALUE"""),5398717.0)</f>
        <v>5398717</v>
      </c>
    </row>
    <row r="5807">
      <c r="A5807" s="2">
        <f>IFERROR(__xludf.DUMMYFUNCTION("""COMPUTED_VALUE"""),44953.66666666667)</f>
        <v>44953.66667</v>
      </c>
      <c r="B5807" s="1">
        <f>IFERROR(__xludf.DUMMYFUNCTION("""COMPUTED_VALUE"""),141.07)</f>
        <v>141.07</v>
      </c>
      <c r="C5807" s="1">
        <f>IFERROR(__xludf.DUMMYFUNCTION("""COMPUTED_VALUE"""),141.36)</f>
        <v>141.36</v>
      </c>
      <c r="D5807" s="1">
        <f>IFERROR(__xludf.DUMMYFUNCTION("""COMPUTED_VALUE"""),139.29)</f>
        <v>139.29</v>
      </c>
      <c r="E5807" s="1">
        <f>IFERROR(__xludf.DUMMYFUNCTION("""COMPUTED_VALUE"""),140.57)</f>
        <v>140.57</v>
      </c>
      <c r="F5807" s="1">
        <f>IFERROR(__xludf.DUMMYFUNCTION("""COMPUTED_VALUE"""),6870791.0)</f>
        <v>6870791</v>
      </c>
    </row>
    <row r="5808">
      <c r="A5808" s="2">
        <f>IFERROR(__xludf.DUMMYFUNCTION("""COMPUTED_VALUE"""),44956.66666666667)</f>
        <v>44956.66667</v>
      </c>
      <c r="B5808" s="1">
        <f>IFERROR(__xludf.DUMMYFUNCTION("""COMPUTED_VALUE"""),140.96)</f>
        <v>140.96</v>
      </c>
      <c r="C5808" s="1">
        <f>IFERROR(__xludf.DUMMYFUNCTION("""COMPUTED_VALUE"""),142.12)</f>
        <v>142.12</v>
      </c>
      <c r="D5808" s="1">
        <f>IFERROR(__xludf.DUMMYFUNCTION("""COMPUTED_VALUE"""),140.28)</f>
        <v>140.28</v>
      </c>
      <c r="E5808" s="1">
        <f>IFERROR(__xludf.DUMMYFUNCTION("""COMPUTED_VALUE"""),141.01)</f>
        <v>141.01</v>
      </c>
      <c r="F5808" s="1">
        <f>IFERROR(__xludf.DUMMYFUNCTION("""COMPUTED_VALUE"""),6369310.0)</f>
        <v>6369310</v>
      </c>
    </row>
    <row r="5809">
      <c r="A5809" s="2">
        <f>IFERROR(__xludf.DUMMYFUNCTION("""COMPUTED_VALUE"""),44957.66666666667)</f>
        <v>44957.66667</v>
      </c>
      <c r="B5809" s="1">
        <f>IFERROR(__xludf.DUMMYFUNCTION("""COMPUTED_VALUE"""),141.23)</f>
        <v>141.23</v>
      </c>
      <c r="C5809" s="1">
        <f>IFERROR(__xludf.DUMMYFUNCTION("""COMPUTED_VALUE"""),142.47)</f>
        <v>142.47</v>
      </c>
      <c r="D5809" s="1">
        <f>IFERROR(__xludf.DUMMYFUNCTION("""COMPUTED_VALUE"""),140.76)</f>
        <v>140.76</v>
      </c>
      <c r="E5809" s="1">
        <f>IFERROR(__xludf.DUMMYFUNCTION("""COMPUTED_VALUE"""),142.38)</f>
        <v>142.38</v>
      </c>
      <c r="F5809" s="1">
        <f>IFERROR(__xludf.DUMMYFUNCTION("""COMPUTED_VALUE"""),9373412.0)</f>
        <v>9373412</v>
      </c>
    </row>
    <row r="5810">
      <c r="A5810" s="2">
        <f>IFERROR(__xludf.DUMMYFUNCTION("""COMPUTED_VALUE"""),44958.66666666667)</f>
        <v>44958.66667</v>
      </c>
      <c r="B5810" s="1">
        <f>IFERROR(__xludf.DUMMYFUNCTION("""COMPUTED_VALUE"""),142.08)</f>
        <v>142.08</v>
      </c>
      <c r="C5810" s="1">
        <f>IFERROR(__xludf.DUMMYFUNCTION("""COMPUTED_VALUE"""),144.1)</f>
        <v>144.1</v>
      </c>
      <c r="D5810" s="1">
        <f>IFERROR(__xludf.DUMMYFUNCTION("""COMPUTED_VALUE"""),141.35)</f>
        <v>141.35</v>
      </c>
      <c r="E5810" s="1">
        <f>IFERROR(__xludf.DUMMYFUNCTION("""COMPUTED_VALUE"""),143.19)</f>
        <v>143.19</v>
      </c>
      <c r="F5810" s="1">
        <f>IFERROR(__xludf.DUMMYFUNCTION("""COMPUTED_VALUE"""),7207973.0)</f>
        <v>7207973</v>
      </c>
    </row>
    <row r="5811">
      <c r="A5811" s="2">
        <f>IFERROR(__xludf.DUMMYFUNCTION("""COMPUTED_VALUE"""),44959.66666666667)</f>
        <v>44959.66667</v>
      </c>
      <c r="B5811" s="1">
        <f>IFERROR(__xludf.DUMMYFUNCTION("""COMPUTED_VALUE"""),142.17)</f>
        <v>142.17</v>
      </c>
      <c r="C5811" s="1">
        <f>IFERROR(__xludf.DUMMYFUNCTION("""COMPUTED_VALUE"""),142.71)</f>
        <v>142.71</v>
      </c>
      <c r="D5811" s="1">
        <f>IFERROR(__xludf.DUMMYFUNCTION("""COMPUTED_VALUE"""),141.21)</f>
        <v>141.21</v>
      </c>
      <c r="E5811" s="1">
        <f>IFERROR(__xludf.DUMMYFUNCTION("""COMPUTED_VALUE"""),142.17)</f>
        <v>142.17</v>
      </c>
      <c r="F5811" s="1">
        <f>IFERROR(__xludf.DUMMYFUNCTION("""COMPUTED_VALUE"""),6444253.0)</f>
        <v>6444253</v>
      </c>
    </row>
    <row r="5812">
      <c r="A5812" s="2">
        <f>IFERROR(__xludf.DUMMYFUNCTION("""COMPUTED_VALUE"""),44960.66666666667)</f>
        <v>44960.66667</v>
      </c>
      <c r="B5812" s="1">
        <f>IFERROR(__xludf.DUMMYFUNCTION("""COMPUTED_VALUE"""),142.78)</f>
        <v>142.78</v>
      </c>
      <c r="C5812" s="1">
        <f>IFERROR(__xludf.DUMMYFUNCTION("""COMPUTED_VALUE"""),143.38)</f>
        <v>143.38</v>
      </c>
      <c r="D5812" s="1">
        <f>IFERROR(__xludf.DUMMYFUNCTION("""COMPUTED_VALUE"""),141.17)</f>
        <v>141.17</v>
      </c>
      <c r="E5812" s="1">
        <f>IFERROR(__xludf.DUMMYFUNCTION("""COMPUTED_VALUE"""),142.61)</f>
        <v>142.61</v>
      </c>
      <c r="F5812" s="1">
        <f>IFERROR(__xludf.DUMMYFUNCTION("""COMPUTED_VALUE"""),5993228.0)</f>
        <v>5993228</v>
      </c>
    </row>
    <row r="5813">
      <c r="A5813" s="2">
        <f>IFERROR(__xludf.DUMMYFUNCTION("""COMPUTED_VALUE"""),44963.66666666667)</f>
        <v>44963.66667</v>
      </c>
      <c r="B5813" s="1">
        <f>IFERROR(__xludf.DUMMYFUNCTION("""COMPUTED_VALUE"""),142.01)</f>
        <v>142.01</v>
      </c>
      <c r="C5813" s="1">
        <f>IFERROR(__xludf.DUMMYFUNCTION("""COMPUTED_VALUE"""),142.64)</f>
        <v>142.64</v>
      </c>
      <c r="D5813" s="1">
        <f>IFERROR(__xludf.DUMMYFUNCTION("""COMPUTED_VALUE"""),141.01)</f>
        <v>141.01</v>
      </c>
      <c r="E5813" s="1">
        <f>IFERROR(__xludf.DUMMYFUNCTION("""COMPUTED_VALUE"""),141.4)</f>
        <v>141.4</v>
      </c>
      <c r="F5813" s="1">
        <f>IFERROR(__xludf.DUMMYFUNCTION("""COMPUTED_VALUE"""),6108342.0)</f>
        <v>6108342</v>
      </c>
    </row>
    <row r="5814">
      <c r="A5814" s="2">
        <f>IFERROR(__xludf.DUMMYFUNCTION("""COMPUTED_VALUE"""),44964.66666666667)</f>
        <v>44964.66667</v>
      </c>
      <c r="B5814" s="1">
        <f>IFERROR(__xludf.DUMMYFUNCTION("""COMPUTED_VALUE"""),139.97)</f>
        <v>139.97</v>
      </c>
      <c r="C5814" s="1">
        <f>IFERROR(__xludf.DUMMYFUNCTION("""COMPUTED_VALUE"""),140.79)</f>
        <v>140.79</v>
      </c>
      <c r="D5814" s="1">
        <f>IFERROR(__xludf.DUMMYFUNCTION("""COMPUTED_VALUE"""),138.78)</f>
        <v>138.78</v>
      </c>
      <c r="E5814" s="1">
        <f>IFERROR(__xludf.DUMMYFUNCTION("""COMPUTED_VALUE"""),140.02)</f>
        <v>140.02</v>
      </c>
      <c r="F5814" s="1">
        <f>IFERROR(__xludf.DUMMYFUNCTION("""COMPUTED_VALUE"""),6278273.0)</f>
        <v>6278273</v>
      </c>
    </row>
    <row r="5815">
      <c r="A5815" s="2">
        <f>IFERROR(__xludf.DUMMYFUNCTION("""COMPUTED_VALUE"""),44965.66666666667)</f>
        <v>44965.66667</v>
      </c>
      <c r="B5815" s="1">
        <f>IFERROR(__xludf.DUMMYFUNCTION("""COMPUTED_VALUE"""),139.06)</f>
        <v>139.06</v>
      </c>
      <c r="C5815" s="1">
        <f>IFERROR(__xludf.DUMMYFUNCTION("""COMPUTED_VALUE"""),139.54)</f>
        <v>139.54</v>
      </c>
      <c r="D5815" s="1">
        <f>IFERROR(__xludf.DUMMYFUNCTION("""COMPUTED_VALUE"""),138.41)</f>
        <v>138.41</v>
      </c>
      <c r="E5815" s="1">
        <f>IFERROR(__xludf.DUMMYFUNCTION("""COMPUTED_VALUE"""),138.57)</f>
        <v>138.57</v>
      </c>
      <c r="F5815" s="1">
        <f>IFERROR(__xludf.DUMMYFUNCTION("""COMPUTED_VALUE"""),7124028.0)</f>
        <v>7124028</v>
      </c>
    </row>
    <row r="5816">
      <c r="A5816" s="2">
        <f>IFERROR(__xludf.DUMMYFUNCTION("""COMPUTED_VALUE"""),44966.66666666667)</f>
        <v>44966.66667</v>
      </c>
      <c r="B5816" s="1">
        <f>IFERROR(__xludf.DUMMYFUNCTION("""COMPUTED_VALUE"""),138.88)</f>
        <v>138.88</v>
      </c>
      <c r="C5816" s="1">
        <f>IFERROR(__xludf.DUMMYFUNCTION("""COMPUTED_VALUE"""),139.33)</f>
        <v>139.33</v>
      </c>
      <c r="D5816" s="1">
        <f>IFERROR(__xludf.DUMMYFUNCTION("""COMPUTED_VALUE"""),137.0)</f>
        <v>137</v>
      </c>
      <c r="E5816" s="1">
        <f>IFERROR(__xludf.DUMMYFUNCTION("""COMPUTED_VALUE"""),137.05)</f>
        <v>137.05</v>
      </c>
      <c r="F5816" s="1">
        <f>IFERROR(__xludf.DUMMYFUNCTION("""COMPUTED_VALUE"""),6547369.0)</f>
        <v>6547369</v>
      </c>
    </row>
    <row r="5817">
      <c r="A5817" s="2">
        <f>IFERROR(__xludf.DUMMYFUNCTION("""COMPUTED_VALUE"""),44967.66666666667)</f>
        <v>44967.66667</v>
      </c>
      <c r="B5817" s="1">
        <f>IFERROR(__xludf.DUMMYFUNCTION("""COMPUTED_VALUE"""),136.95)</f>
        <v>136.95</v>
      </c>
      <c r="C5817" s="1">
        <f>IFERROR(__xludf.DUMMYFUNCTION("""COMPUTED_VALUE"""),138.3)</f>
        <v>138.3</v>
      </c>
      <c r="D5817" s="1">
        <f>IFERROR(__xludf.DUMMYFUNCTION("""COMPUTED_VALUE"""),135.83)</f>
        <v>135.83</v>
      </c>
      <c r="E5817" s="1">
        <f>IFERROR(__xludf.DUMMYFUNCTION("""COMPUTED_VALUE"""),138.26)</f>
        <v>138.26</v>
      </c>
      <c r="F5817" s="1">
        <f>IFERROR(__xludf.DUMMYFUNCTION("""COMPUTED_VALUE"""),8108919.0)</f>
        <v>8108919</v>
      </c>
    </row>
    <row r="5818">
      <c r="A5818" s="2">
        <f>IFERROR(__xludf.DUMMYFUNCTION("""COMPUTED_VALUE"""),44970.66666666667)</f>
        <v>44970.66667</v>
      </c>
      <c r="B5818" s="1">
        <f>IFERROR(__xludf.DUMMYFUNCTION("""COMPUTED_VALUE"""),138.94)</f>
        <v>138.94</v>
      </c>
      <c r="C5818" s="1">
        <f>IFERROR(__xludf.DUMMYFUNCTION("""COMPUTED_VALUE"""),140.45)</f>
        <v>140.45</v>
      </c>
      <c r="D5818" s="1">
        <f>IFERROR(__xludf.DUMMYFUNCTION("""COMPUTED_VALUE"""),138.74)</f>
        <v>138.74</v>
      </c>
      <c r="E5818" s="1">
        <f>IFERROR(__xludf.DUMMYFUNCTION("""COMPUTED_VALUE"""),140.07)</f>
        <v>140.07</v>
      </c>
      <c r="F5818" s="1">
        <f>IFERROR(__xludf.DUMMYFUNCTION("""COMPUTED_VALUE"""),5081703.0)</f>
        <v>5081703</v>
      </c>
    </row>
    <row r="5819">
      <c r="A5819" s="2">
        <f>IFERROR(__xludf.DUMMYFUNCTION("""COMPUTED_VALUE"""),44971.66666666667)</f>
        <v>44971.66667</v>
      </c>
      <c r="B5819" s="1">
        <f>IFERROR(__xludf.DUMMYFUNCTION("""COMPUTED_VALUE"""),140.14)</f>
        <v>140.14</v>
      </c>
      <c r="C5819" s="1">
        <f>IFERROR(__xludf.DUMMYFUNCTION("""COMPUTED_VALUE"""),140.24)</f>
        <v>140.24</v>
      </c>
      <c r="D5819" s="1">
        <f>IFERROR(__xludf.DUMMYFUNCTION("""COMPUTED_VALUE"""),138.62)</f>
        <v>138.62</v>
      </c>
      <c r="E5819" s="1">
        <f>IFERROR(__xludf.DUMMYFUNCTION("""COMPUTED_VALUE"""),139.28)</f>
        <v>139.28</v>
      </c>
      <c r="F5819" s="1">
        <f>IFERROR(__xludf.DUMMYFUNCTION("""COMPUTED_VALUE"""),5253455.0)</f>
        <v>5253455</v>
      </c>
    </row>
    <row r="5820">
      <c r="A5820" s="2">
        <f>IFERROR(__xludf.DUMMYFUNCTION("""COMPUTED_VALUE"""),44972.66666666667)</f>
        <v>44972.66667</v>
      </c>
      <c r="B5820" s="1">
        <f>IFERROR(__xludf.DUMMYFUNCTION("""COMPUTED_VALUE"""),139.11)</f>
        <v>139.11</v>
      </c>
      <c r="C5820" s="1">
        <f>IFERROR(__xludf.DUMMYFUNCTION("""COMPUTED_VALUE"""),139.32)</f>
        <v>139.32</v>
      </c>
      <c r="D5820" s="1">
        <f>IFERROR(__xludf.DUMMYFUNCTION("""COMPUTED_VALUE"""),138.07)</f>
        <v>138.07</v>
      </c>
      <c r="E5820" s="1">
        <f>IFERROR(__xludf.DUMMYFUNCTION("""COMPUTED_VALUE"""),138.96)</f>
        <v>138.96</v>
      </c>
      <c r="F5820" s="1">
        <f>IFERROR(__xludf.DUMMYFUNCTION("""COMPUTED_VALUE"""),5530479.0)</f>
        <v>5530479</v>
      </c>
    </row>
    <row r="5821">
      <c r="A5821" s="2">
        <f>IFERROR(__xludf.DUMMYFUNCTION("""COMPUTED_VALUE"""),44973.66666666667)</f>
        <v>44973.66667</v>
      </c>
      <c r="B5821" s="1">
        <f>IFERROR(__xludf.DUMMYFUNCTION("""COMPUTED_VALUE"""),137.39)</f>
        <v>137.39</v>
      </c>
      <c r="C5821" s="1">
        <f>IFERROR(__xludf.DUMMYFUNCTION("""COMPUTED_VALUE"""),138.2)</f>
        <v>138.2</v>
      </c>
      <c r="D5821" s="1">
        <f>IFERROR(__xludf.DUMMYFUNCTION("""COMPUTED_VALUE"""),136.55)</f>
        <v>136.55</v>
      </c>
      <c r="E5821" s="1">
        <f>IFERROR(__xludf.DUMMYFUNCTION("""COMPUTED_VALUE"""),137.14)</f>
        <v>137.14</v>
      </c>
      <c r="F5821" s="1">
        <f>IFERROR(__xludf.DUMMYFUNCTION("""COMPUTED_VALUE"""),7595656.0)</f>
        <v>7595656</v>
      </c>
    </row>
    <row r="5822">
      <c r="A5822" s="2">
        <f>IFERROR(__xludf.DUMMYFUNCTION("""COMPUTED_VALUE"""),44974.66666666667)</f>
        <v>44974.66667</v>
      </c>
      <c r="B5822" s="1">
        <f>IFERROR(__xludf.DUMMYFUNCTION("""COMPUTED_VALUE"""),136.59)</f>
        <v>136.59</v>
      </c>
      <c r="C5822" s="1">
        <f>IFERROR(__xludf.DUMMYFUNCTION("""COMPUTED_VALUE"""),140.04)</f>
        <v>140.04</v>
      </c>
      <c r="D5822" s="1">
        <f>IFERROR(__xludf.DUMMYFUNCTION("""COMPUTED_VALUE"""),136.59)</f>
        <v>136.59</v>
      </c>
      <c r="E5822" s="1">
        <f>IFERROR(__xludf.DUMMYFUNCTION("""COMPUTED_VALUE"""),140.01)</f>
        <v>140.01</v>
      </c>
      <c r="F5822" s="1">
        <f>IFERROR(__xludf.DUMMYFUNCTION("""COMPUTED_VALUE"""),8034878.0)</f>
        <v>8034878</v>
      </c>
    </row>
    <row r="5823">
      <c r="A5823" s="2">
        <f>IFERROR(__xludf.DUMMYFUNCTION("""COMPUTED_VALUE"""),44978.66666666667)</f>
        <v>44978.66667</v>
      </c>
      <c r="B5823" s="1">
        <f>IFERROR(__xludf.DUMMYFUNCTION("""COMPUTED_VALUE"""),138.87)</f>
        <v>138.87</v>
      </c>
      <c r="C5823" s="1">
        <f>IFERROR(__xludf.DUMMYFUNCTION("""COMPUTED_VALUE"""),140.89)</f>
        <v>140.89</v>
      </c>
      <c r="D5823" s="1">
        <f>IFERROR(__xludf.DUMMYFUNCTION("""COMPUTED_VALUE"""),138.87)</f>
        <v>138.87</v>
      </c>
      <c r="E5823" s="1">
        <f>IFERROR(__xludf.DUMMYFUNCTION("""COMPUTED_VALUE"""),139.91)</f>
        <v>139.91</v>
      </c>
      <c r="F5823" s="1">
        <f>IFERROR(__xludf.DUMMYFUNCTION("""COMPUTED_VALUE"""),6899545.0)</f>
        <v>6899545</v>
      </c>
    </row>
    <row r="5824">
      <c r="A5824" s="2">
        <f>IFERROR(__xludf.DUMMYFUNCTION("""COMPUTED_VALUE"""),44979.66666666667)</f>
        <v>44979.66667</v>
      </c>
      <c r="B5824" s="1">
        <f>IFERROR(__xludf.DUMMYFUNCTION("""COMPUTED_VALUE"""),139.98)</f>
        <v>139.98</v>
      </c>
      <c r="C5824" s="1">
        <f>IFERROR(__xludf.DUMMYFUNCTION("""COMPUTED_VALUE"""),141.58)</f>
        <v>141.58</v>
      </c>
      <c r="D5824" s="1">
        <f>IFERROR(__xludf.DUMMYFUNCTION("""COMPUTED_VALUE"""),139.88)</f>
        <v>139.88</v>
      </c>
      <c r="E5824" s="1">
        <f>IFERROR(__xludf.DUMMYFUNCTION("""COMPUTED_VALUE"""),140.5)</f>
        <v>140.5</v>
      </c>
      <c r="F5824" s="1">
        <f>IFERROR(__xludf.DUMMYFUNCTION("""COMPUTED_VALUE"""),6126346.0)</f>
        <v>6126346</v>
      </c>
    </row>
    <row r="5825">
      <c r="A5825" s="2">
        <f>IFERROR(__xludf.DUMMYFUNCTION("""COMPUTED_VALUE"""),44980.66666666667)</f>
        <v>44980.66667</v>
      </c>
      <c r="B5825" s="1">
        <f>IFERROR(__xludf.DUMMYFUNCTION("""COMPUTED_VALUE"""),140.23)</f>
        <v>140.23</v>
      </c>
      <c r="C5825" s="1">
        <f>IFERROR(__xludf.DUMMYFUNCTION("""COMPUTED_VALUE"""),141.14)</f>
        <v>141.14</v>
      </c>
      <c r="D5825" s="1">
        <f>IFERROR(__xludf.DUMMYFUNCTION("""COMPUTED_VALUE"""),139.1)</f>
        <v>139.1</v>
      </c>
      <c r="E5825" s="1">
        <f>IFERROR(__xludf.DUMMYFUNCTION("""COMPUTED_VALUE"""),140.05)</f>
        <v>140.05</v>
      </c>
      <c r="F5825" s="1">
        <f>IFERROR(__xludf.DUMMYFUNCTION("""COMPUTED_VALUE"""),5835448.0)</f>
        <v>5835448</v>
      </c>
    </row>
    <row r="5826">
      <c r="A5826" s="2">
        <f>IFERROR(__xludf.DUMMYFUNCTION("""COMPUTED_VALUE"""),44981.66666666667)</f>
        <v>44981.66667</v>
      </c>
      <c r="B5826" s="1">
        <f>IFERROR(__xludf.DUMMYFUNCTION("""COMPUTED_VALUE"""),138.93)</f>
        <v>138.93</v>
      </c>
      <c r="C5826" s="1">
        <f>IFERROR(__xludf.DUMMYFUNCTION("""COMPUTED_VALUE"""),139.43)</f>
        <v>139.43</v>
      </c>
      <c r="D5826" s="1">
        <f>IFERROR(__xludf.DUMMYFUNCTION("""COMPUTED_VALUE"""),138.08)</f>
        <v>138.08</v>
      </c>
      <c r="E5826" s="1">
        <f>IFERROR(__xludf.DUMMYFUNCTION("""COMPUTED_VALUE"""),139.26)</f>
        <v>139.26</v>
      </c>
      <c r="F5826" s="1">
        <f>IFERROR(__xludf.DUMMYFUNCTION("""COMPUTED_VALUE"""),5260669.0)</f>
        <v>5260669</v>
      </c>
    </row>
    <row r="5827">
      <c r="A5827" s="2">
        <f>IFERROR(__xludf.DUMMYFUNCTION("""COMPUTED_VALUE"""),44984.66666666667)</f>
        <v>44984.66667</v>
      </c>
      <c r="B5827" s="1">
        <f>IFERROR(__xludf.DUMMYFUNCTION("""COMPUTED_VALUE"""),139.61)</f>
        <v>139.61</v>
      </c>
      <c r="C5827" s="1">
        <f>IFERROR(__xludf.DUMMYFUNCTION("""COMPUTED_VALUE"""),140.47)</f>
        <v>140.47</v>
      </c>
      <c r="D5827" s="1">
        <f>IFERROR(__xludf.DUMMYFUNCTION("""COMPUTED_VALUE"""),138.53)</f>
        <v>138.53</v>
      </c>
      <c r="E5827" s="1">
        <f>IFERROR(__xludf.DUMMYFUNCTION("""COMPUTED_VALUE"""),139.14)</f>
        <v>139.14</v>
      </c>
      <c r="F5827" s="1">
        <f>IFERROR(__xludf.DUMMYFUNCTION("""COMPUTED_VALUE"""),5821127.0)</f>
        <v>5821127</v>
      </c>
    </row>
    <row r="5828">
      <c r="A5828" s="2">
        <f>IFERROR(__xludf.DUMMYFUNCTION("""COMPUTED_VALUE"""),44985.66666666667)</f>
        <v>44985.66667</v>
      </c>
      <c r="B5828" s="1">
        <f>IFERROR(__xludf.DUMMYFUNCTION("""COMPUTED_VALUE"""),138.45)</f>
        <v>138.45</v>
      </c>
      <c r="C5828" s="1">
        <f>IFERROR(__xludf.DUMMYFUNCTION("""COMPUTED_VALUE"""),138.59)</f>
        <v>138.59</v>
      </c>
      <c r="D5828" s="1">
        <f>IFERROR(__xludf.DUMMYFUNCTION("""COMPUTED_VALUE"""),137.28)</f>
        <v>137.28</v>
      </c>
      <c r="E5828" s="1">
        <f>IFERROR(__xludf.DUMMYFUNCTION("""COMPUTED_VALUE"""),137.56)</f>
        <v>137.56</v>
      </c>
      <c r="F5828" s="1">
        <f>IFERROR(__xludf.DUMMYFUNCTION("""COMPUTED_VALUE"""),6709913.0)</f>
        <v>6709913</v>
      </c>
    </row>
    <row r="5829">
      <c r="A5829" s="2">
        <f>IFERROR(__xludf.DUMMYFUNCTION("""COMPUTED_VALUE"""),44986.66666666667)</f>
        <v>44986.66667</v>
      </c>
      <c r="B5829" s="1">
        <f>IFERROR(__xludf.DUMMYFUNCTION("""COMPUTED_VALUE"""),138.05)</f>
        <v>138.05</v>
      </c>
      <c r="C5829" s="1">
        <f>IFERROR(__xludf.DUMMYFUNCTION("""COMPUTED_VALUE"""),138.33)</f>
        <v>138.33</v>
      </c>
      <c r="D5829" s="1">
        <f>IFERROR(__xludf.DUMMYFUNCTION("""COMPUTED_VALUE"""),136.51)</f>
        <v>136.51</v>
      </c>
      <c r="E5829" s="1">
        <f>IFERROR(__xludf.DUMMYFUNCTION("""COMPUTED_VALUE"""),137.66)</f>
        <v>137.66</v>
      </c>
      <c r="F5829" s="1">
        <f>IFERROR(__xludf.DUMMYFUNCTION("""COMPUTED_VALUE"""),7101801.0)</f>
        <v>7101801</v>
      </c>
    </row>
    <row r="5830">
      <c r="A5830" s="2">
        <f>IFERROR(__xludf.DUMMYFUNCTION("""COMPUTED_VALUE"""),44987.66666666667)</f>
        <v>44987.66667</v>
      </c>
      <c r="B5830" s="1">
        <f>IFERROR(__xludf.DUMMYFUNCTION("""COMPUTED_VALUE"""),138.0)</f>
        <v>138</v>
      </c>
      <c r="C5830" s="1">
        <f>IFERROR(__xludf.DUMMYFUNCTION("""COMPUTED_VALUE"""),140.43)</f>
        <v>140.43</v>
      </c>
      <c r="D5830" s="1">
        <f>IFERROR(__xludf.DUMMYFUNCTION("""COMPUTED_VALUE"""),137.78)</f>
        <v>137.78</v>
      </c>
      <c r="E5830" s="1">
        <f>IFERROR(__xludf.DUMMYFUNCTION("""COMPUTED_VALUE"""),139.93)</f>
        <v>139.93</v>
      </c>
      <c r="F5830" s="1">
        <f>IFERROR(__xludf.DUMMYFUNCTION("""COMPUTED_VALUE"""),5925013.0)</f>
        <v>5925013</v>
      </c>
    </row>
    <row r="5831">
      <c r="A5831" s="2">
        <f>IFERROR(__xludf.DUMMYFUNCTION("""COMPUTED_VALUE"""),44988.66666666667)</f>
        <v>44988.66667</v>
      </c>
      <c r="B5831" s="1">
        <f>IFERROR(__xludf.DUMMYFUNCTION("""COMPUTED_VALUE"""),141.19)</f>
        <v>141.19</v>
      </c>
      <c r="C5831" s="1">
        <f>IFERROR(__xludf.DUMMYFUNCTION("""COMPUTED_VALUE"""),141.24)</f>
        <v>141.24</v>
      </c>
      <c r="D5831" s="1">
        <f>IFERROR(__xludf.DUMMYFUNCTION("""COMPUTED_VALUE"""),139.97)</f>
        <v>139.97</v>
      </c>
      <c r="E5831" s="1">
        <f>IFERROR(__xludf.DUMMYFUNCTION("""COMPUTED_VALUE"""),140.95)</f>
        <v>140.95</v>
      </c>
      <c r="F5831" s="1">
        <f>IFERROR(__xludf.DUMMYFUNCTION("""COMPUTED_VALUE"""),5259353.0)</f>
        <v>5259353</v>
      </c>
    </row>
    <row r="5832">
      <c r="A5832" s="2">
        <f>IFERROR(__xludf.DUMMYFUNCTION("""COMPUTED_VALUE"""),44991.66666666667)</f>
        <v>44991.66667</v>
      </c>
      <c r="B5832" s="1">
        <f>IFERROR(__xludf.DUMMYFUNCTION("""COMPUTED_VALUE"""),140.73)</f>
        <v>140.73</v>
      </c>
      <c r="C5832" s="1">
        <f>IFERROR(__xludf.DUMMYFUNCTION("""COMPUTED_VALUE"""),141.14)</f>
        <v>141.14</v>
      </c>
      <c r="D5832" s="1">
        <f>IFERROR(__xludf.DUMMYFUNCTION("""COMPUTED_VALUE"""),139.94)</f>
        <v>139.94</v>
      </c>
      <c r="E5832" s="1">
        <f>IFERROR(__xludf.DUMMYFUNCTION("""COMPUTED_VALUE"""),140.35)</f>
        <v>140.35</v>
      </c>
      <c r="F5832" s="1">
        <f>IFERROR(__xludf.DUMMYFUNCTION("""COMPUTED_VALUE"""),4943248.0)</f>
        <v>4943248</v>
      </c>
    </row>
    <row r="5833">
      <c r="A5833" s="2">
        <f>IFERROR(__xludf.DUMMYFUNCTION("""COMPUTED_VALUE"""),44992.66666666667)</f>
        <v>44992.66667</v>
      </c>
      <c r="B5833" s="1">
        <f>IFERROR(__xludf.DUMMYFUNCTION("""COMPUTED_VALUE"""),140.43)</f>
        <v>140.43</v>
      </c>
      <c r="C5833" s="1">
        <f>IFERROR(__xludf.DUMMYFUNCTION("""COMPUTED_VALUE"""),140.62)</f>
        <v>140.62</v>
      </c>
      <c r="D5833" s="1">
        <f>IFERROR(__xludf.DUMMYFUNCTION("""COMPUTED_VALUE"""),137.34)</f>
        <v>137.34</v>
      </c>
      <c r="E5833" s="1">
        <f>IFERROR(__xludf.DUMMYFUNCTION("""COMPUTED_VALUE"""),137.56)</f>
        <v>137.56</v>
      </c>
      <c r="F5833" s="1">
        <f>IFERROR(__xludf.DUMMYFUNCTION("""COMPUTED_VALUE"""),5606803.0)</f>
        <v>5606803</v>
      </c>
    </row>
    <row r="5834">
      <c r="A5834" s="2">
        <f>IFERROR(__xludf.DUMMYFUNCTION("""COMPUTED_VALUE"""),44993.66666666667)</f>
        <v>44993.66667</v>
      </c>
      <c r="B5834" s="1">
        <f>IFERROR(__xludf.DUMMYFUNCTION("""COMPUTED_VALUE"""),137.2)</f>
        <v>137.2</v>
      </c>
      <c r="C5834" s="1">
        <f>IFERROR(__xludf.DUMMYFUNCTION("""COMPUTED_VALUE"""),137.69)</f>
        <v>137.69</v>
      </c>
      <c r="D5834" s="1">
        <f>IFERROR(__xludf.DUMMYFUNCTION("""COMPUTED_VALUE"""),136.6)</f>
        <v>136.6</v>
      </c>
      <c r="E5834" s="1">
        <f>IFERROR(__xludf.DUMMYFUNCTION("""COMPUTED_VALUE"""),137.58)</f>
        <v>137.58</v>
      </c>
      <c r="F5834" s="1">
        <f>IFERROR(__xludf.DUMMYFUNCTION("""COMPUTED_VALUE"""),5518821.0)</f>
        <v>5518821</v>
      </c>
    </row>
    <row r="5835">
      <c r="A5835" s="2">
        <f>IFERROR(__xludf.DUMMYFUNCTION("""COMPUTED_VALUE"""),44994.66666666667)</f>
        <v>44994.66667</v>
      </c>
      <c r="B5835" s="1">
        <f>IFERROR(__xludf.DUMMYFUNCTION("""COMPUTED_VALUE"""),138.15)</f>
        <v>138.15</v>
      </c>
      <c r="C5835" s="1">
        <f>IFERROR(__xludf.DUMMYFUNCTION("""COMPUTED_VALUE"""),138.56)</f>
        <v>138.56</v>
      </c>
      <c r="D5835" s="1">
        <f>IFERROR(__xludf.DUMMYFUNCTION("""COMPUTED_VALUE"""),136.1)</f>
        <v>136.1</v>
      </c>
      <c r="E5835" s="1">
        <f>IFERROR(__xludf.DUMMYFUNCTION("""COMPUTED_VALUE"""),136.57)</f>
        <v>136.57</v>
      </c>
      <c r="F5835" s="1">
        <f>IFERROR(__xludf.DUMMYFUNCTION("""COMPUTED_VALUE"""),4467211.0)</f>
        <v>4467211</v>
      </c>
    </row>
    <row r="5836">
      <c r="A5836" s="2">
        <f>IFERROR(__xludf.DUMMYFUNCTION("""COMPUTED_VALUE"""),44995.66666666667)</f>
        <v>44995.66667</v>
      </c>
      <c r="B5836" s="1">
        <f>IFERROR(__xludf.DUMMYFUNCTION("""COMPUTED_VALUE"""),136.95)</f>
        <v>136.95</v>
      </c>
      <c r="C5836" s="1">
        <f>IFERROR(__xludf.DUMMYFUNCTION("""COMPUTED_VALUE"""),137.99)</f>
        <v>137.99</v>
      </c>
      <c r="D5836" s="1">
        <f>IFERROR(__xludf.DUMMYFUNCTION("""COMPUTED_VALUE"""),136.35)</f>
        <v>136.35</v>
      </c>
      <c r="E5836" s="1">
        <f>IFERROR(__xludf.DUMMYFUNCTION("""COMPUTED_VALUE"""),137.19)</f>
        <v>137.19</v>
      </c>
      <c r="F5836" s="1">
        <f>IFERROR(__xludf.DUMMYFUNCTION("""COMPUTED_VALUE"""),5928003.0)</f>
        <v>5928003</v>
      </c>
    </row>
    <row r="5837">
      <c r="A5837" s="2">
        <f>IFERROR(__xludf.DUMMYFUNCTION("""COMPUTED_VALUE"""),44998.66666666667)</f>
        <v>44998.66667</v>
      </c>
      <c r="B5837" s="1">
        <f>IFERROR(__xludf.DUMMYFUNCTION("""COMPUTED_VALUE"""),137.04)</f>
        <v>137.04</v>
      </c>
      <c r="C5837" s="1">
        <f>IFERROR(__xludf.DUMMYFUNCTION("""COMPUTED_VALUE"""),141.32)</f>
        <v>141.32</v>
      </c>
      <c r="D5837" s="1">
        <f>IFERROR(__xludf.DUMMYFUNCTION("""COMPUTED_VALUE"""),137.04)</f>
        <v>137.04</v>
      </c>
      <c r="E5837" s="1">
        <f>IFERROR(__xludf.DUMMYFUNCTION("""COMPUTED_VALUE"""),138.14)</f>
        <v>138.14</v>
      </c>
      <c r="F5837" s="1">
        <f>IFERROR(__xludf.DUMMYFUNCTION("""COMPUTED_VALUE"""),8337075.0)</f>
        <v>8337075</v>
      </c>
    </row>
    <row r="5838">
      <c r="A5838" s="2">
        <f>IFERROR(__xludf.DUMMYFUNCTION("""COMPUTED_VALUE"""),44999.66666666667)</f>
        <v>44999.66667</v>
      </c>
      <c r="B5838" s="1">
        <f>IFERROR(__xludf.DUMMYFUNCTION("""COMPUTED_VALUE"""),138.29)</f>
        <v>138.29</v>
      </c>
      <c r="C5838" s="1">
        <f>IFERROR(__xludf.DUMMYFUNCTION("""COMPUTED_VALUE"""),140.11)</f>
        <v>140.11</v>
      </c>
      <c r="D5838" s="1">
        <f>IFERROR(__xludf.DUMMYFUNCTION("""COMPUTED_VALUE"""),137.4)</f>
        <v>137.4</v>
      </c>
      <c r="E5838" s="1">
        <f>IFERROR(__xludf.DUMMYFUNCTION("""COMPUTED_VALUE"""),139.85)</f>
        <v>139.85</v>
      </c>
      <c r="F5838" s="1">
        <f>IFERROR(__xludf.DUMMYFUNCTION("""COMPUTED_VALUE"""),9219678.0)</f>
        <v>9219678</v>
      </c>
    </row>
    <row r="5839">
      <c r="A5839" s="2">
        <f>IFERROR(__xludf.DUMMYFUNCTION("""COMPUTED_VALUE"""),45000.66666666667)</f>
        <v>45000.66667</v>
      </c>
      <c r="B5839" s="1">
        <f>IFERROR(__xludf.DUMMYFUNCTION("""COMPUTED_VALUE"""),138.81)</f>
        <v>138.81</v>
      </c>
      <c r="C5839" s="1">
        <f>IFERROR(__xludf.DUMMYFUNCTION("""COMPUTED_VALUE"""),142.15)</f>
        <v>142.15</v>
      </c>
      <c r="D5839" s="1">
        <f>IFERROR(__xludf.DUMMYFUNCTION("""COMPUTED_VALUE"""),138.81)</f>
        <v>138.81</v>
      </c>
      <c r="E5839" s="1">
        <f>IFERROR(__xludf.DUMMYFUNCTION("""COMPUTED_VALUE"""),141.83)</f>
        <v>141.83</v>
      </c>
      <c r="F5839" s="1">
        <f>IFERROR(__xludf.DUMMYFUNCTION("""COMPUTED_VALUE"""),8823491.0)</f>
        <v>8823491</v>
      </c>
    </row>
    <row r="5840">
      <c r="A5840" s="2">
        <f>IFERROR(__xludf.DUMMYFUNCTION("""COMPUTED_VALUE"""),45001.66666666667)</f>
        <v>45001.66667</v>
      </c>
      <c r="B5840" s="1">
        <f>IFERROR(__xludf.DUMMYFUNCTION("""COMPUTED_VALUE"""),141.94)</f>
        <v>141.94</v>
      </c>
      <c r="C5840" s="1">
        <f>IFERROR(__xludf.DUMMYFUNCTION("""COMPUTED_VALUE"""),143.12)</f>
        <v>143.12</v>
      </c>
      <c r="D5840" s="1">
        <f>IFERROR(__xludf.DUMMYFUNCTION("""COMPUTED_VALUE"""),141.61)</f>
        <v>141.61</v>
      </c>
      <c r="E5840" s="1">
        <f>IFERROR(__xludf.DUMMYFUNCTION("""COMPUTED_VALUE"""),142.89)</f>
        <v>142.89</v>
      </c>
      <c r="F5840" s="1">
        <f>IFERROR(__xludf.DUMMYFUNCTION("""COMPUTED_VALUE"""),7063643.0)</f>
        <v>7063643</v>
      </c>
    </row>
    <row r="5841">
      <c r="A5841" s="2">
        <f>IFERROR(__xludf.DUMMYFUNCTION("""COMPUTED_VALUE"""),45002.66666666667)</f>
        <v>45002.66667</v>
      </c>
      <c r="B5841" s="1">
        <f>IFERROR(__xludf.DUMMYFUNCTION("""COMPUTED_VALUE"""),142.5)</f>
        <v>142.5</v>
      </c>
      <c r="C5841" s="1">
        <f>IFERROR(__xludf.DUMMYFUNCTION("""COMPUTED_VALUE"""),143.39)</f>
        <v>143.39</v>
      </c>
      <c r="D5841" s="1">
        <f>IFERROR(__xludf.DUMMYFUNCTION("""COMPUTED_VALUE"""),141.53)</f>
        <v>141.53</v>
      </c>
      <c r="E5841" s="1">
        <f>IFERROR(__xludf.DUMMYFUNCTION("""COMPUTED_VALUE"""),142.93)</f>
        <v>142.93</v>
      </c>
      <c r="F5841" s="1">
        <f>IFERROR(__xludf.DUMMYFUNCTION("""COMPUTED_VALUE"""),1.6018761E7)</f>
        <v>16018761</v>
      </c>
    </row>
    <row r="5842">
      <c r="A5842" s="2">
        <f>IFERROR(__xludf.DUMMYFUNCTION("""COMPUTED_VALUE"""),45005.66666666667)</f>
        <v>45005.66667</v>
      </c>
      <c r="B5842" s="1">
        <f>IFERROR(__xludf.DUMMYFUNCTION("""COMPUTED_VALUE"""),143.5)</f>
        <v>143.5</v>
      </c>
      <c r="C5842" s="1">
        <f>IFERROR(__xludf.DUMMYFUNCTION("""COMPUTED_VALUE"""),145.4)</f>
        <v>145.4</v>
      </c>
      <c r="D5842" s="1">
        <f>IFERROR(__xludf.DUMMYFUNCTION("""COMPUTED_VALUE"""),143.23)</f>
        <v>143.23</v>
      </c>
      <c r="E5842" s="1">
        <f>IFERROR(__xludf.DUMMYFUNCTION("""COMPUTED_VALUE"""),145.13)</f>
        <v>145.13</v>
      </c>
      <c r="F5842" s="1">
        <f>IFERROR(__xludf.DUMMYFUNCTION("""COMPUTED_VALUE"""),8379233.0)</f>
        <v>8379233</v>
      </c>
    </row>
    <row r="5843">
      <c r="A5843" s="2">
        <f>IFERROR(__xludf.DUMMYFUNCTION("""COMPUTED_VALUE"""),45006.66666666667)</f>
        <v>45006.66667</v>
      </c>
      <c r="B5843" s="1">
        <f>IFERROR(__xludf.DUMMYFUNCTION("""COMPUTED_VALUE"""),144.91)</f>
        <v>144.91</v>
      </c>
      <c r="C5843" s="1">
        <f>IFERROR(__xludf.DUMMYFUNCTION("""COMPUTED_VALUE"""),145.23)</f>
        <v>145.23</v>
      </c>
      <c r="D5843" s="1">
        <f>IFERROR(__xludf.DUMMYFUNCTION("""COMPUTED_VALUE"""),142.84)</f>
        <v>142.84</v>
      </c>
      <c r="E5843" s="1">
        <f>IFERROR(__xludf.DUMMYFUNCTION("""COMPUTED_VALUE"""),144.08)</f>
        <v>144.08</v>
      </c>
      <c r="F5843" s="1">
        <f>IFERROR(__xludf.DUMMYFUNCTION("""COMPUTED_VALUE"""),7753184.0)</f>
        <v>7753184</v>
      </c>
    </row>
    <row r="5844">
      <c r="A5844" s="2">
        <f>IFERROR(__xludf.DUMMYFUNCTION("""COMPUTED_VALUE"""),45007.66666666667)</f>
        <v>45007.66667</v>
      </c>
      <c r="B5844" s="1">
        <f>IFERROR(__xludf.DUMMYFUNCTION("""COMPUTED_VALUE"""),144.04)</f>
        <v>144.04</v>
      </c>
      <c r="C5844" s="1">
        <f>IFERROR(__xludf.DUMMYFUNCTION("""COMPUTED_VALUE"""),145.75)</f>
        <v>145.75</v>
      </c>
      <c r="D5844" s="1">
        <f>IFERROR(__xludf.DUMMYFUNCTION("""COMPUTED_VALUE"""),143.83)</f>
        <v>143.83</v>
      </c>
      <c r="E5844" s="1">
        <f>IFERROR(__xludf.DUMMYFUNCTION("""COMPUTED_VALUE"""),143.99)</f>
        <v>143.99</v>
      </c>
      <c r="F5844" s="1">
        <f>IFERROR(__xludf.DUMMYFUNCTION("""COMPUTED_VALUE"""),5729129.0)</f>
        <v>5729129</v>
      </c>
    </row>
    <row r="5845">
      <c r="A5845" s="2">
        <f>IFERROR(__xludf.DUMMYFUNCTION("""COMPUTED_VALUE"""),45008.66666666667)</f>
        <v>45008.66667</v>
      </c>
      <c r="B5845" s="1">
        <f>IFERROR(__xludf.DUMMYFUNCTION("""COMPUTED_VALUE"""),144.24)</f>
        <v>144.24</v>
      </c>
      <c r="C5845" s="1">
        <f>IFERROR(__xludf.DUMMYFUNCTION("""COMPUTED_VALUE"""),145.12)</f>
        <v>145.12</v>
      </c>
      <c r="D5845" s="1">
        <f>IFERROR(__xludf.DUMMYFUNCTION("""COMPUTED_VALUE"""),143.19)</f>
        <v>143.19</v>
      </c>
      <c r="E5845" s="1">
        <f>IFERROR(__xludf.DUMMYFUNCTION("""COMPUTED_VALUE"""),143.79)</f>
        <v>143.79</v>
      </c>
      <c r="F5845" s="1">
        <f>IFERROR(__xludf.DUMMYFUNCTION("""COMPUTED_VALUE"""),5788459.0)</f>
        <v>5788459</v>
      </c>
    </row>
    <row r="5846">
      <c r="A5846" s="2">
        <f>IFERROR(__xludf.DUMMYFUNCTION("""COMPUTED_VALUE"""),45009.66666666667)</f>
        <v>45009.66667</v>
      </c>
      <c r="B5846" s="1">
        <f>IFERROR(__xludf.DUMMYFUNCTION("""COMPUTED_VALUE"""),144.3)</f>
        <v>144.3</v>
      </c>
      <c r="C5846" s="1">
        <f>IFERROR(__xludf.DUMMYFUNCTION("""COMPUTED_VALUE"""),146.76)</f>
        <v>146.76</v>
      </c>
      <c r="D5846" s="1">
        <f>IFERROR(__xludf.DUMMYFUNCTION("""COMPUTED_VALUE"""),144.3)</f>
        <v>144.3</v>
      </c>
      <c r="E5846" s="1">
        <f>IFERROR(__xludf.DUMMYFUNCTION("""COMPUTED_VALUE"""),146.72)</f>
        <v>146.72</v>
      </c>
      <c r="F5846" s="1">
        <f>IFERROR(__xludf.DUMMYFUNCTION("""COMPUTED_VALUE"""),6145622.0)</f>
        <v>6145622</v>
      </c>
    </row>
    <row r="5847">
      <c r="A5847" s="2">
        <f>IFERROR(__xludf.DUMMYFUNCTION("""COMPUTED_VALUE"""),45012.66666666667)</f>
        <v>45012.66667</v>
      </c>
      <c r="B5847" s="1">
        <f>IFERROR(__xludf.DUMMYFUNCTION("""COMPUTED_VALUE"""),146.89)</f>
        <v>146.89</v>
      </c>
      <c r="C5847" s="1">
        <f>IFERROR(__xludf.DUMMYFUNCTION("""COMPUTED_VALUE"""),147.42)</f>
        <v>147.42</v>
      </c>
      <c r="D5847" s="1">
        <f>IFERROR(__xludf.DUMMYFUNCTION("""COMPUTED_VALUE"""),145.87)</f>
        <v>145.87</v>
      </c>
      <c r="E5847" s="1">
        <f>IFERROR(__xludf.DUMMYFUNCTION("""COMPUTED_VALUE"""),145.95)</f>
        <v>145.95</v>
      </c>
      <c r="F5847" s="1">
        <f>IFERROR(__xludf.DUMMYFUNCTION("""COMPUTED_VALUE"""),5917156.0)</f>
        <v>5917156</v>
      </c>
    </row>
    <row r="5848">
      <c r="A5848" s="2">
        <f>IFERROR(__xludf.DUMMYFUNCTION("""COMPUTED_VALUE"""),45013.66666666667)</f>
        <v>45013.66667</v>
      </c>
      <c r="B5848" s="1">
        <f>IFERROR(__xludf.DUMMYFUNCTION("""COMPUTED_VALUE"""),146.55)</f>
        <v>146.55</v>
      </c>
      <c r="C5848" s="1">
        <f>IFERROR(__xludf.DUMMYFUNCTION("""COMPUTED_VALUE"""),146.82)</f>
        <v>146.82</v>
      </c>
      <c r="D5848" s="1">
        <f>IFERROR(__xludf.DUMMYFUNCTION("""COMPUTED_VALUE"""),145.8)</f>
        <v>145.8</v>
      </c>
      <c r="E5848" s="1">
        <f>IFERROR(__xludf.DUMMYFUNCTION("""COMPUTED_VALUE"""),146.36)</f>
        <v>146.36</v>
      </c>
      <c r="F5848" s="1">
        <f>IFERROR(__xludf.DUMMYFUNCTION("""COMPUTED_VALUE"""),4213913.0)</f>
        <v>4213913</v>
      </c>
    </row>
    <row r="5849">
      <c r="A5849" s="2">
        <f>IFERROR(__xludf.DUMMYFUNCTION("""COMPUTED_VALUE"""),45014.66666666667)</f>
        <v>45014.66667</v>
      </c>
      <c r="B5849" s="1">
        <f>IFERROR(__xludf.DUMMYFUNCTION("""COMPUTED_VALUE"""),147.08)</f>
        <v>147.08</v>
      </c>
      <c r="C5849" s="1">
        <f>IFERROR(__xludf.DUMMYFUNCTION("""COMPUTED_VALUE"""),147.29)</f>
        <v>147.29</v>
      </c>
      <c r="D5849" s="1">
        <f>IFERROR(__xludf.DUMMYFUNCTION("""COMPUTED_VALUE"""),146.26)</f>
        <v>146.26</v>
      </c>
      <c r="E5849" s="1">
        <f>IFERROR(__xludf.DUMMYFUNCTION("""COMPUTED_VALUE"""),146.81)</f>
        <v>146.81</v>
      </c>
      <c r="F5849" s="1">
        <f>IFERROR(__xludf.DUMMYFUNCTION("""COMPUTED_VALUE"""),4987741.0)</f>
        <v>4987741</v>
      </c>
    </row>
    <row r="5850">
      <c r="A5850" s="2">
        <f>IFERROR(__xludf.DUMMYFUNCTION("""COMPUTED_VALUE"""),45015.66666666667)</f>
        <v>45015.66667</v>
      </c>
      <c r="B5850" s="1">
        <f>IFERROR(__xludf.DUMMYFUNCTION("""COMPUTED_VALUE"""),146.92)</f>
        <v>146.92</v>
      </c>
      <c r="C5850" s="1">
        <f>IFERROR(__xludf.DUMMYFUNCTION("""COMPUTED_VALUE"""),147.54)</f>
        <v>147.54</v>
      </c>
      <c r="D5850" s="1">
        <f>IFERROR(__xludf.DUMMYFUNCTION("""COMPUTED_VALUE"""),146.3)</f>
        <v>146.3</v>
      </c>
      <c r="E5850" s="1">
        <f>IFERROR(__xludf.DUMMYFUNCTION("""COMPUTED_VALUE"""),147.45)</f>
        <v>147.45</v>
      </c>
      <c r="F5850" s="1">
        <f>IFERROR(__xludf.DUMMYFUNCTION("""COMPUTED_VALUE"""),4117824.0)</f>
        <v>4117824</v>
      </c>
    </row>
    <row r="5851">
      <c r="A5851" s="2">
        <f>IFERROR(__xludf.DUMMYFUNCTION("""COMPUTED_VALUE"""),45016.66666666667)</f>
        <v>45016.66667</v>
      </c>
      <c r="B5851" s="1">
        <f>IFERROR(__xludf.DUMMYFUNCTION("""COMPUTED_VALUE"""),147.74)</f>
        <v>147.74</v>
      </c>
      <c r="C5851" s="1">
        <f>IFERROR(__xludf.DUMMYFUNCTION("""COMPUTED_VALUE"""),148.69)</f>
        <v>148.69</v>
      </c>
      <c r="D5851" s="1">
        <f>IFERROR(__xludf.DUMMYFUNCTION("""COMPUTED_VALUE"""),147.57)</f>
        <v>147.57</v>
      </c>
      <c r="E5851" s="1">
        <f>IFERROR(__xludf.DUMMYFUNCTION("""COMPUTED_VALUE"""),148.69)</f>
        <v>148.69</v>
      </c>
      <c r="F5851" s="1">
        <f>IFERROR(__xludf.DUMMYFUNCTION("""COMPUTED_VALUE"""),7685942.0)</f>
        <v>7685942</v>
      </c>
    </row>
    <row r="5852">
      <c r="A5852" s="2">
        <f>IFERROR(__xludf.DUMMYFUNCTION("""COMPUTED_VALUE"""),45019.66666666667)</f>
        <v>45019.66667</v>
      </c>
      <c r="B5852" s="1">
        <f>IFERROR(__xludf.DUMMYFUNCTION("""COMPUTED_VALUE"""),148.43)</f>
        <v>148.43</v>
      </c>
      <c r="C5852" s="1">
        <f>IFERROR(__xludf.DUMMYFUNCTION("""COMPUTED_VALUE"""),150.07)</f>
        <v>150.07</v>
      </c>
      <c r="D5852" s="1">
        <f>IFERROR(__xludf.DUMMYFUNCTION("""COMPUTED_VALUE"""),147.09)</f>
        <v>147.09</v>
      </c>
      <c r="E5852" s="1">
        <f>IFERROR(__xludf.DUMMYFUNCTION("""COMPUTED_VALUE"""),149.51)</f>
        <v>149.51</v>
      </c>
      <c r="F5852" s="1">
        <f>IFERROR(__xludf.DUMMYFUNCTION("""COMPUTED_VALUE"""),5721680.0)</f>
        <v>5721680</v>
      </c>
    </row>
    <row r="5853">
      <c r="A5853" s="2">
        <f>IFERROR(__xludf.DUMMYFUNCTION("""COMPUTED_VALUE"""),45020.66666666667)</f>
        <v>45020.66667</v>
      </c>
      <c r="B5853" s="1">
        <f>IFERROR(__xludf.DUMMYFUNCTION("""COMPUTED_VALUE"""),150.08)</f>
        <v>150.08</v>
      </c>
      <c r="C5853" s="1">
        <f>IFERROR(__xludf.DUMMYFUNCTION("""COMPUTED_VALUE"""),151.71)</f>
        <v>151.71</v>
      </c>
      <c r="D5853" s="1">
        <f>IFERROR(__xludf.DUMMYFUNCTION("""COMPUTED_VALUE"""),150.08)</f>
        <v>150.08</v>
      </c>
      <c r="E5853" s="1">
        <f>IFERROR(__xludf.DUMMYFUNCTION("""COMPUTED_VALUE"""),150.23)</f>
        <v>150.23</v>
      </c>
      <c r="F5853" s="1">
        <f>IFERROR(__xludf.DUMMYFUNCTION("""COMPUTED_VALUE"""),6714506.0)</f>
        <v>6714506</v>
      </c>
    </row>
    <row r="5854">
      <c r="A5854" s="2">
        <f>IFERROR(__xludf.DUMMYFUNCTION("""COMPUTED_VALUE"""),45021.66666666667)</f>
        <v>45021.66667</v>
      </c>
      <c r="B5854" s="1">
        <f>IFERROR(__xludf.DUMMYFUNCTION("""COMPUTED_VALUE"""),151.33)</f>
        <v>151.33</v>
      </c>
      <c r="C5854" s="1">
        <f>IFERROR(__xludf.DUMMYFUNCTION("""COMPUTED_VALUE"""),152.35)</f>
        <v>152.35</v>
      </c>
      <c r="D5854" s="1">
        <f>IFERROR(__xludf.DUMMYFUNCTION("""COMPUTED_VALUE"""),151.15)</f>
        <v>151.15</v>
      </c>
      <c r="E5854" s="1">
        <f>IFERROR(__xludf.DUMMYFUNCTION("""COMPUTED_VALUE"""),151.26)</f>
        <v>151.26</v>
      </c>
      <c r="F5854" s="1">
        <f>IFERROR(__xludf.DUMMYFUNCTION("""COMPUTED_VALUE"""),6094801.0)</f>
        <v>6094801</v>
      </c>
    </row>
    <row r="5855">
      <c r="A5855" s="2">
        <f>IFERROR(__xludf.DUMMYFUNCTION("""COMPUTED_VALUE"""),45022.66666666667)</f>
        <v>45022.66667</v>
      </c>
      <c r="B5855" s="1">
        <f>IFERROR(__xludf.DUMMYFUNCTION("""COMPUTED_VALUE"""),151.87)</f>
        <v>151.87</v>
      </c>
      <c r="C5855" s="1">
        <f>IFERROR(__xludf.DUMMYFUNCTION("""COMPUTED_VALUE"""),152.96)</f>
        <v>152.96</v>
      </c>
      <c r="D5855" s="1">
        <f>IFERROR(__xludf.DUMMYFUNCTION("""COMPUTED_VALUE"""),151.42)</f>
        <v>151.42</v>
      </c>
      <c r="E5855" s="1">
        <f>IFERROR(__xludf.DUMMYFUNCTION("""COMPUTED_VALUE"""),152.22)</f>
        <v>152.22</v>
      </c>
      <c r="F5855" s="1">
        <f>IFERROR(__xludf.DUMMYFUNCTION("""COMPUTED_VALUE"""),5399741.0)</f>
        <v>5399741</v>
      </c>
    </row>
    <row r="5856">
      <c r="A5856" s="2">
        <f>IFERROR(__xludf.DUMMYFUNCTION("""COMPUTED_VALUE"""),45026.66666666667)</f>
        <v>45026.66667</v>
      </c>
      <c r="B5856" s="1">
        <f>IFERROR(__xludf.DUMMYFUNCTION("""COMPUTED_VALUE"""),151.65)</f>
        <v>151.65</v>
      </c>
      <c r="C5856" s="1">
        <f>IFERROR(__xludf.DUMMYFUNCTION("""COMPUTED_VALUE"""),151.67)</f>
        <v>151.67</v>
      </c>
      <c r="D5856" s="1">
        <f>IFERROR(__xludf.DUMMYFUNCTION("""COMPUTED_VALUE"""),149.51)</f>
        <v>149.51</v>
      </c>
      <c r="E5856" s="1">
        <f>IFERROR(__xludf.DUMMYFUNCTION("""COMPUTED_VALUE"""),150.96)</f>
        <v>150.96</v>
      </c>
      <c r="F5856" s="1">
        <f>IFERROR(__xludf.DUMMYFUNCTION("""COMPUTED_VALUE"""),4891875.0)</f>
        <v>4891875</v>
      </c>
    </row>
    <row r="5857">
      <c r="A5857" s="2">
        <f>IFERROR(__xludf.DUMMYFUNCTION("""COMPUTED_VALUE"""),45027.66666666667)</f>
        <v>45027.66667</v>
      </c>
      <c r="B5857" s="1">
        <f>IFERROR(__xludf.DUMMYFUNCTION("""COMPUTED_VALUE"""),151.26)</f>
        <v>151.26</v>
      </c>
      <c r="C5857" s="1">
        <f>IFERROR(__xludf.DUMMYFUNCTION("""COMPUTED_VALUE"""),151.44)</f>
        <v>151.44</v>
      </c>
      <c r="D5857" s="1">
        <f>IFERROR(__xludf.DUMMYFUNCTION("""COMPUTED_VALUE"""),150.52)</f>
        <v>150.52</v>
      </c>
      <c r="E5857" s="1">
        <f>IFERROR(__xludf.DUMMYFUNCTION("""COMPUTED_VALUE"""),150.66)</f>
        <v>150.66</v>
      </c>
      <c r="F5857" s="1">
        <f>IFERROR(__xludf.DUMMYFUNCTION("""COMPUTED_VALUE"""),6311997.0)</f>
        <v>6311997</v>
      </c>
    </row>
    <row r="5858">
      <c r="A5858" s="2">
        <f>IFERROR(__xludf.DUMMYFUNCTION("""COMPUTED_VALUE"""),45028.66666666667)</f>
        <v>45028.66667</v>
      </c>
      <c r="B5858" s="1">
        <f>IFERROR(__xludf.DUMMYFUNCTION("""COMPUTED_VALUE"""),150.31)</f>
        <v>150.31</v>
      </c>
      <c r="C5858" s="1">
        <f>IFERROR(__xludf.DUMMYFUNCTION("""COMPUTED_VALUE"""),152.41)</f>
        <v>152.41</v>
      </c>
      <c r="D5858" s="1">
        <f>IFERROR(__xludf.DUMMYFUNCTION("""COMPUTED_VALUE"""),149.93)</f>
        <v>149.93</v>
      </c>
      <c r="E5858" s="1">
        <f>IFERROR(__xludf.DUMMYFUNCTION("""COMPUTED_VALUE"""),151.07)</f>
        <v>151.07</v>
      </c>
      <c r="F5858" s="1">
        <f>IFERROR(__xludf.DUMMYFUNCTION("""COMPUTED_VALUE"""),6138080.0)</f>
        <v>6138080</v>
      </c>
    </row>
    <row r="5859">
      <c r="A5859" s="2">
        <f>IFERROR(__xludf.DUMMYFUNCTION("""COMPUTED_VALUE"""),45029.66666666667)</f>
        <v>45029.66667</v>
      </c>
      <c r="B5859" s="1">
        <f>IFERROR(__xludf.DUMMYFUNCTION("""COMPUTED_VALUE"""),150.9)</f>
        <v>150.9</v>
      </c>
      <c r="C5859" s="1">
        <f>IFERROR(__xludf.DUMMYFUNCTION("""COMPUTED_VALUE"""),151.87)</f>
        <v>151.87</v>
      </c>
      <c r="D5859" s="1">
        <f>IFERROR(__xludf.DUMMYFUNCTION("""COMPUTED_VALUE"""),149.82)</f>
        <v>149.82</v>
      </c>
      <c r="E5859" s="1">
        <f>IFERROR(__xludf.DUMMYFUNCTION("""COMPUTED_VALUE"""),151.77)</f>
        <v>151.77</v>
      </c>
      <c r="F5859" s="1">
        <f>IFERROR(__xludf.DUMMYFUNCTION("""COMPUTED_VALUE"""),5489710.0)</f>
        <v>5489710</v>
      </c>
    </row>
    <row r="5860">
      <c r="A5860" s="2">
        <f>IFERROR(__xludf.DUMMYFUNCTION("""COMPUTED_VALUE"""),45030.66666666667)</f>
        <v>45030.66667</v>
      </c>
      <c r="B5860" s="1">
        <f>IFERROR(__xludf.DUMMYFUNCTION("""COMPUTED_VALUE"""),151.35)</f>
        <v>151.35</v>
      </c>
      <c r="C5860" s="1">
        <f>IFERROR(__xludf.DUMMYFUNCTION("""COMPUTED_VALUE"""),151.59)</f>
        <v>151.59</v>
      </c>
      <c r="D5860" s="1">
        <f>IFERROR(__xludf.DUMMYFUNCTION("""COMPUTED_VALUE"""),150.51)</f>
        <v>150.51</v>
      </c>
      <c r="E5860" s="1">
        <f>IFERROR(__xludf.DUMMYFUNCTION("""COMPUTED_VALUE"""),151.0)</f>
        <v>151</v>
      </c>
      <c r="F5860" s="1">
        <f>IFERROR(__xludf.DUMMYFUNCTION("""COMPUTED_VALUE"""),4478782.0)</f>
        <v>4478782</v>
      </c>
    </row>
    <row r="5861">
      <c r="A5861" s="2">
        <f>IFERROR(__xludf.DUMMYFUNCTION("""COMPUTED_VALUE"""),45033.66666666667)</f>
        <v>45033.66667</v>
      </c>
      <c r="B5861" s="1">
        <f>IFERROR(__xludf.DUMMYFUNCTION("""COMPUTED_VALUE"""),151.17)</f>
        <v>151.17</v>
      </c>
      <c r="C5861" s="1">
        <f>IFERROR(__xludf.DUMMYFUNCTION("""COMPUTED_VALUE"""),151.47)</f>
        <v>151.47</v>
      </c>
      <c r="D5861" s="1">
        <f>IFERROR(__xludf.DUMMYFUNCTION("""COMPUTED_VALUE"""),150.34)</f>
        <v>150.34</v>
      </c>
      <c r="E5861" s="1">
        <f>IFERROR(__xludf.DUMMYFUNCTION("""COMPUTED_VALUE"""),151.05)</f>
        <v>151.05</v>
      </c>
      <c r="F5861" s="1">
        <f>IFERROR(__xludf.DUMMYFUNCTION("""COMPUTED_VALUE"""),4296401.0)</f>
        <v>4296401</v>
      </c>
    </row>
    <row r="5862">
      <c r="A5862" s="2">
        <f>IFERROR(__xludf.DUMMYFUNCTION("""COMPUTED_VALUE"""),45034.66666666667)</f>
        <v>45034.66667</v>
      </c>
      <c r="B5862" s="1">
        <f>IFERROR(__xludf.DUMMYFUNCTION("""COMPUTED_VALUE"""),150.98)</f>
        <v>150.98</v>
      </c>
      <c r="C5862" s="1">
        <f>IFERROR(__xludf.DUMMYFUNCTION("""COMPUTED_VALUE"""),151.59)</f>
        <v>151.59</v>
      </c>
      <c r="D5862" s="1">
        <f>IFERROR(__xludf.DUMMYFUNCTION("""COMPUTED_VALUE"""),150.1)</f>
        <v>150.1</v>
      </c>
      <c r="E5862" s="1">
        <f>IFERROR(__xludf.DUMMYFUNCTION("""COMPUTED_VALUE"""),151.21)</f>
        <v>151.21</v>
      </c>
      <c r="F5862" s="1">
        <f>IFERROR(__xludf.DUMMYFUNCTION("""COMPUTED_VALUE"""),4158392.0)</f>
        <v>4158392</v>
      </c>
    </row>
    <row r="5863">
      <c r="A5863" s="2">
        <f>IFERROR(__xludf.DUMMYFUNCTION("""COMPUTED_VALUE"""),45035.66666666667)</f>
        <v>45035.66667</v>
      </c>
      <c r="B5863" s="1">
        <f>IFERROR(__xludf.DUMMYFUNCTION("""COMPUTED_VALUE"""),151.17)</f>
        <v>151.17</v>
      </c>
      <c r="C5863" s="1">
        <f>IFERROR(__xludf.DUMMYFUNCTION("""COMPUTED_VALUE"""),151.9)</f>
        <v>151.9</v>
      </c>
      <c r="D5863" s="1">
        <f>IFERROR(__xludf.DUMMYFUNCTION("""COMPUTED_VALUE"""),150.71)</f>
        <v>150.71</v>
      </c>
      <c r="E5863" s="1">
        <f>IFERROR(__xludf.DUMMYFUNCTION("""COMPUTED_VALUE"""),151.24)</f>
        <v>151.24</v>
      </c>
      <c r="F5863" s="1">
        <f>IFERROR(__xludf.DUMMYFUNCTION("""COMPUTED_VALUE"""),3837607.0)</f>
        <v>3837607</v>
      </c>
    </row>
    <row r="5864">
      <c r="A5864" s="2">
        <f>IFERROR(__xludf.DUMMYFUNCTION("""COMPUTED_VALUE"""),45036.66666666667)</f>
        <v>45036.66667</v>
      </c>
      <c r="B5864" s="1">
        <f>IFERROR(__xludf.DUMMYFUNCTION("""COMPUTED_VALUE"""),150.37)</f>
        <v>150.37</v>
      </c>
      <c r="C5864" s="1">
        <f>IFERROR(__xludf.DUMMYFUNCTION("""COMPUTED_VALUE"""),151.36)</f>
        <v>151.36</v>
      </c>
      <c r="D5864" s="1">
        <f>IFERROR(__xludf.DUMMYFUNCTION("""COMPUTED_VALUE"""),150.37)</f>
        <v>150.37</v>
      </c>
      <c r="E5864" s="1">
        <f>IFERROR(__xludf.DUMMYFUNCTION("""COMPUTED_VALUE"""),150.85)</f>
        <v>150.85</v>
      </c>
      <c r="F5864" s="1">
        <f>IFERROR(__xludf.DUMMYFUNCTION("""COMPUTED_VALUE"""),5370911.0)</f>
        <v>5370911</v>
      </c>
    </row>
    <row r="5865">
      <c r="A5865" s="2">
        <f>IFERROR(__xludf.DUMMYFUNCTION("""COMPUTED_VALUE"""),45037.66666666667)</f>
        <v>45037.66667</v>
      </c>
      <c r="B5865" s="1">
        <f>IFERROR(__xludf.DUMMYFUNCTION("""COMPUTED_VALUE"""),154.94)</f>
        <v>154.94</v>
      </c>
      <c r="C5865" s="1">
        <f>IFERROR(__xludf.DUMMYFUNCTION("""COMPUTED_VALUE"""),158.11)</f>
        <v>158.11</v>
      </c>
      <c r="D5865" s="1">
        <f>IFERROR(__xludf.DUMMYFUNCTION("""COMPUTED_VALUE"""),154.5)</f>
        <v>154.5</v>
      </c>
      <c r="E5865" s="1">
        <f>IFERROR(__xludf.DUMMYFUNCTION("""COMPUTED_VALUE"""),156.07)</f>
        <v>156.07</v>
      </c>
      <c r="F5865" s="1">
        <f>IFERROR(__xludf.DUMMYFUNCTION("""COMPUTED_VALUE"""),1.4876934E7)</f>
        <v>14876934</v>
      </c>
    </row>
    <row r="5866">
      <c r="A5866" s="2">
        <f>IFERROR(__xludf.DUMMYFUNCTION("""COMPUTED_VALUE"""),45040.66666666667)</f>
        <v>45040.66667</v>
      </c>
      <c r="B5866" s="1">
        <f>IFERROR(__xludf.DUMMYFUNCTION("""COMPUTED_VALUE"""),155.22)</f>
        <v>155.22</v>
      </c>
      <c r="C5866" s="1">
        <f>IFERROR(__xludf.DUMMYFUNCTION("""COMPUTED_VALUE"""),157.25)</f>
        <v>157.25</v>
      </c>
      <c r="D5866" s="1">
        <f>IFERROR(__xludf.DUMMYFUNCTION("""COMPUTED_VALUE"""),155.22)</f>
        <v>155.22</v>
      </c>
      <c r="E5866" s="1">
        <f>IFERROR(__xludf.DUMMYFUNCTION("""COMPUTED_VALUE"""),156.35)</f>
        <v>156.35</v>
      </c>
      <c r="F5866" s="1">
        <f>IFERROR(__xludf.DUMMYFUNCTION("""COMPUTED_VALUE"""),8109763.0)</f>
        <v>8109763</v>
      </c>
    </row>
    <row r="5867">
      <c r="A5867" s="2">
        <f>IFERROR(__xludf.DUMMYFUNCTION("""COMPUTED_VALUE"""),45041.66666666667)</f>
        <v>45041.66667</v>
      </c>
      <c r="B5867" s="1">
        <f>IFERROR(__xludf.DUMMYFUNCTION("""COMPUTED_VALUE"""),156.51)</f>
        <v>156.51</v>
      </c>
      <c r="C5867" s="1">
        <f>IFERROR(__xludf.DUMMYFUNCTION("""COMPUTED_VALUE"""),157.94)</f>
        <v>157.94</v>
      </c>
      <c r="D5867" s="1">
        <f>IFERROR(__xludf.DUMMYFUNCTION("""COMPUTED_VALUE"""),155.79)</f>
        <v>155.79</v>
      </c>
      <c r="E5867" s="1">
        <f>IFERROR(__xludf.DUMMYFUNCTION("""COMPUTED_VALUE"""),156.39)</f>
        <v>156.39</v>
      </c>
      <c r="F5867" s="1">
        <f>IFERROR(__xludf.DUMMYFUNCTION("""COMPUTED_VALUE"""),8341759.0)</f>
        <v>8341759</v>
      </c>
    </row>
    <row r="5868">
      <c r="A5868" s="2">
        <f>IFERROR(__xludf.DUMMYFUNCTION("""COMPUTED_VALUE"""),45042.66666666667)</f>
        <v>45042.66667</v>
      </c>
      <c r="B5868" s="1">
        <f>IFERROR(__xludf.DUMMYFUNCTION("""COMPUTED_VALUE"""),155.3)</f>
        <v>155.3</v>
      </c>
      <c r="C5868" s="1">
        <f>IFERROR(__xludf.DUMMYFUNCTION("""COMPUTED_VALUE"""),156.0)</f>
        <v>156</v>
      </c>
      <c r="D5868" s="1">
        <f>IFERROR(__xludf.DUMMYFUNCTION("""COMPUTED_VALUE"""),154.34)</f>
        <v>154.34</v>
      </c>
      <c r="E5868" s="1">
        <f>IFERROR(__xludf.DUMMYFUNCTION("""COMPUTED_VALUE"""),154.58)</f>
        <v>154.58</v>
      </c>
      <c r="F5868" s="1">
        <f>IFERROR(__xludf.DUMMYFUNCTION("""COMPUTED_VALUE"""),4843927.0)</f>
        <v>4843927</v>
      </c>
    </row>
    <row r="5869">
      <c r="A5869" s="2">
        <f>IFERROR(__xludf.DUMMYFUNCTION("""COMPUTED_VALUE"""),45043.66666666667)</f>
        <v>45043.66667</v>
      </c>
      <c r="B5869" s="1">
        <f>IFERROR(__xludf.DUMMYFUNCTION("""COMPUTED_VALUE"""),155.3)</f>
        <v>155.3</v>
      </c>
      <c r="C5869" s="1">
        <f>IFERROR(__xludf.DUMMYFUNCTION("""COMPUTED_VALUE"""),156.61)</f>
        <v>156.61</v>
      </c>
      <c r="D5869" s="1">
        <f>IFERROR(__xludf.DUMMYFUNCTION("""COMPUTED_VALUE"""),155.01)</f>
        <v>155.01</v>
      </c>
      <c r="E5869" s="1">
        <f>IFERROR(__xludf.DUMMYFUNCTION("""COMPUTED_VALUE"""),156.47)</f>
        <v>156.47</v>
      </c>
      <c r="F5869" s="1">
        <f>IFERROR(__xludf.DUMMYFUNCTION("""COMPUTED_VALUE"""),4805563.0)</f>
        <v>4805563</v>
      </c>
    </row>
    <row r="5870">
      <c r="A5870" s="2">
        <f>IFERROR(__xludf.DUMMYFUNCTION("""COMPUTED_VALUE"""),45044.66666666667)</f>
        <v>45044.66667</v>
      </c>
      <c r="B5870" s="1">
        <f>IFERROR(__xludf.DUMMYFUNCTION("""COMPUTED_VALUE"""),156.28)</f>
        <v>156.28</v>
      </c>
      <c r="C5870" s="1">
        <f>IFERROR(__xludf.DUMMYFUNCTION("""COMPUTED_VALUE"""),157.37)</f>
        <v>157.37</v>
      </c>
      <c r="D5870" s="1">
        <f>IFERROR(__xludf.DUMMYFUNCTION("""COMPUTED_VALUE"""),155.76)</f>
        <v>155.76</v>
      </c>
      <c r="E5870" s="1">
        <f>IFERROR(__xludf.DUMMYFUNCTION("""COMPUTED_VALUE"""),156.38)</f>
        <v>156.38</v>
      </c>
      <c r="F5870" s="1">
        <f>IFERROR(__xludf.DUMMYFUNCTION("""COMPUTED_VALUE"""),5754704.0)</f>
        <v>5754704</v>
      </c>
    </row>
    <row r="5871">
      <c r="A5871" s="2">
        <f>IFERROR(__xludf.DUMMYFUNCTION("""COMPUTED_VALUE"""),45047.66666666667)</f>
        <v>45047.66667</v>
      </c>
      <c r="B5871" s="1">
        <f>IFERROR(__xludf.DUMMYFUNCTION("""COMPUTED_VALUE"""),156.03)</f>
        <v>156.03</v>
      </c>
      <c r="C5871" s="1">
        <f>IFERROR(__xludf.DUMMYFUNCTION("""COMPUTED_VALUE"""),157.4)</f>
        <v>157.4</v>
      </c>
      <c r="D5871" s="1">
        <f>IFERROR(__xludf.DUMMYFUNCTION("""COMPUTED_VALUE"""),155.8)</f>
        <v>155.8</v>
      </c>
      <c r="E5871" s="1">
        <f>IFERROR(__xludf.DUMMYFUNCTION("""COMPUTED_VALUE"""),156.57)</f>
        <v>156.57</v>
      </c>
      <c r="F5871" s="1">
        <f>IFERROR(__xludf.DUMMYFUNCTION("""COMPUTED_VALUE"""),3844761.0)</f>
        <v>3844761</v>
      </c>
    </row>
    <row r="5872">
      <c r="A5872" s="2">
        <f>IFERROR(__xludf.DUMMYFUNCTION("""COMPUTED_VALUE"""),45048.66666666667)</f>
        <v>45048.66667</v>
      </c>
      <c r="B5872" s="1">
        <f>IFERROR(__xludf.DUMMYFUNCTION("""COMPUTED_VALUE"""),156.59)</f>
        <v>156.59</v>
      </c>
      <c r="C5872" s="1">
        <f>IFERROR(__xludf.DUMMYFUNCTION("""COMPUTED_VALUE"""),156.93)</f>
        <v>156.93</v>
      </c>
      <c r="D5872" s="1">
        <f>IFERROR(__xludf.DUMMYFUNCTION("""COMPUTED_VALUE"""),155.67)</f>
        <v>155.67</v>
      </c>
      <c r="E5872" s="1">
        <f>IFERROR(__xludf.DUMMYFUNCTION("""COMPUTED_VALUE"""),156.43)</f>
        <v>156.43</v>
      </c>
      <c r="F5872" s="1">
        <f>IFERROR(__xludf.DUMMYFUNCTION("""COMPUTED_VALUE"""),5262908.0)</f>
        <v>5262908</v>
      </c>
    </row>
    <row r="5873">
      <c r="A5873" s="2">
        <f>IFERROR(__xludf.DUMMYFUNCTION("""COMPUTED_VALUE"""),45049.66666666667)</f>
        <v>45049.66667</v>
      </c>
      <c r="B5873" s="1">
        <f>IFERROR(__xludf.DUMMYFUNCTION("""COMPUTED_VALUE"""),156.64)</f>
        <v>156.64</v>
      </c>
      <c r="C5873" s="1">
        <f>IFERROR(__xludf.DUMMYFUNCTION("""COMPUTED_VALUE"""),157.57)</f>
        <v>157.57</v>
      </c>
      <c r="D5873" s="1">
        <f>IFERROR(__xludf.DUMMYFUNCTION("""COMPUTED_VALUE"""),155.43)</f>
        <v>155.43</v>
      </c>
      <c r="E5873" s="1">
        <f>IFERROR(__xludf.DUMMYFUNCTION("""COMPUTED_VALUE"""),156.23)</f>
        <v>156.23</v>
      </c>
      <c r="F5873" s="1">
        <f>IFERROR(__xludf.DUMMYFUNCTION("""COMPUTED_VALUE"""),5775009.0)</f>
        <v>5775009</v>
      </c>
    </row>
    <row r="5874">
      <c r="A5874" s="2">
        <f>IFERROR(__xludf.DUMMYFUNCTION("""COMPUTED_VALUE"""),45050.66666666667)</f>
        <v>45050.66667</v>
      </c>
      <c r="B5874" s="1">
        <f>IFERROR(__xludf.DUMMYFUNCTION("""COMPUTED_VALUE"""),156.1)</f>
        <v>156.1</v>
      </c>
      <c r="C5874" s="1">
        <f>IFERROR(__xludf.DUMMYFUNCTION("""COMPUTED_VALUE"""),156.6)</f>
        <v>156.6</v>
      </c>
      <c r="D5874" s="1">
        <f>IFERROR(__xludf.DUMMYFUNCTION("""COMPUTED_VALUE"""),155.09)</f>
        <v>155.09</v>
      </c>
      <c r="E5874" s="1">
        <f>IFERROR(__xludf.DUMMYFUNCTION("""COMPUTED_VALUE"""),155.51)</f>
        <v>155.51</v>
      </c>
      <c r="F5874" s="1">
        <f>IFERROR(__xludf.DUMMYFUNCTION("""COMPUTED_VALUE"""),4892639.0)</f>
        <v>4892639</v>
      </c>
    </row>
    <row r="5875">
      <c r="A5875" s="2">
        <f>IFERROR(__xludf.DUMMYFUNCTION("""COMPUTED_VALUE"""),45051.66666666667)</f>
        <v>45051.66667</v>
      </c>
      <c r="B5875" s="1">
        <f>IFERROR(__xludf.DUMMYFUNCTION("""COMPUTED_VALUE"""),155.4)</f>
        <v>155.4</v>
      </c>
      <c r="C5875" s="1">
        <f>IFERROR(__xludf.DUMMYFUNCTION("""COMPUTED_VALUE"""),156.31)</f>
        <v>156.31</v>
      </c>
      <c r="D5875" s="1">
        <f>IFERROR(__xludf.DUMMYFUNCTION("""COMPUTED_VALUE"""),154.69)</f>
        <v>154.69</v>
      </c>
      <c r="E5875" s="1">
        <f>IFERROR(__xludf.DUMMYFUNCTION("""COMPUTED_VALUE"""),156.03)</f>
        <v>156.03</v>
      </c>
      <c r="F5875" s="1">
        <f>IFERROR(__xludf.DUMMYFUNCTION("""COMPUTED_VALUE"""),3989157.0)</f>
        <v>3989157</v>
      </c>
    </row>
    <row r="5876">
      <c r="A5876" s="2">
        <f>IFERROR(__xludf.DUMMYFUNCTION("""COMPUTED_VALUE"""),45054.66666666667)</f>
        <v>45054.66667</v>
      </c>
      <c r="B5876" s="1">
        <f>IFERROR(__xludf.DUMMYFUNCTION("""COMPUTED_VALUE"""),155.35)</f>
        <v>155.35</v>
      </c>
      <c r="C5876" s="1">
        <f>IFERROR(__xludf.DUMMYFUNCTION("""COMPUTED_VALUE"""),155.73)</f>
        <v>155.73</v>
      </c>
      <c r="D5876" s="1">
        <f>IFERROR(__xludf.DUMMYFUNCTION("""COMPUTED_VALUE"""),154.87)</f>
        <v>154.87</v>
      </c>
      <c r="E5876" s="1">
        <f>IFERROR(__xludf.DUMMYFUNCTION("""COMPUTED_VALUE"""),155.3)</f>
        <v>155.3</v>
      </c>
      <c r="F5876" s="1">
        <f>IFERROR(__xludf.DUMMYFUNCTION("""COMPUTED_VALUE"""),4950679.0)</f>
        <v>4950679</v>
      </c>
    </row>
    <row r="5877">
      <c r="A5877" s="2">
        <f>IFERROR(__xludf.DUMMYFUNCTION("""COMPUTED_VALUE"""),45055.66666666667)</f>
        <v>45055.66667</v>
      </c>
      <c r="B5877" s="1">
        <f>IFERROR(__xludf.DUMMYFUNCTION("""COMPUTED_VALUE"""),155.85)</f>
        <v>155.85</v>
      </c>
      <c r="C5877" s="1">
        <f>IFERROR(__xludf.DUMMYFUNCTION("""COMPUTED_VALUE"""),155.98)</f>
        <v>155.98</v>
      </c>
      <c r="D5877" s="1">
        <f>IFERROR(__xludf.DUMMYFUNCTION("""COMPUTED_VALUE"""),153.58)</f>
        <v>153.58</v>
      </c>
      <c r="E5877" s="1">
        <f>IFERROR(__xludf.DUMMYFUNCTION("""COMPUTED_VALUE"""),153.71)</f>
        <v>153.71</v>
      </c>
      <c r="F5877" s="1">
        <f>IFERROR(__xludf.DUMMYFUNCTION("""COMPUTED_VALUE"""),4472097.0)</f>
        <v>4472097</v>
      </c>
    </row>
    <row r="5878">
      <c r="A5878" s="2">
        <f>IFERROR(__xludf.DUMMYFUNCTION("""COMPUTED_VALUE"""),45056.66666666667)</f>
        <v>45056.66667</v>
      </c>
      <c r="B5878" s="1">
        <f>IFERROR(__xludf.DUMMYFUNCTION("""COMPUTED_VALUE"""),153.45)</f>
        <v>153.45</v>
      </c>
      <c r="C5878" s="1">
        <f>IFERROR(__xludf.DUMMYFUNCTION("""COMPUTED_VALUE"""),154.32)</f>
        <v>154.32</v>
      </c>
      <c r="D5878" s="1">
        <f>IFERROR(__xludf.DUMMYFUNCTION("""COMPUTED_VALUE"""),152.44)</f>
        <v>152.44</v>
      </c>
      <c r="E5878" s="1">
        <f>IFERROR(__xludf.DUMMYFUNCTION("""COMPUTED_VALUE"""),154.03)</f>
        <v>154.03</v>
      </c>
      <c r="F5878" s="1">
        <f>IFERROR(__xludf.DUMMYFUNCTION("""COMPUTED_VALUE"""),4754854.0)</f>
        <v>4754854</v>
      </c>
    </row>
    <row r="5879">
      <c r="A5879" s="2">
        <f>IFERROR(__xludf.DUMMYFUNCTION("""COMPUTED_VALUE"""),45057.66666666667)</f>
        <v>45057.66667</v>
      </c>
      <c r="B5879" s="1">
        <f>IFERROR(__xludf.DUMMYFUNCTION("""COMPUTED_VALUE"""),154.81)</f>
        <v>154.81</v>
      </c>
      <c r="C5879" s="1">
        <f>IFERROR(__xludf.DUMMYFUNCTION("""COMPUTED_VALUE"""),154.89)</f>
        <v>154.89</v>
      </c>
      <c r="D5879" s="1">
        <f>IFERROR(__xludf.DUMMYFUNCTION("""COMPUTED_VALUE"""),153.39)</f>
        <v>153.39</v>
      </c>
      <c r="E5879" s="1">
        <f>IFERROR(__xludf.DUMMYFUNCTION("""COMPUTED_VALUE"""),154.39)</f>
        <v>154.39</v>
      </c>
      <c r="F5879" s="1">
        <f>IFERROR(__xludf.DUMMYFUNCTION("""COMPUTED_VALUE"""),3495324.0)</f>
        <v>3495324</v>
      </c>
    </row>
    <row r="5880">
      <c r="A5880" s="2">
        <f>IFERROR(__xludf.DUMMYFUNCTION("""COMPUTED_VALUE"""),45058.66666666667)</f>
        <v>45058.66667</v>
      </c>
      <c r="B5880" s="1">
        <f>IFERROR(__xludf.DUMMYFUNCTION("""COMPUTED_VALUE"""),154.7)</f>
        <v>154.7</v>
      </c>
      <c r="C5880" s="1">
        <f>IFERROR(__xludf.DUMMYFUNCTION("""COMPUTED_VALUE"""),156.05)</f>
        <v>156.05</v>
      </c>
      <c r="D5880" s="1">
        <f>IFERROR(__xludf.DUMMYFUNCTION("""COMPUTED_VALUE"""),154.39)</f>
        <v>154.39</v>
      </c>
      <c r="E5880" s="1">
        <f>IFERROR(__xludf.DUMMYFUNCTION("""COMPUTED_VALUE"""),155.96)</f>
        <v>155.96</v>
      </c>
      <c r="F5880" s="1">
        <f>IFERROR(__xludf.DUMMYFUNCTION("""COMPUTED_VALUE"""),5252889.0)</f>
        <v>5252889</v>
      </c>
    </row>
    <row r="5881">
      <c r="A5881" s="2">
        <f>IFERROR(__xludf.DUMMYFUNCTION("""COMPUTED_VALUE"""),45061.66666666667)</f>
        <v>45061.66667</v>
      </c>
      <c r="B5881" s="1">
        <f>IFERROR(__xludf.DUMMYFUNCTION("""COMPUTED_VALUE"""),156.61)</f>
        <v>156.61</v>
      </c>
      <c r="C5881" s="1">
        <f>IFERROR(__xludf.DUMMYFUNCTION("""COMPUTED_VALUE"""),156.75)</f>
        <v>156.75</v>
      </c>
      <c r="D5881" s="1">
        <f>IFERROR(__xludf.DUMMYFUNCTION("""COMPUTED_VALUE"""),154.64)</f>
        <v>154.64</v>
      </c>
      <c r="E5881" s="1">
        <f>IFERROR(__xludf.DUMMYFUNCTION("""COMPUTED_VALUE"""),156.01)</f>
        <v>156.01</v>
      </c>
      <c r="F5881" s="1">
        <f>IFERROR(__xludf.DUMMYFUNCTION("""COMPUTED_VALUE"""),5414904.0)</f>
        <v>5414904</v>
      </c>
    </row>
    <row r="5882">
      <c r="A5882" s="2">
        <f>IFERROR(__xludf.DUMMYFUNCTION("""COMPUTED_VALUE"""),45062.66666666667)</f>
        <v>45062.66667</v>
      </c>
      <c r="B5882" s="1">
        <f>IFERROR(__xludf.DUMMYFUNCTION("""COMPUTED_VALUE"""),155.87)</f>
        <v>155.87</v>
      </c>
      <c r="C5882" s="1">
        <f>IFERROR(__xludf.DUMMYFUNCTION("""COMPUTED_VALUE"""),156.92)</f>
        <v>156.92</v>
      </c>
      <c r="D5882" s="1">
        <f>IFERROR(__xludf.DUMMYFUNCTION("""COMPUTED_VALUE"""),154.93)</f>
        <v>154.93</v>
      </c>
      <c r="E5882" s="1">
        <f>IFERROR(__xludf.DUMMYFUNCTION("""COMPUTED_VALUE"""),155.74)</f>
        <v>155.74</v>
      </c>
      <c r="F5882" s="1">
        <f>IFERROR(__xludf.DUMMYFUNCTION("""COMPUTED_VALUE"""),5591579.0)</f>
        <v>5591579</v>
      </c>
    </row>
    <row r="5883">
      <c r="A5883" s="2">
        <f>IFERROR(__xludf.DUMMYFUNCTION("""COMPUTED_VALUE"""),45063.66666666667)</f>
        <v>45063.66667</v>
      </c>
      <c r="B5883" s="1">
        <f>IFERROR(__xludf.DUMMYFUNCTION("""COMPUTED_VALUE"""),156.26)</f>
        <v>156.26</v>
      </c>
      <c r="C5883" s="1">
        <f>IFERROR(__xludf.DUMMYFUNCTION("""COMPUTED_VALUE"""),156.56)</f>
        <v>156.56</v>
      </c>
      <c r="D5883" s="1">
        <f>IFERROR(__xludf.DUMMYFUNCTION("""COMPUTED_VALUE"""),153.9)</f>
        <v>153.9</v>
      </c>
      <c r="E5883" s="1">
        <f>IFERROR(__xludf.DUMMYFUNCTION("""COMPUTED_VALUE"""),155.08)</f>
        <v>155.08</v>
      </c>
      <c r="F5883" s="1">
        <f>IFERROR(__xludf.DUMMYFUNCTION("""COMPUTED_VALUE"""),4287036.0)</f>
        <v>4287036</v>
      </c>
    </row>
    <row r="5884">
      <c r="A5884" s="2">
        <f>IFERROR(__xludf.DUMMYFUNCTION("""COMPUTED_VALUE"""),45064.66666666667)</f>
        <v>45064.66667</v>
      </c>
      <c r="B5884" s="1">
        <f>IFERROR(__xludf.DUMMYFUNCTION("""COMPUTED_VALUE"""),153.31)</f>
        <v>153.31</v>
      </c>
      <c r="C5884" s="1">
        <f>IFERROR(__xludf.DUMMYFUNCTION("""COMPUTED_VALUE"""),153.65)</f>
        <v>153.65</v>
      </c>
      <c r="D5884" s="1">
        <f>IFERROR(__xludf.DUMMYFUNCTION("""COMPUTED_VALUE"""),151.6)</f>
        <v>151.6</v>
      </c>
      <c r="E5884" s="1">
        <f>IFERROR(__xludf.DUMMYFUNCTION("""COMPUTED_VALUE"""),152.53)</f>
        <v>152.53</v>
      </c>
      <c r="F5884" s="1">
        <f>IFERROR(__xludf.DUMMYFUNCTION("""COMPUTED_VALUE"""),6997610.0)</f>
        <v>6997610</v>
      </c>
    </row>
    <row r="5885">
      <c r="A5885" s="2">
        <f>IFERROR(__xludf.DUMMYFUNCTION("""COMPUTED_VALUE"""),45065.66666666667)</f>
        <v>45065.66667</v>
      </c>
      <c r="B5885" s="1">
        <f>IFERROR(__xludf.DUMMYFUNCTION("""COMPUTED_VALUE"""),152.47)</f>
        <v>152.47</v>
      </c>
      <c r="C5885" s="1">
        <f>IFERROR(__xludf.DUMMYFUNCTION("""COMPUTED_VALUE"""),153.32)</f>
        <v>153.32</v>
      </c>
      <c r="D5885" s="1">
        <f>IFERROR(__xludf.DUMMYFUNCTION("""COMPUTED_VALUE"""),151.84)</f>
        <v>151.84</v>
      </c>
      <c r="E5885" s="1">
        <f>IFERROR(__xludf.DUMMYFUNCTION("""COMPUTED_VALUE"""),153.17)</f>
        <v>153.17</v>
      </c>
      <c r="F5885" s="1">
        <f>IFERROR(__xludf.DUMMYFUNCTION("""COMPUTED_VALUE"""),4754120.0)</f>
        <v>4754120</v>
      </c>
    </row>
    <row r="5886">
      <c r="A5886" s="2">
        <f>IFERROR(__xludf.DUMMYFUNCTION("""COMPUTED_VALUE"""),45068.66666666667)</f>
        <v>45068.66667</v>
      </c>
      <c r="B5886" s="1">
        <f>IFERROR(__xludf.DUMMYFUNCTION("""COMPUTED_VALUE"""),152.5)</f>
        <v>152.5</v>
      </c>
      <c r="C5886" s="1">
        <f>IFERROR(__xludf.DUMMYFUNCTION("""COMPUTED_VALUE"""),152.6)</f>
        <v>152.6</v>
      </c>
      <c r="D5886" s="1">
        <f>IFERROR(__xludf.DUMMYFUNCTION("""COMPUTED_VALUE"""),148.83)</f>
        <v>148.83</v>
      </c>
      <c r="E5886" s="1">
        <f>IFERROR(__xludf.DUMMYFUNCTION("""COMPUTED_VALUE"""),149.16)</f>
        <v>149.16</v>
      </c>
      <c r="F5886" s="1">
        <f>IFERROR(__xludf.DUMMYFUNCTION("""COMPUTED_VALUE"""),7876207.0)</f>
        <v>7876207</v>
      </c>
    </row>
    <row r="5887">
      <c r="A5887" s="2">
        <f>IFERROR(__xludf.DUMMYFUNCTION("""COMPUTED_VALUE"""),45069.66666666667)</f>
        <v>45069.66667</v>
      </c>
      <c r="B5887" s="1">
        <f>IFERROR(__xludf.DUMMYFUNCTION("""COMPUTED_VALUE"""),148.79)</f>
        <v>148.79</v>
      </c>
      <c r="C5887" s="1">
        <f>IFERROR(__xludf.DUMMYFUNCTION("""COMPUTED_VALUE"""),148.88)</f>
        <v>148.88</v>
      </c>
      <c r="D5887" s="1">
        <f>IFERROR(__xludf.DUMMYFUNCTION("""COMPUTED_VALUE"""),147.07)</f>
        <v>147.07</v>
      </c>
      <c r="E5887" s="1">
        <f>IFERROR(__xludf.DUMMYFUNCTION("""COMPUTED_VALUE"""),147.55)</f>
        <v>147.55</v>
      </c>
      <c r="F5887" s="1">
        <f>IFERROR(__xludf.DUMMYFUNCTION("""COMPUTED_VALUE"""),6116037.0)</f>
        <v>6116037</v>
      </c>
    </row>
    <row r="5888">
      <c r="A5888" s="2">
        <f>IFERROR(__xludf.DUMMYFUNCTION("""COMPUTED_VALUE"""),45070.66666666667)</f>
        <v>45070.66667</v>
      </c>
      <c r="B5888" s="1">
        <f>IFERROR(__xludf.DUMMYFUNCTION("""COMPUTED_VALUE"""),147.59)</f>
        <v>147.59</v>
      </c>
      <c r="C5888" s="1">
        <f>IFERROR(__xludf.DUMMYFUNCTION("""COMPUTED_VALUE"""),148.2)</f>
        <v>148.2</v>
      </c>
      <c r="D5888" s="1">
        <f>IFERROR(__xludf.DUMMYFUNCTION("""COMPUTED_VALUE"""),146.09)</f>
        <v>146.09</v>
      </c>
      <c r="E5888" s="1">
        <f>IFERROR(__xludf.DUMMYFUNCTION("""COMPUTED_VALUE"""),146.33)</f>
        <v>146.33</v>
      </c>
      <c r="F5888" s="1">
        <f>IFERROR(__xludf.DUMMYFUNCTION("""COMPUTED_VALUE"""),5755426.0)</f>
        <v>5755426</v>
      </c>
    </row>
    <row r="5889">
      <c r="A5889" s="2">
        <f>IFERROR(__xludf.DUMMYFUNCTION("""COMPUTED_VALUE"""),45071.66666666667)</f>
        <v>45071.66667</v>
      </c>
      <c r="B5889" s="1">
        <f>IFERROR(__xludf.DUMMYFUNCTION("""COMPUTED_VALUE"""),145.49)</f>
        <v>145.49</v>
      </c>
      <c r="C5889" s="1">
        <f>IFERROR(__xludf.DUMMYFUNCTION("""COMPUTED_VALUE"""),146.21)</f>
        <v>146.21</v>
      </c>
      <c r="D5889" s="1">
        <f>IFERROR(__xludf.DUMMYFUNCTION("""COMPUTED_VALUE"""),144.35)</f>
        <v>144.35</v>
      </c>
      <c r="E5889" s="1">
        <f>IFERROR(__xludf.DUMMYFUNCTION("""COMPUTED_VALUE"""),145.39)</f>
        <v>145.39</v>
      </c>
      <c r="F5889" s="1">
        <f>IFERROR(__xludf.DUMMYFUNCTION("""COMPUTED_VALUE"""),6510519.0)</f>
        <v>6510519</v>
      </c>
    </row>
    <row r="5890">
      <c r="A5890" s="2">
        <f>IFERROR(__xludf.DUMMYFUNCTION("""COMPUTED_VALUE"""),45072.66666666667)</f>
        <v>45072.66667</v>
      </c>
      <c r="B5890" s="1">
        <f>IFERROR(__xludf.DUMMYFUNCTION("""COMPUTED_VALUE"""),145.33)</f>
        <v>145.33</v>
      </c>
      <c r="C5890" s="1">
        <f>IFERROR(__xludf.DUMMYFUNCTION("""COMPUTED_VALUE"""),146.01)</f>
        <v>146.01</v>
      </c>
      <c r="D5890" s="1">
        <f>IFERROR(__xludf.DUMMYFUNCTION("""COMPUTED_VALUE"""),144.73)</f>
        <v>144.73</v>
      </c>
      <c r="E5890" s="1">
        <f>IFERROR(__xludf.DUMMYFUNCTION("""COMPUTED_VALUE"""),145.4)</f>
        <v>145.4</v>
      </c>
      <c r="F5890" s="1">
        <f>IFERROR(__xludf.DUMMYFUNCTION("""COMPUTED_VALUE"""),4716495.0)</f>
        <v>4716495</v>
      </c>
    </row>
    <row r="5891">
      <c r="A5891" s="2">
        <f>IFERROR(__xludf.DUMMYFUNCTION("""COMPUTED_VALUE"""),45076.66666666667)</f>
        <v>45076.66667</v>
      </c>
      <c r="B5891" s="1">
        <f>IFERROR(__xludf.DUMMYFUNCTION("""COMPUTED_VALUE"""),143.86)</f>
        <v>143.86</v>
      </c>
      <c r="C5891" s="1">
        <f>IFERROR(__xludf.DUMMYFUNCTION("""COMPUTED_VALUE"""),144.04)</f>
        <v>144.04</v>
      </c>
      <c r="D5891" s="1">
        <f>IFERROR(__xludf.DUMMYFUNCTION("""COMPUTED_VALUE"""),142.35)</f>
        <v>142.35</v>
      </c>
      <c r="E5891" s="1">
        <f>IFERROR(__xludf.DUMMYFUNCTION("""COMPUTED_VALUE"""),143.18)</f>
        <v>143.18</v>
      </c>
      <c r="F5891" s="1">
        <f>IFERROR(__xludf.DUMMYFUNCTION("""COMPUTED_VALUE"""),5561037.0)</f>
        <v>5561037</v>
      </c>
    </row>
    <row r="5892">
      <c r="A5892" s="2">
        <f>IFERROR(__xludf.DUMMYFUNCTION("""COMPUTED_VALUE"""),45077.66666666667)</f>
        <v>45077.66667</v>
      </c>
      <c r="B5892" s="1">
        <f>IFERROR(__xludf.DUMMYFUNCTION("""COMPUTED_VALUE"""),143.16)</f>
        <v>143.16</v>
      </c>
      <c r="C5892" s="1">
        <f>IFERROR(__xludf.DUMMYFUNCTION("""COMPUTED_VALUE"""),143.98)</f>
        <v>143.98</v>
      </c>
      <c r="D5892" s="1">
        <f>IFERROR(__xludf.DUMMYFUNCTION("""COMPUTED_VALUE"""),141.9)</f>
        <v>141.9</v>
      </c>
      <c r="E5892" s="1">
        <f>IFERROR(__xludf.DUMMYFUNCTION("""COMPUTED_VALUE"""),142.5)</f>
        <v>142.5</v>
      </c>
      <c r="F5892" s="1">
        <f>IFERROR(__xludf.DUMMYFUNCTION("""COMPUTED_VALUE"""),1.9854789E7)</f>
        <v>19854789</v>
      </c>
    </row>
    <row r="5893">
      <c r="A5893" s="2">
        <f>IFERROR(__xludf.DUMMYFUNCTION("""COMPUTED_VALUE"""),45078.66666666667)</f>
        <v>45078.66667</v>
      </c>
      <c r="B5893" s="1">
        <f>IFERROR(__xludf.DUMMYFUNCTION("""COMPUTED_VALUE"""),143.25)</f>
        <v>143.25</v>
      </c>
      <c r="C5893" s="1">
        <f>IFERROR(__xludf.DUMMYFUNCTION("""COMPUTED_VALUE"""),144.12)</f>
        <v>144.12</v>
      </c>
      <c r="D5893" s="1">
        <f>IFERROR(__xludf.DUMMYFUNCTION("""COMPUTED_VALUE"""),142.45)</f>
        <v>142.45</v>
      </c>
      <c r="E5893" s="1">
        <f>IFERROR(__xludf.DUMMYFUNCTION("""COMPUTED_VALUE"""),143.96)</f>
        <v>143.96</v>
      </c>
      <c r="F5893" s="1">
        <f>IFERROR(__xludf.DUMMYFUNCTION("""COMPUTED_VALUE"""),6091064.0)</f>
        <v>6091064</v>
      </c>
    </row>
    <row r="5894">
      <c r="A5894" s="2">
        <f>IFERROR(__xludf.DUMMYFUNCTION("""COMPUTED_VALUE"""),45079.66666666667)</f>
        <v>45079.66667</v>
      </c>
      <c r="B5894" s="1">
        <f>IFERROR(__xludf.DUMMYFUNCTION("""COMPUTED_VALUE"""),144.51)</f>
        <v>144.51</v>
      </c>
      <c r="C5894" s="1">
        <f>IFERROR(__xludf.DUMMYFUNCTION("""COMPUTED_VALUE"""),146.68)</f>
        <v>146.68</v>
      </c>
      <c r="D5894" s="1">
        <f>IFERROR(__xludf.DUMMYFUNCTION("""COMPUTED_VALUE"""),144.39)</f>
        <v>144.39</v>
      </c>
      <c r="E5894" s="1">
        <f>IFERROR(__xludf.DUMMYFUNCTION("""COMPUTED_VALUE"""),146.52)</f>
        <v>146.52</v>
      </c>
      <c r="F5894" s="1">
        <f>IFERROR(__xludf.DUMMYFUNCTION("""COMPUTED_VALUE"""),6124403.0)</f>
        <v>6124403</v>
      </c>
    </row>
    <row r="5895">
      <c r="A5895" s="2">
        <f>IFERROR(__xludf.DUMMYFUNCTION("""COMPUTED_VALUE"""),45082.66666666667)</f>
        <v>45082.66667</v>
      </c>
      <c r="B5895" s="1">
        <f>IFERROR(__xludf.DUMMYFUNCTION("""COMPUTED_VALUE"""),146.05)</f>
        <v>146.05</v>
      </c>
      <c r="C5895" s="1">
        <f>IFERROR(__xludf.DUMMYFUNCTION("""COMPUTED_VALUE"""),147.85)</f>
        <v>147.85</v>
      </c>
      <c r="D5895" s="1">
        <f>IFERROR(__xludf.DUMMYFUNCTION("""COMPUTED_VALUE"""),145.73)</f>
        <v>145.73</v>
      </c>
      <c r="E5895" s="1">
        <f>IFERROR(__xludf.DUMMYFUNCTION("""COMPUTED_VALUE"""),145.94)</f>
        <v>145.94</v>
      </c>
      <c r="F5895" s="1">
        <f>IFERROR(__xludf.DUMMYFUNCTION("""COMPUTED_VALUE"""),4753665.0)</f>
        <v>4753665</v>
      </c>
    </row>
    <row r="5896">
      <c r="A5896" s="2">
        <f>IFERROR(__xludf.DUMMYFUNCTION("""COMPUTED_VALUE"""),45083.66666666667)</f>
        <v>45083.66667</v>
      </c>
      <c r="B5896" s="1">
        <f>IFERROR(__xludf.DUMMYFUNCTION("""COMPUTED_VALUE"""),146.07)</f>
        <v>146.07</v>
      </c>
      <c r="C5896" s="1">
        <f>IFERROR(__xludf.DUMMYFUNCTION("""COMPUTED_VALUE"""),146.31)</f>
        <v>146.31</v>
      </c>
      <c r="D5896" s="1">
        <f>IFERROR(__xludf.DUMMYFUNCTION("""COMPUTED_VALUE"""),143.55)</f>
        <v>143.55</v>
      </c>
      <c r="E5896" s="1">
        <f>IFERROR(__xludf.DUMMYFUNCTION("""COMPUTED_VALUE"""),144.49)</f>
        <v>144.49</v>
      </c>
      <c r="F5896" s="1">
        <f>IFERROR(__xludf.DUMMYFUNCTION("""COMPUTED_VALUE"""),4636045.0)</f>
        <v>4636045</v>
      </c>
    </row>
    <row r="5897">
      <c r="A5897" s="2">
        <f>IFERROR(__xludf.DUMMYFUNCTION("""COMPUTED_VALUE"""),45084.66666666667)</f>
        <v>45084.66667</v>
      </c>
      <c r="B5897" s="1">
        <f>IFERROR(__xludf.DUMMYFUNCTION("""COMPUTED_VALUE"""),144.01)</f>
        <v>144.01</v>
      </c>
      <c r="C5897" s="1">
        <f>IFERROR(__xludf.DUMMYFUNCTION("""COMPUTED_VALUE"""),145.12)</f>
        <v>145.12</v>
      </c>
      <c r="D5897" s="1">
        <f>IFERROR(__xludf.DUMMYFUNCTION("""COMPUTED_VALUE"""),143.47)</f>
        <v>143.47</v>
      </c>
      <c r="E5897" s="1">
        <f>IFERROR(__xludf.DUMMYFUNCTION("""COMPUTED_VALUE"""),144.8)</f>
        <v>144.8</v>
      </c>
      <c r="F5897" s="1">
        <f>IFERROR(__xludf.DUMMYFUNCTION("""COMPUTED_VALUE"""),6194620.0)</f>
        <v>6194620</v>
      </c>
    </row>
    <row r="5898">
      <c r="A5898" s="2">
        <f>IFERROR(__xludf.DUMMYFUNCTION("""COMPUTED_VALUE"""),45085.66666666667)</f>
        <v>45085.66667</v>
      </c>
      <c r="B5898" s="1">
        <f>IFERROR(__xludf.DUMMYFUNCTION("""COMPUTED_VALUE"""),145.34)</f>
        <v>145.34</v>
      </c>
      <c r="C5898" s="1">
        <f>IFERROR(__xludf.DUMMYFUNCTION("""COMPUTED_VALUE"""),146.65)</f>
        <v>146.65</v>
      </c>
      <c r="D5898" s="1">
        <f>IFERROR(__xludf.DUMMYFUNCTION("""COMPUTED_VALUE"""),144.92)</f>
        <v>144.92</v>
      </c>
      <c r="E5898" s="1">
        <f>IFERROR(__xludf.DUMMYFUNCTION("""COMPUTED_VALUE"""),146.44)</f>
        <v>146.44</v>
      </c>
      <c r="F5898" s="1">
        <f>IFERROR(__xludf.DUMMYFUNCTION("""COMPUTED_VALUE"""),4864149.0)</f>
        <v>4864149</v>
      </c>
    </row>
    <row r="5899">
      <c r="A5899" s="2">
        <f>IFERROR(__xludf.DUMMYFUNCTION("""COMPUTED_VALUE"""),45086.66666666667)</f>
        <v>45086.66667</v>
      </c>
      <c r="B5899" s="1">
        <f>IFERROR(__xludf.DUMMYFUNCTION("""COMPUTED_VALUE"""),145.68)</f>
        <v>145.68</v>
      </c>
      <c r="C5899" s="1">
        <f>IFERROR(__xludf.DUMMYFUNCTION("""COMPUTED_VALUE"""),146.78)</f>
        <v>146.78</v>
      </c>
      <c r="D5899" s="1">
        <f>IFERROR(__xludf.DUMMYFUNCTION("""COMPUTED_VALUE"""),144.73)</f>
        <v>144.73</v>
      </c>
      <c r="E5899" s="1">
        <f>IFERROR(__xludf.DUMMYFUNCTION("""COMPUTED_VALUE"""),146.56)</f>
        <v>146.56</v>
      </c>
      <c r="F5899" s="1">
        <f>IFERROR(__xludf.DUMMYFUNCTION("""COMPUTED_VALUE"""),5569831.0)</f>
        <v>5569831</v>
      </c>
    </row>
    <row r="5900">
      <c r="A5900" s="2">
        <f>IFERROR(__xludf.DUMMYFUNCTION("""COMPUTED_VALUE"""),45089.66666666667)</f>
        <v>45089.66667</v>
      </c>
      <c r="B5900" s="1">
        <f>IFERROR(__xludf.DUMMYFUNCTION("""COMPUTED_VALUE"""),147.0)</f>
        <v>147</v>
      </c>
      <c r="C5900" s="1">
        <f>IFERROR(__xludf.DUMMYFUNCTION("""COMPUTED_VALUE"""),147.01)</f>
        <v>147.01</v>
      </c>
      <c r="D5900" s="1">
        <f>IFERROR(__xludf.DUMMYFUNCTION("""COMPUTED_VALUE"""),144.55)</f>
        <v>144.55</v>
      </c>
      <c r="E5900" s="1">
        <f>IFERROR(__xludf.DUMMYFUNCTION("""COMPUTED_VALUE"""),145.41)</f>
        <v>145.41</v>
      </c>
      <c r="F5900" s="1">
        <f>IFERROR(__xludf.DUMMYFUNCTION("""COMPUTED_VALUE"""),5354690.0)</f>
        <v>5354690</v>
      </c>
    </row>
    <row r="5901">
      <c r="A5901" s="2">
        <f>IFERROR(__xludf.DUMMYFUNCTION("""COMPUTED_VALUE"""),45090.66666666667)</f>
        <v>45090.66667</v>
      </c>
      <c r="B5901" s="1">
        <f>IFERROR(__xludf.DUMMYFUNCTION("""COMPUTED_VALUE"""),144.51)</f>
        <v>144.51</v>
      </c>
      <c r="C5901" s="1">
        <f>IFERROR(__xludf.DUMMYFUNCTION("""COMPUTED_VALUE"""),145.68)</f>
        <v>145.68</v>
      </c>
      <c r="D5901" s="1">
        <f>IFERROR(__xludf.DUMMYFUNCTION("""COMPUTED_VALUE"""),144.28)</f>
        <v>144.28</v>
      </c>
      <c r="E5901" s="1">
        <f>IFERROR(__xludf.DUMMYFUNCTION("""COMPUTED_VALUE"""),145.06)</f>
        <v>145.06</v>
      </c>
      <c r="F5901" s="1">
        <f>IFERROR(__xludf.DUMMYFUNCTION("""COMPUTED_VALUE"""),5321204.0)</f>
        <v>5321204</v>
      </c>
    </row>
    <row r="5902">
      <c r="A5902" s="2">
        <f>IFERROR(__xludf.DUMMYFUNCTION("""COMPUTED_VALUE"""),45091.66666666667)</f>
        <v>45091.66667</v>
      </c>
      <c r="B5902" s="1">
        <f>IFERROR(__xludf.DUMMYFUNCTION("""COMPUTED_VALUE"""),145.31)</f>
        <v>145.31</v>
      </c>
      <c r="C5902" s="1">
        <f>IFERROR(__xludf.DUMMYFUNCTION("""COMPUTED_VALUE"""),146.89)</f>
        <v>146.89</v>
      </c>
      <c r="D5902" s="1">
        <f>IFERROR(__xludf.DUMMYFUNCTION("""COMPUTED_VALUE"""),144.83)</f>
        <v>144.83</v>
      </c>
      <c r="E5902" s="1">
        <f>IFERROR(__xludf.DUMMYFUNCTION("""COMPUTED_VALUE"""),146.42)</f>
        <v>146.42</v>
      </c>
      <c r="F5902" s="1">
        <f>IFERROR(__xludf.DUMMYFUNCTION("""COMPUTED_VALUE"""),5693491.0)</f>
        <v>5693491</v>
      </c>
    </row>
    <row r="5903">
      <c r="A5903" s="2">
        <f>IFERROR(__xludf.DUMMYFUNCTION("""COMPUTED_VALUE"""),45092.66666666667)</f>
        <v>45092.66667</v>
      </c>
      <c r="B5903" s="1">
        <f>IFERROR(__xludf.DUMMYFUNCTION("""COMPUTED_VALUE"""),147.17)</f>
        <v>147.17</v>
      </c>
      <c r="C5903" s="1">
        <f>IFERROR(__xludf.DUMMYFUNCTION("""COMPUTED_VALUE"""),148.97)</f>
        <v>148.97</v>
      </c>
      <c r="D5903" s="1">
        <f>IFERROR(__xludf.DUMMYFUNCTION("""COMPUTED_VALUE"""),146.54)</f>
        <v>146.54</v>
      </c>
      <c r="E5903" s="1">
        <f>IFERROR(__xludf.DUMMYFUNCTION("""COMPUTED_VALUE"""),148.45)</f>
        <v>148.45</v>
      </c>
      <c r="F5903" s="1">
        <f>IFERROR(__xludf.DUMMYFUNCTION("""COMPUTED_VALUE"""),5862999.0)</f>
        <v>5862999</v>
      </c>
    </row>
    <row r="5904">
      <c r="A5904" s="2">
        <f>IFERROR(__xludf.DUMMYFUNCTION("""COMPUTED_VALUE"""),45093.66666666667)</f>
        <v>45093.66667</v>
      </c>
      <c r="B5904" s="1">
        <f>IFERROR(__xludf.DUMMYFUNCTION("""COMPUTED_VALUE"""),148.92)</f>
        <v>148.92</v>
      </c>
      <c r="C5904" s="1">
        <f>IFERROR(__xludf.DUMMYFUNCTION("""COMPUTED_VALUE"""),150.09)</f>
        <v>150.09</v>
      </c>
      <c r="D5904" s="1">
        <f>IFERROR(__xludf.DUMMYFUNCTION("""COMPUTED_VALUE"""),148.9)</f>
        <v>148.9</v>
      </c>
      <c r="E5904" s="1">
        <f>IFERROR(__xludf.DUMMYFUNCTION("""COMPUTED_VALUE"""),149.54)</f>
        <v>149.54</v>
      </c>
      <c r="F5904" s="1">
        <f>IFERROR(__xludf.DUMMYFUNCTION("""COMPUTED_VALUE"""),1.1244926E7)</f>
        <v>11244926</v>
      </c>
    </row>
    <row r="5905">
      <c r="A5905" s="2">
        <f>IFERROR(__xludf.DUMMYFUNCTION("""COMPUTED_VALUE"""),45097.66666666667)</f>
        <v>45097.66667</v>
      </c>
      <c r="B5905" s="1">
        <f>IFERROR(__xludf.DUMMYFUNCTION("""COMPUTED_VALUE"""),149.75)</f>
        <v>149.75</v>
      </c>
      <c r="C5905" s="1">
        <f>IFERROR(__xludf.DUMMYFUNCTION("""COMPUTED_VALUE"""),150.28)</f>
        <v>150.28</v>
      </c>
      <c r="D5905" s="1">
        <f>IFERROR(__xludf.DUMMYFUNCTION("""COMPUTED_VALUE"""),148.11)</f>
        <v>148.11</v>
      </c>
      <c r="E5905" s="1">
        <f>IFERROR(__xludf.DUMMYFUNCTION("""COMPUTED_VALUE"""),148.16)</f>
        <v>148.16</v>
      </c>
      <c r="F5905" s="1">
        <f>IFERROR(__xludf.DUMMYFUNCTION("""COMPUTED_VALUE"""),5340854.0)</f>
        <v>5340854</v>
      </c>
    </row>
    <row r="5906">
      <c r="A5906" s="2">
        <f>IFERROR(__xludf.DUMMYFUNCTION("""COMPUTED_VALUE"""),45098.66666666667)</f>
        <v>45098.66667</v>
      </c>
      <c r="B5906" s="1">
        <f>IFERROR(__xludf.DUMMYFUNCTION("""COMPUTED_VALUE"""),148.26)</f>
        <v>148.26</v>
      </c>
      <c r="C5906" s="1">
        <f>IFERROR(__xludf.DUMMYFUNCTION("""COMPUTED_VALUE"""),149.6)</f>
        <v>149.6</v>
      </c>
      <c r="D5906" s="1">
        <f>IFERROR(__xludf.DUMMYFUNCTION("""COMPUTED_VALUE"""),147.87)</f>
        <v>147.87</v>
      </c>
      <c r="E5906" s="1">
        <f>IFERROR(__xludf.DUMMYFUNCTION("""COMPUTED_VALUE"""),149.44)</f>
        <v>149.44</v>
      </c>
      <c r="F5906" s="1">
        <f>IFERROR(__xludf.DUMMYFUNCTION("""COMPUTED_VALUE"""),4649893.0)</f>
        <v>4649893</v>
      </c>
    </row>
    <row r="5907">
      <c r="A5907" s="2">
        <f>IFERROR(__xludf.DUMMYFUNCTION("""COMPUTED_VALUE"""),45099.66666666667)</f>
        <v>45099.66667</v>
      </c>
      <c r="B5907" s="1">
        <f>IFERROR(__xludf.DUMMYFUNCTION("""COMPUTED_VALUE"""),150.35)</f>
        <v>150.35</v>
      </c>
      <c r="C5907" s="1">
        <f>IFERROR(__xludf.DUMMYFUNCTION("""COMPUTED_VALUE"""),151.1)</f>
        <v>151.1</v>
      </c>
      <c r="D5907" s="1">
        <f>IFERROR(__xludf.DUMMYFUNCTION("""COMPUTED_VALUE"""),149.48)</f>
        <v>149.48</v>
      </c>
      <c r="E5907" s="1">
        <f>IFERROR(__xludf.DUMMYFUNCTION("""COMPUTED_VALUE"""),149.95)</f>
        <v>149.95</v>
      </c>
      <c r="F5907" s="1">
        <f>IFERROR(__xludf.DUMMYFUNCTION("""COMPUTED_VALUE"""),6666932.0)</f>
        <v>6666932</v>
      </c>
    </row>
    <row r="5908">
      <c r="A5908" s="2">
        <f>IFERROR(__xludf.DUMMYFUNCTION("""COMPUTED_VALUE"""),45100.66666666667)</f>
        <v>45100.66667</v>
      </c>
      <c r="B5908" s="1">
        <f>IFERROR(__xludf.DUMMYFUNCTION("""COMPUTED_VALUE"""),150.25)</f>
        <v>150.25</v>
      </c>
      <c r="C5908" s="1">
        <f>IFERROR(__xludf.DUMMYFUNCTION("""COMPUTED_VALUE"""),150.53)</f>
        <v>150.53</v>
      </c>
      <c r="D5908" s="1">
        <f>IFERROR(__xludf.DUMMYFUNCTION("""COMPUTED_VALUE"""),147.96)</f>
        <v>147.96</v>
      </c>
      <c r="E5908" s="1">
        <f>IFERROR(__xludf.DUMMYFUNCTION("""COMPUTED_VALUE"""),148.46)</f>
        <v>148.46</v>
      </c>
      <c r="F5908" s="1">
        <f>IFERROR(__xludf.DUMMYFUNCTION("""COMPUTED_VALUE"""),1.3843536E7)</f>
        <v>13843536</v>
      </c>
    </row>
    <row r="5909">
      <c r="A5909" s="2">
        <f>IFERROR(__xludf.DUMMYFUNCTION("""COMPUTED_VALUE"""),45103.66666666667)</f>
        <v>45103.66667</v>
      </c>
      <c r="B5909" s="1">
        <f>IFERROR(__xludf.DUMMYFUNCTION("""COMPUTED_VALUE"""),148.1)</f>
        <v>148.1</v>
      </c>
      <c r="C5909" s="1">
        <f>IFERROR(__xludf.DUMMYFUNCTION("""COMPUTED_VALUE"""),148.97)</f>
        <v>148.97</v>
      </c>
      <c r="D5909" s="1">
        <f>IFERROR(__xludf.DUMMYFUNCTION("""COMPUTED_VALUE"""),146.72)</f>
        <v>146.72</v>
      </c>
      <c r="E5909" s="1">
        <f>IFERROR(__xludf.DUMMYFUNCTION("""COMPUTED_VALUE"""),148.61)</f>
        <v>148.61</v>
      </c>
      <c r="F5909" s="1">
        <f>IFERROR(__xludf.DUMMYFUNCTION("""COMPUTED_VALUE"""),4353067.0)</f>
        <v>4353067</v>
      </c>
    </row>
    <row r="5910">
      <c r="A5910" s="2">
        <f>IFERROR(__xludf.DUMMYFUNCTION("""COMPUTED_VALUE"""),45104.66666666667)</f>
        <v>45104.66667</v>
      </c>
      <c r="B5910" s="1">
        <f>IFERROR(__xludf.DUMMYFUNCTION("""COMPUTED_VALUE"""),148.44)</f>
        <v>148.44</v>
      </c>
      <c r="C5910" s="1">
        <f>IFERROR(__xludf.DUMMYFUNCTION("""COMPUTED_VALUE"""),150.17)</f>
        <v>150.17</v>
      </c>
      <c r="D5910" s="1">
        <f>IFERROR(__xludf.DUMMYFUNCTION("""COMPUTED_VALUE"""),148.39)</f>
        <v>148.39</v>
      </c>
      <c r="E5910" s="1">
        <f>IFERROR(__xludf.DUMMYFUNCTION("""COMPUTED_VALUE"""),150.02)</f>
        <v>150.02</v>
      </c>
      <c r="F5910" s="1">
        <f>IFERROR(__xludf.DUMMYFUNCTION("""COMPUTED_VALUE"""),5445569.0)</f>
        <v>5445569</v>
      </c>
    </row>
    <row r="5911">
      <c r="A5911" s="2">
        <f>IFERROR(__xludf.DUMMYFUNCTION("""COMPUTED_VALUE"""),45105.66666666667)</f>
        <v>45105.66667</v>
      </c>
      <c r="B5911" s="1">
        <f>IFERROR(__xludf.DUMMYFUNCTION("""COMPUTED_VALUE"""),149.33)</f>
        <v>149.33</v>
      </c>
      <c r="C5911" s="1">
        <f>IFERROR(__xludf.DUMMYFUNCTION("""COMPUTED_VALUE"""),150.3)</f>
        <v>150.3</v>
      </c>
      <c r="D5911" s="1">
        <f>IFERROR(__xludf.DUMMYFUNCTION("""COMPUTED_VALUE"""),147.96)</f>
        <v>147.96</v>
      </c>
      <c r="E5911" s="1">
        <f>IFERROR(__xludf.DUMMYFUNCTION("""COMPUTED_VALUE"""),149.99)</f>
        <v>149.99</v>
      </c>
      <c r="F5911" s="1">
        <f>IFERROR(__xludf.DUMMYFUNCTION("""COMPUTED_VALUE"""),6733301.0)</f>
        <v>6733301</v>
      </c>
    </row>
    <row r="5912">
      <c r="A5912" s="2">
        <f>IFERROR(__xludf.DUMMYFUNCTION("""COMPUTED_VALUE"""),45106.66666666667)</f>
        <v>45106.66667</v>
      </c>
      <c r="B5912" s="1">
        <f>IFERROR(__xludf.DUMMYFUNCTION("""COMPUTED_VALUE"""),148.48)</f>
        <v>148.48</v>
      </c>
      <c r="C5912" s="1">
        <f>IFERROR(__xludf.DUMMYFUNCTION("""COMPUTED_VALUE"""),149.7)</f>
        <v>149.7</v>
      </c>
      <c r="D5912" s="1">
        <f>IFERROR(__xludf.DUMMYFUNCTION("""COMPUTED_VALUE"""),147.1)</f>
        <v>147.1</v>
      </c>
      <c r="E5912" s="1">
        <f>IFERROR(__xludf.DUMMYFUNCTION("""COMPUTED_VALUE"""),149.38)</f>
        <v>149.38</v>
      </c>
      <c r="F5912" s="1">
        <f>IFERROR(__xludf.DUMMYFUNCTION("""COMPUTED_VALUE"""),7343034.0)</f>
        <v>7343034</v>
      </c>
    </row>
    <row r="5913">
      <c r="A5913" s="2">
        <f>IFERROR(__xludf.DUMMYFUNCTION("""COMPUTED_VALUE"""),45107.66666666667)</f>
        <v>45107.66667</v>
      </c>
      <c r="B5913" s="1">
        <f>IFERROR(__xludf.DUMMYFUNCTION("""COMPUTED_VALUE"""),149.83)</f>
        <v>149.83</v>
      </c>
      <c r="C5913" s="1">
        <f>IFERROR(__xludf.DUMMYFUNCTION("""COMPUTED_VALUE"""),152.07)</f>
        <v>152.07</v>
      </c>
      <c r="D5913" s="1">
        <f>IFERROR(__xludf.DUMMYFUNCTION("""COMPUTED_VALUE"""),149.79)</f>
        <v>149.79</v>
      </c>
      <c r="E5913" s="1">
        <f>IFERROR(__xludf.DUMMYFUNCTION("""COMPUTED_VALUE"""),151.74)</f>
        <v>151.74</v>
      </c>
      <c r="F5913" s="1">
        <f>IFERROR(__xludf.DUMMYFUNCTION("""COMPUTED_VALUE"""),7058273.0)</f>
        <v>7058273</v>
      </c>
    </row>
    <row r="5914">
      <c r="A5914" s="2">
        <f>IFERROR(__xludf.DUMMYFUNCTION("""COMPUTED_VALUE"""),45110.54166666667)</f>
        <v>45110.54167</v>
      </c>
      <c r="B5914" s="1">
        <f>IFERROR(__xludf.DUMMYFUNCTION("""COMPUTED_VALUE"""),151.48)</f>
        <v>151.48</v>
      </c>
      <c r="C5914" s="1">
        <f>IFERROR(__xludf.DUMMYFUNCTION("""COMPUTED_VALUE"""),152.53)</f>
        <v>152.53</v>
      </c>
      <c r="D5914" s="1">
        <f>IFERROR(__xludf.DUMMYFUNCTION("""COMPUTED_VALUE"""),150.47)</f>
        <v>150.47</v>
      </c>
      <c r="E5914" s="1">
        <f>IFERROR(__xludf.DUMMYFUNCTION("""COMPUTED_VALUE"""),152.5)</f>
        <v>152.5</v>
      </c>
      <c r="F5914" s="1">
        <f>IFERROR(__xludf.DUMMYFUNCTION("""COMPUTED_VALUE"""),3996098.0)</f>
        <v>3996098</v>
      </c>
    </row>
    <row r="5915">
      <c r="A5915" s="2">
        <f>IFERROR(__xludf.DUMMYFUNCTION("""COMPUTED_VALUE"""),45112.66666666667)</f>
        <v>45112.66667</v>
      </c>
      <c r="B5915" s="1">
        <f>IFERROR(__xludf.DUMMYFUNCTION("""COMPUTED_VALUE"""),151.63)</f>
        <v>151.63</v>
      </c>
      <c r="C5915" s="1">
        <f>IFERROR(__xludf.DUMMYFUNCTION("""COMPUTED_VALUE"""),152.46)</f>
        <v>152.46</v>
      </c>
      <c r="D5915" s="1">
        <f>IFERROR(__xludf.DUMMYFUNCTION("""COMPUTED_VALUE"""),151.44)</f>
        <v>151.44</v>
      </c>
      <c r="E5915" s="1">
        <f>IFERROR(__xludf.DUMMYFUNCTION("""COMPUTED_VALUE"""),152.24)</f>
        <v>152.24</v>
      </c>
      <c r="F5915" s="1">
        <f>IFERROR(__xludf.DUMMYFUNCTION("""COMPUTED_VALUE"""),8280120.0)</f>
        <v>8280120</v>
      </c>
    </row>
    <row r="5916">
      <c r="A5916" s="2">
        <f>IFERROR(__xludf.DUMMYFUNCTION("""COMPUTED_VALUE"""),45113.66666666667)</f>
        <v>45113.66667</v>
      </c>
      <c r="B5916" s="1">
        <f>IFERROR(__xludf.DUMMYFUNCTION("""COMPUTED_VALUE"""),151.2)</f>
        <v>151.2</v>
      </c>
      <c r="C5916" s="1">
        <f>IFERROR(__xludf.DUMMYFUNCTION("""COMPUTED_VALUE"""),152.19)</f>
        <v>152.19</v>
      </c>
      <c r="D5916" s="1">
        <f>IFERROR(__xludf.DUMMYFUNCTION("""COMPUTED_VALUE"""),150.76)</f>
        <v>150.76</v>
      </c>
      <c r="E5916" s="1">
        <f>IFERROR(__xludf.DUMMYFUNCTION("""COMPUTED_VALUE"""),151.99)</f>
        <v>151.99</v>
      </c>
      <c r="F5916" s="1">
        <f>IFERROR(__xludf.DUMMYFUNCTION("""COMPUTED_VALUE"""),7958486.0)</f>
        <v>7958486</v>
      </c>
    </row>
    <row r="5917">
      <c r="A5917" s="2">
        <f>IFERROR(__xludf.DUMMYFUNCTION("""COMPUTED_VALUE"""),45114.66666666667)</f>
        <v>45114.66667</v>
      </c>
      <c r="B5917" s="1">
        <f>IFERROR(__xludf.DUMMYFUNCTION("""COMPUTED_VALUE"""),151.71)</f>
        <v>151.71</v>
      </c>
      <c r="C5917" s="1">
        <f>IFERROR(__xludf.DUMMYFUNCTION("""COMPUTED_VALUE"""),151.92)</f>
        <v>151.92</v>
      </c>
      <c r="D5917" s="1">
        <f>IFERROR(__xludf.DUMMYFUNCTION("""COMPUTED_VALUE"""),148.75)</f>
        <v>148.75</v>
      </c>
      <c r="E5917" s="1">
        <f>IFERROR(__xludf.DUMMYFUNCTION("""COMPUTED_VALUE"""),148.8)</f>
        <v>148.8</v>
      </c>
      <c r="F5917" s="1">
        <f>IFERROR(__xludf.DUMMYFUNCTION("""COMPUTED_VALUE"""),9169548.0)</f>
        <v>9169548</v>
      </c>
    </row>
    <row r="5918">
      <c r="A5918" s="2">
        <f>IFERROR(__xludf.DUMMYFUNCTION("""COMPUTED_VALUE"""),45117.66666666667)</f>
        <v>45117.66667</v>
      </c>
      <c r="B5918" s="1">
        <f>IFERROR(__xludf.DUMMYFUNCTION("""COMPUTED_VALUE"""),148.94)</f>
        <v>148.94</v>
      </c>
      <c r="C5918" s="1">
        <f>IFERROR(__xludf.DUMMYFUNCTION("""COMPUTED_VALUE"""),150.32)</f>
        <v>150.32</v>
      </c>
      <c r="D5918" s="1">
        <f>IFERROR(__xludf.DUMMYFUNCTION("""COMPUTED_VALUE"""),148.74)</f>
        <v>148.74</v>
      </c>
      <c r="E5918" s="1">
        <f>IFERROR(__xludf.DUMMYFUNCTION("""COMPUTED_VALUE"""),148.86)</f>
        <v>148.86</v>
      </c>
      <c r="F5918" s="1">
        <f>IFERROR(__xludf.DUMMYFUNCTION("""COMPUTED_VALUE"""),5529210.0)</f>
        <v>5529210</v>
      </c>
    </row>
    <row r="5919">
      <c r="A5919" s="2">
        <f>IFERROR(__xludf.DUMMYFUNCTION("""COMPUTED_VALUE"""),45118.66666666667)</f>
        <v>45118.66667</v>
      </c>
      <c r="B5919" s="1">
        <f>IFERROR(__xludf.DUMMYFUNCTION("""COMPUTED_VALUE"""),148.73)</f>
        <v>148.73</v>
      </c>
      <c r="C5919" s="1">
        <f>IFERROR(__xludf.DUMMYFUNCTION("""COMPUTED_VALUE"""),149.05)</f>
        <v>149.05</v>
      </c>
      <c r="D5919" s="1">
        <f>IFERROR(__xludf.DUMMYFUNCTION("""COMPUTED_VALUE"""),146.96)</f>
        <v>146.96</v>
      </c>
      <c r="E5919" s="1">
        <f>IFERROR(__xludf.DUMMYFUNCTION("""COMPUTED_VALUE"""),148.08)</f>
        <v>148.08</v>
      </c>
      <c r="F5919" s="1">
        <f>IFERROR(__xludf.DUMMYFUNCTION("""COMPUTED_VALUE"""),5150361.0)</f>
        <v>5150361</v>
      </c>
    </row>
    <row r="5920">
      <c r="A5920" s="2">
        <f>IFERROR(__xludf.DUMMYFUNCTION("""COMPUTED_VALUE"""),45119.66666666667)</f>
        <v>45119.66667</v>
      </c>
      <c r="B5920" s="1">
        <f>IFERROR(__xludf.DUMMYFUNCTION("""COMPUTED_VALUE"""),148.03)</f>
        <v>148.03</v>
      </c>
      <c r="C5920" s="1">
        <f>IFERROR(__xludf.DUMMYFUNCTION("""COMPUTED_VALUE"""),149.4)</f>
        <v>149.4</v>
      </c>
      <c r="D5920" s="1">
        <f>IFERROR(__xludf.DUMMYFUNCTION("""COMPUTED_VALUE"""),147.64)</f>
        <v>147.64</v>
      </c>
      <c r="E5920" s="1">
        <f>IFERROR(__xludf.DUMMYFUNCTION("""COMPUTED_VALUE"""),148.85)</f>
        <v>148.85</v>
      </c>
      <c r="F5920" s="1">
        <f>IFERROR(__xludf.DUMMYFUNCTION("""COMPUTED_VALUE"""),6764641.0)</f>
        <v>6764641</v>
      </c>
    </row>
    <row r="5921">
      <c r="A5921" s="2">
        <f>IFERROR(__xludf.DUMMYFUNCTION("""COMPUTED_VALUE"""),45120.66666666667)</f>
        <v>45120.66667</v>
      </c>
      <c r="B5921" s="1">
        <f>IFERROR(__xludf.DUMMYFUNCTION("""COMPUTED_VALUE"""),149.0)</f>
        <v>149</v>
      </c>
      <c r="C5921" s="1">
        <f>IFERROR(__xludf.DUMMYFUNCTION("""COMPUTED_VALUE"""),149.52)</f>
        <v>149.52</v>
      </c>
      <c r="D5921" s="1">
        <f>IFERROR(__xludf.DUMMYFUNCTION("""COMPUTED_VALUE"""),148.2)</f>
        <v>148.2</v>
      </c>
      <c r="E5921" s="1">
        <f>IFERROR(__xludf.DUMMYFUNCTION("""COMPUTED_VALUE"""),148.95)</f>
        <v>148.95</v>
      </c>
      <c r="F5921" s="1">
        <f>IFERROR(__xludf.DUMMYFUNCTION("""COMPUTED_VALUE"""),5561424.0)</f>
        <v>5561424</v>
      </c>
    </row>
    <row r="5922">
      <c r="A5922" s="2">
        <f>IFERROR(__xludf.DUMMYFUNCTION("""COMPUTED_VALUE"""),45121.66666666667)</f>
        <v>45121.66667</v>
      </c>
      <c r="B5922" s="1">
        <f>IFERROR(__xludf.DUMMYFUNCTION("""COMPUTED_VALUE"""),149.27)</f>
        <v>149.27</v>
      </c>
      <c r="C5922" s="1">
        <f>IFERROR(__xludf.DUMMYFUNCTION("""COMPUTED_VALUE"""),150.63)</f>
        <v>150.63</v>
      </c>
      <c r="D5922" s="1">
        <f>IFERROR(__xludf.DUMMYFUNCTION("""COMPUTED_VALUE"""),148.73)</f>
        <v>148.73</v>
      </c>
      <c r="E5922" s="1">
        <f>IFERROR(__xludf.DUMMYFUNCTION("""COMPUTED_VALUE"""),150.05)</f>
        <v>150.05</v>
      </c>
      <c r="F5922" s="1">
        <f>IFERROR(__xludf.DUMMYFUNCTION("""COMPUTED_VALUE"""),6128878.0)</f>
        <v>6128878</v>
      </c>
    </row>
    <row r="5923">
      <c r="A5923" s="2">
        <f>IFERROR(__xludf.DUMMYFUNCTION("""COMPUTED_VALUE"""),45124.66666666667)</f>
        <v>45124.66667</v>
      </c>
      <c r="B5923" s="1">
        <f>IFERROR(__xludf.DUMMYFUNCTION("""COMPUTED_VALUE"""),149.65)</f>
        <v>149.65</v>
      </c>
      <c r="C5923" s="1">
        <f>IFERROR(__xludf.DUMMYFUNCTION("""COMPUTED_VALUE"""),150.16)</f>
        <v>150.16</v>
      </c>
      <c r="D5923" s="1">
        <f>IFERROR(__xludf.DUMMYFUNCTION("""COMPUTED_VALUE"""),148.97)</f>
        <v>148.97</v>
      </c>
      <c r="E5923" s="1">
        <f>IFERROR(__xludf.DUMMYFUNCTION("""COMPUTED_VALUE"""),148.99)</f>
        <v>148.99</v>
      </c>
      <c r="F5923" s="1">
        <f>IFERROR(__xludf.DUMMYFUNCTION("""COMPUTED_VALUE"""),4626029.0)</f>
        <v>4626029</v>
      </c>
    </row>
    <row r="5924">
      <c r="A5924" s="2">
        <f>IFERROR(__xludf.DUMMYFUNCTION("""COMPUTED_VALUE"""),45125.66666666667)</f>
        <v>45125.66667</v>
      </c>
      <c r="B5924" s="1">
        <f>IFERROR(__xludf.DUMMYFUNCTION("""COMPUTED_VALUE"""),148.64)</f>
        <v>148.64</v>
      </c>
      <c r="C5924" s="1">
        <f>IFERROR(__xludf.DUMMYFUNCTION("""COMPUTED_VALUE"""),150.48)</f>
        <v>150.48</v>
      </c>
      <c r="D5924" s="1">
        <f>IFERROR(__xludf.DUMMYFUNCTION("""COMPUTED_VALUE"""),148.38)</f>
        <v>148.38</v>
      </c>
      <c r="E5924" s="1">
        <f>IFERROR(__xludf.DUMMYFUNCTION("""COMPUTED_VALUE"""),149.27)</f>
        <v>149.27</v>
      </c>
      <c r="F5924" s="1">
        <f>IFERROR(__xludf.DUMMYFUNCTION("""COMPUTED_VALUE"""),5355185.0)</f>
        <v>5355185</v>
      </c>
    </row>
    <row r="5925">
      <c r="A5925" s="2">
        <f>IFERROR(__xludf.DUMMYFUNCTION("""COMPUTED_VALUE"""),45126.66666666667)</f>
        <v>45126.66667</v>
      </c>
      <c r="B5925" s="1">
        <f>IFERROR(__xludf.DUMMYFUNCTION("""COMPUTED_VALUE"""),149.55)</f>
        <v>149.55</v>
      </c>
      <c r="C5925" s="1">
        <f>IFERROR(__xludf.DUMMYFUNCTION("""COMPUTED_VALUE"""),150.82)</f>
        <v>150.82</v>
      </c>
      <c r="D5925" s="1">
        <f>IFERROR(__xludf.DUMMYFUNCTION("""COMPUTED_VALUE"""),148.86)</f>
        <v>148.86</v>
      </c>
      <c r="E5925" s="1">
        <f>IFERROR(__xludf.DUMMYFUNCTION("""COMPUTED_VALUE"""),150.29)</f>
        <v>150.29</v>
      </c>
      <c r="F5925" s="1">
        <f>IFERROR(__xludf.DUMMYFUNCTION("""COMPUTED_VALUE"""),6203584.0)</f>
        <v>6203584</v>
      </c>
    </row>
    <row r="5926">
      <c r="A5926" s="2">
        <f>IFERROR(__xludf.DUMMYFUNCTION("""COMPUTED_VALUE"""),45127.66666666667)</f>
        <v>45127.66667</v>
      </c>
      <c r="B5926" s="1">
        <f>IFERROR(__xludf.DUMMYFUNCTION("""COMPUTED_VALUE"""),149.55)</f>
        <v>149.55</v>
      </c>
      <c r="C5926" s="1">
        <f>IFERROR(__xludf.DUMMYFUNCTION("""COMPUTED_VALUE"""),150.75)</f>
        <v>150.75</v>
      </c>
      <c r="D5926" s="1">
        <f>IFERROR(__xludf.DUMMYFUNCTION("""COMPUTED_VALUE"""),148.14)</f>
        <v>148.14</v>
      </c>
      <c r="E5926" s="1">
        <f>IFERROR(__xludf.DUMMYFUNCTION("""COMPUTED_VALUE"""),150.56)</f>
        <v>150.56</v>
      </c>
      <c r="F5926" s="1">
        <f>IFERROR(__xludf.DUMMYFUNCTION("""COMPUTED_VALUE"""),6445552.0)</f>
        <v>6445552</v>
      </c>
    </row>
    <row r="5927">
      <c r="A5927" s="2">
        <f>IFERROR(__xludf.DUMMYFUNCTION("""COMPUTED_VALUE"""),45128.66666666667)</f>
        <v>45128.66667</v>
      </c>
      <c r="B5927" s="1">
        <f>IFERROR(__xludf.DUMMYFUNCTION("""COMPUTED_VALUE"""),151.15)</f>
        <v>151.15</v>
      </c>
      <c r="C5927" s="1">
        <f>IFERROR(__xludf.DUMMYFUNCTION("""COMPUTED_VALUE"""),153.67)</f>
        <v>153.67</v>
      </c>
      <c r="D5927" s="1">
        <f>IFERROR(__xludf.DUMMYFUNCTION("""COMPUTED_VALUE"""),150.7)</f>
        <v>150.7</v>
      </c>
      <c r="E5927" s="1">
        <f>IFERROR(__xludf.DUMMYFUNCTION("""COMPUTED_VALUE"""),152.93)</f>
        <v>152.93</v>
      </c>
      <c r="F5927" s="1">
        <f>IFERROR(__xludf.DUMMYFUNCTION("""COMPUTED_VALUE"""),9938441.0)</f>
        <v>9938441</v>
      </c>
    </row>
    <row r="5928">
      <c r="A5928" s="2">
        <f>IFERROR(__xludf.DUMMYFUNCTION("""COMPUTED_VALUE"""),45131.66666666667)</f>
        <v>45131.66667</v>
      </c>
      <c r="B5928" s="1">
        <f>IFERROR(__xludf.DUMMYFUNCTION("""COMPUTED_VALUE"""),152.84)</f>
        <v>152.84</v>
      </c>
      <c r="C5928" s="1">
        <f>IFERROR(__xludf.DUMMYFUNCTION("""COMPUTED_VALUE"""),153.95)</f>
        <v>153.95</v>
      </c>
      <c r="D5928" s="1">
        <f>IFERROR(__xludf.DUMMYFUNCTION("""COMPUTED_VALUE"""),152.3)</f>
        <v>152.3</v>
      </c>
      <c r="E5928" s="1">
        <f>IFERROR(__xludf.DUMMYFUNCTION("""COMPUTED_VALUE"""),153.42)</f>
        <v>153.42</v>
      </c>
      <c r="F5928" s="1">
        <f>IFERROR(__xludf.DUMMYFUNCTION("""COMPUTED_VALUE"""),5549519.0)</f>
        <v>5549519</v>
      </c>
    </row>
    <row r="5929">
      <c r="A5929" s="2">
        <f>IFERROR(__xludf.DUMMYFUNCTION("""COMPUTED_VALUE"""),45132.66666666667)</f>
        <v>45132.66667</v>
      </c>
      <c r="B5929" s="1">
        <f>IFERROR(__xludf.DUMMYFUNCTION("""COMPUTED_VALUE"""),153.48)</f>
        <v>153.48</v>
      </c>
      <c r="C5929" s="1">
        <f>IFERROR(__xludf.DUMMYFUNCTION("""COMPUTED_VALUE"""),153.86)</f>
        <v>153.86</v>
      </c>
      <c r="D5929" s="1">
        <f>IFERROR(__xludf.DUMMYFUNCTION("""COMPUTED_VALUE"""),152.45)</f>
        <v>152.45</v>
      </c>
      <c r="E5929" s="1">
        <f>IFERROR(__xludf.DUMMYFUNCTION("""COMPUTED_VALUE"""),153.78)</f>
        <v>153.78</v>
      </c>
      <c r="F5929" s="1">
        <f>IFERROR(__xludf.DUMMYFUNCTION("""COMPUTED_VALUE"""),5883845.0)</f>
        <v>5883845</v>
      </c>
    </row>
    <row r="5930">
      <c r="A5930" s="2">
        <f>IFERROR(__xludf.DUMMYFUNCTION("""COMPUTED_VALUE"""),45133.66666666667)</f>
        <v>45133.66667</v>
      </c>
      <c r="B5930" s="1">
        <f>IFERROR(__xludf.DUMMYFUNCTION("""COMPUTED_VALUE"""),153.12)</f>
        <v>153.12</v>
      </c>
      <c r="C5930" s="1">
        <f>IFERROR(__xludf.DUMMYFUNCTION("""COMPUTED_VALUE"""),154.84)</f>
        <v>154.84</v>
      </c>
      <c r="D5930" s="1">
        <f>IFERROR(__xludf.DUMMYFUNCTION("""COMPUTED_VALUE"""),152.89)</f>
        <v>152.89</v>
      </c>
      <c r="E5930" s="1">
        <f>IFERROR(__xludf.DUMMYFUNCTION("""COMPUTED_VALUE"""),153.94)</f>
        <v>153.94</v>
      </c>
      <c r="F5930" s="1">
        <f>IFERROR(__xludf.DUMMYFUNCTION("""COMPUTED_VALUE"""),7013794.0)</f>
        <v>7013794</v>
      </c>
    </row>
    <row r="5931">
      <c r="A5931" s="2">
        <f>IFERROR(__xludf.DUMMYFUNCTION("""COMPUTED_VALUE"""),45134.66666666667)</f>
        <v>45134.66667</v>
      </c>
      <c r="B5931" s="1">
        <f>IFERROR(__xludf.DUMMYFUNCTION("""COMPUTED_VALUE"""),154.16)</f>
        <v>154.16</v>
      </c>
      <c r="C5931" s="1">
        <f>IFERROR(__xludf.DUMMYFUNCTION("""COMPUTED_VALUE"""),154.6)</f>
        <v>154.6</v>
      </c>
      <c r="D5931" s="1">
        <f>IFERROR(__xludf.DUMMYFUNCTION("""COMPUTED_VALUE"""),151.92)</f>
        <v>151.92</v>
      </c>
      <c r="E5931" s="1">
        <f>IFERROR(__xludf.DUMMYFUNCTION("""COMPUTED_VALUE"""),152.11)</f>
        <v>152.11</v>
      </c>
      <c r="F5931" s="1">
        <f>IFERROR(__xludf.DUMMYFUNCTION("""COMPUTED_VALUE"""),7191578.0)</f>
        <v>7191578</v>
      </c>
    </row>
    <row r="5932">
      <c r="A5932" s="2">
        <f>IFERROR(__xludf.DUMMYFUNCTION("""COMPUTED_VALUE"""),45135.66666666667)</f>
        <v>45135.66667</v>
      </c>
      <c r="B5932" s="1">
        <f>IFERROR(__xludf.DUMMYFUNCTION("""COMPUTED_VALUE"""),154.66)</f>
        <v>154.66</v>
      </c>
      <c r="C5932" s="1">
        <f>IFERROR(__xludf.DUMMYFUNCTION("""COMPUTED_VALUE"""),157.48)</f>
        <v>157.48</v>
      </c>
      <c r="D5932" s="1">
        <f>IFERROR(__xludf.DUMMYFUNCTION("""COMPUTED_VALUE"""),154.6)</f>
        <v>154.6</v>
      </c>
      <c r="E5932" s="1">
        <f>IFERROR(__xludf.DUMMYFUNCTION("""COMPUTED_VALUE"""),156.41)</f>
        <v>156.41</v>
      </c>
      <c r="F5932" s="1">
        <f>IFERROR(__xludf.DUMMYFUNCTION("""COMPUTED_VALUE"""),9397878.0)</f>
        <v>9397878</v>
      </c>
    </row>
    <row r="5933">
      <c r="A5933" s="2">
        <f>IFERROR(__xludf.DUMMYFUNCTION("""COMPUTED_VALUE"""),45138.66666666667)</f>
        <v>45138.66667</v>
      </c>
      <c r="B5933" s="1">
        <f>IFERROR(__xludf.DUMMYFUNCTION("""COMPUTED_VALUE"""),156.4)</f>
        <v>156.4</v>
      </c>
      <c r="C5933" s="1">
        <f>IFERROR(__xludf.DUMMYFUNCTION("""COMPUTED_VALUE"""),157.68)</f>
        <v>157.68</v>
      </c>
      <c r="D5933" s="1">
        <f>IFERROR(__xludf.DUMMYFUNCTION("""COMPUTED_VALUE"""),155.06)</f>
        <v>155.06</v>
      </c>
      <c r="E5933" s="1">
        <f>IFERROR(__xludf.DUMMYFUNCTION("""COMPUTED_VALUE"""),156.3)</f>
        <v>156.3</v>
      </c>
      <c r="F5933" s="1">
        <f>IFERROR(__xludf.DUMMYFUNCTION("""COMPUTED_VALUE"""),7955343.0)</f>
        <v>7955343</v>
      </c>
    </row>
    <row r="5934">
      <c r="A5934" s="2">
        <f>IFERROR(__xludf.DUMMYFUNCTION("""COMPUTED_VALUE"""),45139.66666666667)</f>
        <v>45139.66667</v>
      </c>
      <c r="B5934" s="1">
        <f>IFERROR(__xludf.DUMMYFUNCTION("""COMPUTED_VALUE"""),155.88)</f>
        <v>155.88</v>
      </c>
      <c r="C5934" s="1">
        <f>IFERROR(__xludf.DUMMYFUNCTION("""COMPUTED_VALUE"""),157.17)</f>
        <v>157.17</v>
      </c>
      <c r="D5934" s="1">
        <f>IFERROR(__xludf.DUMMYFUNCTION("""COMPUTED_VALUE"""),155.87)</f>
        <v>155.87</v>
      </c>
      <c r="E5934" s="1">
        <f>IFERROR(__xludf.DUMMYFUNCTION("""COMPUTED_VALUE"""),156.25)</f>
        <v>156.25</v>
      </c>
      <c r="F5934" s="1">
        <f>IFERROR(__xludf.DUMMYFUNCTION("""COMPUTED_VALUE"""),5719138.0)</f>
        <v>5719138</v>
      </c>
    </row>
    <row r="5935">
      <c r="A5935" s="2">
        <f>IFERROR(__xludf.DUMMYFUNCTION("""COMPUTED_VALUE"""),45140.66666666667)</f>
        <v>45140.66667</v>
      </c>
      <c r="B5935" s="1">
        <f>IFERROR(__xludf.DUMMYFUNCTION("""COMPUTED_VALUE"""),155.97)</f>
        <v>155.97</v>
      </c>
      <c r="C5935" s="1">
        <f>IFERROR(__xludf.DUMMYFUNCTION("""COMPUTED_VALUE"""),157.73)</f>
        <v>157.73</v>
      </c>
      <c r="D5935" s="1">
        <f>IFERROR(__xludf.DUMMYFUNCTION("""COMPUTED_VALUE"""),155.97)</f>
        <v>155.97</v>
      </c>
      <c r="E5935" s="1">
        <f>IFERROR(__xludf.DUMMYFUNCTION("""COMPUTED_VALUE"""),156.59)</f>
        <v>156.59</v>
      </c>
      <c r="F5935" s="1">
        <f>IFERROR(__xludf.DUMMYFUNCTION("""COMPUTED_VALUE"""),5637323.0)</f>
        <v>5637323</v>
      </c>
    </row>
    <row r="5936">
      <c r="A5936" s="2">
        <f>IFERROR(__xludf.DUMMYFUNCTION("""COMPUTED_VALUE"""),45141.66666666667)</f>
        <v>45141.66667</v>
      </c>
      <c r="B5936" s="1">
        <f>IFERROR(__xludf.DUMMYFUNCTION("""COMPUTED_VALUE"""),156.76)</f>
        <v>156.76</v>
      </c>
      <c r="C5936" s="1">
        <f>IFERROR(__xludf.DUMMYFUNCTION("""COMPUTED_VALUE"""),157.7)</f>
        <v>157.7</v>
      </c>
      <c r="D5936" s="1">
        <f>IFERROR(__xludf.DUMMYFUNCTION("""COMPUTED_VALUE"""),156.21)</f>
        <v>156.21</v>
      </c>
      <c r="E5936" s="1">
        <f>IFERROR(__xludf.DUMMYFUNCTION("""COMPUTED_VALUE"""),157.0)</f>
        <v>157</v>
      </c>
      <c r="F5936" s="1">
        <f>IFERROR(__xludf.DUMMYFUNCTION("""COMPUTED_VALUE"""),5792784.0)</f>
        <v>5792784</v>
      </c>
    </row>
    <row r="5937">
      <c r="A5937" s="2">
        <f>IFERROR(__xludf.DUMMYFUNCTION("""COMPUTED_VALUE"""),45142.66666666667)</f>
        <v>45142.66667</v>
      </c>
      <c r="B5937" s="1">
        <f>IFERROR(__xludf.DUMMYFUNCTION("""COMPUTED_VALUE"""),157.43)</f>
        <v>157.43</v>
      </c>
      <c r="C5937" s="1">
        <f>IFERROR(__xludf.DUMMYFUNCTION("""COMPUTED_VALUE"""),157.73)</f>
        <v>157.73</v>
      </c>
      <c r="D5937" s="1">
        <f>IFERROR(__xludf.DUMMYFUNCTION("""COMPUTED_VALUE"""),155.15)</f>
        <v>155.15</v>
      </c>
      <c r="E5937" s="1">
        <f>IFERROR(__xludf.DUMMYFUNCTION("""COMPUTED_VALUE"""),155.28)</f>
        <v>155.28</v>
      </c>
      <c r="F5937" s="1">
        <f>IFERROR(__xludf.DUMMYFUNCTION("""COMPUTED_VALUE"""),4785929.0)</f>
        <v>4785929</v>
      </c>
    </row>
    <row r="5938">
      <c r="A5938" s="2">
        <f>IFERROR(__xludf.DUMMYFUNCTION("""COMPUTED_VALUE"""),45145.66666666667)</f>
        <v>45145.66667</v>
      </c>
      <c r="B5938" s="1">
        <f>IFERROR(__xludf.DUMMYFUNCTION("""COMPUTED_VALUE"""),155.67)</f>
        <v>155.67</v>
      </c>
      <c r="C5938" s="1">
        <f>IFERROR(__xludf.DUMMYFUNCTION("""COMPUTED_VALUE"""),157.15)</f>
        <v>157.15</v>
      </c>
      <c r="D5938" s="1">
        <f>IFERROR(__xludf.DUMMYFUNCTION("""COMPUTED_VALUE"""),155.49)</f>
        <v>155.49</v>
      </c>
      <c r="E5938" s="1">
        <f>IFERROR(__xludf.DUMMYFUNCTION("""COMPUTED_VALUE"""),156.92)</f>
        <v>156.92</v>
      </c>
      <c r="F5938" s="1">
        <f>IFERROR(__xludf.DUMMYFUNCTION("""COMPUTED_VALUE"""),4107366.0)</f>
        <v>4107366</v>
      </c>
    </row>
    <row r="5939">
      <c r="A5939" s="2">
        <f>IFERROR(__xludf.DUMMYFUNCTION("""COMPUTED_VALUE"""),45146.66666666667)</f>
        <v>45146.66667</v>
      </c>
      <c r="B5939" s="1">
        <f>IFERROR(__xludf.DUMMYFUNCTION("""COMPUTED_VALUE"""),157.28)</f>
        <v>157.28</v>
      </c>
      <c r="C5939" s="1">
        <f>IFERROR(__xludf.DUMMYFUNCTION("""COMPUTED_VALUE"""),157.63)</f>
        <v>157.63</v>
      </c>
      <c r="D5939" s="1">
        <f>IFERROR(__xludf.DUMMYFUNCTION("""COMPUTED_VALUE"""),156.53)</f>
        <v>156.53</v>
      </c>
      <c r="E5939" s="1">
        <f>IFERROR(__xludf.DUMMYFUNCTION("""COMPUTED_VALUE"""),157.09)</f>
        <v>157.09</v>
      </c>
      <c r="F5939" s="1">
        <f>IFERROR(__xludf.DUMMYFUNCTION("""COMPUTED_VALUE"""),4625619.0)</f>
        <v>4625619</v>
      </c>
    </row>
    <row r="5940">
      <c r="A5940" s="2">
        <f>IFERROR(__xludf.DUMMYFUNCTION("""COMPUTED_VALUE"""),45147.66666666667)</f>
        <v>45147.66667</v>
      </c>
      <c r="B5940" s="1">
        <f>IFERROR(__xludf.DUMMYFUNCTION("""COMPUTED_VALUE"""),157.31)</f>
        <v>157.31</v>
      </c>
      <c r="C5940" s="1">
        <f>IFERROR(__xludf.DUMMYFUNCTION("""COMPUTED_VALUE"""),158.09)</f>
        <v>158.09</v>
      </c>
      <c r="D5940" s="1">
        <f>IFERROR(__xludf.DUMMYFUNCTION("""COMPUTED_VALUE"""),156.77)</f>
        <v>156.77</v>
      </c>
      <c r="E5940" s="1">
        <f>IFERROR(__xludf.DUMMYFUNCTION("""COMPUTED_VALUE"""),156.89)</f>
        <v>156.89</v>
      </c>
      <c r="F5940" s="1">
        <f>IFERROR(__xludf.DUMMYFUNCTION("""COMPUTED_VALUE"""),4293200.0)</f>
        <v>4293200</v>
      </c>
    </row>
    <row r="5941">
      <c r="A5941" s="2">
        <f>IFERROR(__xludf.DUMMYFUNCTION("""COMPUTED_VALUE"""),45148.66666666667)</f>
        <v>45148.66667</v>
      </c>
      <c r="B5941" s="1">
        <f>IFERROR(__xludf.DUMMYFUNCTION("""COMPUTED_VALUE"""),157.17)</f>
        <v>157.17</v>
      </c>
      <c r="C5941" s="1">
        <f>IFERROR(__xludf.DUMMYFUNCTION("""COMPUTED_VALUE"""),158.38)</f>
        <v>158.38</v>
      </c>
      <c r="D5941" s="1">
        <f>IFERROR(__xludf.DUMMYFUNCTION("""COMPUTED_VALUE"""),155.8)</f>
        <v>155.8</v>
      </c>
      <c r="E5941" s="1">
        <f>IFERROR(__xludf.DUMMYFUNCTION("""COMPUTED_VALUE"""),156.11)</f>
        <v>156.11</v>
      </c>
      <c r="F5941" s="1">
        <f>IFERROR(__xludf.DUMMYFUNCTION("""COMPUTED_VALUE"""),4307834.0)</f>
        <v>4307834</v>
      </c>
    </row>
    <row r="5942">
      <c r="A5942" s="2">
        <f>IFERROR(__xludf.DUMMYFUNCTION("""COMPUTED_VALUE"""),45149.66666666667)</f>
        <v>45149.66667</v>
      </c>
      <c r="B5942" s="1">
        <f>IFERROR(__xludf.DUMMYFUNCTION("""COMPUTED_VALUE"""),156.43)</f>
        <v>156.43</v>
      </c>
      <c r="C5942" s="1">
        <f>IFERROR(__xludf.DUMMYFUNCTION("""COMPUTED_VALUE"""),157.46)</f>
        <v>157.46</v>
      </c>
      <c r="D5942" s="1">
        <f>IFERROR(__xludf.DUMMYFUNCTION("""COMPUTED_VALUE"""),155.79)</f>
        <v>155.79</v>
      </c>
      <c r="E5942" s="1">
        <f>IFERROR(__xludf.DUMMYFUNCTION("""COMPUTED_VALUE"""),157.02)</f>
        <v>157.02</v>
      </c>
      <c r="F5942" s="1">
        <f>IFERROR(__xludf.DUMMYFUNCTION("""COMPUTED_VALUE"""),3862326.0)</f>
        <v>3862326</v>
      </c>
    </row>
    <row r="5943">
      <c r="A5943" s="2">
        <f>IFERROR(__xludf.DUMMYFUNCTION("""COMPUTED_VALUE"""),45152.66666666667)</f>
        <v>45152.66667</v>
      </c>
      <c r="B5943" s="1">
        <f>IFERROR(__xludf.DUMMYFUNCTION("""COMPUTED_VALUE"""),157.13)</f>
        <v>157.13</v>
      </c>
      <c r="C5943" s="1">
        <f>IFERROR(__xludf.DUMMYFUNCTION("""COMPUTED_VALUE"""),157.53)</f>
        <v>157.53</v>
      </c>
      <c r="D5943" s="1">
        <f>IFERROR(__xludf.DUMMYFUNCTION("""COMPUTED_VALUE"""),155.5)</f>
        <v>155.5</v>
      </c>
      <c r="E5943" s="1">
        <f>IFERROR(__xludf.DUMMYFUNCTION("""COMPUTED_VALUE"""),155.79)</f>
        <v>155.79</v>
      </c>
      <c r="F5943" s="1">
        <f>IFERROR(__xludf.DUMMYFUNCTION("""COMPUTED_VALUE"""),4297598.0)</f>
        <v>4297598</v>
      </c>
    </row>
    <row r="5944">
      <c r="A5944" s="2">
        <f>IFERROR(__xludf.DUMMYFUNCTION("""COMPUTED_VALUE"""),45153.66666666667)</f>
        <v>45153.66667</v>
      </c>
      <c r="B5944" s="1">
        <f>IFERROR(__xludf.DUMMYFUNCTION("""COMPUTED_VALUE"""),155.79)</f>
        <v>155.79</v>
      </c>
      <c r="C5944" s="1">
        <f>IFERROR(__xludf.DUMMYFUNCTION("""COMPUTED_VALUE"""),155.97)</f>
        <v>155.97</v>
      </c>
      <c r="D5944" s="1">
        <f>IFERROR(__xludf.DUMMYFUNCTION("""COMPUTED_VALUE"""),154.46)</f>
        <v>154.46</v>
      </c>
      <c r="E5944" s="1">
        <f>IFERROR(__xludf.DUMMYFUNCTION("""COMPUTED_VALUE"""),154.79)</f>
        <v>154.79</v>
      </c>
      <c r="F5944" s="1">
        <f>IFERROR(__xludf.DUMMYFUNCTION("""COMPUTED_VALUE"""),6921105.0)</f>
        <v>6921105</v>
      </c>
    </row>
    <row r="5945">
      <c r="A5945" s="2">
        <f>IFERROR(__xludf.DUMMYFUNCTION("""COMPUTED_VALUE"""),45154.66666666667)</f>
        <v>45154.66667</v>
      </c>
      <c r="B5945" s="1">
        <f>IFERROR(__xludf.DUMMYFUNCTION("""COMPUTED_VALUE"""),154.76)</f>
        <v>154.76</v>
      </c>
      <c r="C5945" s="1">
        <f>IFERROR(__xludf.DUMMYFUNCTION("""COMPUTED_VALUE"""),155.73)</f>
        <v>155.73</v>
      </c>
      <c r="D5945" s="1">
        <f>IFERROR(__xludf.DUMMYFUNCTION("""COMPUTED_VALUE"""),152.87)</f>
        <v>152.87</v>
      </c>
      <c r="E5945" s="1">
        <f>IFERROR(__xludf.DUMMYFUNCTION("""COMPUTED_VALUE"""),153.21)</f>
        <v>153.21</v>
      </c>
      <c r="F5945" s="1">
        <f>IFERROR(__xludf.DUMMYFUNCTION("""COMPUTED_VALUE"""),6356849.0)</f>
        <v>6356849</v>
      </c>
    </row>
    <row r="5946">
      <c r="A5946" s="2">
        <f>IFERROR(__xludf.DUMMYFUNCTION("""COMPUTED_VALUE"""),45155.66666666667)</f>
        <v>45155.66667</v>
      </c>
      <c r="B5946" s="1">
        <f>IFERROR(__xludf.DUMMYFUNCTION("""COMPUTED_VALUE"""),153.21)</f>
        <v>153.21</v>
      </c>
      <c r="C5946" s="1">
        <f>IFERROR(__xludf.DUMMYFUNCTION("""COMPUTED_VALUE"""),153.56)</f>
        <v>153.56</v>
      </c>
      <c r="D5946" s="1">
        <f>IFERROR(__xludf.DUMMYFUNCTION("""COMPUTED_VALUE"""),151.79)</f>
        <v>151.79</v>
      </c>
      <c r="E5946" s="1">
        <f>IFERROR(__xludf.DUMMYFUNCTION("""COMPUTED_VALUE"""),152.11)</f>
        <v>152.11</v>
      </c>
      <c r="F5946" s="1">
        <f>IFERROR(__xludf.DUMMYFUNCTION("""COMPUTED_VALUE"""),6419615.0)</f>
        <v>6419615</v>
      </c>
    </row>
    <row r="5947">
      <c r="A5947" s="2">
        <f>IFERROR(__xludf.DUMMYFUNCTION("""COMPUTED_VALUE"""),45156.66666666667)</f>
        <v>45156.66667</v>
      </c>
      <c r="B5947" s="1">
        <f>IFERROR(__xludf.DUMMYFUNCTION("""COMPUTED_VALUE"""),151.62)</f>
        <v>151.62</v>
      </c>
      <c r="C5947" s="1">
        <f>IFERROR(__xludf.DUMMYFUNCTION("""COMPUTED_VALUE"""),152.89)</f>
        <v>152.89</v>
      </c>
      <c r="D5947" s="1">
        <f>IFERROR(__xludf.DUMMYFUNCTION("""COMPUTED_VALUE"""),151.17)</f>
        <v>151.17</v>
      </c>
      <c r="E5947" s="1">
        <f>IFERROR(__xludf.DUMMYFUNCTION("""COMPUTED_VALUE"""),152.54)</f>
        <v>152.54</v>
      </c>
      <c r="F5947" s="1">
        <f>IFERROR(__xludf.DUMMYFUNCTION("""COMPUTED_VALUE"""),5448262.0)</f>
        <v>5448262</v>
      </c>
    </row>
    <row r="5948">
      <c r="A5948" s="2">
        <f>IFERROR(__xludf.DUMMYFUNCTION("""COMPUTED_VALUE"""),45159.66666666667)</f>
        <v>45159.66667</v>
      </c>
      <c r="B5948" s="1">
        <f>IFERROR(__xludf.DUMMYFUNCTION("""COMPUTED_VALUE"""),152.09)</f>
        <v>152.09</v>
      </c>
      <c r="C5948" s="1">
        <f>IFERROR(__xludf.DUMMYFUNCTION("""COMPUTED_VALUE"""),152.78)</f>
        <v>152.78</v>
      </c>
      <c r="D5948" s="1">
        <f>IFERROR(__xludf.DUMMYFUNCTION("""COMPUTED_VALUE"""),151.26)</f>
        <v>151.26</v>
      </c>
      <c r="E5948" s="1">
        <f>IFERROR(__xludf.DUMMYFUNCTION("""COMPUTED_VALUE"""),151.77)</f>
        <v>151.77</v>
      </c>
      <c r="F5948" s="1">
        <f>IFERROR(__xludf.DUMMYFUNCTION("""COMPUTED_VALUE"""),4504747.0)</f>
        <v>4504747</v>
      </c>
    </row>
    <row r="5949">
      <c r="A5949" s="2">
        <f>IFERROR(__xludf.DUMMYFUNCTION("""COMPUTED_VALUE"""),45160.66666666667)</f>
        <v>45160.66667</v>
      </c>
      <c r="B5949" s="1">
        <f>IFERROR(__xludf.DUMMYFUNCTION("""COMPUTED_VALUE"""),151.42)</f>
        <v>151.42</v>
      </c>
      <c r="C5949" s="1">
        <f>IFERROR(__xludf.DUMMYFUNCTION("""COMPUTED_VALUE"""),152.15)</f>
        <v>152.15</v>
      </c>
      <c r="D5949" s="1">
        <f>IFERROR(__xludf.DUMMYFUNCTION("""COMPUTED_VALUE"""),150.93)</f>
        <v>150.93</v>
      </c>
      <c r="E5949" s="1">
        <f>IFERROR(__xludf.DUMMYFUNCTION("""COMPUTED_VALUE"""),151.83)</f>
        <v>151.83</v>
      </c>
      <c r="F5949" s="1">
        <f>IFERROR(__xludf.DUMMYFUNCTION("""COMPUTED_VALUE"""),4195967.0)</f>
        <v>4195967</v>
      </c>
    </row>
    <row r="5950">
      <c r="A5950" s="2">
        <f>IFERROR(__xludf.DUMMYFUNCTION("""COMPUTED_VALUE"""),45161.66666666667)</f>
        <v>45161.66667</v>
      </c>
      <c r="B5950" s="1">
        <f>IFERROR(__xludf.DUMMYFUNCTION("""COMPUTED_VALUE"""),152.47)</f>
        <v>152.47</v>
      </c>
      <c r="C5950" s="1">
        <f>IFERROR(__xludf.DUMMYFUNCTION("""COMPUTED_VALUE"""),153.48)</f>
        <v>153.48</v>
      </c>
      <c r="D5950" s="1">
        <f>IFERROR(__xludf.DUMMYFUNCTION("""COMPUTED_VALUE"""),152.47)</f>
        <v>152.47</v>
      </c>
      <c r="E5950" s="1">
        <f>IFERROR(__xludf.DUMMYFUNCTION("""COMPUTED_VALUE"""),153.25)</f>
        <v>153.25</v>
      </c>
      <c r="F5950" s="1">
        <f>IFERROR(__xludf.DUMMYFUNCTION("""COMPUTED_VALUE"""),4522673.0)</f>
        <v>4522673</v>
      </c>
    </row>
    <row r="5951">
      <c r="A5951" s="2">
        <f>IFERROR(__xludf.DUMMYFUNCTION("""COMPUTED_VALUE"""),45162.66666666667)</f>
        <v>45162.66667</v>
      </c>
      <c r="B5951" s="1">
        <f>IFERROR(__xludf.DUMMYFUNCTION("""COMPUTED_VALUE"""),152.55)</f>
        <v>152.55</v>
      </c>
      <c r="C5951" s="1">
        <f>IFERROR(__xludf.DUMMYFUNCTION("""COMPUTED_VALUE"""),154.68)</f>
        <v>154.68</v>
      </c>
      <c r="D5951" s="1">
        <f>IFERROR(__xludf.DUMMYFUNCTION("""COMPUTED_VALUE"""),152.48)</f>
        <v>152.48</v>
      </c>
      <c r="E5951" s="1">
        <f>IFERROR(__xludf.DUMMYFUNCTION("""COMPUTED_VALUE"""),152.54)</f>
        <v>152.54</v>
      </c>
      <c r="F5951" s="1">
        <f>IFERROR(__xludf.DUMMYFUNCTION("""COMPUTED_VALUE"""),4089013.0)</f>
        <v>4089013</v>
      </c>
    </row>
    <row r="5952">
      <c r="A5952" s="2">
        <f>IFERROR(__xludf.DUMMYFUNCTION("""COMPUTED_VALUE"""),45163.66666666667)</f>
        <v>45163.66667</v>
      </c>
      <c r="B5952" s="1">
        <f>IFERROR(__xludf.DUMMYFUNCTION("""COMPUTED_VALUE"""),153.4)</f>
        <v>153.4</v>
      </c>
      <c r="C5952" s="1">
        <f>IFERROR(__xludf.DUMMYFUNCTION("""COMPUTED_VALUE"""),154.08)</f>
        <v>154.08</v>
      </c>
      <c r="D5952" s="1">
        <f>IFERROR(__xludf.DUMMYFUNCTION("""COMPUTED_VALUE"""),152.46)</f>
        <v>152.46</v>
      </c>
      <c r="E5952" s="1">
        <f>IFERROR(__xludf.DUMMYFUNCTION("""COMPUTED_VALUE"""),153.54)</f>
        <v>153.54</v>
      </c>
      <c r="F5952" s="1">
        <f>IFERROR(__xludf.DUMMYFUNCTION("""COMPUTED_VALUE"""),3541524.0)</f>
        <v>3541524</v>
      </c>
    </row>
    <row r="5953">
      <c r="A5953" s="2">
        <f>IFERROR(__xludf.DUMMYFUNCTION("""COMPUTED_VALUE"""),45166.66666666667)</f>
        <v>45166.66667</v>
      </c>
      <c r="B5953" s="1">
        <f>IFERROR(__xludf.DUMMYFUNCTION("""COMPUTED_VALUE"""),153.71)</f>
        <v>153.71</v>
      </c>
      <c r="C5953" s="1">
        <f>IFERROR(__xludf.DUMMYFUNCTION("""COMPUTED_VALUE"""),154.37)</f>
        <v>154.37</v>
      </c>
      <c r="D5953" s="1">
        <f>IFERROR(__xludf.DUMMYFUNCTION("""COMPUTED_VALUE"""),153.05)</f>
        <v>153.05</v>
      </c>
      <c r="E5953" s="1">
        <f>IFERROR(__xludf.DUMMYFUNCTION("""COMPUTED_VALUE"""),153.78)</f>
        <v>153.78</v>
      </c>
      <c r="F5953" s="1">
        <f>IFERROR(__xludf.DUMMYFUNCTION("""COMPUTED_VALUE"""),3614733.0)</f>
        <v>3614733</v>
      </c>
    </row>
    <row r="5954">
      <c r="A5954" s="2">
        <f>IFERROR(__xludf.DUMMYFUNCTION("""COMPUTED_VALUE"""),45167.66666666667)</f>
        <v>45167.66667</v>
      </c>
      <c r="B5954" s="1">
        <f>IFERROR(__xludf.DUMMYFUNCTION("""COMPUTED_VALUE"""),153.95)</f>
        <v>153.95</v>
      </c>
      <c r="C5954" s="1">
        <f>IFERROR(__xludf.DUMMYFUNCTION("""COMPUTED_VALUE"""),154.04)</f>
        <v>154.04</v>
      </c>
      <c r="D5954" s="1">
        <f>IFERROR(__xludf.DUMMYFUNCTION("""COMPUTED_VALUE"""),152.03)</f>
        <v>152.03</v>
      </c>
      <c r="E5954" s="1">
        <f>IFERROR(__xludf.DUMMYFUNCTION("""COMPUTED_VALUE"""),153.87)</f>
        <v>153.87</v>
      </c>
      <c r="F5954" s="1">
        <f>IFERROR(__xludf.DUMMYFUNCTION("""COMPUTED_VALUE"""),4034627.0)</f>
        <v>4034627</v>
      </c>
    </row>
    <row r="5955">
      <c r="A5955" s="2">
        <f>IFERROR(__xludf.DUMMYFUNCTION("""COMPUTED_VALUE"""),45168.66666666667)</f>
        <v>45168.66667</v>
      </c>
      <c r="B5955" s="1">
        <f>IFERROR(__xludf.DUMMYFUNCTION("""COMPUTED_VALUE"""),154.1)</f>
        <v>154.1</v>
      </c>
      <c r="C5955" s="1">
        <f>IFERROR(__xludf.DUMMYFUNCTION("""COMPUTED_VALUE"""),154.87)</f>
        <v>154.87</v>
      </c>
      <c r="D5955" s="1">
        <f>IFERROR(__xludf.DUMMYFUNCTION("""COMPUTED_VALUE"""),153.71)</f>
        <v>153.71</v>
      </c>
      <c r="E5955" s="1">
        <f>IFERROR(__xludf.DUMMYFUNCTION("""COMPUTED_VALUE"""),154.04)</f>
        <v>154.04</v>
      </c>
      <c r="F5955" s="1">
        <f>IFERROR(__xludf.DUMMYFUNCTION("""COMPUTED_VALUE"""),3712241.0)</f>
        <v>3712241</v>
      </c>
    </row>
    <row r="5956">
      <c r="A5956" s="2">
        <f>IFERROR(__xludf.DUMMYFUNCTION("""COMPUTED_VALUE"""),45169.66666666667)</f>
        <v>45169.66667</v>
      </c>
      <c r="B5956" s="1">
        <f>IFERROR(__xludf.DUMMYFUNCTION("""COMPUTED_VALUE"""),154.12)</f>
        <v>154.12</v>
      </c>
      <c r="C5956" s="1">
        <f>IFERROR(__xludf.DUMMYFUNCTION("""COMPUTED_VALUE"""),155.16)</f>
        <v>155.16</v>
      </c>
      <c r="D5956" s="1">
        <f>IFERROR(__xludf.DUMMYFUNCTION("""COMPUTED_VALUE"""),153.83)</f>
        <v>153.83</v>
      </c>
      <c r="E5956" s="1">
        <f>IFERROR(__xludf.DUMMYFUNCTION("""COMPUTED_VALUE"""),154.34)</f>
        <v>154.34</v>
      </c>
      <c r="F5956" s="1">
        <f>IFERROR(__xludf.DUMMYFUNCTION("""COMPUTED_VALUE"""),5451433.0)</f>
        <v>5451433</v>
      </c>
    </row>
    <row r="5957">
      <c r="A5957" s="2">
        <f>IFERROR(__xludf.DUMMYFUNCTION("""COMPUTED_VALUE"""),45170.66666666667)</f>
        <v>45170.66667</v>
      </c>
      <c r="B5957" s="1">
        <f>IFERROR(__xludf.DUMMYFUNCTION("""COMPUTED_VALUE"""),154.9)</f>
        <v>154.9</v>
      </c>
      <c r="C5957" s="1">
        <f>IFERROR(__xludf.DUMMYFUNCTION("""COMPUTED_VALUE"""),155.28)</f>
        <v>155.28</v>
      </c>
      <c r="D5957" s="1">
        <f>IFERROR(__xludf.DUMMYFUNCTION("""COMPUTED_VALUE"""),153.56)</f>
        <v>153.56</v>
      </c>
      <c r="E5957" s="1">
        <f>IFERROR(__xludf.DUMMYFUNCTION("""COMPUTED_VALUE"""),154.51)</f>
        <v>154.51</v>
      </c>
      <c r="F5957" s="1">
        <f>IFERROR(__xludf.DUMMYFUNCTION("""COMPUTED_VALUE"""),4126437.0)</f>
        <v>4126437</v>
      </c>
    </row>
    <row r="5958">
      <c r="A5958" s="2">
        <f>IFERROR(__xludf.DUMMYFUNCTION("""COMPUTED_VALUE"""),45174.66666666667)</f>
        <v>45174.66667</v>
      </c>
      <c r="B5958" s="1">
        <f>IFERROR(__xludf.DUMMYFUNCTION("""COMPUTED_VALUE"""),153.8)</f>
        <v>153.8</v>
      </c>
      <c r="C5958" s="1">
        <f>IFERROR(__xludf.DUMMYFUNCTION("""COMPUTED_VALUE"""),154.85)</f>
        <v>154.85</v>
      </c>
      <c r="D5958" s="1">
        <f>IFERROR(__xludf.DUMMYFUNCTION("""COMPUTED_VALUE"""),152.4)</f>
        <v>152.4</v>
      </c>
      <c r="E5958" s="1">
        <f>IFERROR(__xludf.DUMMYFUNCTION("""COMPUTED_VALUE"""),152.44)</f>
        <v>152.44</v>
      </c>
      <c r="F5958" s="1">
        <f>IFERROR(__xludf.DUMMYFUNCTION("""COMPUTED_VALUE"""),5097037.0)</f>
        <v>5097037</v>
      </c>
    </row>
    <row r="5959">
      <c r="A5959" s="2">
        <f>IFERROR(__xludf.DUMMYFUNCTION("""COMPUTED_VALUE"""),45175.66666666667)</f>
        <v>45175.66667</v>
      </c>
      <c r="B5959" s="1">
        <f>IFERROR(__xludf.DUMMYFUNCTION("""COMPUTED_VALUE"""),152.29)</f>
        <v>152.29</v>
      </c>
      <c r="C5959" s="1">
        <f>IFERROR(__xludf.DUMMYFUNCTION("""COMPUTED_VALUE"""),152.45)</f>
        <v>152.45</v>
      </c>
      <c r="D5959" s="1">
        <f>IFERROR(__xludf.DUMMYFUNCTION("""COMPUTED_VALUE"""),151.54)</f>
        <v>151.54</v>
      </c>
      <c r="E5959" s="1">
        <f>IFERROR(__xludf.DUMMYFUNCTION("""COMPUTED_VALUE"""),152.14)</f>
        <v>152.14</v>
      </c>
      <c r="F5959" s="1">
        <f>IFERROR(__xludf.DUMMYFUNCTION("""COMPUTED_VALUE"""),3877460.0)</f>
        <v>3877460</v>
      </c>
    </row>
    <row r="5960">
      <c r="A5960" s="2">
        <f>IFERROR(__xludf.DUMMYFUNCTION("""COMPUTED_VALUE"""),45176.66666666667)</f>
        <v>45176.66667</v>
      </c>
      <c r="B5960" s="1">
        <f>IFERROR(__xludf.DUMMYFUNCTION("""COMPUTED_VALUE"""),152.49)</f>
        <v>152.49</v>
      </c>
      <c r="C5960" s="1">
        <f>IFERROR(__xludf.DUMMYFUNCTION("""COMPUTED_VALUE"""),154.19)</f>
        <v>154.19</v>
      </c>
      <c r="D5960" s="1">
        <f>IFERROR(__xludf.DUMMYFUNCTION("""COMPUTED_VALUE"""),152.37)</f>
        <v>152.37</v>
      </c>
      <c r="E5960" s="1">
        <f>IFERROR(__xludf.DUMMYFUNCTION("""COMPUTED_VALUE"""),153.59)</f>
        <v>153.59</v>
      </c>
      <c r="F5960" s="1">
        <f>IFERROR(__xludf.DUMMYFUNCTION("""COMPUTED_VALUE"""),4825042.0)</f>
        <v>4825042</v>
      </c>
    </row>
    <row r="5961">
      <c r="A5961" s="2">
        <f>IFERROR(__xludf.DUMMYFUNCTION("""COMPUTED_VALUE"""),45177.66666666667)</f>
        <v>45177.66667</v>
      </c>
      <c r="B5961" s="1">
        <f>IFERROR(__xludf.DUMMYFUNCTION("""COMPUTED_VALUE"""),153.42)</f>
        <v>153.42</v>
      </c>
      <c r="C5961" s="1">
        <f>IFERROR(__xludf.DUMMYFUNCTION("""COMPUTED_VALUE"""),153.46)</f>
        <v>153.46</v>
      </c>
      <c r="D5961" s="1">
        <f>IFERROR(__xludf.DUMMYFUNCTION("""COMPUTED_VALUE"""),152.35)</f>
        <v>152.35</v>
      </c>
      <c r="E5961" s="1">
        <f>IFERROR(__xludf.DUMMYFUNCTION("""COMPUTED_VALUE"""),152.93)</f>
        <v>152.93</v>
      </c>
      <c r="F5961" s="1">
        <f>IFERROR(__xludf.DUMMYFUNCTION("""COMPUTED_VALUE"""),3384760.0)</f>
        <v>3384760</v>
      </c>
    </row>
    <row r="5962">
      <c r="A5962" s="2">
        <f>IFERROR(__xludf.DUMMYFUNCTION("""COMPUTED_VALUE"""),45180.66666666667)</f>
        <v>45180.66667</v>
      </c>
      <c r="B5962" s="1">
        <f>IFERROR(__xludf.DUMMYFUNCTION("""COMPUTED_VALUE"""),153.33)</f>
        <v>153.33</v>
      </c>
      <c r="C5962" s="1">
        <f>IFERROR(__xludf.DUMMYFUNCTION("""COMPUTED_VALUE"""),155.1)</f>
        <v>155.1</v>
      </c>
      <c r="D5962" s="1">
        <f>IFERROR(__xludf.DUMMYFUNCTION("""COMPUTED_VALUE"""),153.08)</f>
        <v>153.08</v>
      </c>
      <c r="E5962" s="1">
        <f>IFERROR(__xludf.DUMMYFUNCTION("""COMPUTED_VALUE"""),154.75)</f>
        <v>154.75</v>
      </c>
      <c r="F5962" s="1">
        <f>IFERROR(__xludf.DUMMYFUNCTION("""COMPUTED_VALUE"""),4288731.0)</f>
        <v>4288731</v>
      </c>
    </row>
    <row r="5963">
      <c r="A5963" s="2">
        <f>IFERROR(__xludf.DUMMYFUNCTION("""COMPUTED_VALUE"""),45181.66666666667)</f>
        <v>45181.66667</v>
      </c>
      <c r="B5963" s="1">
        <f>IFERROR(__xludf.DUMMYFUNCTION("""COMPUTED_VALUE"""),154.99)</f>
        <v>154.99</v>
      </c>
      <c r="C5963" s="1">
        <f>IFERROR(__xludf.DUMMYFUNCTION("""COMPUTED_VALUE"""),155.15)</f>
        <v>155.15</v>
      </c>
      <c r="D5963" s="1">
        <f>IFERROR(__xludf.DUMMYFUNCTION("""COMPUTED_VALUE"""),151.57)</f>
        <v>151.57</v>
      </c>
      <c r="E5963" s="1">
        <f>IFERROR(__xludf.DUMMYFUNCTION("""COMPUTED_VALUE"""),152.03)</f>
        <v>152.03</v>
      </c>
      <c r="F5963" s="1">
        <f>IFERROR(__xludf.DUMMYFUNCTION("""COMPUTED_VALUE"""),4537794.0)</f>
        <v>4537794</v>
      </c>
    </row>
    <row r="5964">
      <c r="A5964" s="2">
        <f>IFERROR(__xludf.DUMMYFUNCTION("""COMPUTED_VALUE"""),45182.66666666667)</f>
        <v>45182.66667</v>
      </c>
      <c r="B5964" s="1">
        <f>IFERROR(__xludf.DUMMYFUNCTION("""COMPUTED_VALUE"""),151.98)</f>
        <v>151.98</v>
      </c>
      <c r="C5964" s="1">
        <f>IFERROR(__xludf.DUMMYFUNCTION("""COMPUTED_VALUE"""),153.59)</f>
        <v>153.59</v>
      </c>
      <c r="D5964" s="1">
        <f>IFERROR(__xludf.DUMMYFUNCTION("""COMPUTED_VALUE"""),151.66)</f>
        <v>151.66</v>
      </c>
      <c r="E5964" s="1">
        <f>IFERROR(__xludf.DUMMYFUNCTION("""COMPUTED_VALUE"""),153.09)</f>
        <v>153.09</v>
      </c>
      <c r="F5964" s="1">
        <f>IFERROR(__xludf.DUMMYFUNCTION("""COMPUTED_VALUE"""),4040670.0)</f>
        <v>4040670</v>
      </c>
    </row>
    <row r="5965">
      <c r="A5965" s="2">
        <f>IFERROR(__xludf.DUMMYFUNCTION("""COMPUTED_VALUE"""),45183.66666666667)</f>
        <v>45183.66667</v>
      </c>
      <c r="B5965" s="1">
        <f>IFERROR(__xludf.DUMMYFUNCTION("""COMPUTED_VALUE"""),153.85)</f>
        <v>153.85</v>
      </c>
      <c r="C5965" s="1">
        <f>IFERROR(__xludf.DUMMYFUNCTION("""COMPUTED_VALUE"""),154.92)</f>
        <v>154.92</v>
      </c>
      <c r="D5965" s="1">
        <f>IFERROR(__xludf.DUMMYFUNCTION("""COMPUTED_VALUE"""),153.37)</f>
        <v>153.37</v>
      </c>
      <c r="E5965" s="1">
        <f>IFERROR(__xludf.DUMMYFUNCTION("""COMPUTED_VALUE"""),154.77)</f>
        <v>154.77</v>
      </c>
      <c r="F5965" s="1">
        <f>IFERROR(__xludf.DUMMYFUNCTION("""COMPUTED_VALUE"""),4606909.0)</f>
        <v>4606909</v>
      </c>
    </row>
    <row r="5966">
      <c r="A5966" s="2">
        <f>IFERROR(__xludf.DUMMYFUNCTION("""COMPUTED_VALUE"""),45184.66666666667)</f>
        <v>45184.66667</v>
      </c>
      <c r="B5966" s="1">
        <f>IFERROR(__xludf.DUMMYFUNCTION("""COMPUTED_VALUE"""),154.03)</f>
        <v>154.03</v>
      </c>
      <c r="C5966" s="1">
        <f>IFERROR(__xludf.DUMMYFUNCTION("""COMPUTED_VALUE"""),155.32)</f>
        <v>155.32</v>
      </c>
      <c r="D5966" s="1">
        <f>IFERROR(__xludf.DUMMYFUNCTION("""COMPUTED_VALUE"""),153.23)</f>
        <v>153.23</v>
      </c>
      <c r="E5966" s="1">
        <f>IFERROR(__xludf.DUMMYFUNCTION("""COMPUTED_VALUE"""),153.47)</f>
        <v>153.47</v>
      </c>
      <c r="F5966" s="1">
        <f>IFERROR(__xludf.DUMMYFUNCTION("""COMPUTED_VALUE"""),1.0262391E7)</f>
        <v>10262391</v>
      </c>
    </row>
    <row r="5967">
      <c r="A5967" s="2">
        <f>IFERROR(__xludf.DUMMYFUNCTION("""COMPUTED_VALUE"""),45187.66666666667)</f>
        <v>45187.66667</v>
      </c>
      <c r="B5967" s="1">
        <f>IFERROR(__xludf.DUMMYFUNCTION("""COMPUTED_VALUE"""),154.45)</f>
        <v>154.45</v>
      </c>
      <c r="C5967" s="1">
        <f>IFERROR(__xludf.DUMMYFUNCTION("""COMPUTED_VALUE"""),154.48)</f>
        <v>154.48</v>
      </c>
      <c r="D5967" s="1">
        <f>IFERROR(__xludf.DUMMYFUNCTION("""COMPUTED_VALUE"""),153.51)</f>
        <v>153.51</v>
      </c>
      <c r="E5967" s="1">
        <f>IFERROR(__xludf.DUMMYFUNCTION("""COMPUTED_VALUE"""),154.05)</f>
        <v>154.05</v>
      </c>
      <c r="F5967" s="1">
        <f>IFERROR(__xludf.DUMMYFUNCTION("""COMPUTED_VALUE"""),3536490.0)</f>
        <v>3536490</v>
      </c>
    </row>
    <row r="5968">
      <c r="A5968" s="2">
        <f>IFERROR(__xludf.DUMMYFUNCTION("""COMPUTED_VALUE"""),45188.66666666667)</f>
        <v>45188.66667</v>
      </c>
      <c r="B5968" s="1">
        <f>IFERROR(__xludf.DUMMYFUNCTION("""COMPUTED_VALUE"""),153.75)</f>
        <v>153.75</v>
      </c>
      <c r="C5968" s="1">
        <f>IFERROR(__xludf.DUMMYFUNCTION("""COMPUTED_VALUE"""),154.06)</f>
        <v>154.06</v>
      </c>
      <c r="D5968" s="1">
        <f>IFERROR(__xludf.DUMMYFUNCTION("""COMPUTED_VALUE"""),151.74)</f>
        <v>151.74</v>
      </c>
      <c r="E5968" s="1">
        <f>IFERROR(__xludf.DUMMYFUNCTION("""COMPUTED_VALUE"""),153.6)</f>
        <v>153.6</v>
      </c>
      <c r="F5968" s="1">
        <f>IFERROR(__xludf.DUMMYFUNCTION("""COMPUTED_VALUE"""),4704209.0)</f>
        <v>4704209</v>
      </c>
    </row>
    <row r="5969">
      <c r="A5969" s="2">
        <f>IFERROR(__xludf.DUMMYFUNCTION("""COMPUTED_VALUE"""),45189.66666666667)</f>
        <v>45189.66667</v>
      </c>
      <c r="B5969" s="1">
        <f>IFERROR(__xludf.DUMMYFUNCTION("""COMPUTED_VALUE"""),153.77)</f>
        <v>153.77</v>
      </c>
      <c r="C5969" s="1">
        <f>IFERROR(__xludf.DUMMYFUNCTION("""COMPUTED_VALUE"""),154.78)</f>
        <v>154.78</v>
      </c>
      <c r="D5969" s="1">
        <f>IFERROR(__xludf.DUMMYFUNCTION("""COMPUTED_VALUE"""),153.36)</f>
        <v>153.36</v>
      </c>
      <c r="E5969" s="1">
        <f>IFERROR(__xludf.DUMMYFUNCTION("""COMPUTED_VALUE"""),153.47)</f>
        <v>153.47</v>
      </c>
      <c r="F5969" s="1">
        <f>IFERROR(__xludf.DUMMYFUNCTION("""COMPUTED_VALUE"""),5446571.0)</f>
        <v>5446571</v>
      </c>
    </row>
    <row r="5970">
      <c r="A5970" s="2">
        <f>IFERROR(__xludf.DUMMYFUNCTION("""COMPUTED_VALUE"""),45190.66666666667)</f>
        <v>45190.66667</v>
      </c>
      <c r="B5970" s="1">
        <f>IFERROR(__xludf.DUMMYFUNCTION("""COMPUTED_VALUE"""),153.45)</f>
        <v>153.45</v>
      </c>
      <c r="C5970" s="1">
        <f>IFERROR(__xludf.DUMMYFUNCTION("""COMPUTED_VALUE"""),153.71)</f>
        <v>153.71</v>
      </c>
      <c r="D5970" s="1">
        <f>IFERROR(__xludf.DUMMYFUNCTION("""COMPUTED_VALUE"""),152.07)</f>
        <v>152.07</v>
      </c>
      <c r="E5970" s="1">
        <f>IFERROR(__xludf.DUMMYFUNCTION("""COMPUTED_VALUE"""),152.14)</f>
        <v>152.14</v>
      </c>
      <c r="F5970" s="1">
        <f>IFERROR(__xludf.DUMMYFUNCTION("""COMPUTED_VALUE"""),5098146.0)</f>
        <v>5098146</v>
      </c>
    </row>
    <row r="5971">
      <c r="A5971" s="2">
        <f>IFERROR(__xludf.DUMMYFUNCTION("""COMPUTED_VALUE"""),45191.66666666667)</f>
        <v>45191.66667</v>
      </c>
      <c r="B5971" s="1">
        <f>IFERROR(__xludf.DUMMYFUNCTION("""COMPUTED_VALUE"""),152.44)</f>
        <v>152.44</v>
      </c>
      <c r="C5971" s="1">
        <f>IFERROR(__xludf.DUMMYFUNCTION("""COMPUTED_VALUE"""),153.34)</f>
        <v>153.34</v>
      </c>
      <c r="D5971" s="1">
        <f>IFERROR(__xludf.DUMMYFUNCTION("""COMPUTED_VALUE"""),151.38)</f>
        <v>151.38</v>
      </c>
      <c r="E5971" s="1">
        <f>IFERROR(__xludf.DUMMYFUNCTION("""COMPUTED_VALUE"""),151.58)</f>
        <v>151.58</v>
      </c>
      <c r="F5971" s="1">
        <f>IFERROR(__xludf.DUMMYFUNCTION("""COMPUTED_VALUE"""),6328163.0)</f>
        <v>6328163</v>
      </c>
    </row>
    <row r="5972">
      <c r="A5972" s="2">
        <f>IFERROR(__xludf.DUMMYFUNCTION("""COMPUTED_VALUE"""),45194.66666666667)</f>
        <v>45194.66667</v>
      </c>
      <c r="B5972" s="1">
        <f>IFERROR(__xludf.DUMMYFUNCTION("""COMPUTED_VALUE"""),151.18)</f>
        <v>151.18</v>
      </c>
      <c r="C5972" s="1">
        <f>IFERROR(__xludf.DUMMYFUNCTION("""COMPUTED_VALUE"""),151.28)</f>
        <v>151.28</v>
      </c>
      <c r="D5972" s="1">
        <f>IFERROR(__xludf.DUMMYFUNCTION("""COMPUTED_VALUE"""),150.02)</f>
        <v>150.02</v>
      </c>
      <c r="E5972" s="1">
        <f>IFERROR(__xludf.DUMMYFUNCTION("""COMPUTED_VALUE"""),150.66)</f>
        <v>150.66</v>
      </c>
      <c r="F5972" s="1">
        <f>IFERROR(__xludf.DUMMYFUNCTION("""COMPUTED_VALUE"""),5527129.0)</f>
        <v>5527129</v>
      </c>
    </row>
    <row r="5973">
      <c r="A5973" s="2">
        <f>IFERROR(__xludf.DUMMYFUNCTION("""COMPUTED_VALUE"""),45195.66666666667)</f>
        <v>45195.66667</v>
      </c>
      <c r="B5973" s="1">
        <f>IFERROR(__xludf.DUMMYFUNCTION("""COMPUTED_VALUE"""),149.98)</f>
        <v>149.98</v>
      </c>
      <c r="C5973" s="1">
        <f>IFERROR(__xludf.DUMMYFUNCTION("""COMPUTED_VALUE"""),150.36)</f>
        <v>150.36</v>
      </c>
      <c r="D5973" s="1">
        <f>IFERROR(__xludf.DUMMYFUNCTION("""COMPUTED_VALUE"""),148.79)</f>
        <v>148.79</v>
      </c>
      <c r="E5973" s="1">
        <f>IFERROR(__xludf.DUMMYFUNCTION("""COMPUTED_VALUE"""),149.32)</f>
        <v>149.32</v>
      </c>
      <c r="F5973" s="1">
        <f>IFERROR(__xludf.DUMMYFUNCTION("""COMPUTED_VALUE"""),6366545.0)</f>
        <v>6366545</v>
      </c>
    </row>
    <row r="5974">
      <c r="A5974" s="2">
        <f>IFERROR(__xludf.DUMMYFUNCTION("""COMPUTED_VALUE"""),45196.66666666667)</f>
        <v>45196.66667</v>
      </c>
      <c r="B5974" s="1">
        <f>IFERROR(__xludf.DUMMYFUNCTION("""COMPUTED_VALUE"""),149.42)</f>
        <v>149.42</v>
      </c>
      <c r="C5974" s="1">
        <f>IFERROR(__xludf.DUMMYFUNCTION("""COMPUTED_VALUE"""),149.7)</f>
        <v>149.7</v>
      </c>
      <c r="D5974" s="1">
        <f>IFERROR(__xludf.DUMMYFUNCTION("""COMPUTED_VALUE"""),146.63)</f>
        <v>146.63</v>
      </c>
      <c r="E5974" s="1">
        <f>IFERROR(__xludf.DUMMYFUNCTION("""COMPUTED_VALUE"""),147.34)</f>
        <v>147.34</v>
      </c>
      <c r="F5974" s="1">
        <f>IFERROR(__xludf.DUMMYFUNCTION("""COMPUTED_VALUE"""),5403675.0)</f>
        <v>5403675</v>
      </c>
    </row>
    <row r="5975">
      <c r="A5975" s="2">
        <f>IFERROR(__xludf.DUMMYFUNCTION("""COMPUTED_VALUE"""),45197.66666666667)</f>
        <v>45197.66667</v>
      </c>
      <c r="B5975" s="1">
        <f>IFERROR(__xludf.DUMMYFUNCTION("""COMPUTED_VALUE"""),147.82)</f>
        <v>147.82</v>
      </c>
      <c r="C5975" s="1">
        <f>IFERROR(__xludf.DUMMYFUNCTION("""COMPUTED_VALUE"""),147.98)</f>
        <v>147.98</v>
      </c>
      <c r="D5975" s="1">
        <f>IFERROR(__xludf.DUMMYFUNCTION("""COMPUTED_VALUE"""),145.68)</f>
        <v>145.68</v>
      </c>
      <c r="E5975" s="1">
        <f>IFERROR(__xludf.DUMMYFUNCTION("""COMPUTED_VALUE"""),146.34)</f>
        <v>146.34</v>
      </c>
      <c r="F5975" s="1">
        <f>IFERROR(__xludf.DUMMYFUNCTION("""COMPUTED_VALUE"""),6237072.0)</f>
        <v>6237072</v>
      </c>
    </row>
    <row r="5976">
      <c r="A5976" s="2">
        <f>IFERROR(__xludf.DUMMYFUNCTION("""COMPUTED_VALUE"""),45198.66666666667)</f>
        <v>45198.66667</v>
      </c>
      <c r="B5976" s="1">
        <f>IFERROR(__xludf.DUMMYFUNCTION("""COMPUTED_VALUE"""),146.54)</f>
        <v>146.54</v>
      </c>
      <c r="C5976" s="1">
        <f>IFERROR(__xludf.DUMMYFUNCTION("""COMPUTED_VALUE"""),146.77)</f>
        <v>146.77</v>
      </c>
      <c r="D5976" s="1">
        <f>IFERROR(__xludf.DUMMYFUNCTION("""COMPUTED_VALUE"""),144.82)</f>
        <v>144.82</v>
      </c>
      <c r="E5976" s="1">
        <f>IFERROR(__xludf.DUMMYFUNCTION("""COMPUTED_VALUE"""),145.86)</f>
        <v>145.86</v>
      </c>
      <c r="F5976" s="1">
        <f>IFERROR(__xludf.DUMMYFUNCTION("""COMPUTED_VALUE"""),6683279.0)</f>
        <v>6683279</v>
      </c>
    </row>
    <row r="5977">
      <c r="A5977" s="2">
        <f>IFERROR(__xludf.DUMMYFUNCTION("""COMPUTED_VALUE"""),45201.66666666667)</f>
        <v>45201.66667</v>
      </c>
      <c r="B5977" s="1">
        <f>IFERROR(__xludf.DUMMYFUNCTION("""COMPUTED_VALUE"""),144.78)</f>
        <v>144.78</v>
      </c>
      <c r="C5977" s="1">
        <f>IFERROR(__xludf.DUMMYFUNCTION("""COMPUTED_VALUE"""),145.6)</f>
        <v>145.6</v>
      </c>
      <c r="D5977" s="1">
        <f>IFERROR(__xludf.DUMMYFUNCTION("""COMPUTED_VALUE"""),143.9)</f>
        <v>143.9</v>
      </c>
      <c r="E5977" s="1">
        <f>IFERROR(__xludf.DUMMYFUNCTION("""COMPUTED_VALUE"""),145.19)</f>
        <v>145.19</v>
      </c>
      <c r="F5977" s="1">
        <f>IFERROR(__xludf.DUMMYFUNCTION("""COMPUTED_VALUE"""),5153808.0)</f>
        <v>5153808</v>
      </c>
    </row>
    <row r="5978">
      <c r="A5978" s="2">
        <f>IFERROR(__xludf.DUMMYFUNCTION("""COMPUTED_VALUE"""),45202.66666666667)</f>
        <v>45202.66667</v>
      </c>
      <c r="B5978" s="1">
        <f>IFERROR(__xludf.DUMMYFUNCTION("""COMPUTED_VALUE"""),145.17)</f>
        <v>145.17</v>
      </c>
      <c r="C5978" s="1">
        <f>IFERROR(__xludf.DUMMYFUNCTION("""COMPUTED_VALUE"""),146.49)</f>
        <v>146.49</v>
      </c>
      <c r="D5978" s="1">
        <f>IFERROR(__xludf.DUMMYFUNCTION("""COMPUTED_VALUE"""),145.01)</f>
        <v>145.01</v>
      </c>
      <c r="E5978" s="1">
        <f>IFERROR(__xludf.DUMMYFUNCTION("""COMPUTED_VALUE"""),145.49)</f>
        <v>145.49</v>
      </c>
      <c r="F5978" s="1">
        <f>IFERROR(__xludf.DUMMYFUNCTION("""COMPUTED_VALUE"""),4670620.0)</f>
        <v>4670620</v>
      </c>
    </row>
    <row r="5979">
      <c r="A5979" s="2">
        <f>IFERROR(__xludf.DUMMYFUNCTION("""COMPUTED_VALUE"""),45203.66666666667)</f>
        <v>45203.66667</v>
      </c>
      <c r="B5979" s="1">
        <f>IFERROR(__xludf.DUMMYFUNCTION("""COMPUTED_VALUE"""),145.59)</f>
        <v>145.59</v>
      </c>
      <c r="C5979" s="1">
        <f>IFERROR(__xludf.DUMMYFUNCTION("""COMPUTED_VALUE"""),146.31)</f>
        <v>146.31</v>
      </c>
      <c r="D5979" s="1">
        <f>IFERROR(__xludf.DUMMYFUNCTION("""COMPUTED_VALUE"""),144.93)</f>
        <v>144.93</v>
      </c>
      <c r="E5979" s="1">
        <f>IFERROR(__xludf.DUMMYFUNCTION("""COMPUTED_VALUE"""),145.97)</f>
        <v>145.97</v>
      </c>
      <c r="F5979" s="1">
        <f>IFERROR(__xludf.DUMMYFUNCTION("""COMPUTED_VALUE"""),4727849.0)</f>
        <v>4727849</v>
      </c>
    </row>
    <row r="5980">
      <c r="A5980" s="2">
        <f>IFERROR(__xludf.DUMMYFUNCTION("""COMPUTED_VALUE"""),45204.66666666667)</f>
        <v>45204.66667</v>
      </c>
      <c r="B5980" s="1">
        <f>IFERROR(__xludf.DUMMYFUNCTION("""COMPUTED_VALUE"""),145.68)</f>
        <v>145.68</v>
      </c>
      <c r="C5980" s="1">
        <f>IFERROR(__xludf.DUMMYFUNCTION("""COMPUTED_VALUE"""),146.09)</f>
        <v>146.09</v>
      </c>
      <c r="D5980" s="1">
        <f>IFERROR(__xludf.DUMMYFUNCTION("""COMPUTED_VALUE"""),143.69)</f>
        <v>143.69</v>
      </c>
      <c r="E5980" s="1">
        <f>IFERROR(__xludf.DUMMYFUNCTION("""COMPUTED_VALUE"""),143.8)</f>
        <v>143.8</v>
      </c>
      <c r="F5980" s="1">
        <f>IFERROR(__xludf.DUMMYFUNCTION("""COMPUTED_VALUE"""),5205662.0)</f>
        <v>5205662</v>
      </c>
    </row>
    <row r="5981">
      <c r="A5981" s="2">
        <f>IFERROR(__xludf.DUMMYFUNCTION("""COMPUTED_VALUE"""),45205.66666666667)</f>
        <v>45205.66667</v>
      </c>
      <c r="B5981" s="1">
        <f>IFERROR(__xludf.DUMMYFUNCTION("""COMPUTED_VALUE"""),143.6)</f>
        <v>143.6</v>
      </c>
      <c r="C5981" s="1">
        <f>IFERROR(__xludf.DUMMYFUNCTION("""COMPUTED_VALUE"""),144.56)</f>
        <v>144.56</v>
      </c>
      <c r="D5981" s="1">
        <f>IFERROR(__xludf.DUMMYFUNCTION("""COMPUTED_VALUE"""),141.45)</f>
        <v>141.45</v>
      </c>
      <c r="E5981" s="1">
        <f>IFERROR(__xludf.DUMMYFUNCTION("""COMPUTED_VALUE"""),144.09)</f>
        <v>144.09</v>
      </c>
      <c r="F5981" s="1">
        <f>IFERROR(__xludf.DUMMYFUNCTION("""COMPUTED_VALUE"""),7406682.0)</f>
        <v>7406682</v>
      </c>
    </row>
    <row r="5982">
      <c r="A5982" s="2">
        <f>IFERROR(__xludf.DUMMYFUNCTION("""COMPUTED_VALUE"""),45208.66666666667)</f>
        <v>45208.66667</v>
      </c>
      <c r="B5982" s="1">
        <f>IFERROR(__xludf.DUMMYFUNCTION("""COMPUTED_VALUE"""),143.36)</f>
        <v>143.36</v>
      </c>
      <c r="C5982" s="1">
        <f>IFERROR(__xludf.DUMMYFUNCTION("""COMPUTED_VALUE"""),143.97)</f>
        <v>143.97</v>
      </c>
      <c r="D5982" s="1">
        <f>IFERROR(__xludf.DUMMYFUNCTION("""COMPUTED_VALUE"""),141.6)</f>
        <v>141.6</v>
      </c>
      <c r="E5982" s="1">
        <f>IFERROR(__xludf.DUMMYFUNCTION("""COMPUTED_VALUE"""),143.36)</f>
        <v>143.36</v>
      </c>
      <c r="F5982" s="1">
        <f>IFERROR(__xludf.DUMMYFUNCTION("""COMPUTED_VALUE"""),5062170.0)</f>
        <v>5062170</v>
      </c>
    </row>
    <row r="5983">
      <c r="A5983" s="2">
        <f>IFERROR(__xludf.DUMMYFUNCTION("""COMPUTED_VALUE"""),45209.66666666667)</f>
        <v>45209.66667</v>
      </c>
      <c r="B5983" s="1">
        <f>IFERROR(__xludf.DUMMYFUNCTION("""COMPUTED_VALUE"""),143.98)</f>
        <v>143.98</v>
      </c>
      <c r="C5983" s="1">
        <f>IFERROR(__xludf.DUMMYFUNCTION("""COMPUTED_VALUE"""),145.22)</f>
        <v>145.22</v>
      </c>
      <c r="D5983" s="1">
        <f>IFERROR(__xludf.DUMMYFUNCTION("""COMPUTED_VALUE"""),143.72)</f>
        <v>143.72</v>
      </c>
      <c r="E5983" s="1">
        <f>IFERROR(__xludf.DUMMYFUNCTION("""COMPUTED_VALUE"""),144.78)</f>
        <v>144.78</v>
      </c>
      <c r="F5983" s="1">
        <f>IFERROR(__xludf.DUMMYFUNCTION("""COMPUTED_VALUE"""),5988917.0)</f>
        <v>5988917</v>
      </c>
    </row>
    <row r="5984">
      <c r="A5984" s="2">
        <f>IFERROR(__xludf.DUMMYFUNCTION("""COMPUTED_VALUE"""),45210.66666666667)</f>
        <v>45210.66667</v>
      </c>
      <c r="B5984" s="1">
        <f>IFERROR(__xludf.DUMMYFUNCTION("""COMPUTED_VALUE"""),145.14)</f>
        <v>145.14</v>
      </c>
      <c r="C5984" s="1">
        <f>IFERROR(__xludf.DUMMYFUNCTION("""COMPUTED_VALUE"""),145.56)</f>
        <v>145.56</v>
      </c>
      <c r="D5984" s="1">
        <f>IFERROR(__xludf.DUMMYFUNCTION("""COMPUTED_VALUE"""),142.56)</f>
        <v>142.56</v>
      </c>
      <c r="E5984" s="1">
        <f>IFERROR(__xludf.DUMMYFUNCTION("""COMPUTED_VALUE"""),143.0)</f>
        <v>143</v>
      </c>
      <c r="F5984" s="1">
        <f>IFERROR(__xludf.DUMMYFUNCTION("""COMPUTED_VALUE"""),5469148.0)</f>
        <v>5469148</v>
      </c>
    </row>
    <row r="5985">
      <c r="A5985" s="2">
        <f>IFERROR(__xludf.DUMMYFUNCTION("""COMPUTED_VALUE"""),45211.66666666667)</f>
        <v>45211.66667</v>
      </c>
      <c r="B5985" s="1">
        <f>IFERROR(__xludf.DUMMYFUNCTION("""COMPUTED_VALUE"""),142.79)</f>
        <v>142.79</v>
      </c>
      <c r="C5985" s="1">
        <f>IFERROR(__xludf.DUMMYFUNCTION("""COMPUTED_VALUE"""),143.93)</f>
        <v>143.93</v>
      </c>
      <c r="D5985" s="1">
        <f>IFERROR(__xludf.DUMMYFUNCTION("""COMPUTED_VALUE"""),141.66)</f>
        <v>141.66</v>
      </c>
      <c r="E5985" s="1">
        <f>IFERROR(__xludf.DUMMYFUNCTION("""COMPUTED_VALUE"""),143.32)</f>
        <v>143.32</v>
      </c>
      <c r="F5985" s="1">
        <f>IFERROR(__xludf.DUMMYFUNCTION("""COMPUTED_VALUE"""),5965604.0)</f>
        <v>5965604</v>
      </c>
    </row>
    <row r="5986">
      <c r="A5986" s="2">
        <f>IFERROR(__xludf.DUMMYFUNCTION("""COMPUTED_VALUE"""),45212.66666666667)</f>
        <v>45212.66667</v>
      </c>
      <c r="B5986" s="1">
        <f>IFERROR(__xludf.DUMMYFUNCTION("""COMPUTED_VALUE"""),143.19)</f>
        <v>143.19</v>
      </c>
      <c r="C5986" s="1">
        <f>IFERROR(__xludf.DUMMYFUNCTION("""COMPUTED_VALUE"""),145.03)</f>
        <v>145.03</v>
      </c>
      <c r="D5986" s="1">
        <f>IFERROR(__xludf.DUMMYFUNCTION("""COMPUTED_VALUE"""),143.19)</f>
        <v>143.19</v>
      </c>
      <c r="E5986" s="1">
        <f>IFERROR(__xludf.DUMMYFUNCTION("""COMPUTED_VALUE"""),144.69)</f>
        <v>144.69</v>
      </c>
      <c r="F5986" s="1">
        <f>IFERROR(__xludf.DUMMYFUNCTION("""COMPUTED_VALUE"""),7079323.0)</f>
        <v>7079323</v>
      </c>
    </row>
    <row r="5987">
      <c r="A5987" s="2">
        <f>IFERROR(__xludf.DUMMYFUNCTION("""COMPUTED_VALUE"""),45215.66666666667)</f>
        <v>45215.66667</v>
      </c>
      <c r="B5987" s="1">
        <f>IFERROR(__xludf.DUMMYFUNCTION("""COMPUTED_VALUE"""),145.86)</f>
        <v>145.86</v>
      </c>
      <c r="C5987" s="1">
        <f>IFERROR(__xludf.DUMMYFUNCTION("""COMPUTED_VALUE"""),147.06)</f>
        <v>147.06</v>
      </c>
      <c r="D5987" s="1">
        <f>IFERROR(__xludf.DUMMYFUNCTION("""COMPUTED_VALUE"""),145.46)</f>
        <v>145.46</v>
      </c>
      <c r="E5987" s="1">
        <f>IFERROR(__xludf.DUMMYFUNCTION("""COMPUTED_VALUE"""),146.07)</f>
        <v>146.07</v>
      </c>
      <c r="F5987" s="1">
        <f>IFERROR(__xludf.DUMMYFUNCTION("""COMPUTED_VALUE"""),6509765.0)</f>
        <v>6509765</v>
      </c>
    </row>
    <row r="5988">
      <c r="A5988" s="2">
        <f>IFERROR(__xludf.DUMMYFUNCTION("""COMPUTED_VALUE"""),45216.66666666667)</f>
        <v>45216.66667</v>
      </c>
      <c r="B5988" s="1">
        <f>IFERROR(__xludf.DUMMYFUNCTION("""COMPUTED_VALUE"""),146.11)</f>
        <v>146.11</v>
      </c>
      <c r="C5988" s="1">
        <f>IFERROR(__xludf.DUMMYFUNCTION("""COMPUTED_VALUE"""),146.82)</f>
        <v>146.82</v>
      </c>
      <c r="D5988" s="1">
        <f>IFERROR(__xludf.DUMMYFUNCTION("""COMPUTED_VALUE"""),145.24)</f>
        <v>145.24</v>
      </c>
      <c r="E5988" s="1">
        <f>IFERROR(__xludf.DUMMYFUNCTION("""COMPUTED_VALUE"""),146.26)</f>
        <v>146.26</v>
      </c>
      <c r="F5988" s="1">
        <f>IFERROR(__xludf.DUMMYFUNCTION("""COMPUTED_VALUE"""),6160115.0)</f>
        <v>6160115</v>
      </c>
    </row>
    <row r="5989">
      <c r="A5989" s="2">
        <f>IFERROR(__xludf.DUMMYFUNCTION("""COMPUTED_VALUE"""),45217.66666666667)</f>
        <v>45217.66667</v>
      </c>
      <c r="B5989" s="1">
        <f>IFERROR(__xludf.DUMMYFUNCTION("""COMPUTED_VALUE"""),150.06)</f>
        <v>150.06</v>
      </c>
      <c r="C5989" s="1">
        <f>IFERROR(__xludf.DUMMYFUNCTION("""COMPUTED_VALUE"""),151.3)</f>
        <v>151.3</v>
      </c>
      <c r="D5989" s="1">
        <f>IFERROR(__xludf.DUMMYFUNCTION("""COMPUTED_VALUE"""),148.77)</f>
        <v>148.77</v>
      </c>
      <c r="E5989" s="1">
        <f>IFERROR(__xludf.DUMMYFUNCTION("""COMPUTED_VALUE"""),150.03)</f>
        <v>150.03</v>
      </c>
      <c r="F5989" s="1">
        <f>IFERROR(__xludf.DUMMYFUNCTION("""COMPUTED_VALUE"""),1.050847E7)</f>
        <v>10508470</v>
      </c>
    </row>
    <row r="5990">
      <c r="A5990" s="2">
        <f>IFERROR(__xludf.DUMMYFUNCTION("""COMPUTED_VALUE"""),45218.66666666667)</f>
        <v>45218.66667</v>
      </c>
      <c r="B5990" s="1">
        <f>IFERROR(__xludf.DUMMYFUNCTION("""COMPUTED_VALUE"""),149.61)</f>
        <v>149.61</v>
      </c>
      <c r="C5990" s="1">
        <f>IFERROR(__xludf.DUMMYFUNCTION("""COMPUTED_VALUE"""),150.28)</f>
        <v>150.28</v>
      </c>
      <c r="D5990" s="1">
        <f>IFERROR(__xludf.DUMMYFUNCTION("""COMPUTED_VALUE"""),147.18)</f>
        <v>147.18</v>
      </c>
      <c r="E5990" s="1">
        <f>IFERROR(__xludf.DUMMYFUNCTION("""COMPUTED_VALUE"""),148.25)</f>
        <v>148.25</v>
      </c>
      <c r="F5990" s="1">
        <f>IFERROR(__xludf.DUMMYFUNCTION("""COMPUTED_VALUE"""),8145959.0)</f>
        <v>8145959</v>
      </c>
    </row>
    <row r="5991">
      <c r="A5991" s="2">
        <f>IFERROR(__xludf.DUMMYFUNCTION("""COMPUTED_VALUE"""),45219.66666666667)</f>
        <v>45219.66667</v>
      </c>
      <c r="B5991" s="1">
        <f>IFERROR(__xludf.DUMMYFUNCTION("""COMPUTED_VALUE"""),149.05)</f>
        <v>149.05</v>
      </c>
      <c r="C5991" s="1">
        <f>IFERROR(__xludf.DUMMYFUNCTION("""COMPUTED_VALUE"""),149.88)</f>
        <v>149.88</v>
      </c>
      <c r="D5991" s="1">
        <f>IFERROR(__xludf.DUMMYFUNCTION("""COMPUTED_VALUE"""),147.92)</f>
        <v>147.92</v>
      </c>
      <c r="E5991" s="1">
        <f>IFERROR(__xludf.DUMMYFUNCTION("""COMPUTED_VALUE"""),148.05)</f>
        <v>148.05</v>
      </c>
      <c r="F5991" s="1">
        <f>IFERROR(__xludf.DUMMYFUNCTION("""COMPUTED_VALUE"""),7284217.0)</f>
        <v>7284217</v>
      </c>
    </row>
    <row r="5992">
      <c r="A5992" s="2">
        <f>IFERROR(__xludf.DUMMYFUNCTION("""COMPUTED_VALUE"""),45222.66666666667)</f>
        <v>45222.66667</v>
      </c>
      <c r="B5992" s="1">
        <f>IFERROR(__xludf.DUMMYFUNCTION("""COMPUTED_VALUE"""),147.86)</f>
        <v>147.86</v>
      </c>
      <c r="C5992" s="1">
        <f>IFERROR(__xludf.DUMMYFUNCTION("""COMPUTED_VALUE"""),149.5)</f>
        <v>149.5</v>
      </c>
      <c r="D5992" s="1">
        <f>IFERROR(__xludf.DUMMYFUNCTION("""COMPUTED_VALUE"""),147.56)</f>
        <v>147.56</v>
      </c>
      <c r="E5992" s="1">
        <f>IFERROR(__xludf.DUMMYFUNCTION("""COMPUTED_VALUE"""),148.15)</f>
        <v>148.15</v>
      </c>
      <c r="F5992" s="1">
        <f>IFERROR(__xludf.DUMMYFUNCTION("""COMPUTED_VALUE"""),5981784.0)</f>
        <v>5981784</v>
      </c>
    </row>
    <row r="5993">
      <c r="A5993" s="2">
        <f>IFERROR(__xludf.DUMMYFUNCTION("""COMPUTED_VALUE"""),45223.66666666667)</f>
        <v>45223.66667</v>
      </c>
      <c r="B5993" s="1">
        <f>IFERROR(__xludf.DUMMYFUNCTION("""COMPUTED_VALUE"""),148.12)</f>
        <v>148.12</v>
      </c>
      <c r="C5993" s="1">
        <f>IFERROR(__xludf.DUMMYFUNCTION("""COMPUTED_VALUE"""),150.07)</f>
        <v>150.07</v>
      </c>
      <c r="D5993" s="1">
        <f>IFERROR(__xludf.DUMMYFUNCTION("""COMPUTED_VALUE"""),148.07)</f>
        <v>148.07</v>
      </c>
      <c r="E5993" s="1">
        <f>IFERROR(__xludf.DUMMYFUNCTION("""COMPUTED_VALUE"""),149.9)</f>
        <v>149.9</v>
      </c>
      <c r="F5993" s="1">
        <f>IFERROR(__xludf.DUMMYFUNCTION("""COMPUTED_VALUE"""),6322218.0)</f>
        <v>6322218</v>
      </c>
    </row>
    <row r="5994">
      <c r="A5994" s="2">
        <f>IFERROR(__xludf.DUMMYFUNCTION("""COMPUTED_VALUE"""),45224.66666666667)</f>
        <v>45224.66667</v>
      </c>
      <c r="B5994" s="1">
        <f>IFERROR(__xludf.DUMMYFUNCTION("""COMPUTED_VALUE"""),149.64)</f>
        <v>149.64</v>
      </c>
      <c r="C5994" s="1">
        <f>IFERROR(__xludf.DUMMYFUNCTION("""COMPUTED_VALUE"""),151.19)</f>
        <v>151.19</v>
      </c>
      <c r="D5994" s="1">
        <f>IFERROR(__xludf.DUMMYFUNCTION("""COMPUTED_VALUE"""),149.12)</f>
        <v>149.12</v>
      </c>
      <c r="E5994" s="1">
        <f>IFERROR(__xludf.DUMMYFUNCTION("""COMPUTED_VALUE"""),150.6)</f>
        <v>150.6</v>
      </c>
      <c r="F5994" s="1">
        <f>IFERROR(__xludf.DUMMYFUNCTION("""COMPUTED_VALUE"""),6172937.0)</f>
        <v>6172937</v>
      </c>
    </row>
    <row r="5995">
      <c r="A5995" s="2">
        <f>IFERROR(__xludf.DUMMYFUNCTION("""COMPUTED_VALUE"""),45225.66666666667)</f>
        <v>45225.66667</v>
      </c>
      <c r="B5995" s="1">
        <f>IFERROR(__xludf.DUMMYFUNCTION("""COMPUTED_VALUE"""),151.05)</f>
        <v>151.05</v>
      </c>
      <c r="C5995" s="1">
        <f>IFERROR(__xludf.DUMMYFUNCTION("""COMPUTED_VALUE"""),151.38)</f>
        <v>151.38</v>
      </c>
      <c r="D5995" s="1">
        <f>IFERROR(__xludf.DUMMYFUNCTION("""COMPUTED_VALUE"""),149.74)</f>
        <v>149.74</v>
      </c>
      <c r="E5995" s="1">
        <f>IFERROR(__xludf.DUMMYFUNCTION("""COMPUTED_VALUE"""),149.8)</f>
        <v>149.8</v>
      </c>
      <c r="F5995" s="1">
        <f>IFERROR(__xludf.DUMMYFUNCTION("""COMPUTED_VALUE"""),7582052.0)</f>
        <v>7582052</v>
      </c>
    </row>
    <row r="5996">
      <c r="A5996" s="2">
        <f>IFERROR(__xludf.DUMMYFUNCTION("""COMPUTED_VALUE"""),45226.66666666667)</f>
        <v>45226.66667</v>
      </c>
      <c r="B5996" s="1">
        <f>IFERROR(__xludf.DUMMYFUNCTION("""COMPUTED_VALUE"""),148.98)</f>
        <v>148.98</v>
      </c>
      <c r="C5996" s="1">
        <f>IFERROR(__xludf.DUMMYFUNCTION("""COMPUTED_VALUE"""),149.95)</f>
        <v>149.95</v>
      </c>
      <c r="D5996" s="1">
        <f>IFERROR(__xludf.DUMMYFUNCTION("""COMPUTED_VALUE"""),146.28)</f>
        <v>146.28</v>
      </c>
      <c r="E5996" s="1">
        <f>IFERROR(__xludf.DUMMYFUNCTION("""COMPUTED_VALUE"""),147.16)</f>
        <v>147.16</v>
      </c>
      <c r="F5996" s="1">
        <f>IFERROR(__xludf.DUMMYFUNCTION("""COMPUTED_VALUE"""),8131875.0)</f>
        <v>8131875</v>
      </c>
    </row>
    <row r="5997">
      <c r="A5997" s="2">
        <f>IFERROR(__xludf.DUMMYFUNCTION("""COMPUTED_VALUE"""),45229.66666666667)</f>
        <v>45229.66667</v>
      </c>
      <c r="B5997" s="1">
        <f>IFERROR(__xludf.DUMMYFUNCTION("""COMPUTED_VALUE"""),147.9)</f>
        <v>147.9</v>
      </c>
      <c r="C5997" s="1">
        <f>IFERROR(__xludf.DUMMYFUNCTION("""COMPUTED_VALUE"""),149.55)</f>
        <v>149.55</v>
      </c>
      <c r="D5997" s="1">
        <f>IFERROR(__xludf.DUMMYFUNCTION("""COMPUTED_VALUE"""),147.54)</f>
        <v>147.54</v>
      </c>
      <c r="E5997" s="1">
        <f>IFERROR(__xludf.DUMMYFUNCTION("""COMPUTED_VALUE"""),149.26)</f>
        <v>149.26</v>
      </c>
      <c r="F5997" s="1">
        <f>IFERROR(__xludf.DUMMYFUNCTION("""COMPUTED_VALUE"""),5412866.0)</f>
        <v>5412866</v>
      </c>
    </row>
    <row r="5998">
      <c r="A5998" s="2">
        <f>IFERROR(__xludf.DUMMYFUNCTION("""COMPUTED_VALUE"""),45230.66666666667)</f>
        <v>45230.66667</v>
      </c>
      <c r="B5998" s="1">
        <f>IFERROR(__xludf.DUMMYFUNCTION("""COMPUTED_VALUE"""),149.46)</f>
        <v>149.46</v>
      </c>
      <c r="C5998" s="1">
        <f>IFERROR(__xludf.DUMMYFUNCTION("""COMPUTED_VALUE"""),150.26)</f>
        <v>150.26</v>
      </c>
      <c r="D5998" s="1">
        <f>IFERROR(__xludf.DUMMYFUNCTION("""COMPUTED_VALUE"""),148.64)</f>
        <v>148.64</v>
      </c>
      <c r="E5998" s="1">
        <f>IFERROR(__xludf.DUMMYFUNCTION("""COMPUTED_VALUE"""),150.03)</f>
        <v>150.03</v>
      </c>
      <c r="F5998" s="1">
        <f>IFERROR(__xludf.DUMMYFUNCTION("""COMPUTED_VALUE"""),6762155.0)</f>
        <v>6762155</v>
      </c>
    </row>
    <row r="5999">
      <c r="A5999" s="2">
        <f>IFERROR(__xludf.DUMMYFUNCTION("""COMPUTED_VALUE"""),45231.66666666667)</f>
        <v>45231.66667</v>
      </c>
      <c r="B5999" s="1">
        <f>IFERROR(__xludf.DUMMYFUNCTION("""COMPUTED_VALUE"""),150.68)</f>
        <v>150.68</v>
      </c>
      <c r="C5999" s="1">
        <f>IFERROR(__xludf.DUMMYFUNCTION("""COMPUTED_VALUE"""),150.68)</f>
        <v>150.68</v>
      </c>
      <c r="D5999" s="1">
        <f>IFERROR(__xludf.DUMMYFUNCTION("""COMPUTED_VALUE"""),149.21)</f>
        <v>149.21</v>
      </c>
      <c r="E5999" s="1">
        <f>IFERROR(__xludf.DUMMYFUNCTION("""COMPUTED_VALUE"""),149.61)</f>
        <v>149.61</v>
      </c>
      <c r="F5999" s="1">
        <f>IFERROR(__xludf.DUMMYFUNCTION("""COMPUTED_VALUE"""),5896946.0)</f>
        <v>5896946</v>
      </c>
    </row>
    <row r="6000">
      <c r="A6000" s="2">
        <f>IFERROR(__xludf.DUMMYFUNCTION("""COMPUTED_VALUE"""),45232.66666666667)</f>
        <v>45232.66667</v>
      </c>
      <c r="B6000" s="1">
        <f>IFERROR(__xludf.DUMMYFUNCTION("""COMPUTED_VALUE"""),149.54)</f>
        <v>149.54</v>
      </c>
      <c r="C6000" s="1">
        <f>IFERROR(__xludf.DUMMYFUNCTION("""COMPUTED_VALUE"""),151.65)</f>
        <v>151.65</v>
      </c>
      <c r="D6000" s="1">
        <f>IFERROR(__xludf.DUMMYFUNCTION("""COMPUTED_VALUE"""),148.91)</f>
        <v>148.91</v>
      </c>
      <c r="E6000" s="1">
        <f>IFERROR(__xludf.DUMMYFUNCTION("""COMPUTED_VALUE"""),151.44)</f>
        <v>151.44</v>
      </c>
      <c r="F6000" s="1">
        <f>IFERROR(__xludf.DUMMYFUNCTION("""COMPUTED_VALUE"""),5859285.0)</f>
        <v>5859285</v>
      </c>
    </row>
    <row r="6001">
      <c r="A6001" s="2">
        <f>IFERROR(__xludf.DUMMYFUNCTION("""COMPUTED_VALUE"""),45233.66666666667)</f>
        <v>45233.66667</v>
      </c>
      <c r="B6001" s="1">
        <f>IFERROR(__xludf.DUMMYFUNCTION("""COMPUTED_VALUE"""),151.79)</f>
        <v>151.79</v>
      </c>
      <c r="C6001" s="1">
        <f>IFERROR(__xludf.DUMMYFUNCTION("""COMPUTED_VALUE"""),152.29)</f>
        <v>152.29</v>
      </c>
      <c r="D6001" s="1">
        <f>IFERROR(__xludf.DUMMYFUNCTION("""COMPUTED_VALUE"""),149.62)</f>
        <v>149.62</v>
      </c>
      <c r="E6001" s="1">
        <f>IFERROR(__xludf.DUMMYFUNCTION("""COMPUTED_VALUE"""),150.07)</f>
        <v>150.07</v>
      </c>
      <c r="F6001" s="1">
        <f>IFERROR(__xludf.DUMMYFUNCTION("""COMPUTED_VALUE"""),6587879.0)</f>
        <v>6587879</v>
      </c>
    </row>
    <row r="6002">
      <c r="A6002" s="2">
        <f>IFERROR(__xludf.DUMMYFUNCTION("""COMPUTED_VALUE"""),45236.66666666667)</f>
        <v>45236.66667</v>
      </c>
      <c r="B6002" s="1">
        <f>IFERROR(__xludf.DUMMYFUNCTION("""COMPUTED_VALUE"""),150.36)</f>
        <v>150.36</v>
      </c>
      <c r="C6002" s="1">
        <f>IFERROR(__xludf.DUMMYFUNCTION("""COMPUTED_VALUE"""),151.25)</f>
        <v>151.25</v>
      </c>
      <c r="D6002" s="1">
        <f>IFERROR(__xludf.DUMMYFUNCTION("""COMPUTED_VALUE"""),150.1)</f>
        <v>150.1</v>
      </c>
      <c r="E6002" s="1">
        <f>IFERROR(__xludf.DUMMYFUNCTION("""COMPUTED_VALUE"""),150.94)</f>
        <v>150.94</v>
      </c>
      <c r="F6002" s="1">
        <f>IFERROR(__xludf.DUMMYFUNCTION("""COMPUTED_VALUE"""),6480898.0)</f>
        <v>6480898</v>
      </c>
    </row>
    <row r="6003">
      <c r="A6003" s="2">
        <f>IFERROR(__xludf.DUMMYFUNCTION("""COMPUTED_VALUE"""),45237.66666666667)</f>
        <v>45237.66667</v>
      </c>
      <c r="B6003" s="1">
        <f>IFERROR(__xludf.DUMMYFUNCTION("""COMPUTED_VALUE"""),150.92)</f>
        <v>150.92</v>
      </c>
      <c r="C6003" s="1">
        <f>IFERROR(__xludf.DUMMYFUNCTION("""COMPUTED_VALUE"""),151.25)</f>
        <v>151.25</v>
      </c>
      <c r="D6003" s="1">
        <f>IFERROR(__xludf.DUMMYFUNCTION("""COMPUTED_VALUE"""),150.12)</f>
        <v>150.12</v>
      </c>
      <c r="E6003" s="1">
        <f>IFERROR(__xludf.DUMMYFUNCTION("""COMPUTED_VALUE"""),150.59)</f>
        <v>150.59</v>
      </c>
      <c r="F6003" s="1">
        <f>IFERROR(__xludf.DUMMYFUNCTION("""COMPUTED_VALUE"""),6003843.0)</f>
        <v>6003843</v>
      </c>
    </row>
    <row r="6004">
      <c r="A6004" s="2">
        <f>IFERROR(__xludf.DUMMYFUNCTION("""COMPUTED_VALUE"""),45238.66666666667)</f>
        <v>45238.66667</v>
      </c>
      <c r="B6004" s="1">
        <f>IFERROR(__xludf.DUMMYFUNCTION("""COMPUTED_VALUE"""),150.96)</f>
        <v>150.96</v>
      </c>
      <c r="C6004" s="1">
        <f>IFERROR(__xludf.DUMMYFUNCTION("""COMPUTED_VALUE"""),151.2)</f>
        <v>151.2</v>
      </c>
      <c r="D6004" s="1">
        <f>IFERROR(__xludf.DUMMYFUNCTION("""COMPUTED_VALUE"""),149.51)</f>
        <v>149.51</v>
      </c>
      <c r="E6004" s="1">
        <f>IFERROR(__xludf.DUMMYFUNCTION("""COMPUTED_VALUE"""),150.01)</f>
        <v>150.01</v>
      </c>
      <c r="F6004" s="1">
        <f>IFERROR(__xludf.DUMMYFUNCTION("""COMPUTED_VALUE"""),4832618.0)</f>
        <v>4832618</v>
      </c>
    </row>
    <row r="6005">
      <c r="A6005" s="2">
        <f>IFERROR(__xludf.DUMMYFUNCTION("""COMPUTED_VALUE"""),45239.66666666667)</f>
        <v>45239.66667</v>
      </c>
      <c r="B6005" s="1">
        <f>IFERROR(__xludf.DUMMYFUNCTION("""COMPUTED_VALUE"""),149.74)</f>
        <v>149.74</v>
      </c>
      <c r="C6005" s="1">
        <f>IFERROR(__xludf.DUMMYFUNCTION("""COMPUTED_VALUE"""),150.35)</f>
        <v>150.35</v>
      </c>
      <c r="D6005" s="1">
        <f>IFERROR(__xludf.DUMMYFUNCTION("""COMPUTED_VALUE"""),149.12)</f>
        <v>149.12</v>
      </c>
      <c r="E6005" s="1">
        <f>IFERROR(__xludf.DUMMYFUNCTION("""COMPUTED_VALUE"""),150.35)</f>
        <v>150.35</v>
      </c>
      <c r="F6005" s="1">
        <f>IFERROR(__xludf.DUMMYFUNCTION("""COMPUTED_VALUE"""),6581536.0)</f>
        <v>6581536</v>
      </c>
    </row>
    <row r="6006">
      <c r="A6006" s="2">
        <f>IFERROR(__xludf.DUMMYFUNCTION("""COMPUTED_VALUE"""),45240.66666666667)</f>
        <v>45240.66667</v>
      </c>
      <c r="B6006" s="1">
        <f>IFERROR(__xludf.DUMMYFUNCTION("""COMPUTED_VALUE"""),150.84)</f>
        <v>150.84</v>
      </c>
      <c r="C6006" s="1">
        <f>IFERROR(__xludf.DUMMYFUNCTION("""COMPUTED_VALUE"""),151.44)</f>
        <v>151.44</v>
      </c>
      <c r="D6006" s="1">
        <f>IFERROR(__xludf.DUMMYFUNCTION("""COMPUTED_VALUE"""),149.92)</f>
        <v>149.92</v>
      </c>
      <c r="E6006" s="1">
        <f>IFERROR(__xludf.DUMMYFUNCTION("""COMPUTED_VALUE"""),151.41)</f>
        <v>151.41</v>
      </c>
      <c r="F6006" s="1">
        <f>IFERROR(__xludf.DUMMYFUNCTION("""COMPUTED_VALUE"""),5387350.0)</f>
        <v>5387350</v>
      </c>
    </row>
    <row r="6007">
      <c r="A6007" s="2">
        <f>IFERROR(__xludf.DUMMYFUNCTION("""COMPUTED_VALUE"""),45243.66666666667)</f>
        <v>45243.66667</v>
      </c>
      <c r="B6007" s="1">
        <f>IFERROR(__xludf.DUMMYFUNCTION("""COMPUTED_VALUE"""),151.45)</f>
        <v>151.45</v>
      </c>
      <c r="C6007" s="1">
        <f>IFERROR(__xludf.DUMMYFUNCTION("""COMPUTED_VALUE"""),152.9)</f>
        <v>152.9</v>
      </c>
      <c r="D6007" s="1">
        <f>IFERROR(__xludf.DUMMYFUNCTION("""COMPUTED_VALUE"""),151.45)</f>
        <v>151.45</v>
      </c>
      <c r="E6007" s="1">
        <f>IFERROR(__xludf.DUMMYFUNCTION("""COMPUTED_VALUE"""),152.46)</f>
        <v>152.46</v>
      </c>
      <c r="F6007" s="1">
        <f>IFERROR(__xludf.DUMMYFUNCTION("""COMPUTED_VALUE"""),6297527.0)</f>
        <v>6297527</v>
      </c>
    </row>
    <row r="6008">
      <c r="A6008" s="2">
        <f>IFERROR(__xludf.DUMMYFUNCTION("""COMPUTED_VALUE"""),45244.66666666667)</f>
        <v>45244.66667</v>
      </c>
      <c r="B6008" s="1">
        <f>IFERROR(__xludf.DUMMYFUNCTION("""COMPUTED_VALUE"""),152.55)</f>
        <v>152.55</v>
      </c>
      <c r="C6008" s="1">
        <f>IFERROR(__xludf.DUMMYFUNCTION("""COMPUTED_VALUE"""),153.5)</f>
        <v>153.5</v>
      </c>
      <c r="D6008" s="1">
        <f>IFERROR(__xludf.DUMMYFUNCTION("""COMPUTED_VALUE"""),151.68)</f>
        <v>151.68</v>
      </c>
      <c r="E6008" s="1">
        <f>IFERROR(__xludf.DUMMYFUNCTION("""COMPUTED_VALUE"""),152.12)</f>
        <v>152.12</v>
      </c>
      <c r="F6008" s="1">
        <f>IFERROR(__xludf.DUMMYFUNCTION("""COMPUTED_VALUE"""),7982631.0)</f>
        <v>7982631</v>
      </c>
    </row>
    <row r="6009">
      <c r="A6009" s="2">
        <f>IFERROR(__xludf.DUMMYFUNCTION("""COMPUTED_VALUE"""),45245.66666666667)</f>
        <v>45245.66667</v>
      </c>
      <c r="B6009" s="1">
        <f>IFERROR(__xludf.DUMMYFUNCTION("""COMPUTED_VALUE"""),152.06)</f>
        <v>152.06</v>
      </c>
      <c r="C6009" s="1">
        <f>IFERROR(__xludf.DUMMYFUNCTION("""COMPUTED_VALUE"""),152.39)</f>
        <v>152.39</v>
      </c>
      <c r="D6009" s="1">
        <f>IFERROR(__xludf.DUMMYFUNCTION("""COMPUTED_VALUE"""),150.38)</f>
        <v>150.38</v>
      </c>
      <c r="E6009" s="1">
        <f>IFERROR(__xludf.DUMMYFUNCTION("""COMPUTED_VALUE"""),151.42)</f>
        <v>151.42</v>
      </c>
      <c r="F6009" s="1">
        <f>IFERROR(__xludf.DUMMYFUNCTION("""COMPUTED_VALUE"""),7672848.0)</f>
        <v>7672848</v>
      </c>
    </row>
    <row r="6010">
      <c r="A6010" s="2">
        <f>IFERROR(__xludf.DUMMYFUNCTION("""COMPUTED_VALUE"""),45246.66666666667)</f>
        <v>45246.66667</v>
      </c>
      <c r="B6010" s="1">
        <f>IFERROR(__xludf.DUMMYFUNCTION("""COMPUTED_VALUE"""),151.99)</f>
        <v>151.99</v>
      </c>
      <c r="C6010" s="1">
        <f>IFERROR(__xludf.DUMMYFUNCTION("""COMPUTED_VALUE"""),152.89)</f>
        <v>152.89</v>
      </c>
      <c r="D6010" s="1">
        <f>IFERROR(__xludf.DUMMYFUNCTION("""COMPUTED_VALUE"""),151.31)</f>
        <v>151.31</v>
      </c>
      <c r="E6010" s="1">
        <f>IFERROR(__xludf.DUMMYFUNCTION("""COMPUTED_VALUE"""),152.83)</f>
        <v>152.83</v>
      </c>
      <c r="F6010" s="1">
        <f>IFERROR(__xludf.DUMMYFUNCTION("""COMPUTED_VALUE"""),7590516.0)</f>
        <v>7590516</v>
      </c>
    </row>
    <row r="6011">
      <c r="A6011" s="2">
        <f>IFERROR(__xludf.DUMMYFUNCTION("""COMPUTED_VALUE"""),45247.66666666667)</f>
        <v>45247.66667</v>
      </c>
      <c r="B6011" s="1">
        <f>IFERROR(__xludf.DUMMYFUNCTION("""COMPUTED_VALUE"""),152.72)</f>
        <v>152.72</v>
      </c>
      <c r="C6011" s="1">
        <f>IFERROR(__xludf.DUMMYFUNCTION("""COMPUTED_VALUE"""),152.84)</f>
        <v>152.84</v>
      </c>
      <c r="D6011" s="1">
        <f>IFERROR(__xludf.DUMMYFUNCTION("""COMPUTED_VALUE"""),150.89)</f>
        <v>150.89</v>
      </c>
      <c r="E6011" s="1">
        <f>IFERROR(__xludf.DUMMYFUNCTION("""COMPUTED_VALUE"""),151.07)</f>
        <v>151.07</v>
      </c>
      <c r="F6011" s="1">
        <f>IFERROR(__xludf.DUMMYFUNCTION("""COMPUTED_VALUE"""),8495710.0)</f>
        <v>8495710</v>
      </c>
    </row>
    <row r="6012">
      <c r="A6012" s="2">
        <f>IFERROR(__xludf.DUMMYFUNCTION("""COMPUTED_VALUE"""),45250.66666666667)</f>
        <v>45250.66667</v>
      </c>
      <c r="B6012" s="1">
        <f>IFERROR(__xludf.DUMMYFUNCTION("""COMPUTED_VALUE"""),150.21)</f>
        <v>150.21</v>
      </c>
      <c r="C6012" s="1">
        <f>IFERROR(__xludf.DUMMYFUNCTION("""COMPUTED_VALUE"""),151.03)</f>
        <v>151.03</v>
      </c>
      <c r="D6012" s="1">
        <f>IFERROR(__xludf.DUMMYFUNCTION("""COMPUTED_VALUE"""),149.66)</f>
        <v>149.66</v>
      </c>
      <c r="E6012" s="1">
        <f>IFERROR(__xludf.DUMMYFUNCTION("""COMPUTED_VALUE"""),150.27)</f>
        <v>150.27</v>
      </c>
      <c r="F6012" s="1">
        <f>IFERROR(__xludf.DUMMYFUNCTION("""COMPUTED_VALUE"""),6857809.0)</f>
        <v>6857809</v>
      </c>
    </row>
    <row r="6013">
      <c r="A6013" s="2">
        <f>IFERROR(__xludf.DUMMYFUNCTION("""COMPUTED_VALUE"""),45251.66666666667)</f>
        <v>45251.66667</v>
      </c>
      <c r="B6013" s="1">
        <f>IFERROR(__xludf.DUMMYFUNCTION("""COMPUTED_VALUE"""),149.85)</f>
        <v>149.85</v>
      </c>
      <c r="C6013" s="1">
        <f>IFERROR(__xludf.DUMMYFUNCTION("""COMPUTED_VALUE"""),150.01)</f>
        <v>150.01</v>
      </c>
      <c r="D6013" s="1">
        <f>IFERROR(__xludf.DUMMYFUNCTION("""COMPUTED_VALUE"""),148.83)</f>
        <v>148.83</v>
      </c>
      <c r="E6013" s="1">
        <f>IFERROR(__xludf.DUMMYFUNCTION("""COMPUTED_VALUE"""),149.61)</f>
        <v>149.61</v>
      </c>
      <c r="F6013" s="1">
        <f>IFERROR(__xludf.DUMMYFUNCTION("""COMPUTED_VALUE"""),7310387.0)</f>
        <v>7310387</v>
      </c>
    </row>
    <row r="6014">
      <c r="A6014" s="2">
        <f>IFERROR(__xludf.DUMMYFUNCTION("""COMPUTED_VALUE"""),45252.66666666667)</f>
        <v>45252.66667</v>
      </c>
      <c r="B6014" s="1">
        <f>IFERROR(__xludf.DUMMYFUNCTION("""COMPUTED_VALUE"""),150.1)</f>
        <v>150.1</v>
      </c>
      <c r="C6014" s="1">
        <f>IFERROR(__xludf.DUMMYFUNCTION("""COMPUTED_VALUE"""),151.48)</f>
        <v>151.48</v>
      </c>
      <c r="D6014" s="1">
        <f>IFERROR(__xludf.DUMMYFUNCTION("""COMPUTED_VALUE"""),150.1)</f>
        <v>150.1</v>
      </c>
      <c r="E6014" s="1">
        <f>IFERROR(__xludf.DUMMYFUNCTION("""COMPUTED_VALUE"""),151.02)</f>
        <v>151.02</v>
      </c>
      <c r="F6014" s="1">
        <f>IFERROR(__xludf.DUMMYFUNCTION("""COMPUTED_VALUE"""),4373087.0)</f>
        <v>4373087</v>
      </c>
    </row>
    <row r="6015">
      <c r="A6015" s="2">
        <f>IFERROR(__xludf.DUMMYFUNCTION("""COMPUTED_VALUE"""),45254.54166666667)</f>
        <v>45254.54167</v>
      </c>
      <c r="B6015" s="1">
        <f>IFERROR(__xludf.DUMMYFUNCTION("""COMPUTED_VALUE"""),151.18)</f>
        <v>151.18</v>
      </c>
      <c r="C6015" s="1">
        <f>IFERROR(__xludf.DUMMYFUNCTION("""COMPUTED_VALUE"""),151.74)</f>
        <v>151.74</v>
      </c>
      <c r="D6015" s="1">
        <f>IFERROR(__xludf.DUMMYFUNCTION("""COMPUTED_VALUE"""),151.03)</f>
        <v>151.03</v>
      </c>
      <c r="E6015" s="1">
        <f>IFERROR(__xludf.DUMMYFUNCTION("""COMPUTED_VALUE"""),151.38)</f>
        <v>151.38</v>
      </c>
      <c r="F6015" s="1">
        <f>IFERROR(__xludf.DUMMYFUNCTION("""COMPUTED_VALUE"""),2132494.0)</f>
        <v>2132494</v>
      </c>
    </row>
    <row r="6016">
      <c r="A6016" s="2">
        <f>IFERROR(__xludf.DUMMYFUNCTION("""COMPUTED_VALUE"""),45257.66666666667)</f>
        <v>45257.66667</v>
      </c>
      <c r="B6016" s="1">
        <f>IFERROR(__xludf.DUMMYFUNCTION("""COMPUTED_VALUE"""),151.52)</f>
        <v>151.52</v>
      </c>
      <c r="C6016" s="1">
        <f>IFERROR(__xludf.DUMMYFUNCTION("""COMPUTED_VALUE"""),151.64)</f>
        <v>151.64</v>
      </c>
      <c r="D6016" s="1">
        <f>IFERROR(__xludf.DUMMYFUNCTION("""COMPUTED_VALUE"""),150.74)</f>
        <v>150.74</v>
      </c>
      <c r="E6016" s="1">
        <f>IFERROR(__xludf.DUMMYFUNCTION("""COMPUTED_VALUE"""),151.24)</f>
        <v>151.24</v>
      </c>
      <c r="F6016" s="1">
        <f>IFERROR(__xludf.DUMMYFUNCTION("""COMPUTED_VALUE"""),6021326.0)</f>
        <v>6021326</v>
      </c>
    </row>
    <row r="6017">
      <c r="A6017" s="2">
        <f>IFERROR(__xludf.DUMMYFUNCTION("""COMPUTED_VALUE"""),45258.66666666667)</f>
        <v>45258.66667</v>
      </c>
      <c r="B6017" s="1">
        <f>IFERROR(__xludf.DUMMYFUNCTION("""COMPUTED_VALUE"""),151.15)</f>
        <v>151.15</v>
      </c>
      <c r="C6017" s="1">
        <f>IFERROR(__xludf.DUMMYFUNCTION("""COMPUTED_VALUE"""),152.77)</f>
        <v>152.77</v>
      </c>
      <c r="D6017" s="1">
        <f>IFERROR(__xludf.DUMMYFUNCTION("""COMPUTED_VALUE"""),151.15)</f>
        <v>151.15</v>
      </c>
      <c r="E6017" s="1">
        <f>IFERROR(__xludf.DUMMYFUNCTION("""COMPUTED_VALUE"""),152.29)</f>
        <v>152.29</v>
      </c>
      <c r="F6017" s="1">
        <f>IFERROR(__xludf.DUMMYFUNCTION("""COMPUTED_VALUE"""),6110455.0)</f>
        <v>6110455</v>
      </c>
    </row>
    <row r="6018">
      <c r="A6018" s="2">
        <f>IFERROR(__xludf.DUMMYFUNCTION("""COMPUTED_VALUE"""),45259.66666666667)</f>
        <v>45259.66667</v>
      </c>
      <c r="B6018" s="1">
        <f>IFERROR(__xludf.DUMMYFUNCTION("""COMPUTED_VALUE"""),152.29)</f>
        <v>152.29</v>
      </c>
      <c r="C6018" s="1">
        <f>IFERROR(__xludf.DUMMYFUNCTION("""COMPUTED_VALUE"""),152.45)</f>
        <v>152.45</v>
      </c>
      <c r="D6018" s="1">
        <f>IFERROR(__xludf.DUMMYFUNCTION("""COMPUTED_VALUE"""),150.99)</f>
        <v>150.99</v>
      </c>
      <c r="E6018" s="1">
        <f>IFERROR(__xludf.DUMMYFUNCTION("""COMPUTED_VALUE"""),151.13)</f>
        <v>151.13</v>
      </c>
      <c r="F6018" s="1">
        <f>IFERROR(__xludf.DUMMYFUNCTION("""COMPUTED_VALUE"""),5342709.0)</f>
        <v>5342709</v>
      </c>
    </row>
    <row r="6019">
      <c r="A6019" s="2">
        <f>IFERROR(__xludf.DUMMYFUNCTION("""COMPUTED_VALUE"""),45260.66666666667)</f>
        <v>45260.66667</v>
      </c>
      <c r="B6019" s="1">
        <f>IFERROR(__xludf.DUMMYFUNCTION("""COMPUTED_VALUE"""),150.9)</f>
        <v>150.9</v>
      </c>
      <c r="C6019" s="1">
        <f>IFERROR(__xludf.DUMMYFUNCTION("""COMPUTED_VALUE"""),153.63)</f>
        <v>153.63</v>
      </c>
      <c r="D6019" s="1">
        <f>IFERROR(__xludf.DUMMYFUNCTION("""COMPUTED_VALUE"""),150.08)</f>
        <v>150.08</v>
      </c>
      <c r="E6019" s="1">
        <f>IFERROR(__xludf.DUMMYFUNCTION("""COMPUTED_VALUE"""),153.52)</f>
        <v>153.52</v>
      </c>
      <c r="F6019" s="1">
        <f>IFERROR(__xludf.DUMMYFUNCTION("""COMPUTED_VALUE"""),9771509.0)</f>
        <v>9771509</v>
      </c>
    </row>
    <row r="6020">
      <c r="A6020" s="2">
        <f>IFERROR(__xludf.DUMMYFUNCTION("""COMPUTED_VALUE"""),45261.66666666667)</f>
        <v>45261.66667</v>
      </c>
      <c r="B6020" s="1">
        <f>IFERROR(__xludf.DUMMYFUNCTION("""COMPUTED_VALUE"""),153.33)</f>
        <v>153.33</v>
      </c>
      <c r="C6020" s="1">
        <f>IFERROR(__xludf.DUMMYFUNCTION("""COMPUTED_VALUE"""),153.49)</f>
        <v>153.49</v>
      </c>
      <c r="D6020" s="1">
        <f>IFERROR(__xludf.DUMMYFUNCTION("""COMPUTED_VALUE"""),152.23)</f>
        <v>152.23</v>
      </c>
      <c r="E6020" s="1">
        <f>IFERROR(__xludf.DUMMYFUNCTION("""COMPUTED_VALUE"""),152.66)</f>
        <v>152.66</v>
      </c>
      <c r="F6020" s="1">
        <f>IFERROR(__xludf.DUMMYFUNCTION("""COMPUTED_VALUE"""),5685434.0)</f>
        <v>5685434</v>
      </c>
    </row>
    <row r="6021">
      <c r="A6021" s="2">
        <f>IFERROR(__xludf.DUMMYFUNCTION("""COMPUTED_VALUE"""),45264.66666666667)</f>
        <v>45264.66667</v>
      </c>
      <c r="B6021" s="1">
        <f>IFERROR(__xludf.DUMMYFUNCTION("""COMPUTED_VALUE"""),151.77)</f>
        <v>151.77</v>
      </c>
      <c r="C6021" s="1">
        <f>IFERROR(__xludf.DUMMYFUNCTION("""COMPUTED_VALUE"""),152.53)</f>
        <v>152.53</v>
      </c>
      <c r="D6021" s="1">
        <f>IFERROR(__xludf.DUMMYFUNCTION("""COMPUTED_VALUE"""),151.66)</f>
        <v>151.66</v>
      </c>
      <c r="E6021" s="1">
        <f>IFERROR(__xludf.DUMMYFUNCTION("""COMPUTED_VALUE"""),152.06)</f>
        <v>152.06</v>
      </c>
      <c r="F6021" s="1">
        <f>IFERROR(__xludf.DUMMYFUNCTION("""COMPUTED_VALUE"""),6578318.0)</f>
        <v>6578318</v>
      </c>
    </row>
    <row r="6022">
      <c r="A6022" s="2">
        <f>IFERROR(__xludf.DUMMYFUNCTION("""COMPUTED_VALUE"""),45265.66666666667)</f>
        <v>45265.66667</v>
      </c>
      <c r="B6022" s="1">
        <f>IFERROR(__xludf.DUMMYFUNCTION("""COMPUTED_VALUE"""),152.14)</f>
        <v>152.14</v>
      </c>
      <c r="C6022" s="1">
        <f>IFERROR(__xludf.DUMMYFUNCTION("""COMPUTED_VALUE"""),152.61)</f>
        <v>152.61</v>
      </c>
      <c r="D6022" s="1">
        <f>IFERROR(__xludf.DUMMYFUNCTION("""COMPUTED_VALUE"""),146.18)</f>
        <v>146.18</v>
      </c>
      <c r="E6022" s="1">
        <f>IFERROR(__xludf.DUMMYFUNCTION("""COMPUTED_VALUE"""),146.76)</f>
        <v>146.76</v>
      </c>
      <c r="F6022" s="1">
        <f>IFERROR(__xludf.DUMMYFUNCTION("""COMPUTED_VALUE"""),1.1895824E7)</f>
        <v>11895824</v>
      </c>
    </row>
    <row r="6023">
      <c r="A6023" s="2">
        <f>IFERROR(__xludf.DUMMYFUNCTION("""COMPUTED_VALUE"""),45266.66666666667)</f>
        <v>45266.66667</v>
      </c>
      <c r="B6023" s="1">
        <f>IFERROR(__xludf.DUMMYFUNCTION("""COMPUTED_VALUE"""),147.01)</f>
        <v>147.01</v>
      </c>
      <c r="C6023" s="1">
        <f>IFERROR(__xludf.DUMMYFUNCTION("""COMPUTED_VALUE"""),147.16)</f>
        <v>147.16</v>
      </c>
      <c r="D6023" s="1">
        <f>IFERROR(__xludf.DUMMYFUNCTION("""COMPUTED_VALUE"""),145.64)</f>
        <v>145.64</v>
      </c>
      <c r="E6023" s="1">
        <f>IFERROR(__xludf.DUMMYFUNCTION("""COMPUTED_VALUE"""),146.65)</f>
        <v>146.65</v>
      </c>
      <c r="F6023" s="1">
        <f>IFERROR(__xludf.DUMMYFUNCTION("""COMPUTED_VALUE"""),7610079.0)</f>
        <v>7610079</v>
      </c>
    </row>
    <row r="6024">
      <c r="A6024" s="2">
        <f>IFERROR(__xludf.DUMMYFUNCTION("""COMPUTED_VALUE"""),45267.66666666667)</f>
        <v>45267.66667</v>
      </c>
      <c r="B6024" s="1">
        <f>IFERROR(__xludf.DUMMYFUNCTION("""COMPUTED_VALUE"""),146.57)</f>
        <v>146.57</v>
      </c>
      <c r="C6024" s="1">
        <f>IFERROR(__xludf.DUMMYFUNCTION("""COMPUTED_VALUE"""),147.1)</f>
        <v>147.1</v>
      </c>
      <c r="D6024" s="1">
        <f>IFERROR(__xludf.DUMMYFUNCTION("""COMPUTED_VALUE"""),146.02)</f>
        <v>146.02</v>
      </c>
      <c r="E6024" s="1">
        <f>IFERROR(__xludf.DUMMYFUNCTION("""COMPUTED_VALUE"""),146.5)</f>
        <v>146.5</v>
      </c>
      <c r="F6024" s="1">
        <f>IFERROR(__xludf.DUMMYFUNCTION("""COMPUTED_VALUE"""),6119624.0)</f>
        <v>6119624</v>
      </c>
    </row>
    <row r="6025">
      <c r="A6025" s="2">
        <f>IFERROR(__xludf.DUMMYFUNCTION("""COMPUTED_VALUE"""),45268.66666666667)</f>
        <v>45268.66667</v>
      </c>
      <c r="B6025" s="1">
        <f>IFERROR(__xludf.DUMMYFUNCTION("""COMPUTED_VALUE"""),145.92)</f>
        <v>145.92</v>
      </c>
      <c r="C6025" s="1">
        <f>IFERROR(__xludf.DUMMYFUNCTION("""COMPUTED_VALUE"""),146.24)</f>
        <v>146.24</v>
      </c>
      <c r="D6025" s="1">
        <f>IFERROR(__xludf.DUMMYFUNCTION("""COMPUTED_VALUE"""),144.52)</f>
        <v>144.52</v>
      </c>
      <c r="E6025" s="1">
        <f>IFERROR(__xludf.DUMMYFUNCTION("""COMPUTED_VALUE"""),145.15)</f>
        <v>145.15</v>
      </c>
      <c r="F6025" s="1">
        <f>IFERROR(__xludf.DUMMYFUNCTION("""COMPUTED_VALUE"""),6385269.0)</f>
        <v>6385269</v>
      </c>
    </row>
    <row r="6026">
      <c r="A6026" s="2">
        <f>IFERROR(__xludf.DUMMYFUNCTION("""COMPUTED_VALUE"""),45271.66666666667)</f>
        <v>45271.66667</v>
      </c>
      <c r="B6026" s="1">
        <f>IFERROR(__xludf.DUMMYFUNCTION("""COMPUTED_VALUE"""),144.8)</f>
        <v>144.8</v>
      </c>
      <c r="C6026" s="1">
        <f>IFERROR(__xludf.DUMMYFUNCTION("""COMPUTED_VALUE"""),145.87)</f>
        <v>145.87</v>
      </c>
      <c r="D6026" s="1">
        <f>IFERROR(__xludf.DUMMYFUNCTION("""COMPUTED_VALUE"""),144.65)</f>
        <v>144.65</v>
      </c>
      <c r="E6026" s="1">
        <f>IFERROR(__xludf.DUMMYFUNCTION("""COMPUTED_VALUE"""),145.82)</f>
        <v>145.82</v>
      </c>
      <c r="F6026" s="1">
        <f>IFERROR(__xludf.DUMMYFUNCTION("""COMPUTED_VALUE"""),8471213.0)</f>
        <v>8471213</v>
      </c>
    </row>
    <row r="6027">
      <c r="A6027" s="2">
        <f>IFERROR(__xludf.DUMMYFUNCTION("""COMPUTED_VALUE"""),45272.66666666667)</f>
        <v>45272.66667</v>
      </c>
      <c r="B6027" s="1">
        <f>IFERROR(__xludf.DUMMYFUNCTION("""COMPUTED_VALUE"""),145.86)</f>
        <v>145.86</v>
      </c>
      <c r="C6027" s="1">
        <f>IFERROR(__xludf.DUMMYFUNCTION("""COMPUTED_VALUE"""),146.23)</f>
        <v>146.23</v>
      </c>
      <c r="D6027" s="1">
        <f>IFERROR(__xludf.DUMMYFUNCTION("""COMPUTED_VALUE"""),145.08)</f>
        <v>145.08</v>
      </c>
      <c r="E6027" s="1">
        <f>IFERROR(__xludf.DUMMYFUNCTION("""COMPUTED_VALUE"""),145.94)</f>
        <v>145.94</v>
      </c>
      <c r="F6027" s="1">
        <f>IFERROR(__xludf.DUMMYFUNCTION("""COMPUTED_VALUE"""),6069202.0)</f>
        <v>6069202</v>
      </c>
    </row>
    <row r="6028">
      <c r="A6028" s="2">
        <f>IFERROR(__xludf.DUMMYFUNCTION("""COMPUTED_VALUE"""),45273.66666666667)</f>
        <v>45273.66667</v>
      </c>
      <c r="B6028" s="1">
        <f>IFERROR(__xludf.DUMMYFUNCTION("""COMPUTED_VALUE"""),145.86)</f>
        <v>145.86</v>
      </c>
      <c r="C6028" s="1">
        <f>IFERROR(__xludf.DUMMYFUNCTION("""COMPUTED_VALUE"""),148.65)</f>
        <v>148.65</v>
      </c>
      <c r="D6028" s="1">
        <f>IFERROR(__xludf.DUMMYFUNCTION("""COMPUTED_VALUE"""),145.45)</f>
        <v>145.45</v>
      </c>
      <c r="E6028" s="1">
        <f>IFERROR(__xludf.DUMMYFUNCTION("""COMPUTED_VALUE"""),148.58)</f>
        <v>148.58</v>
      </c>
      <c r="F6028" s="1">
        <f>IFERROR(__xludf.DUMMYFUNCTION("""COMPUTED_VALUE"""),9055532.0)</f>
        <v>9055532</v>
      </c>
    </row>
    <row r="6029">
      <c r="A6029" s="2">
        <f>IFERROR(__xludf.DUMMYFUNCTION("""COMPUTED_VALUE"""),45274.66666666667)</f>
        <v>45274.66667</v>
      </c>
      <c r="B6029" s="1">
        <f>IFERROR(__xludf.DUMMYFUNCTION("""COMPUTED_VALUE"""),148.46)</f>
        <v>148.46</v>
      </c>
      <c r="C6029" s="1">
        <f>IFERROR(__xludf.DUMMYFUNCTION("""COMPUTED_VALUE"""),148.55)</f>
        <v>148.55</v>
      </c>
      <c r="D6029" s="1">
        <f>IFERROR(__xludf.DUMMYFUNCTION("""COMPUTED_VALUE"""),144.38)</f>
        <v>144.38</v>
      </c>
      <c r="E6029" s="1">
        <f>IFERROR(__xludf.DUMMYFUNCTION("""COMPUTED_VALUE"""),144.66)</f>
        <v>144.66</v>
      </c>
      <c r="F6029" s="1">
        <f>IFERROR(__xludf.DUMMYFUNCTION("""COMPUTED_VALUE"""),1.0565171E7)</f>
        <v>10565171</v>
      </c>
    </row>
    <row r="6030">
      <c r="A6030" s="2">
        <f>IFERROR(__xludf.DUMMYFUNCTION("""COMPUTED_VALUE"""),45275.66666666667)</f>
        <v>45275.66667</v>
      </c>
      <c r="B6030" s="1">
        <f>IFERROR(__xludf.DUMMYFUNCTION("""COMPUTED_VALUE"""),143.18)</f>
        <v>143.18</v>
      </c>
      <c r="C6030" s="1">
        <f>IFERROR(__xludf.DUMMYFUNCTION("""COMPUTED_VALUE"""),144.25)</f>
        <v>144.25</v>
      </c>
      <c r="D6030" s="1">
        <f>IFERROR(__xludf.DUMMYFUNCTION("""COMPUTED_VALUE"""),142.5)</f>
        <v>142.5</v>
      </c>
      <c r="E6030" s="1">
        <f>IFERROR(__xludf.DUMMYFUNCTION("""COMPUTED_VALUE"""),143.96)</f>
        <v>143.96</v>
      </c>
      <c r="F6030" s="1">
        <f>IFERROR(__xludf.DUMMYFUNCTION("""COMPUTED_VALUE"""),1.4549957E7)</f>
        <v>14549957</v>
      </c>
    </row>
    <row r="6031">
      <c r="A6031" s="2">
        <f>IFERROR(__xludf.DUMMYFUNCTION("""COMPUTED_VALUE"""),45278.66666666667)</f>
        <v>45278.66667</v>
      </c>
      <c r="B6031" s="1">
        <f>IFERROR(__xludf.DUMMYFUNCTION("""COMPUTED_VALUE"""),144.17)</f>
        <v>144.17</v>
      </c>
      <c r="C6031" s="1">
        <f>IFERROR(__xludf.DUMMYFUNCTION("""COMPUTED_VALUE"""),147.49)</f>
        <v>147.49</v>
      </c>
      <c r="D6031" s="1">
        <f>IFERROR(__xludf.DUMMYFUNCTION("""COMPUTED_VALUE"""),144.15)</f>
        <v>144.15</v>
      </c>
      <c r="E6031" s="1">
        <f>IFERROR(__xludf.DUMMYFUNCTION("""COMPUTED_VALUE"""),146.17)</f>
        <v>146.17</v>
      </c>
      <c r="F6031" s="1">
        <f>IFERROR(__xludf.DUMMYFUNCTION("""COMPUTED_VALUE"""),8421950.0)</f>
        <v>8421950</v>
      </c>
    </row>
    <row r="6032">
      <c r="A6032" s="2">
        <f>IFERROR(__xludf.DUMMYFUNCTION("""COMPUTED_VALUE"""),45279.66666666667)</f>
        <v>45279.66667</v>
      </c>
      <c r="B6032" s="1">
        <f>IFERROR(__xludf.DUMMYFUNCTION("""COMPUTED_VALUE"""),145.67)</f>
        <v>145.67</v>
      </c>
      <c r="C6032" s="1">
        <f>IFERROR(__xludf.DUMMYFUNCTION("""COMPUTED_VALUE"""),146.34)</f>
        <v>146.34</v>
      </c>
      <c r="D6032" s="1">
        <f>IFERROR(__xludf.DUMMYFUNCTION("""COMPUTED_VALUE"""),145.39)</f>
        <v>145.39</v>
      </c>
      <c r="E6032" s="1">
        <f>IFERROR(__xludf.DUMMYFUNCTION("""COMPUTED_VALUE"""),146.17)</f>
        <v>146.17</v>
      </c>
      <c r="F6032" s="1">
        <f>IFERROR(__xludf.DUMMYFUNCTION("""COMPUTED_VALUE"""),5233563.0)</f>
        <v>5233563</v>
      </c>
    </row>
    <row r="6033">
      <c r="A6033" s="2">
        <f>IFERROR(__xludf.DUMMYFUNCTION("""COMPUTED_VALUE"""),45280.66666666667)</f>
        <v>45280.66667</v>
      </c>
      <c r="B6033" s="1">
        <f>IFERROR(__xludf.DUMMYFUNCTION("""COMPUTED_VALUE"""),145.57)</f>
        <v>145.57</v>
      </c>
      <c r="C6033" s="1">
        <f>IFERROR(__xludf.DUMMYFUNCTION("""COMPUTED_VALUE"""),146.07)</f>
        <v>146.07</v>
      </c>
      <c r="D6033" s="1">
        <f>IFERROR(__xludf.DUMMYFUNCTION("""COMPUTED_VALUE"""),143.84)</f>
        <v>143.84</v>
      </c>
      <c r="E6033" s="1">
        <f>IFERROR(__xludf.DUMMYFUNCTION("""COMPUTED_VALUE"""),143.91)</f>
        <v>143.91</v>
      </c>
      <c r="F6033" s="1">
        <f>IFERROR(__xludf.DUMMYFUNCTION("""COMPUTED_VALUE"""),7663841.0)</f>
        <v>7663841</v>
      </c>
    </row>
    <row r="6034">
      <c r="A6034" s="2">
        <f>IFERROR(__xludf.DUMMYFUNCTION("""COMPUTED_VALUE"""),45281.66666666667)</f>
        <v>45281.66667</v>
      </c>
      <c r="B6034" s="1">
        <f>IFERROR(__xludf.DUMMYFUNCTION("""COMPUTED_VALUE"""),144.52)</f>
        <v>144.52</v>
      </c>
      <c r="C6034" s="1">
        <f>IFERROR(__xludf.DUMMYFUNCTION("""COMPUTED_VALUE"""),144.79)</f>
        <v>144.79</v>
      </c>
      <c r="D6034" s="1">
        <f>IFERROR(__xludf.DUMMYFUNCTION("""COMPUTED_VALUE"""),143.13)</f>
        <v>143.13</v>
      </c>
      <c r="E6034" s="1">
        <f>IFERROR(__xludf.DUMMYFUNCTION("""COMPUTED_VALUE"""),144.26)</f>
        <v>144.26</v>
      </c>
      <c r="F6034" s="1">
        <f>IFERROR(__xludf.DUMMYFUNCTION("""COMPUTED_VALUE"""),6104714.0)</f>
        <v>6104714</v>
      </c>
    </row>
    <row r="6035">
      <c r="A6035" s="2">
        <f>IFERROR(__xludf.DUMMYFUNCTION("""COMPUTED_VALUE"""),45282.66666666667)</f>
        <v>45282.66667</v>
      </c>
      <c r="B6035" s="1">
        <f>IFERROR(__xludf.DUMMYFUNCTION("""COMPUTED_VALUE"""),144.5)</f>
        <v>144.5</v>
      </c>
      <c r="C6035" s="1">
        <f>IFERROR(__xludf.DUMMYFUNCTION("""COMPUTED_VALUE"""),145.63)</f>
        <v>145.63</v>
      </c>
      <c r="D6035" s="1">
        <f>IFERROR(__xludf.DUMMYFUNCTION("""COMPUTED_VALUE"""),144.29)</f>
        <v>144.29</v>
      </c>
      <c r="E6035" s="1">
        <f>IFERROR(__xludf.DUMMYFUNCTION("""COMPUTED_VALUE"""),145.28)</f>
        <v>145.28</v>
      </c>
      <c r="F6035" s="1">
        <f>IFERROR(__xludf.DUMMYFUNCTION("""COMPUTED_VALUE"""),4413842.0)</f>
        <v>4413842</v>
      </c>
    </row>
    <row r="6036">
      <c r="A6036" s="2">
        <f>IFERROR(__xludf.DUMMYFUNCTION("""COMPUTED_VALUE"""),45286.66666666667)</f>
        <v>45286.66667</v>
      </c>
      <c r="B6036" s="1">
        <f>IFERROR(__xludf.DUMMYFUNCTION("""COMPUTED_VALUE"""),145.09)</f>
        <v>145.09</v>
      </c>
      <c r="C6036" s="1">
        <f>IFERROR(__xludf.DUMMYFUNCTION("""COMPUTED_VALUE"""),146.17)</f>
        <v>146.17</v>
      </c>
      <c r="D6036" s="1">
        <f>IFERROR(__xludf.DUMMYFUNCTION("""COMPUTED_VALUE"""),144.97)</f>
        <v>144.97</v>
      </c>
      <c r="E6036" s="1">
        <f>IFERROR(__xludf.DUMMYFUNCTION("""COMPUTED_VALUE"""),145.94)</f>
        <v>145.94</v>
      </c>
      <c r="F6036" s="1">
        <f>IFERROR(__xludf.DUMMYFUNCTION("""COMPUTED_VALUE"""),3634885.0)</f>
        <v>3634885</v>
      </c>
    </row>
    <row r="6037">
      <c r="A6037" s="2">
        <f>IFERROR(__xludf.DUMMYFUNCTION("""COMPUTED_VALUE"""),45287.66666666667)</f>
        <v>45287.66667</v>
      </c>
      <c r="B6037" s="1">
        <f>IFERROR(__xludf.DUMMYFUNCTION("""COMPUTED_VALUE"""),145.65)</f>
        <v>145.65</v>
      </c>
      <c r="C6037" s="1">
        <f>IFERROR(__xludf.DUMMYFUNCTION("""COMPUTED_VALUE"""),146.31)</f>
        <v>146.31</v>
      </c>
      <c r="D6037" s="1">
        <f>IFERROR(__xludf.DUMMYFUNCTION("""COMPUTED_VALUE"""),145.36)</f>
        <v>145.36</v>
      </c>
      <c r="E6037" s="1">
        <f>IFERROR(__xludf.DUMMYFUNCTION("""COMPUTED_VALUE"""),146.06)</f>
        <v>146.06</v>
      </c>
      <c r="F6037" s="1">
        <f>IFERROR(__xludf.DUMMYFUNCTION("""COMPUTED_VALUE"""),4569442.0)</f>
        <v>4569442</v>
      </c>
    </row>
    <row r="6038">
      <c r="A6038" s="2">
        <f>IFERROR(__xludf.DUMMYFUNCTION("""COMPUTED_VALUE"""),45288.66666666667)</f>
        <v>45288.66667</v>
      </c>
      <c r="B6038" s="1">
        <f>IFERROR(__xludf.DUMMYFUNCTION("""COMPUTED_VALUE"""),146.0)</f>
        <v>146</v>
      </c>
      <c r="C6038" s="1">
        <f>IFERROR(__xludf.DUMMYFUNCTION("""COMPUTED_VALUE"""),146.01)</f>
        <v>146.01</v>
      </c>
      <c r="D6038" s="1">
        <f>IFERROR(__xludf.DUMMYFUNCTION("""COMPUTED_VALUE"""),145.04)</f>
        <v>145.04</v>
      </c>
      <c r="E6038" s="1">
        <f>IFERROR(__xludf.DUMMYFUNCTION("""COMPUTED_VALUE"""),145.73)</f>
        <v>145.73</v>
      </c>
      <c r="F6038" s="1">
        <f>IFERROR(__xludf.DUMMYFUNCTION("""COMPUTED_VALUE"""),5023033.0)</f>
        <v>5023033</v>
      </c>
    </row>
    <row r="6039">
      <c r="A6039" s="2">
        <f>IFERROR(__xludf.DUMMYFUNCTION("""COMPUTED_VALUE"""),45289.66666666667)</f>
        <v>45289.66667</v>
      </c>
      <c r="B6039" s="1">
        <f>IFERROR(__xludf.DUMMYFUNCTION("""COMPUTED_VALUE"""),146.0)</f>
        <v>146</v>
      </c>
      <c r="C6039" s="1">
        <f>IFERROR(__xludf.DUMMYFUNCTION("""COMPUTED_VALUE"""),146.96)</f>
        <v>146.96</v>
      </c>
      <c r="D6039" s="1">
        <f>IFERROR(__xludf.DUMMYFUNCTION("""COMPUTED_VALUE"""),145.73)</f>
        <v>145.73</v>
      </c>
      <c r="E6039" s="1">
        <f>IFERROR(__xludf.DUMMYFUNCTION("""COMPUTED_VALUE"""),146.54)</f>
        <v>146.54</v>
      </c>
      <c r="F6039" s="1">
        <f>IFERROR(__xludf.DUMMYFUNCTION("""COMPUTED_VALUE"""),5300991.0)</f>
        <v>5300991</v>
      </c>
    </row>
    <row r="6040">
      <c r="A6040" s="2">
        <f>IFERROR(__xludf.DUMMYFUNCTION("""COMPUTED_VALUE"""),45293.66666666667)</f>
        <v>45293.66667</v>
      </c>
      <c r="B6040" s="1">
        <f>IFERROR(__xludf.DUMMYFUNCTION("""COMPUTED_VALUE"""),146.36)</f>
        <v>146.36</v>
      </c>
      <c r="C6040" s="1">
        <f>IFERROR(__xludf.DUMMYFUNCTION("""COMPUTED_VALUE"""),149.41)</f>
        <v>149.41</v>
      </c>
      <c r="D6040" s="1">
        <f>IFERROR(__xludf.DUMMYFUNCTION("""COMPUTED_VALUE"""),146.31)</f>
        <v>146.31</v>
      </c>
      <c r="E6040" s="1">
        <f>IFERROR(__xludf.DUMMYFUNCTION("""COMPUTED_VALUE"""),148.74)</f>
        <v>148.74</v>
      </c>
      <c r="F6040" s="1">
        <f>IFERROR(__xludf.DUMMYFUNCTION("""COMPUTED_VALUE"""),7238388.0)</f>
        <v>7238388</v>
      </c>
    </row>
    <row r="6041">
      <c r="A6041" s="2">
        <f>IFERROR(__xludf.DUMMYFUNCTION("""COMPUTED_VALUE"""),45294.66666666667)</f>
        <v>45294.66667</v>
      </c>
      <c r="B6041" s="1">
        <f>IFERROR(__xludf.DUMMYFUNCTION("""COMPUTED_VALUE"""),148.34)</f>
        <v>148.34</v>
      </c>
      <c r="C6041" s="1">
        <f>IFERROR(__xludf.DUMMYFUNCTION("""COMPUTED_VALUE"""),149.2)</f>
        <v>149.2</v>
      </c>
      <c r="D6041" s="1">
        <f>IFERROR(__xludf.DUMMYFUNCTION("""COMPUTED_VALUE"""),147.18)</f>
        <v>147.18</v>
      </c>
      <c r="E6041" s="1">
        <f>IFERROR(__xludf.DUMMYFUNCTION("""COMPUTED_VALUE"""),147.84)</f>
        <v>147.84</v>
      </c>
      <c r="F6041" s="1">
        <f>IFERROR(__xludf.DUMMYFUNCTION("""COMPUTED_VALUE"""),7697534.0)</f>
        <v>7697534</v>
      </c>
    </row>
    <row r="6042">
      <c r="A6042" s="2">
        <f>IFERROR(__xludf.DUMMYFUNCTION("""COMPUTED_VALUE"""),45295.66666666667)</f>
        <v>45295.66667</v>
      </c>
      <c r="B6042" s="1">
        <f>IFERROR(__xludf.DUMMYFUNCTION("""COMPUTED_VALUE"""),148.05)</f>
        <v>148.05</v>
      </c>
      <c r="C6042" s="1">
        <f>IFERROR(__xludf.DUMMYFUNCTION("""COMPUTED_VALUE"""),149.27)</f>
        <v>149.27</v>
      </c>
      <c r="D6042" s="1">
        <f>IFERROR(__xludf.DUMMYFUNCTION("""COMPUTED_VALUE"""),147.77)</f>
        <v>147.77</v>
      </c>
      <c r="E6042" s="1">
        <f>IFERROR(__xludf.DUMMYFUNCTION("""COMPUTED_VALUE"""),148.65)</f>
        <v>148.65</v>
      </c>
      <c r="F6042" s="1">
        <f>IFERROR(__xludf.DUMMYFUNCTION("""COMPUTED_VALUE"""),7067618.0)</f>
        <v>7067618</v>
      </c>
    </row>
    <row r="6043">
      <c r="A6043" s="2">
        <f>IFERROR(__xludf.DUMMYFUNCTION("""COMPUTED_VALUE"""),45296.66666666667)</f>
        <v>45296.66667</v>
      </c>
      <c r="B6043" s="1">
        <f>IFERROR(__xludf.DUMMYFUNCTION("""COMPUTED_VALUE"""),148.72)</f>
        <v>148.72</v>
      </c>
      <c r="C6043" s="1">
        <f>IFERROR(__xludf.DUMMYFUNCTION("""COMPUTED_VALUE"""),148.87)</f>
        <v>148.87</v>
      </c>
      <c r="D6043" s="1">
        <f>IFERROR(__xludf.DUMMYFUNCTION("""COMPUTED_VALUE"""),146.55)</f>
        <v>146.55</v>
      </c>
      <c r="E6043" s="1">
        <f>IFERROR(__xludf.DUMMYFUNCTION("""COMPUTED_VALUE"""),147.42)</f>
        <v>147.42</v>
      </c>
      <c r="F6043" s="1">
        <f>IFERROR(__xludf.DUMMYFUNCTION("""COMPUTED_VALUE"""),5294358.0)</f>
        <v>5294358</v>
      </c>
    </row>
    <row r="6044">
      <c r="A6044" s="2">
        <f>IFERROR(__xludf.DUMMYFUNCTION("""COMPUTED_VALUE"""),45299.66666666667)</f>
        <v>45299.66667</v>
      </c>
      <c r="B6044" s="1">
        <f>IFERROR(__xludf.DUMMYFUNCTION("""COMPUTED_VALUE"""),147.91)</f>
        <v>147.91</v>
      </c>
      <c r="C6044" s="1">
        <f>IFERROR(__xludf.DUMMYFUNCTION("""COMPUTED_VALUE"""),148.92)</f>
        <v>148.92</v>
      </c>
      <c r="D6044" s="1">
        <f>IFERROR(__xludf.DUMMYFUNCTION("""COMPUTED_VALUE"""),147.65)</f>
        <v>147.65</v>
      </c>
      <c r="E6044" s="1">
        <f>IFERROR(__xludf.DUMMYFUNCTION("""COMPUTED_VALUE"""),148.69)</f>
        <v>148.69</v>
      </c>
      <c r="F6044" s="1">
        <f>IFERROR(__xludf.DUMMYFUNCTION("""COMPUTED_VALUE"""),8255307.0)</f>
        <v>8255307</v>
      </c>
    </row>
    <row r="6045">
      <c r="A6045" s="2">
        <f>IFERROR(__xludf.DUMMYFUNCTION("""COMPUTED_VALUE"""),45300.66666666667)</f>
        <v>45300.66667</v>
      </c>
      <c r="B6045" s="1">
        <f>IFERROR(__xludf.DUMMYFUNCTION("""COMPUTED_VALUE"""),148.57)</f>
        <v>148.57</v>
      </c>
      <c r="C6045" s="1">
        <f>IFERROR(__xludf.DUMMYFUNCTION("""COMPUTED_VALUE"""),149.4)</f>
        <v>149.4</v>
      </c>
      <c r="D6045" s="1">
        <f>IFERROR(__xludf.DUMMYFUNCTION("""COMPUTED_VALUE"""),148.05)</f>
        <v>148.05</v>
      </c>
      <c r="E6045" s="1">
        <f>IFERROR(__xludf.DUMMYFUNCTION("""COMPUTED_VALUE"""),149.3)</f>
        <v>149.3</v>
      </c>
      <c r="F6045" s="1">
        <f>IFERROR(__xludf.DUMMYFUNCTION("""COMPUTED_VALUE"""),9786934.0)</f>
        <v>9786934</v>
      </c>
    </row>
    <row r="6046">
      <c r="A6046" s="2">
        <f>IFERROR(__xludf.DUMMYFUNCTION("""COMPUTED_VALUE"""),45301.66666666667)</f>
        <v>45301.66667</v>
      </c>
      <c r="B6046" s="1">
        <f>IFERROR(__xludf.DUMMYFUNCTION("""COMPUTED_VALUE"""),149.35)</f>
        <v>149.35</v>
      </c>
      <c r="C6046" s="1">
        <f>IFERROR(__xludf.DUMMYFUNCTION("""COMPUTED_VALUE"""),150.0)</f>
        <v>150</v>
      </c>
      <c r="D6046" s="1">
        <f>IFERROR(__xludf.DUMMYFUNCTION("""COMPUTED_VALUE"""),149.26)</f>
        <v>149.26</v>
      </c>
      <c r="E6046" s="1">
        <f>IFERROR(__xludf.DUMMYFUNCTION("""COMPUTED_VALUE"""),149.94)</f>
        <v>149.94</v>
      </c>
      <c r="F6046" s="1">
        <f>IFERROR(__xludf.DUMMYFUNCTION("""COMPUTED_VALUE"""),8591116.0)</f>
        <v>8591116</v>
      </c>
    </row>
    <row r="6047">
      <c r="A6047" s="2">
        <f>IFERROR(__xludf.DUMMYFUNCTION("""COMPUTED_VALUE"""),45302.66666666667)</f>
        <v>45302.66667</v>
      </c>
      <c r="B6047" s="1">
        <f>IFERROR(__xludf.DUMMYFUNCTION("""COMPUTED_VALUE"""),150.05)</f>
        <v>150.05</v>
      </c>
      <c r="C6047" s="1">
        <f>IFERROR(__xludf.DUMMYFUNCTION("""COMPUTED_VALUE"""),150.8)</f>
        <v>150.8</v>
      </c>
      <c r="D6047" s="1">
        <f>IFERROR(__xludf.DUMMYFUNCTION("""COMPUTED_VALUE"""),149.29)</f>
        <v>149.29</v>
      </c>
      <c r="E6047" s="1">
        <f>IFERROR(__xludf.DUMMYFUNCTION("""COMPUTED_VALUE"""),150.51)</f>
        <v>150.51</v>
      </c>
      <c r="F6047" s="1">
        <f>IFERROR(__xludf.DUMMYFUNCTION("""COMPUTED_VALUE"""),6659447.0)</f>
        <v>6659447</v>
      </c>
    </row>
    <row r="6048">
      <c r="A6048" s="2">
        <f>IFERROR(__xludf.DUMMYFUNCTION("""COMPUTED_VALUE"""),45303.66666666667)</f>
        <v>45303.66667</v>
      </c>
      <c r="B6048" s="1">
        <f>IFERROR(__xludf.DUMMYFUNCTION("""COMPUTED_VALUE"""),150.95)</f>
        <v>150.95</v>
      </c>
      <c r="C6048" s="1">
        <f>IFERROR(__xludf.DUMMYFUNCTION("""COMPUTED_VALUE"""),151.3)</f>
        <v>151.3</v>
      </c>
      <c r="D6048" s="1">
        <f>IFERROR(__xludf.DUMMYFUNCTION("""COMPUTED_VALUE"""),149.89)</f>
        <v>149.89</v>
      </c>
      <c r="E6048" s="1">
        <f>IFERROR(__xludf.DUMMYFUNCTION("""COMPUTED_VALUE"""),150.6)</f>
        <v>150.6</v>
      </c>
      <c r="F6048" s="1">
        <f>IFERROR(__xludf.DUMMYFUNCTION("""COMPUTED_VALUE"""),5684834.0)</f>
        <v>5684834</v>
      </c>
    </row>
    <row r="6049">
      <c r="A6049" s="2">
        <f>IFERROR(__xludf.DUMMYFUNCTION("""COMPUTED_VALUE"""),45307.66666666667)</f>
        <v>45307.66667</v>
      </c>
      <c r="B6049" s="1">
        <f>IFERROR(__xludf.DUMMYFUNCTION("""COMPUTED_VALUE"""),150.15)</f>
        <v>150.15</v>
      </c>
      <c r="C6049" s="1">
        <f>IFERROR(__xludf.DUMMYFUNCTION("""COMPUTED_VALUE"""),151.5)</f>
        <v>151.5</v>
      </c>
      <c r="D6049" s="1">
        <f>IFERROR(__xludf.DUMMYFUNCTION("""COMPUTED_VALUE"""),148.88)</f>
        <v>148.88</v>
      </c>
      <c r="E6049" s="1">
        <f>IFERROR(__xludf.DUMMYFUNCTION("""COMPUTED_VALUE"""),149.79)</f>
        <v>149.79</v>
      </c>
      <c r="F6049" s="1">
        <f>IFERROR(__xludf.DUMMYFUNCTION("""COMPUTED_VALUE"""),8120101.0)</f>
        <v>8120101</v>
      </c>
    </row>
    <row r="6050">
      <c r="A6050" s="2">
        <f>IFERROR(__xludf.DUMMYFUNCTION("""COMPUTED_VALUE"""),45308.66666666667)</f>
        <v>45308.66667</v>
      </c>
      <c r="B6050" s="1">
        <f>IFERROR(__xludf.DUMMYFUNCTION("""COMPUTED_VALUE"""),149.16)</f>
        <v>149.16</v>
      </c>
      <c r="C6050" s="1">
        <f>IFERROR(__xludf.DUMMYFUNCTION("""COMPUTED_VALUE"""),150.6)</f>
        <v>150.6</v>
      </c>
      <c r="D6050" s="1">
        <f>IFERROR(__xludf.DUMMYFUNCTION("""COMPUTED_VALUE"""),149.01)</f>
        <v>149.01</v>
      </c>
      <c r="E6050" s="1">
        <f>IFERROR(__xludf.DUMMYFUNCTION("""COMPUTED_VALUE"""),149.94)</f>
        <v>149.94</v>
      </c>
      <c r="F6050" s="1">
        <f>IFERROR(__xludf.DUMMYFUNCTION("""COMPUTED_VALUE"""),6541439.0)</f>
        <v>6541439</v>
      </c>
    </row>
    <row r="6051">
      <c r="A6051" s="2">
        <f>IFERROR(__xludf.DUMMYFUNCTION("""COMPUTED_VALUE"""),45309.66666666667)</f>
        <v>45309.66667</v>
      </c>
      <c r="B6051" s="1">
        <f>IFERROR(__xludf.DUMMYFUNCTION("""COMPUTED_VALUE"""),148.23)</f>
        <v>148.23</v>
      </c>
      <c r="C6051" s="1">
        <f>IFERROR(__xludf.DUMMYFUNCTION("""COMPUTED_VALUE"""),148.4)</f>
        <v>148.4</v>
      </c>
      <c r="D6051" s="1">
        <f>IFERROR(__xludf.DUMMYFUNCTION("""COMPUTED_VALUE"""),146.92)</f>
        <v>146.92</v>
      </c>
      <c r="E6051" s="1">
        <f>IFERROR(__xludf.DUMMYFUNCTION("""COMPUTED_VALUE"""),148.14)</f>
        <v>148.14</v>
      </c>
      <c r="F6051" s="1">
        <f>IFERROR(__xludf.DUMMYFUNCTION("""COMPUTED_VALUE"""),6526221.0)</f>
        <v>6526221</v>
      </c>
    </row>
    <row r="6052">
      <c r="A6052" s="2">
        <f>IFERROR(__xludf.DUMMYFUNCTION("""COMPUTED_VALUE"""),45310.66666666667)</f>
        <v>45310.66667</v>
      </c>
      <c r="B6052" s="1">
        <f>IFERROR(__xludf.DUMMYFUNCTION("""COMPUTED_VALUE"""),148.25)</f>
        <v>148.25</v>
      </c>
      <c r="C6052" s="1">
        <f>IFERROR(__xludf.DUMMYFUNCTION("""COMPUTED_VALUE"""),148.62)</f>
        <v>148.62</v>
      </c>
      <c r="D6052" s="1">
        <f>IFERROR(__xludf.DUMMYFUNCTION("""COMPUTED_VALUE"""),147.31)</f>
        <v>147.31</v>
      </c>
      <c r="E6052" s="1">
        <f>IFERROR(__xludf.DUMMYFUNCTION("""COMPUTED_VALUE"""),147.57)</f>
        <v>147.57</v>
      </c>
      <c r="F6052" s="1">
        <f>IFERROR(__xludf.DUMMYFUNCTION("""COMPUTED_VALUE"""),7848138.0)</f>
        <v>7848138</v>
      </c>
    </row>
    <row r="6053">
      <c r="A6053" s="2">
        <f>IFERROR(__xludf.DUMMYFUNCTION("""COMPUTED_VALUE"""),45313.66666666667)</f>
        <v>45313.66667</v>
      </c>
      <c r="B6053" s="1">
        <f>IFERROR(__xludf.DUMMYFUNCTION("""COMPUTED_VALUE"""),146.97)</f>
        <v>146.97</v>
      </c>
      <c r="C6053" s="1">
        <f>IFERROR(__xludf.DUMMYFUNCTION("""COMPUTED_VALUE"""),148.21)</f>
        <v>148.21</v>
      </c>
      <c r="D6053" s="1">
        <f>IFERROR(__xludf.DUMMYFUNCTION("""COMPUTED_VALUE"""),146.28)</f>
        <v>146.28</v>
      </c>
      <c r="E6053" s="1">
        <f>IFERROR(__xludf.DUMMYFUNCTION("""COMPUTED_VALUE"""),147.86)</f>
        <v>147.86</v>
      </c>
      <c r="F6053" s="1">
        <f>IFERROR(__xludf.DUMMYFUNCTION("""COMPUTED_VALUE"""),1.1084134E7)</f>
        <v>11084134</v>
      </c>
    </row>
    <row r="6054">
      <c r="A6054" s="2">
        <f>IFERROR(__xludf.DUMMYFUNCTION("""COMPUTED_VALUE"""),45314.66666666667)</f>
        <v>45314.66667</v>
      </c>
      <c r="B6054" s="1">
        <f>IFERROR(__xludf.DUMMYFUNCTION("""COMPUTED_VALUE"""),153.11)</f>
        <v>153.11</v>
      </c>
      <c r="C6054" s="1">
        <f>IFERROR(__xludf.DUMMYFUNCTION("""COMPUTED_VALUE"""),156.4)</f>
        <v>156.4</v>
      </c>
      <c r="D6054" s="1">
        <f>IFERROR(__xludf.DUMMYFUNCTION("""COMPUTED_VALUE"""),152.89)</f>
        <v>152.89</v>
      </c>
      <c r="E6054" s="1">
        <f>IFERROR(__xludf.DUMMYFUNCTION("""COMPUTED_VALUE"""),153.98)</f>
        <v>153.98</v>
      </c>
      <c r="F6054" s="1">
        <f>IFERROR(__xludf.DUMMYFUNCTION("""COMPUTED_VALUE"""),1.9101558E7)</f>
        <v>19101558</v>
      </c>
    </row>
    <row r="6055">
      <c r="A6055" s="2">
        <f>IFERROR(__xludf.DUMMYFUNCTION("""COMPUTED_VALUE"""),45315.66666666667)</f>
        <v>45315.66667</v>
      </c>
      <c r="B6055" s="1">
        <f>IFERROR(__xludf.DUMMYFUNCTION("""COMPUTED_VALUE"""),153.93)</f>
        <v>153.93</v>
      </c>
      <c r="C6055" s="1">
        <f>IFERROR(__xludf.DUMMYFUNCTION("""COMPUTED_VALUE"""),154.23)</f>
        <v>154.23</v>
      </c>
      <c r="D6055" s="1">
        <f>IFERROR(__xludf.DUMMYFUNCTION("""COMPUTED_VALUE"""),152.09)</f>
        <v>152.09</v>
      </c>
      <c r="E6055" s="1">
        <f>IFERROR(__xludf.DUMMYFUNCTION("""COMPUTED_VALUE"""),152.12)</f>
        <v>152.12</v>
      </c>
      <c r="F6055" s="1">
        <f>IFERROR(__xludf.DUMMYFUNCTION("""COMPUTED_VALUE"""),1.1592672E7)</f>
        <v>11592672</v>
      </c>
    </row>
    <row r="6056">
      <c r="A6056" s="2">
        <f>IFERROR(__xludf.DUMMYFUNCTION("""COMPUTED_VALUE"""),45316.66666666667)</f>
        <v>45316.66667</v>
      </c>
      <c r="B6056" s="1">
        <f>IFERROR(__xludf.DUMMYFUNCTION("""COMPUTED_VALUE"""),152.4)</f>
        <v>152.4</v>
      </c>
      <c r="C6056" s="1">
        <f>IFERROR(__xludf.DUMMYFUNCTION("""COMPUTED_VALUE"""),155.66)</f>
        <v>155.66</v>
      </c>
      <c r="D6056" s="1">
        <f>IFERROR(__xludf.DUMMYFUNCTION("""COMPUTED_VALUE"""),152.06)</f>
        <v>152.06</v>
      </c>
      <c r="E6056" s="1">
        <f>IFERROR(__xludf.DUMMYFUNCTION("""COMPUTED_VALUE"""),155.62)</f>
        <v>155.62</v>
      </c>
      <c r="F6056" s="1">
        <f>IFERROR(__xludf.DUMMYFUNCTION("""COMPUTED_VALUE"""),1.0352452E7)</f>
        <v>10352452</v>
      </c>
    </row>
    <row r="6057">
      <c r="A6057" s="2">
        <f>IFERROR(__xludf.DUMMYFUNCTION("""COMPUTED_VALUE"""),45317.66666666667)</f>
        <v>45317.66667</v>
      </c>
      <c r="B6057" s="1">
        <f>IFERROR(__xludf.DUMMYFUNCTION("""COMPUTED_VALUE"""),155.81)</f>
        <v>155.81</v>
      </c>
      <c r="C6057" s="1">
        <f>IFERROR(__xludf.DUMMYFUNCTION("""COMPUTED_VALUE"""),156.16)</f>
        <v>156.16</v>
      </c>
      <c r="D6057" s="1">
        <f>IFERROR(__xludf.DUMMYFUNCTION("""COMPUTED_VALUE"""),155.34)</f>
        <v>155.34</v>
      </c>
      <c r="E6057" s="1">
        <f>IFERROR(__xludf.DUMMYFUNCTION("""COMPUTED_VALUE"""),156.14)</f>
        <v>156.14</v>
      </c>
      <c r="F6057" s="1">
        <f>IFERROR(__xludf.DUMMYFUNCTION("""COMPUTED_VALUE"""),8356819.0)</f>
        <v>8356819</v>
      </c>
    </row>
    <row r="6058">
      <c r="A6058" s="2">
        <f>IFERROR(__xludf.DUMMYFUNCTION("""COMPUTED_VALUE"""),45320.66666666667)</f>
        <v>45320.66667</v>
      </c>
      <c r="B6058" s="1">
        <f>IFERROR(__xludf.DUMMYFUNCTION("""COMPUTED_VALUE"""),156.68)</f>
        <v>156.68</v>
      </c>
      <c r="C6058" s="1">
        <f>IFERROR(__xludf.DUMMYFUNCTION("""COMPUTED_VALUE"""),157.33)</f>
        <v>157.33</v>
      </c>
      <c r="D6058" s="1">
        <f>IFERROR(__xludf.DUMMYFUNCTION("""COMPUTED_VALUE"""),155.4)</f>
        <v>155.4</v>
      </c>
      <c r="E6058" s="1">
        <f>IFERROR(__xludf.DUMMYFUNCTION("""COMPUTED_VALUE"""),156.16)</f>
        <v>156.16</v>
      </c>
      <c r="F6058" s="1">
        <f>IFERROR(__xludf.DUMMYFUNCTION("""COMPUTED_VALUE"""),8987609.0)</f>
        <v>8987609</v>
      </c>
    </row>
    <row r="6059">
      <c r="A6059" s="2">
        <f>IFERROR(__xludf.DUMMYFUNCTION("""COMPUTED_VALUE"""),45321.66666666667)</f>
        <v>45321.66667</v>
      </c>
      <c r="B6059" s="1">
        <f>IFERROR(__xludf.DUMMYFUNCTION("""COMPUTED_VALUE"""),156.34)</f>
        <v>156.34</v>
      </c>
      <c r="C6059" s="1">
        <f>IFERROR(__xludf.DUMMYFUNCTION("""COMPUTED_VALUE"""),157.92)</f>
        <v>157.92</v>
      </c>
      <c r="D6059" s="1">
        <f>IFERROR(__xludf.DUMMYFUNCTION("""COMPUTED_VALUE"""),155.82)</f>
        <v>155.82</v>
      </c>
      <c r="E6059" s="1">
        <f>IFERROR(__xludf.DUMMYFUNCTION("""COMPUTED_VALUE"""),157.49)</f>
        <v>157.49</v>
      </c>
      <c r="F6059" s="1">
        <f>IFERROR(__xludf.DUMMYFUNCTION("""COMPUTED_VALUE"""),7794730.0)</f>
        <v>7794730</v>
      </c>
    </row>
    <row r="6060">
      <c r="A6060" s="2">
        <f>IFERROR(__xludf.DUMMYFUNCTION("""COMPUTED_VALUE"""),45322.66666666667)</f>
        <v>45322.66667</v>
      </c>
      <c r="B6060" s="1">
        <f>IFERROR(__xludf.DUMMYFUNCTION("""COMPUTED_VALUE"""),157.99)</f>
        <v>157.99</v>
      </c>
      <c r="C6060" s="1">
        <f>IFERROR(__xludf.DUMMYFUNCTION("""COMPUTED_VALUE"""),158.5)</f>
        <v>158.5</v>
      </c>
      <c r="D6060" s="1">
        <f>IFERROR(__xludf.DUMMYFUNCTION("""COMPUTED_VALUE"""),156.7)</f>
        <v>156.7</v>
      </c>
      <c r="E6060" s="1">
        <f>IFERROR(__xludf.DUMMYFUNCTION("""COMPUTED_VALUE"""),157.14)</f>
        <v>157.14</v>
      </c>
      <c r="F6060" s="1">
        <f>IFERROR(__xludf.DUMMYFUNCTION("""COMPUTED_VALUE"""),8870215.0)</f>
        <v>8870215</v>
      </c>
    </row>
    <row r="6061">
      <c r="A6061" s="2">
        <f>IFERROR(__xludf.DUMMYFUNCTION("""COMPUTED_VALUE"""),45323.66666666667)</f>
        <v>45323.66667</v>
      </c>
      <c r="B6061" s="1">
        <f>IFERROR(__xludf.DUMMYFUNCTION("""COMPUTED_VALUE"""),156.77)</f>
        <v>156.77</v>
      </c>
      <c r="C6061" s="1">
        <f>IFERROR(__xludf.DUMMYFUNCTION("""COMPUTED_VALUE"""),159.3)</f>
        <v>159.3</v>
      </c>
      <c r="D6061" s="1">
        <f>IFERROR(__xludf.DUMMYFUNCTION("""COMPUTED_VALUE"""),156.62)</f>
        <v>156.62</v>
      </c>
      <c r="E6061" s="1">
        <f>IFERROR(__xludf.DUMMYFUNCTION("""COMPUTED_VALUE"""),159.18)</f>
        <v>159.18</v>
      </c>
      <c r="F6061" s="1">
        <f>IFERROR(__xludf.DUMMYFUNCTION("""COMPUTED_VALUE"""),7601144.0)</f>
        <v>7601144</v>
      </c>
    </row>
    <row r="6062">
      <c r="A6062" s="2">
        <f>IFERROR(__xludf.DUMMYFUNCTION("""COMPUTED_VALUE"""),45324.66666666667)</f>
        <v>45324.66667</v>
      </c>
      <c r="B6062" s="1">
        <f>IFERROR(__xludf.DUMMYFUNCTION("""COMPUTED_VALUE"""),158.97)</f>
        <v>158.97</v>
      </c>
      <c r="C6062" s="1">
        <f>IFERROR(__xludf.DUMMYFUNCTION("""COMPUTED_VALUE"""),159.6)</f>
        <v>159.6</v>
      </c>
      <c r="D6062" s="1">
        <f>IFERROR(__xludf.DUMMYFUNCTION("""COMPUTED_VALUE"""),157.53)</f>
        <v>157.53</v>
      </c>
      <c r="E6062" s="1">
        <f>IFERROR(__xludf.DUMMYFUNCTION("""COMPUTED_VALUE"""),158.09)</f>
        <v>158.09</v>
      </c>
      <c r="F6062" s="1">
        <f>IFERROR(__xludf.DUMMYFUNCTION("""COMPUTED_VALUE"""),7937716.0)</f>
        <v>7937716</v>
      </c>
    </row>
    <row r="6063">
      <c r="A6063" s="2">
        <f>IFERROR(__xludf.DUMMYFUNCTION("""COMPUTED_VALUE"""),45327.66666666667)</f>
        <v>45327.66667</v>
      </c>
      <c r="B6063" s="1">
        <f>IFERROR(__xludf.DUMMYFUNCTION("""COMPUTED_VALUE"""),158.17)</f>
        <v>158.17</v>
      </c>
      <c r="C6063" s="1">
        <f>IFERROR(__xludf.DUMMYFUNCTION("""COMPUTED_VALUE"""),159.0)</f>
        <v>159</v>
      </c>
      <c r="D6063" s="1">
        <f>IFERROR(__xludf.DUMMYFUNCTION("""COMPUTED_VALUE"""),157.56)</f>
        <v>157.56</v>
      </c>
      <c r="E6063" s="1">
        <f>IFERROR(__xludf.DUMMYFUNCTION("""COMPUTED_VALUE"""),158.21)</f>
        <v>158.21</v>
      </c>
      <c r="F6063" s="1">
        <f>IFERROR(__xludf.DUMMYFUNCTION("""COMPUTED_VALUE"""),6931933.0)</f>
        <v>6931933</v>
      </c>
    </row>
    <row r="6064">
      <c r="A6064" s="2">
        <f>IFERROR(__xludf.DUMMYFUNCTION("""COMPUTED_VALUE"""),45328.66666666667)</f>
        <v>45328.66667</v>
      </c>
      <c r="B6064" s="1">
        <f>IFERROR(__xludf.DUMMYFUNCTION("""COMPUTED_VALUE"""),158.31)</f>
        <v>158.31</v>
      </c>
      <c r="C6064" s="1">
        <f>IFERROR(__xludf.DUMMYFUNCTION("""COMPUTED_VALUE"""),159.07)</f>
        <v>159.07</v>
      </c>
      <c r="D6064" s="1">
        <f>IFERROR(__xludf.DUMMYFUNCTION("""COMPUTED_VALUE"""),157.87)</f>
        <v>157.87</v>
      </c>
      <c r="E6064" s="1">
        <f>IFERROR(__xludf.DUMMYFUNCTION("""COMPUTED_VALUE"""),158.96)</f>
        <v>158.96</v>
      </c>
      <c r="F6064" s="1">
        <f>IFERROR(__xludf.DUMMYFUNCTION("""COMPUTED_VALUE"""),6185982.0)</f>
        <v>6185982</v>
      </c>
    </row>
    <row r="6065">
      <c r="A6065" s="2">
        <f>IFERROR(__xludf.DUMMYFUNCTION("""COMPUTED_VALUE"""),45329.66666666667)</f>
        <v>45329.66667</v>
      </c>
      <c r="B6065" s="1">
        <f>IFERROR(__xludf.DUMMYFUNCTION("""COMPUTED_VALUE"""),159.1)</f>
        <v>159.1</v>
      </c>
      <c r="C6065" s="1">
        <f>IFERROR(__xludf.DUMMYFUNCTION("""COMPUTED_VALUE"""),159.83)</f>
        <v>159.83</v>
      </c>
      <c r="D6065" s="1">
        <f>IFERROR(__xludf.DUMMYFUNCTION("""COMPUTED_VALUE"""),158.74)</f>
        <v>158.74</v>
      </c>
      <c r="E6065" s="1">
        <f>IFERROR(__xludf.DUMMYFUNCTION("""COMPUTED_VALUE"""),159.12)</f>
        <v>159.12</v>
      </c>
      <c r="F6065" s="1">
        <f>IFERROR(__xludf.DUMMYFUNCTION("""COMPUTED_VALUE"""),7209276.0)</f>
        <v>7209276</v>
      </c>
    </row>
    <row r="6066">
      <c r="A6066" s="2">
        <f>IFERROR(__xludf.DUMMYFUNCTION("""COMPUTED_VALUE"""),45330.66666666667)</f>
        <v>45330.66667</v>
      </c>
      <c r="B6066" s="1">
        <f>IFERROR(__xludf.DUMMYFUNCTION("""COMPUTED_VALUE"""),158.8)</f>
        <v>158.8</v>
      </c>
      <c r="C6066" s="1">
        <f>IFERROR(__xludf.DUMMYFUNCTION("""COMPUTED_VALUE"""),159.1)</f>
        <v>159.1</v>
      </c>
      <c r="D6066" s="1">
        <f>IFERROR(__xludf.DUMMYFUNCTION("""COMPUTED_VALUE"""),157.77)</f>
        <v>157.77</v>
      </c>
      <c r="E6066" s="1">
        <f>IFERROR(__xludf.DUMMYFUNCTION("""COMPUTED_VALUE"""),158.64)</f>
        <v>158.64</v>
      </c>
      <c r="F6066" s="1">
        <f>IFERROR(__xludf.DUMMYFUNCTION("""COMPUTED_VALUE"""),6121778.0)</f>
        <v>6121778</v>
      </c>
    </row>
    <row r="6067">
      <c r="A6067" s="2">
        <f>IFERROR(__xludf.DUMMYFUNCTION("""COMPUTED_VALUE"""),45331.66666666667)</f>
        <v>45331.66667</v>
      </c>
      <c r="B6067" s="1">
        <f>IFERROR(__xludf.DUMMYFUNCTION("""COMPUTED_VALUE"""),158.26)</f>
        <v>158.26</v>
      </c>
      <c r="C6067" s="1">
        <f>IFERROR(__xludf.DUMMYFUNCTION("""COMPUTED_VALUE"""),158.34)</f>
        <v>158.34</v>
      </c>
      <c r="D6067" s="1">
        <f>IFERROR(__xludf.DUMMYFUNCTION("""COMPUTED_VALUE"""),156.96)</f>
        <v>156.96</v>
      </c>
      <c r="E6067" s="1">
        <f>IFERROR(__xludf.DUMMYFUNCTION("""COMPUTED_VALUE"""),157.42)</f>
        <v>157.42</v>
      </c>
      <c r="F6067" s="1">
        <f>IFERROR(__xludf.DUMMYFUNCTION("""COMPUTED_VALUE"""),5978181.0)</f>
        <v>5978181</v>
      </c>
    </row>
    <row r="6068">
      <c r="A6068" s="2">
        <f>IFERROR(__xludf.DUMMYFUNCTION("""COMPUTED_VALUE"""),45334.66666666667)</f>
        <v>45334.66667</v>
      </c>
      <c r="B6068" s="1">
        <f>IFERROR(__xludf.DUMMYFUNCTION("""COMPUTED_VALUE"""),157.36)</f>
        <v>157.36</v>
      </c>
      <c r="C6068" s="1">
        <f>IFERROR(__xludf.DUMMYFUNCTION("""COMPUTED_VALUE"""),157.61)</f>
        <v>157.61</v>
      </c>
      <c r="D6068" s="1">
        <f>IFERROR(__xludf.DUMMYFUNCTION("""COMPUTED_VALUE"""),155.49)</f>
        <v>155.49</v>
      </c>
      <c r="E6068" s="1">
        <f>IFERROR(__xludf.DUMMYFUNCTION("""COMPUTED_VALUE"""),157.11)</f>
        <v>157.11</v>
      </c>
      <c r="F6068" s="1">
        <f>IFERROR(__xludf.DUMMYFUNCTION("""COMPUTED_VALUE"""),5482124.0)</f>
        <v>5482124</v>
      </c>
    </row>
    <row r="6069">
      <c r="A6069" s="2">
        <f>IFERROR(__xludf.DUMMYFUNCTION("""COMPUTED_VALUE"""),45335.66666666667)</f>
        <v>45335.66667</v>
      </c>
      <c r="B6069" s="1">
        <f>IFERROR(__xludf.DUMMYFUNCTION("""COMPUTED_VALUE"""),157.75)</f>
        <v>157.75</v>
      </c>
      <c r="C6069" s="1">
        <f>IFERROR(__xludf.DUMMYFUNCTION("""COMPUTED_VALUE"""),158.97)</f>
        <v>158.97</v>
      </c>
      <c r="D6069" s="1">
        <f>IFERROR(__xludf.DUMMYFUNCTION("""COMPUTED_VALUE"""),155.48)</f>
        <v>155.48</v>
      </c>
      <c r="E6069" s="1">
        <f>IFERROR(__xludf.DUMMYFUNCTION("""COMPUTED_VALUE"""),156.27)</f>
        <v>156.27</v>
      </c>
      <c r="F6069" s="1">
        <f>IFERROR(__xludf.DUMMYFUNCTION("""COMPUTED_VALUE"""),6046869.0)</f>
        <v>6046869</v>
      </c>
    </row>
    <row r="6070">
      <c r="A6070" s="2">
        <f>IFERROR(__xludf.DUMMYFUNCTION("""COMPUTED_VALUE"""),45336.66666666667)</f>
        <v>45336.66667</v>
      </c>
      <c r="B6070" s="1">
        <f>IFERROR(__xludf.DUMMYFUNCTION("""COMPUTED_VALUE"""),156.16)</f>
        <v>156.16</v>
      </c>
      <c r="C6070" s="1">
        <f>IFERROR(__xludf.DUMMYFUNCTION("""COMPUTED_VALUE"""),156.16)</f>
        <v>156.16</v>
      </c>
      <c r="D6070" s="1">
        <f>IFERROR(__xludf.DUMMYFUNCTION("""COMPUTED_VALUE"""),154.91)</f>
        <v>154.91</v>
      </c>
      <c r="E6070" s="1">
        <f>IFERROR(__xludf.DUMMYFUNCTION("""COMPUTED_VALUE"""),155.63)</f>
        <v>155.63</v>
      </c>
      <c r="F6070" s="1">
        <f>IFERROR(__xludf.DUMMYFUNCTION("""COMPUTED_VALUE"""),5727455.0)</f>
        <v>5727455</v>
      </c>
    </row>
    <row r="6071">
      <c r="A6071" s="2">
        <f>IFERROR(__xludf.DUMMYFUNCTION("""COMPUTED_VALUE"""),45337.66666666667)</f>
        <v>45337.66667</v>
      </c>
      <c r="B6071" s="1">
        <f>IFERROR(__xludf.DUMMYFUNCTION("""COMPUTED_VALUE"""),156.3)</f>
        <v>156.3</v>
      </c>
      <c r="C6071" s="1">
        <f>IFERROR(__xludf.DUMMYFUNCTION("""COMPUTED_VALUE"""),157.42)</f>
        <v>157.42</v>
      </c>
      <c r="D6071" s="1">
        <f>IFERROR(__xludf.DUMMYFUNCTION("""COMPUTED_VALUE"""),156.15)</f>
        <v>156.15</v>
      </c>
      <c r="E6071" s="1">
        <f>IFERROR(__xludf.DUMMYFUNCTION("""COMPUTED_VALUE"""),157.01)</f>
        <v>157.01</v>
      </c>
      <c r="F6071" s="1">
        <f>IFERROR(__xludf.DUMMYFUNCTION("""COMPUTED_VALUE"""),6249241.0)</f>
        <v>6249241</v>
      </c>
    </row>
    <row r="6072">
      <c r="A6072" s="2">
        <f>IFERROR(__xludf.DUMMYFUNCTION("""COMPUTED_VALUE"""),45338.66666666667)</f>
        <v>45338.66667</v>
      </c>
      <c r="B6072" s="1">
        <f>IFERROR(__xludf.DUMMYFUNCTION("""COMPUTED_VALUE"""),157.04)</f>
        <v>157.04</v>
      </c>
      <c r="C6072" s="1">
        <f>IFERROR(__xludf.DUMMYFUNCTION("""COMPUTED_VALUE"""),158.45)</f>
        <v>158.45</v>
      </c>
      <c r="D6072" s="1">
        <f>IFERROR(__xludf.DUMMYFUNCTION("""COMPUTED_VALUE"""),156.67)</f>
        <v>156.67</v>
      </c>
      <c r="E6072" s="1">
        <f>IFERROR(__xludf.DUMMYFUNCTION("""COMPUTED_VALUE"""),157.51)</f>
        <v>157.51</v>
      </c>
      <c r="F6072" s="1">
        <f>IFERROR(__xludf.DUMMYFUNCTION("""COMPUTED_VALUE"""),6617706.0)</f>
        <v>6617706</v>
      </c>
    </row>
    <row r="6073">
      <c r="A6073" s="2">
        <f>IFERROR(__xludf.DUMMYFUNCTION("""COMPUTED_VALUE"""),45342.66666666667)</f>
        <v>45342.66667</v>
      </c>
      <c r="B6073" s="1">
        <f>IFERROR(__xludf.DUMMYFUNCTION("""COMPUTED_VALUE"""),158.7)</f>
        <v>158.7</v>
      </c>
      <c r="C6073" s="1">
        <f>IFERROR(__xludf.DUMMYFUNCTION("""COMPUTED_VALUE"""),159.79)</f>
        <v>159.79</v>
      </c>
      <c r="D6073" s="1">
        <f>IFERROR(__xludf.DUMMYFUNCTION("""COMPUTED_VALUE"""),158.13)</f>
        <v>158.13</v>
      </c>
      <c r="E6073" s="1">
        <f>IFERROR(__xludf.DUMMYFUNCTION("""COMPUTED_VALUE"""),158.51)</f>
        <v>158.51</v>
      </c>
      <c r="F6073" s="1">
        <f>IFERROR(__xludf.DUMMYFUNCTION("""COMPUTED_VALUE"""),6622058.0)</f>
        <v>6622058</v>
      </c>
    </row>
    <row r="6074">
      <c r="A6074" s="2">
        <f>IFERROR(__xludf.DUMMYFUNCTION("""COMPUTED_VALUE"""),45343.66666666667)</f>
        <v>45343.66667</v>
      </c>
      <c r="B6074" s="1">
        <f>IFERROR(__xludf.DUMMYFUNCTION("""COMPUTED_VALUE"""),159.19)</f>
        <v>159.19</v>
      </c>
      <c r="C6074" s="1">
        <f>IFERROR(__xludf.DUMMYFUNCTION("""COMPUTED_VALUE"""),160.4)</f>
        <v>160.4</v>
      </c>
      <c r="D6074" s="1">
        <f>IFERROR(__xludf.DUMMYFUNCTION("""COMPUTED_VALUE"""),159.19)</f>
        <v>159.19</v>
      </c>
      <c r="E6074" s="1">
        <f>IFERROR(__xludf.DUMMYFUNCTION("""COMPUTED_VALUE"""),160.4)</f>
        <v>160.4</v>
      </c>
      <c r="F6074" s="1">
        <f>IFERROR(__xludf.DUMMYFUNCTION("""COMPUTED_VALUE"""),7121116.0)</f>
        <v>7121116</v>
      </c>
    </row>
    <row r="6075">
      <c r="A6075" s="2">
        <f>IFERROR(__xludf.DUMMYFUNCTION("""COMPUTED_VALUE"""),45344.66666666667)</f>
        <v>45344.66667</v>
      </c>
      <c r="B6075" s="1">
        <f>IFERROR(__xludf.DUMMYFUNCTION("""COMPUTED_VALUE"""),159.46)</f>
        <v>159.46</v>
      </c>
      <c r="C6075" s="1">
        <f>IFERROR(__xludf.DUMMYFUNCTION("""COMPUTED_VALUE"""),161.09)</f>
        <v>161.09</v>
      </c>
      <c r="D6075" s="1">
        <f>IFERROR(__xludf.DUMMYFUNCTION("""COMPUTED_VALUE"""),158.63)</f>
        <v>158.63</v>
      </c>
      <c r="E6075" s="1">
        <f>IFERROR(__xludf.DUMMYFUNCTION("""COMPUTED_VALUE"""),160.56)</f>
        <v>160.56</v>
      </c>
      <c r="F6075" s="1">
        <f>IFERROR(__xludf.DUMMYFUNCTION("""COMPUTED_VALUE"""),6619639.0)</f>
        <v>6619639</v>
      </c>
    </row>
    <row r="6076">
      <c r="A6076" s="2">
        <f>IFERROR(__xludf.DUMMYFUNCTION("""COMPUTED_VALUE"""),45345.66666666667)</f>
        <v>45345.66667</v>
      </c>
      <c r="B6076" s="1">
        <f>IFERROR(__xludf.DUMMYFUNCTION("""COMPUTED_VALUE"""),160.6)</f>
        <v>160.6</v>
      </c>
      <c r="C6076" s="1">
        <f>IFERROR(__xludf.DUMMYFUNCTION("""COMPUTED_VALUE"""),161.74)</f>
        <v>161.74</v>
      </c>
      <c r="D6076" s="1">
        <f>IFERROR(__xludf.DUMMYFUNCTION("""COMPUTED_VALUE"""),160.16)</f>
        <v>160.16</v>
      </c>
      <c r="E6076" s="1">
        <f>IFERROR(__xludf.DUMMYFUNCTION("""COMPUTED_VALUE"""),161.03)</f>
        <v>161.03</v>
      </c>
      <c r="F6076" s="1">
        <f>IFERROR(__xludf.DUMMYFUNCTION("""COMPUTED_VALUE"""),5486533.0)</f>
        <v>5486533</v>
      </c>
    </row>
    <row r="6077">
      <c r="A6077" s="2">
        <f>IFERROR(__xludf.DUMMYFUNCTION("""COMPUTED_VALUE"""),45348.66666666667)</f>
        <v>45348.66667</v>
      </c>
      <c r="B6077" s="1">
        <f>IFERROR(__xludf.DUMMYFUNCTION("""COMPUTED_VALUE"""),161.03)</f>
        <v>161.03</v>
      </c>
      <c r="C6077" s="1">
        <f>IFERROR(__xludf.DUMMYFUNCTION("""COMPUTED_VALUE"""),161.17)</f>
        <v>161.17</v>
      </c>
      <c r="D6077" s="1">
        <f>IFERROR(__xludf.DUMMYFUNCTION("""COMPUTED_VALUE"""),160.07)</f>
        <v>160.07</v>
      </c>
      <c r="E6077" s="1">
        <f>IFERROR(__xludf.DUMMYFUNCTION("""COMPUTED_VALUE"""),160.22)</f>
        <v>160.22</v>
      </c>
      <c r="F6077" s="1">
        <f>IFERROR(__xludf.DUMMYFUNCTION("""COMPUTED_VALUE"""),4531936.0)</f>
        <v>4531936</v>
      </c>
    </row>
    <row r="6078">
      <c r="A6078" s="2">
        <f>IFERROR(__xludf.DUMMYFUNCTION("""COMPUTED_VALUE"""),45349.66666666667)</f>
        <v>45349.66667</v>
      </c>
      <c r="B6078" s="1">
        <f>IFERROR(__xludf.DUMMYFUNCTION("""COMPUTED_VALUE"""),159.41)</f>
        <v>159.41</v>
      </c>
      <c r="C6078" s="1">
        <f>IFERROR(__xludf.DUMMYFUNCTION("""COMPUTED_VALUE"""),159.8)</f>
        <v>159.8</v>
      </c>
      <c r="D6078" s="1">
        <f>IFERROR(__xludf.DUMMYFUNCTION("""COMPUTED_VALUE"""),158.96)</f>
        <v>158.96</v>
      </c>
      <c r="E6078" s="1">
        <f>IFERROR(__xludf.DUMMYFUNCTION("""COMPUTED_VALUE"""),159.3)</f>
        <v>159.3</v>
      </c>
      <c r="F6078" s="1">
        <f>IFERROR(__xludf.DUMMYFUNCTION("""COMPUTED_VALUE"""),3868405.0)</f>
        <v>3868405</v>
      </c>
    </row>
    <row r="6079">
      <c r="A6079" s="2">
        <f>IFERROR(__xludf.DUMMYFUNCTION("""COMPUTED_VALUE"""),45350.66666666667)</f>
        <v>45350.66667</v>
      </c>
      <c r="B6079" s="1">
        <f>IFERROR(__xludf.DUMMYFUNCTION("""COMPUTED_VALUE"""),159.07)</f>
        <v>159.07</v>
      </c>
      <c r="C6079" s="1">
        <f>IFERROR(__xludf.DUMMYFUNCTION("""COMPUTED_VALUE"""),160.12)</f>
        <v>160.12</v>
      </c>
      <c r="D6079" s="1">
        <f>IFERROR(__xludf.DUMMYFUNCTION("""COMPUTED_VALUE"""),158.64)</f>
        <v>158.64</v>
      </c>
      <c r="E6079" s="1">
        <f>IFERROR(__xludf.DUMMYFUNCTION("""COMPUTED_VALUE"""),160.05)</f>
        <v>160.05</v>
      </c>
      <c r="F6079" s="1">
        <f>IFERROR(__xludf.DUMMYFUNCTION("""COMPUTED_VALUE"""),3802915.0)</f>
        <v>3802915</v>
      </c>
    </row>
    <row r="6080">
      <c r="A6080" s="2">
        <f>IFERROR(__xludf.DUMMYFUNCTION("""COMPUTED_VALUE"""),45351.66666666667)</f>
        <v>45351.66667</v>
      </c>
      <c r="B6080" s="1">
        <f>IFERROR(__xludf.DUMMYFUNCTION("""COMPUTED_VALUE"""),159.93)</f>
        <v>159.93</v>
      </c>
      <c r="C6080" s="1">
        <f>IFERROR(__xludf.DUMMYFUNCTION("""COMPUTED_VALUE"""),160.11)</f>
        <v>160.11</v>
      </c>
      <c r="D6080" s="1">
        <f>IFERROR(__xludf.DUMMYFUNCTION("""COMPUTED_VALUE"""),158.18)</f>
        <v>158.18</v>
      </c>
      <c r="E6080" s="1">
        <f>IFERROR(__xludf.DUMMYFUNCTION("""COMPUTED_VALUE"""),158.94)</f>
        <v>158.94</v>
      </c>
      <c r="F6080" s="1">
        <f>IFERROR(__xludf.DUMMYFUNCTION("""COMPUTED_VALUE"""),8348201.0)</f>
        <v>8348201</v>
      </c>
    </row>
    <row r="6081">
      <c r="A6081" s="2">
        <f>IFERROR(__xludf.DUMMYFUNCTION("""COMPUTED_VALUE"""),45352.66666666667)</f>
        <v>45352.66667</v>
      </c>
      <c r="B6081" s="1">
        <f>IFERROR(__xludf.DUMMYFUNCTION("""COMPUTED_VALUE"""),158.05)</f>
        <v>158.05</v>
      </c>
      <c r="C6081" s="1">
        <f>IFERROR(__xludf.DUMMYFUNCTION("""COMPUTED_VALUE"""),159.03)</f>
        <v>159.03</v>
      </c>
      <c r="D6081" s="1">
        <f>IFERROR(__xludf.DUMMYFUNCTION("""COMPUTED_VALUE"""),157.61)</f>
        <v>157.61</v>
      </c>
      <c r="E6081" s="1">
        <f>IFERROR(__xludf.DUMMYFUNCTION("""COMPUTED_VALUE"""),158.85)</f>
        <v>158.85</v>
      </c>
      <c r="F6081" s="1">
        <f>IFERROR(__xludf.DUMMYFUNCTION("""COMPUTED_VALUE"""),4819929.0)</f>
        <v>4819929</v>
      </c>
    </row>
    <row r="6082">
      <c r="A6082" s="2">
        <f>IFERROR(__xludf.DUMMYFUNCTION("""COMPUTED_VALUE"""),45355.66666666667)</f>
        <v>45355.66667</v>
      </c>
      <c r="B6082" s="1">
        <f>IFERROR(__xludf.DUMMYFUNCTION("""COMPUTED_VALUE"""),157.74)</f>
        <v>157.74</v>
      </c>
      <c r="C6082" s="1">
        <f>IFERROR(__xludf.DUMMYFUNCTION("""COMPUTED_VALUE"""),159.76)</f>
        <v>159.76</v>
      </c>
      <c r="D6082" s="1">
        <f>IFERROR(__xludf.DUMMYFUNCTION("""COMPUTED_VALUE"""),157.67)</f>
        <v>157.67</v>
      </c>
      <c r="E6082" s="1">
        <f>IFERROR(__xludf.DUMMYFUNCTION("""COMPUTED_VALUE"""),159.56)</f>
        <v>159.56</v>
      </c>
      <c r="F6082" s="1">
        <f>IFERROR(__xludf.DUMMYFUNCTION("""COMPUTED_VALUE"""),3841623.0)</f>
        <v>3841623</v>
      </c>
    </row>
    <row r="6083">
      <c r="A6083" s="2">
        <f>IFERROR(__xludf.DUMMYFUNCTION("""COMPUTED_VALUE"""),45356.66666666667)</f>
        <v>45356.66667</v>
      </c>
      <c r="B6083" s="1">
        <f>IFERROR(__xludf.DUMMYFUNCTION("""COMPUTED_VALUE"""),159.46)</f>
        <v>159.46</v>
      </c>
      <c r="C6083" s="1">
        <f>IFERROR(__xludf.DUMMYFUNCTION("""COMPUTED_VALUE"""),159.99)</f>
        <v>159.99</v>
      </c>
      <c r="D6083" s="1">
        <f>IFERROR(__xludf.DUMMYFUNCTION("""COMPUTED_VALUE"""),158.78)</f>
        <v>158.78</v>
      </c>
      <c r="E6083" s="1">
        <f>IFERROR(__xludf.DUMMYFUNCTION("""COMPUTED_VALUE"""),159.32)</f>
        <v>159.32</v>
      </c>
      <c r="F6083" s="1">
        <f>IFERROR(__xludf.DUMMYFUNCTION("""COMPUTED_VALUE"""),4481715.0)</f>
        <v>4481715</v>
      </c>
    </row>
    <row r="6084">
      <c r="A6084" s="2">
        <f>IFERROR(__xludf.DUMMYFUNCTION("""COMPUTED_VALUE"""),45357.66666666667)</f>
        <v>45357.66667</v>
      </c>
      <c r="B6084" s="1">
        <f>IFERROR(__xludf.DUMMYFUNCTION("""COMPUTED_VALUE"""),159.68)</f>
        <v>159.68</v>
      </c>
      <c r="C6084" s="1">
        <f>IFERROR(__xludf.DUMMYFUNCTION("""COMPUTED_VALUE"""),159.99)</f>
        <v>159.99</v>
      </c>
      <c r="D6084" s="1">
        <f>IFERROR(__xludf.DUMMYFUNCTION("""COMPUTED_VALUE"""),158.91)</f>
        <v>158.91</v>
      </c>
      <c r="E6084" s="1">
        <f>IFERROR(__xludf.DUMMYFUNCTION("""COMPUTED_VALUE"""),159.57)</f>
        <v>159.57</v>
      </c>
      <c r="F6084" s="1">
        <f>IFERROR(__xludf.DUMMYFUNCTION("""COMPUTED_VALUE"""),5405719.0)</f>
        <v>5405719</v>
      </c>
    </row>
    <row r="6085">
      <c r="A6085" s="2">
        <f>IFERROR(__xludf.DUMMYFUNCTION("""COMPUTED_VALUE"""),45358.66666666667)</f>
        <v>45358.66667</v>
      </c>
      <c r="B6085" s="1">
        <f>IFERROR(__xludf.DUMMYFUNCTION("""COMPUTED_VALUE"""),159.95)</f>
        <v>159.95</v>
      </c>
      <c r="C6085" s="1">
        <f>IFERROR(__xludf.DUMMYFUNCTION("""COMPUTED_VALUE"""),160.91)</f>
        <v>160.91</v>
      </c>
      <c r="D6085" s="1">
        <f>IFERROR(__xludf.DUMMYFUNCTION("""COMPUTED_VALUE"""),159.47)</f>
        <v>159.47</v>
      </c>
      <c r="E6085" s="1">
        <f>IFERROR(__xludf.DUMMYFUNCTION("""COMPUTED_VALUE"""),160.62)</f>
        <v>160.62</v>
      </c>
      <c r="F6085" s="1">
        <f>IFERROR(__xludf.DUMMYFUNCTION("""COMPUTED_VALUE"""),4783943.0)</f>
        <v>4783943</v>
      </c>
    </row>
    <row r="6086">
      <c r="A6086" s="2">
        <f>IFERROR(__xludf.DUMMYFUNCTION("""COMPUTED_VALUE"""),45359.66666666667)</f>
        <v>45359.66667</v>
      </c>
      <c r="B6086" s="1">
        <f>IFERROR(__xludf.DUMMYFUNCTION("""COMPUTED_VALUE"""),159.85)</f>
        <v>159.85</v>
      </c>
      <c r="C6086" s="1">
        <f>IFERROR(__xludf.DUMMYFUNCTION("""COMPUTED_VALUE"""),161.25)</f>
        <v>161.25</v>
      </c>
      <c r="D6086" s="1">
        <f>IFERROR(__xludf.DUMMYFUNCTION("""COMPUTED_VALUE"""),158.29)</f>
        <v>158.29</v>
      </c>
      <c r="E6086" s="1">
        <f>IFERROR(__xludf.DUMMYFUNCTION("""COMPUTED_VALUE"""),160.35)</f>
        <v>160.35</v>
      </c>
      <c r="F6086" s="1">
        <f>IFERROR(__xludf.DUMMYFUNCTION("""COMPUTED_VALUE"""),5080225.0)</f>
        <v>5080225</v>
      </c>
    </row>
    <row r="6087">
      <c r="A6087" s="2">
        <f>IFERROR(__xludf.DUMMYFUNCTION("""COMPUTED_VALUE"""),45362.66666666667)</f>
        <v>45362.66667</v>
      </c>
      <c r="B6087" s="1">
        <f>IFERROR(__xludf.DUMMYFUNCTION("""COMPUTED_VALUE"""),161.34)</f>
        <v>161.34</v>
      </c>
      <c r="C6087" s="1">
        <f>IFERROR(__xludf.DUMMYFUNCTION("""COMPUTED_VALUE"""),162.62)</f>
        <v>162.62</v>
      </c>
      <c r="D6087" s="1">
        <f>IFERROR(__xludf.DUMMYFUNCTION("""COMPUTED_VALUE"""),160.82)</f>
        <v>160.82</v>
      </c>
      <c r="E6087" s="1">
        <f>IFERROR(__xludf.DUMMYFUNCTION("""COMPUTED_VALUE"""),161.55)</f>
        <v>161.55</v>
      </c>
      <c r="F6087" s="1">
        <f>IFERROR(__xludf.DUMMYFUNCTION("""COMPUTED_VALUE"""),5171060.0)</f>
        <v>5171060</v>
      </c>
    </row>
    <row r="6088">
      <c r="A6088" s="2">
        <f>IFERROR(__xludf.DUMMYFUNCTION("""COMPUTED_VALUE"""),45363.66666666667)</f>
        <v>45363.66667</v>
      </c>
      <c r="B6088" s="1">
        <f>IFERROR(__xludf.DUMMYFUNCTION("""COMPUTED_VALUE"""),161.82)</f>
        <v>161.82</v>
      </c>
      <c r="C6088" s="1">
        <f>IFERROR(__xludf.DUMMYFUNCTION("""COMPUTED_VALUE"""),162.52)</f>
        <v>162.52</v>
      </c>
      <c r="D6088" s="1">
        <f>IFERROR(__xludf.DUMMYFUNCTION("""COMPUTED_VALUE"""),161.23)</f>
        <v>161.23</v>
      </c>
      <c r="E6088" s="1">
        <f>IFERROR(__xludf.DUMMYFUNCTION("""COMPUTED_VALUE"""),161.93)</f>
        <v>161.93</v>
      </c>
      <c r="F6088" s="1">
        <f>IFERROR(__xludf.DUMMYFUNCTION("""COMPUTED_VALUE"""),4229060.0)</f>
        <v>4229060</v>
      </c>
    </row>
    <row r="6089">
      <c r="A6089" s="2">
        <f>IFERROR(__xludf.DUMMYFUNCTION("""COMPUTED_VALUE"""),45364.66666666667)</f>
        <v>45364.66667</v>
      </c>
      <c r="B6089" s="1">
        <f>IFERROR(__xludf.DUMMYFUNCTION("""COMPUTED_VALUE"""),162.38)</f>
        <v>162.38</v>
      </c>
      <c r="C6089" s="1">
        <f>IFERROR(__xludf.DUMMYFUNCTION("""COMPUTED_VALUE"""),162.73)</f>
        <v>162.73</v>
      </c>
      <c r="D6089" s="1">
        <f>IFERROR(__xludf.DUMMYFUNCTION("""COMPUTED_VALUE"""),161.33)</f>
        <v>161.33</v>
      </c>
      <c r="E6089" s="1">
        <f>IFERROR(__xludf.DUMMYFUNCTION("""COMPUTED_VALUE"""),162.3)</f>
        <v>162.3</v>
      </c>
      <c r="F6089" s="1">
        <f>IFERROR(__xludf.DUMMYFUNCTION("""COMPUTED_VALUE"""),5410679.0)</f>
        <v>5410679</v>
      </c>
    </row>
    <row r="6090">
      <c r="A6090" s="2">
        <f>IFERROR(__xludf.DUMMYFUNCTION("""COMPUTED_VALUE"""),45365.66666666667)</f>
        <v>45365.66667</v>
      </c>
      <c r="B6090" s="1">
        <f>IFERROR(__xludf.DUMMYFUNCTION("""COMPUTED_VALUE"""),162.24)</f>
        <v>162.24</v>
      </c>
      <c r="C6090" s="1">
        <f>IFERROR(__xludf.DUMMYFUNCTION("""COMPUTED_VALUE"""),162.62)</f>
        <v>162.62</v>
      </c>
      <c r="D6090" s="1">
        <f>IFERROR(__xludf.DUMMYFUNCTION("""COMPUTED_VALUE"""),161.13)</f>
        <v>161.13</v>
      </c>
      <c r="E6090" s="1">
        <f>IFERROR(__xludf.DUMMYFUNCTION("""COMPUTED_VALUE"""),161.5)</f>
        <v>161.5</v>
      </c>
      <c r="F6090" s="1">
        <f>IFERROR(__xludf.DUMMYFUNCTION("""COMPUTED_VALUE"""),5848057.0)</f>
        <v>5848057</v>
      </c>
    </row>
    <row r="6091">
      <c r="A6091" s="2">
        <f>IFERROR(__xludf.DUMMYFUNCTION("""COMPUTED_VALUE"""),45366.66666666667)</f>
        <v>45366.66667</v>
      </c>
      <c r="B6091" s="1">
        <f>IFERROR(__xludf.DUMMYFUNCTION("""COMPUTED_VALUE"""),160.7)</f>
        <v>160.7</v>
      </c>
      <c r="C6091" s="1">
        <f>IFERROR(__xludf.DUMMYFUNCTION("""COMPUTED_VALUE"""),161.5)</f>
        <v>161.5</v>
      </c>
      <c r="D6091" s="1">
        <f>IFERROR(__xludf.DUMMYFUNCTION("""COMPUTED_VALUE"""),160.3)</f>
        <v>160.3</v>
      </c>
      <c r="E6091" s="1">
        <f>IFERROR(__xludf.DUMMYFUNCTION("""COMPUTED_VALUE"""),161.38)</f>
        <v>161.38</v>
      </c>
      <c r="F6091" s="1">
        <f>IFERROR(__xludf.DUMMYFUNCTION("""COMPUTED_VALUE"""),1.0956888E7)</f>
        <v>10956888</v>
      </c>
    </row>
    <row r="6092">
      <c r="A6092" s="2">
        <f>IFERROR(__xludf.DUMMYFUNCTION("""COMPUTED_VALUE"""),45369.66666666667)</f>
        <v>45369.66667</v>
      </c>
      <c r="B6092" s="1">
        <f>IFERROR(__xludf.DUMMYFUNCTION("""COMPUTED_VALUE"""),161.48)</f>
        <v>161.48</v>
      </c>
      <c r="C6092" s="1">
        <f>IFERROR(__xludf.DUMMYFUNCTION("""COMPUTED_VALUE"""),162.72)</f>
        <v>162.72</v>
      </c>
      <c r="D6092" s="1">
        <f>IFERROR(__xludf.DUMMYFUNCTION("""COMPUTED_VALUE"""),161.0)</f>
        <v>161</v>
      </c>
      <c r="E6092" s="1">
        <f>IFERROR(__xludf.DUMMYFUNCTION("""COMPUTED_VALUE"""),161.21)</f>
        <v>161.21</v>
      </c>
      <c r="F6092" s="1">
        <f>IFERROR(__xludf.DUMMYFUNCTION("""COMPUTED_VALUE"""),6086268.0)</f>
        <v>6086268</v>
      </c>
    </row>
    <row r="6093">
      <c r="A6093" s="2">
        <f>IFERROR(__xludf.DUMMYFUNCTION("""COMPUTED_VALUE"""),45370.66666666667)</f>
        <v>45370.66667</v>
      </c>
      <c r="B6093" s="1">
        <f>IFERROR(__xludf.DUMMYFUNCTION("""COMPUTED_VALUE"""),161.8)</f>
        <v>161.8</v>
      </c>
      <c r="C6093" s="1">
        <f>IFERROR(__xludf.DUMMYFUNCTION("""COMPUTED_VALUE"""),162.17)</f>
        <v>162.17</v>
      </c>
      <c r="D6093" s="1">
        <f>IFERROR(__xludf.DUMMYFUNCTION("""COMPUTED_VALUE"""),161.17)</f>
        <v>161.17</v>
      </c>
      <c r="E6093" s="1">
        <f>IFERROR(__xludf.DUMMYFUNCTION("""COMPUTED_VALUE"""),161.83)</f>
        <v>161.83</v>
      </c>
      <c r="F6093" s="1">
        <f>IFERROR(__xludf.DUMMYFUNCTION("""COMPUTED_VALUE"""),6148240.0)</f>
        <v>6148240</v>
      </c>
    </row>
    <row r="6094">
      <c r="A6094" s="2">
        <f>IFERROR(__xludf.DUMMYFUNCTION("""COMPUTED_VALUE"""),45371.66666666667)</f>
        <v>45371.66667</v>
      </c>
      <c r="B6094" s="1">
        <f>IFERROR(__xludf.DUMMYFUNCTION("""COMPUTED_VALUE"""),162.01)</f>
        <v>162.01</v>
      </c>
      <c r="C6094" s="1">
        <f>IFERROR(__xludf.DUMMYFUNCTION("""COMPUTED_VALUE"""),162.4)</f>
        <v>162.4</v>
      </c>
      <c r="D6094" s="1">
        <f>IFERROR(__xludf.DUMMYFUNCTION("""COMPUTED_VALUE"""),161.47)</f>
        <v>161.47</v>
      </c>
      <c r="E6094" s="1">
        <f>IFERROR(__xludf.DUMMYFUNCTION("""COMPUTED_VALUE"""),161.99)</f>
        <v>161.99</v>
      </c>
      <c r="F6094" s="1">
        <f>IFERROR(__xludf.DUMMYFUNCTION("""COMPUTED_VALUE"""),4870296.0)</f>
        <v>4870296</v>
      </c>
    </row>
    <row r="6095">
      <c r="A6095" s="2">
        <f>IFERROR(__xludf.DUMMYFUNCTION("""COMPUTED_VALUE"""),45372.66666666667)</f>
        <v>45372.66667</v>
      </c>
      <c r="B6095" s="1">
        <f>IFERROR(__xludf.DUMMYFUNCTION("""COMPUTED_VALUE"""),162.09)</f>
        <v>162.09</v>
      </c>
      <c r="C6095" s="1">
        <f>IFERROR(__xludf.DUMMYFUNCTION("""COMPUTED_VALUE"""),162.46)</f>
        <v>162.46</v>
      </c>
      <c r="D6095" s="1">
        <f>IFERROR(__xludf.DUMMYFUNCTION("""COMPUTED_VALUE"""),161.12)</f>
        <v>161.12</v>
      </c>
      <c r="E6095" s="1">
        <f>IFERROR(__xludf.DUMMYFUNCTION("""COMPUTED_VALUE"""),161.86)</f>
        <v>161.86</v>
      </c>
      <c r="F6095" s="1">
        <f>IFERROR(__xludf.DUMMYFUNCTION("""COMPUTED_VALUE"""),5211676.0)</f>
        <v>5211676</v>
      </c>
    </row>
    <row r="6096">
      <c r="A6096" s="2">
        <f>IFERROR(__xludf.DUMMYFUNCTION("""COMPUTED_VALUE"""),45373.66666666667)</f>
        <v>45373.66667</v>
      </c>
      <c r="B6096" s="1">
        <f>IFERROR(__xludf.DUMMYFUNCTION("""COMPUTED_VALUE"""),162.2)</f>
        <v>162.2</v>
      </c>
      <c r="C6096" s="1">
        <f>IFERROR(__xludf.DUMMYFUNCTION("""COMPUTED_VALUE"""),162.41)</f>
        <v>162.41</v>
      </c>
      <c r="D6096" s="1">
        <f>IFERROR(__xludf.DUMMYFUNCTION("""COMPUTED_VALUE"""),161.47)</f>
        <v>161.47</v>
      </c>
      <c r="E6096" s="1">
        <f>IFERROR(__xludf.DUMMYFUNCTION("""COMPUTED_VALUE"""),161.66)</f>
        <v>161.66</v>
      </c>
      <c r="F6096" s="1">
        <f>IFERROR(__xludf.DUMMYFUNCTION("""COMPUTED_VALUE"""),6393425.0)</f>
        <v>6393425</v>
      </c>
    </row>
    <row r="6097">
      <c r="A6097" s="2">
        <f>IFERROR(__xludf.DUMMYFUNCTION("""COMPUTED_VALUE"""),45376.66666666667)</f>
        <v>45376.66667</v>
      </c>
      <c r="B6097" s="1">
        <f>IFERROR(__xludf.DUMMYFUNCTION("""COMPUTED_VALUE"""),161.17)</f>
        <v>161.17</v>
      </c>
      <c r="C6097" s="1">
        <f>IFERROR(__xludf.DUMMYFUNCTION("""COMPUTED_VALUE"""),161.66)</f>
        <v>161.66</v>
      </c>
      <c r="D6097" s="1">
        <f>IFERROR(__xludf.DUMMYFUNCTION("""COMPUTED_VALUE"""),159.73)</f>
        <v>159.73</v>
      </c>
      <c r="E6097" s="1">
        <f>IFERROR(__xludf.DUMMYFUNCTION("""COMPUTED_VALUE"""),160.19)</f>
        <v>160.19</v>
      </c>
      <c r="F6097" s="1">
        <f>IFERROR(__xludf.DUMMYFUNCTION("""COMPUTED_VALUE"""),7145692.0)</f>
        <v>7145692</v>
      </c>
    </row>
    <row r="6098">
      <c r="A6098" s="2">
        <f>IFERROR(__xludf.DUMMYFUNCTION("""COMPUTED_VALUE"""),45377.66666666667)</f>
        <v>45377.66667</v>
      </c>
      <c r="B6098" s="1">
        <f>IFERROR(__xludf.DUMMYFUNCTION("""COMPUTED_VALUE"""),160.36)</f>
        <v>160.36</v>
      </c>
      <c r="C6098" s="1">
        <f>IFERROR(__xludf.DUMMYFUNCTION("""COMPUTED_VALUE"""),161.14)</f>
        <v>161.14</v>
      </c>
      <c r="D6098" s="1">
        <f>IFERROR(__xludf.DUMMYFUNCTION("""COMPUTED_VALUE"""),160.14)</f>
        <v>160.14</v>
      </c>
      <c r="E6098" s="1">
        <f>IFERROR(__xludf.DUMMYFUNCTION("""COMPUTED_VALUE"""),160.55)</f>
        <v>160.55</v>
      </c>
      <c r="F6098" s="1">
        <f>IFERROR(__xludf.DUMMYFUNCTION("""COMPUTED_VALUE"""),5842850.0)</f>
        <v>5842850</v>
      </c>
    </row>
    <row r="6099">
      <c r="A6099" s="2">
        <f>IFERROR(__xludf.DUMMYFUNCTION("""COMPUTED_VALUE"""),45378.66666666667)</f>
        <v>45378.66667</v>
      </c>
      <c r="B6099" s="1">
        <f>IFERROR(__xludf.DUMMYFUNCTION("""COMPUTED_VALUE"""),161.36)</f>
        <v>161.36</v>
      </c>
      <c r="C6099" s="1">
        <f>IFERROR(__xludf.DUMMYFUNCTION("""COMPUTED_VALUE"""),162.74)</f>
        <v>162.74</v>
      </c>
      <c r="D6099" s="1">
        <f>IFERROR(__xludf.DUMMYFUNCTION("""COMPUTED_VALUE"""),161.34)</f>
        <v>161.34</v>
      </c>
      <c r="E6099" s="1">
        <f>IFERROR(__xludf.DUMMYFUNCTION("""COMPUTED_VALUE"""),162.61)</f>
        <v>162.61</v>
      </c>
      <c r="F6099" s="1">
        <f>IFERROR(__xludf.DUMMYFUNCTION("""COMPUTED_VALUE"""),6599711.0)</f>
        <v>6599711</v>
      </c>
    </row>
    <row r="6100">
      <c r="A6100" s="2">
        <f>IFERROR(__xludf.DUMMYFUNCTION("""COMPUTED_VALUE"""),45379.66666666667)</f>
        <v>45379.66667</v>
      </c>
      <c r="B6100" s="1">
        <f>IFERROR(__xludf.DUMMYFUNCTION("""COMPUTED_VALUE"""),162.82)</f>
        <v>162.82</v>
      </c>
      <c r="C6100" s="1">
        <f>IFERROR(__xludf.DUMMYFUNCTION("""COMPUTED_VALUE"""),163.14)</f>
        <v>163.14</v>
      </c>
      <c r="D6100" s="1">
        <f>IFERROR(__xludf.DUMMYFUNCTION("""COMPUTED_VALUE"""),161.7)</f>
        <v>161.7</v>
      </c>
      <c r="E6100" s="1">
        <f>IFERROR(__xludf.DUMMYFUNCTION("""COMPUTED_VALUE"""),162.25)</f>
        <v>162.25</v>
      </c>
      <c r="F6100" s="1">
        <f>IFERROR(__xludf.DUMMYFUNCTION("""COMPUTED_VALUE"""),7191571.0)</f>
        <v>7191571</v>
      </c>
    </row>
    <row r="6101">
      <c r="A6101" s="2">
        <f>IFERROR(__xludf.DUMMYFUNCTION("""COMPUTED_VALUE"""),45383.66666666667)</f>
        <v>45383.66667</v>
      </c>
      <c r="B6101" s="1">
        <f>IFERROR(__xludf.DUMMYFUNCTION("""COMPUTED_VALUE"""),161.78)</f>
        <v>161.78</v>
      </c>
      <c r="C6101" s="1">
        <f>IFERROR(__xludf.DUMMYFUNCTION("""COMPUTED_VALUE"""),162.07)</f>
        <v>162.07</v>
      </c>
      <c r="D6101" s="1">
        <f>IFERROR(__xludf.DUMMYFUNCTION("""COMPUTED_VALUE"""),159.8)</f>
        <v>159.8</v>
      </c>
      <c r="E6101" s="1">
        <f>IFERROR(__xludf.DUMMYFUNCTION("""COMPUTED_VALUE"""),160.58)</f>
        <v>160.58</v>
      </c>
      <c r="F6101" s="1">
        <f>IFERROR(__xludf.DUMMYFUNCTION("""COMPUTED_VALUE"""),5971857.0)</f>
        <v>5971857</v>
      </c>
    </row>
    <row r="6102">
      <c r="A6102" s="2">
        <f>IFERROR(__xludf.DUMMYFUNCTION("""COMPUTED_VALUE"""),45384.66666666667)</f>
        <v>45384.66667</v>
      </c>
      <c r="B6102" s="1">
        <f>IFERROR(__xludf.DUMMYFUNCTION("""COMPUTED_VALUE"""),159.64)</f>
        <v>159.64</v>
      </c>
      <c r="C6102" s="1">
        <f>IFERROR(__xludf.DUMMYFUNCTION("""COMPUTED_VALUE"""),160.71)</f>
        <v>160.71</v>
      </c>
      <c r="D6102" s="1">
        <f>IFERROR(__xludf.DUMMYFUNCTION("""COMPUTED_VALUE"""),159.64)</f>
        <v>159.64</v>
      </c>
      <c r="E6102" s="1">
        <f>IFERROR(__xludf.DUMMYFUNCTION("""COMPUTED_VALUE"""),160.57)</f>
        <v>160.57</v>
      </c>
      <c r="F6102" s="1">
        <f>IFERROR(__xludf.DUMMYFUNCTION("""COMPUTED_VALUE"""),6771395.0)</f>
        <v>6771395</v>
      </c>
    </row>
    <row r="6103">
      <c r="A6103" s="2">
        <f>IFERROR(__xludf.DUMMYFUNCTION("""COMPUTED_VALUE"""),45385.66666666667)</f>
        <v>45385.66667</v>
      </c>
      <c r="B6103" s="1">
        <f>IFERROR(__xludf.DUMMYFUNCTION("""COMPUTED_VALUE"""),160.63)</f>
        <v>160.63</v>
      </c>
      <c r="C6103" s="1">
        <f>IFERROR(__xludf.DUMMYFUNCTION("""COMPUTED_VALUE"""),160.88)</f>
        <v>160.88</v>
      </c>
      <c r="D6103" s="1">
        <f>IFERROR(__xludf.DUMMYFUNCTION("""COMPUTED_VALUE"""),155.68)</f>
        <v>155.68</v>
      </c>
      <c r="E6103" s="1">
        <f>IFERROR(__xludf.DUMMYFUNCTION("""COMPUTED_VALUE"""),156.15)</f>
        <v>156.15</v>
      </c>
      <c r="F6103" s="1">
        <f>IFERROR(__xludf.DUMMYFUNCTION("""COMPUTED_VALUE"""),9601812.0)</f>
        <v>9601812</v>
      </c>
    </row>
    <row r="6104">
      <c r="A6104" s="2">
        <f>IFERROR(__xludf.DUMMYFUNCTION("""COMPUTED_VALUE"""),45386.66666666667)</f>
        <v>45386.66667</v>
      </c>
      <c r="B6104" s="1">
        <f>IFERROR(__xludf.DUMMYFUNCTION("""COMPUTED_VALUE"""),156.88)</f>
        <v>156.88</v>
      </c>
      <c r="C6104" s="1">
        <f>IFERROR(__xludf.DUMMYFUNCTION("""COMPUTED_VALUE"""),157.08)</f>
        <v>157.08</v>
      </c>
      <c r="D6104" s="1">
        <f>IFERROR(__xludf.DUMMYFUNCTION("""COMPUTED_VALUE"""),155.41)</f>
        <v>155.41</v>
      </c>
      <c r="E6104" s="1">
        <f>IFERROR(__xludf.DUMMYFUNCTION("""COMPUTED_VALUE"""),155.45)</f>
        <v>155.45</v>
      </c>
      <c r="F6104" s="1">
        <f>IFERROR(__xludf.DUMMYFUNCTION("""COMPUTED_VALUE"""),6801662.0)</f>
        <v>6801662</v>
      </c>
    </row>
    <row r="6105">
      <c r="A6105" s="2">
        <f>IFERROR(__xludf.DUMMYFUNCTION("""COMPUTED_VALUE"""),45387.66666666667)</f>
        <v>45387.66667</v>
      </c>
      <c r="B6105" s="1">
        <f>IFERROR(__xludf.DUMMYFUNCTION("""COMPUTED_VALUE"""),155.29)</f>
        <v>155.29</v>
      </c>
      <c r="C6105" s="1">
        <f>IFERROR(__xludf.DUMMYFUNCTION("""COMPUTED_VALUE"""),157.06)</f>
        <v>157.06</v>
      </c>
      <c r="D6105" s="1">
        <f>IFERROR(__xludf.DUMMYFUNCTION("""COMPUTED_VALUE"""),154.69)</f>
        <v>154.69</v>
      </c>
      <c r="E6105" s="1">
        <f>IFERROR(__xludf.DUMMYFUNCTION("""COMPUTED_VALUE"""),156.1)</f>
        <v>156.1</v>
      </c>
      <c r="F6105" s="1">
        <f>IFERROR(__xludf.DUMMYFUNCTION("""COMPUTED_VALUE"""),5121197.0)</f>
        <v>5121197</v>
      </c>
    </row>
    <row r="6106">
      <c r="A6106" s="2">
        <f>IFERROR(__xludf.DUMMYFUNCTION("""COMPUTED_VALUE"""),45390.66666666667)</f>
        <v>45390.66667</v>
      </c>
      <c r="B6106" s="1">
        <f>IFERROR(__xludf.DUMMYFUNCTION("""COMPUTED_VALUE"""),155.97)</f>
        <v>155.97</v>
      </c>
      <c r="C6106" s="1">
        <f>IFERROR(__xludf.DUMMYFUNCTION("""COMPUTED_VALUE"""),156.7)</f>
        <v>156.7</v>
      </c>
      <c r="D6106" s="1">
        <f>IFERROR(__xludf.DUMMYFUNCTION("""COMPUTED_VALUE"""),155.63)</f>
        <v>155.63</v>
      </c>
      <c r="E6106" s="1">
        <f>IFERROR(__xludf.DUMMYFUNCTION("""COMPUTED_VALUE"""),156.04)</f>
        <v>156.04</v>
      </c>
      <c r="F6106" s="1">
        <f>IFERROR(__xludf.DUMMYFUNCTION("""COMPUTED_VALUE"""),5476752.0)</f>
        <v>5476752</v>
      </c>
    </row>
    <row r="6107">
      <c r="A6107" s="2">
        <f>IFERROR(__xludf.DUMMYFUNCTION("""COMPUTED_VALUE"""),45391.66666666667)</f>
        <v>45391.66667</v>
      </c>
      <c r="B6107" s="1">
        <f>IFERROR(__xludf.DUMMYFUNCTION("""COMPUTED_VALUE"""),156.27)</f>
        <v>156.27</v>
      </c>
      <c r="C6107" s="1">
        <f>IFERROR(__xludf.DUMMYFUNCTION("""COMPUTED_VALUE"""),156.75)</f>
        <v>156.75</v>
      </c>
      <c r="D6107" s="1">
        <f>IFERROR(__xludf.DUMMYFUNCTION("""COMPUTED_VALUE"""),155.7)</f>
        <v>155.7</v>
      </c>
      <c r="E6107" s="1">
        <f>IFERROR(__xludf.DUMMYFUNCTION("""COMPUTED_VALUE"""),156.66)</f>
        <v>156.66</v>
      </c>
      <c r="F6107" s="1">
        <f>IFERROR(__xludf.DUMMYFUNCTION("""COMPUTED_VALUE"""),4613751.0)</f>
        <v>4613751</v>
      </c>
    </row>
    <row r="6108">
      <c r="A6108" s="2">
        <f>IFERROR(__xludf.DUMMYFUNCTION("""COMPUTED_VALUE"""),45392.66666666667)</f>
        <v>45392.66667</v>
      </c>
      <c r="B6108" s="1">
        <f>IFERROR(__xludf.DUMMYFUNCTION("""COMPUTED_VALUE"""),155.65)</f>
        <v>155.65</v>
      </c>
      <c r="C6108" s="1">
        <f>IFERROR(__xludf.DUMMYFUNCTION("""COMPUTED_VALUE"""),157.58)</f>
        <v>157.58</v>
      </c>
      <c r="D6108" s="1">
        <f>IFERROR(__xludf.DUMMYFUNCTION("""COMPUTED_VALUE"""),155.65)</f>
        <v>155.65</v>
      </c>
      <c r="E6108" s="1">
        <f>IFERROR(__xludf.DUMMYFUNCTION("""COMPUTED_VALUE"""),157.24)</f>
        <v>157.24</v>
      </c>
      <c r="F6108" s="1">
        <f>IFERROR(__xludf.DUMMYFUNCTION("""COMPUTED_VALUE"""),7785084.0)</f>
        <v>7785084</v>
      </c>
    </row>
    <row r="6109">
      <c r="A6109" s="2">
        <f>IFERROR(__xludf.DUMMYFUNCTION("""COMPUTED_VALUE"""),45393.66666666667)</f>
        <v>45393.66667</v>
      </c>
      <c r="B6109" s="1">
        <f>IFERROR(__xludf.DUMMYFUNCTION("""COMPUTED_VALUE"""),157.55)</f>
        <v>157.55</v>
      </c>
      <c r="C6109" s="1">
        <f>IFERROR(__xludf.DUMMYFUNCTION("""COMPUTED_VALUE"""),157.6)</f>
        <v>157.6</v>
      </c>
      <c r="D6109" s="1">
        <f>IFERROR(__xludf.DUMMYFUNCTION("""COMPUTED_VALUE"""),155.77)</f>
        <v>155.77</v>
      </c>
      <c r="E6109" s="1">
        <f>IFERROR(__xludf.DUMMYFUNCTION("""COMPUTED_VALUE"""),155.84)</f>
        <v>155.84</v>
      </c>
      <c r="F6109" s="1">
        <f>IFERROR(__xludf.DUMMYFUNCTION("""COMPUTED_VALUE"""),8209765.0)</f>
        <v>8209765</v>
      </c>
    </row>
    <row r="6110">
      <c r="A6110" s="2">
        <f>IFERROR(__xludf.DUMMYFUNCTION("""COMPUTED_VALUE"""),45394.66666666667)</f>
        <v>45394.66667</v>
      </c>
      <c r="B6110" s="1">
        <f>IFERROR(__xludf.DUMMYFUNCTION("""COMPUTED_VALUE"""),155.22)</f>
        <v>155.22</v>
      </c>
      <c r="C6110" s="1">
        <f>IFERROR(__xludf.DUMMYFUNCTION("""COMPUTED_VALUE"""),155.97)</f>
        <v>155.97</v>
      </c>
      <c r="D6110" s="1">
        <f>IFERROR(__xludf.DUMMYFUNCTION("""COMPUTED_VALUE"""),154.74)</f>
        <v>154.74</v>
      </c>
      <c r="E6110" s="1">
        <f>IFERROR(__xludf.DUMMYFUNCTION("""COMPUTED_VALUE"""),155.33)</f>
        <v>155.33</v>
      </c>
      <c r="F6110" s="1">
        <f>IFERROR(__xludf.DUMMYFUNCTION("""COMPUTED_VALUE"""),6770659.0)</f>
        <v>6770659</v>
      </c>
    </row>
    <row r="6111">
      <c r="A6111" s="2">
        <f>IFERROR(__xludf.DUMMYFUNCTION("""COMPUTED_VALUE"""),45397.66666666667)</f>
        <v>45397.66667</v>
      </c>
      <c r="B6111" s="1">
        <f>IFERROR(__xludf.DUMMYFUNCTION("""COMPUTED_VALUE"""),156.42)</f>
        <v>156.42</v>
      </c>
      <c r="C6111" s="1">
        <f>IFERROR(__xludf.DUMMYFUNCTION("""COMPUTED_VALUE"""),156.82)</f>
        <v>156.82</v>
      </c>
      <c r="D6111" s="1">
        <f>IFERROR(__xludf.DUMMYFUNCTION("""COMPUTED_VALUE"""),155.33)</f>
        <v>155.33</v>
      </c>
      <c r="E6111" s="1">
        <f>IFERROR(__xludf.DUMMYFUNCTION("""COMPUTED_VALUE"""),155.45)</f>
        <v>155.45</v>
      </c>
      <c r="F6111" s="1">
        <f>IFERROR(__xludf.DUMMYFUNCTION("""COMPUTED_VALUE"""),5753987.0)</f>
        <v>5753987</v>
      </c>
    </row>
    <row r="6112">
      <c r="A6112" s="2">
        <f>IFERROR(__xludf.DUMMYFUNCTION("""COMPUTED_VALUE"""),45398.66666666667)</f>
        <v>45398.66667</v>
      </c>
      <c r="B6112" s="1">
        <f>IFERROR(__xludf.DUMMYFUNCTION("""COMPUTED_VALUE"""),155.85)</f>
        <v>155.85</v>
      </c>
      <c r="C6112" s="1">
        <f>IFERROR(__xludf.DUMMYFUNCTION("""COMPUTED_VALUE"""),156.94)</f>
        <v>156.94</v>
      </c>
      <c r="D6112" s="1">
        <f>IFERROR(__xludf.DUMMYFUNCTION("""COMPUTED_VALUE"""),155.67)</f>
        <v>155.67</v>
      </c>
      <c r="E6112" s="1">
        <f>IFERROR(__xludf.DUMMYFUNCTION("""COMPUTED_VALUE"""),155.95)</f>
        <v>155.95</v>
      </c>
      <c r="F6112" s="1">
        <f>IFERROR(__xludf.DUMMYFUNCTION("""COMPUTED_VALUE"""),6103296.0)</f>
        <v>6103296</v>
      </c>
    </row>
    <row r="6113">
      <c r="A6113" s="2">
        <f>IFERROR(__xludf.DUMMYFUNCTION("""COMPUTED_VALUE"""),45399.66666666667)</f>
        <v>45399.66667</v>
      </c>
      <c r="B6113" s="1">
        <f>IFERROR(__xludf.DUMMYFUNCTION("""COMPUTED_VALUE"""),156.3)</f>
        <v>156.3</v>
      </c>
      <c r="C6113" s="1">
        <f>IFERROR(__xludf.DUMMYFUNCTION("""COMPUTED_VALUE"""),157.12)</f>
        <v>157.12</v>
      </c>
      <c r="D6113" s="1">
        <f>IFERROR(__xludf.DUMMYFUNCTION("""COMPUTED_VALUE"""),155.74)</f>
        <v>155.74</v>
      </c>
      <c r="E6113" s="1">
        <f>IFERROR(__xludf.DUMMYFUNCTION("""COMPUTED_VALUE"""),156.96)</f>
        <v>156.96</v>
      </c>
      <c r="F6113" s="1">
        <f>IFERROR(__xludf.DUMMYFUNCTION("""COMPUTED_VALUE"""),6621906.0)</f>
        <v>6621906</v>
      </c>
    </row>
    <row r="6114">
      <c r="A6114" s="2">
        <f>IFERROR(__xludf.DUMMYFUNCTION("""COMPUTED_VALUE"""),45400.66666666667)</f>
        <v>45400.66667</v>
      </c>
      <c r="B6114" s="1">
        <f>IFERROR(__xludf.DUMMYFUNCTION("""COMPUTED_VALUE"""),156.34)</f>
        <v>156.34</v>
      </c>
      <c r="C6114" s="1">
        <f>IFERROR(__xludf.DUMMYFUNCTION("""COMPUTED_VALUE"""),157.63)</f>
        <v>157.63</v>
      </c>
      <c r="D6114" s="1">
        <f>IFERROR(__xludf.DUMMYFUNCTION("""COMPUTED_VALUE"""),155.96)</f>
        <v>155.96</v>
      </c>
      <c r="E6114" s="1">
        <f>IFERROR(__xludf.DUMMYFUNCTION("""COMPUTED_VALUE"""),157.29)</f>
        <v>157.29</v>
      </c>
      <c r="F6114" s="1">
        <f>IFERROR(__xludf.DUMMYFUNCTION("""COMPUTED_VALUE"""),7819261.0)</f>
        <v>7819261</v>
      </c>
    </row>
    <row r="6115">
      <c r="A6115" s="2">
        <f>IFERROR(__xludf.DUMMYFUNCTION("""COMPUTED_VALUE"""),45401.66666666667)</f>
        <v>45401.66667</v>
      </c>
      <c r="B6115" s="1">
        <f>IFERROR(__xludf.DUMMYFUNCTION("""COMPUTED_VALUE"""),154.98)</f>
        <v>154.98</v>
      </c>
      <c r="C6115" s="1">
        <f>IFERROR(__xludf.DUMMYFUNCTION("""COMPUTED_VALUE"""),158.18)</f>
        <v>158.18</v>
      </c>
      <c r="D6115" s="1">
        <f>IFERROR(__xludf.DUMMYFUNCTION("""COMPUTED_VALUE"""),153.52)</f>
        <v>153.52</v>
      </c>
      <c r="E6115" s="1">
        <f>IFERROR(__xludf.DUMMYFUNCTION("""COMPUTED_VALUE"""),158.14)</f>
        <v>158.14</v>
      </c>
      <c r="F6115" s="1">
        <f>IFERROR(__xludf.DUMMYFUNCTION("""COMPUTED_VALUE"""),1.2034186E7)</f>
        <v>12034186</v>
      </c>
    </row>
    <row r="6116">
      <c r="A6116" s="2">
        <f>IFERROR(__xludf.DUMMYFUNCTION("""COMPUTED_VALUE"""),45404.66666666667)</f>
        <v>45404.66667</v>
      </c>
      <c r="B6116" s="1">
        <f>IFERROR(__xludf.DUMMYFUNCTION("""COMPUTED_VALUE"""),158.43)</f>
        <v>158.43</v>
      </c>
      <c r="C6116" s="1">
        <f>IFERROR(__xludf.DUMMYFUNCTION("""COMPUTED_VALUE"""),161.29)</f>
        <v>161.29</v>
      </c>
      <c r="D6116" s="1">
        <f>IFERROR(__xludf.DUMMYFUNCTION("""COMPUTED_VALUE"""),157.25)</f>
        <v>157.25</v>
      </c>
      <c r="E6116" s="1">
        <f>IFERROR(__xludf.DUMMYFUNCTION("""COMPUTED_VALUE"""),160.54)</f>
        <v>160.54</v>
      </c>
      <c r="F6116" s="1">
        <f>IFERROR(__xludf.DUMMYFUNCTION("""COMPUTED_VALUE"""),8926327.0)</f>
        <v>8926327</v>
      </c>
    </row>
    <row r="6117">
      <c r="A6117" s="2">
        <f>IFERROR(__xludf.DUMMYFUNCTION("""COMPUTED_VALUE"""),45405.66666666667)</f>
        <v>45405.66667</v>
      </c>
      <c r="B6117" s="1">
        <f>IFERROR(__xludf.DUMMYFUNCTION("""COMPUTED_VALUE"""),161.68)</f>
        <v>161.68</v>
      </c>
      <c r="C6117" s="1">
        <f>IFERROR(__xludf.DUMMYFUNCTION("""COMPUTED_VALUE"""),162.1)</f>
        <v>162.1</v>
      </c>
      <c r="D6117" s="1">
        <f>IFERROR(__xludf.DUMMYFUNCTION("""COMPUTED_VALUE"""),160.42)</f>
        <v>160.42</v>
      </c>
      <c r="E6117" s="1">
        <f>IFERROR(__xludf.DUMMYFUNCTION("""COMPUTED_VALUE"""),161.5)</f>
        <v>161.5</v>
      </c>
      <c r="F6117" s="1">
        <f>IFERROR(__xludf.DUMMYFUNCTION("""COMPUTED_VALUE"""),7707250.0)</f>
        <v>7707250</v>
      </c>
    </row>
    <row r="6118">
      <c r="A6118" s="2">
        <f>IFERROR(__xludf.DUMMYFUNCTION("""COMPUTED_VALUE"""),45406.66666666667)</f>
        <v>45406.66667</v>
      </c>
      <c r="B6118" s="1">
        <f>IFERROR(__xludf.DUMMYFUNCTION("""COMPUTED_VALUE"""),161.2)</f>
        <v>161.2</v>
      </c>
      <c r="C6118" s="1">
        <f>IFERROR(__xludf.DUMMYFUNCTION("""COMPUTED_VALUE"""),162.86)</f>
        <v>162.86</v>
      </c>
      <c r="D6118" s="1">
        <f>IFERROR(__xludf.DUMMYFUNCTION("""COMPUTED_VALUE"""),159.42)</f>
        <v>159.42</v>
      </c>
      <c r="E6118" s="1">
        <f>IFERROR(__xludf.DUMMYFUNCTION("""COMPUTED_VALUE"""),162.6)</f>
        <v>162.6</v>
      </c>
      <c r="F6118" s="1">
        <f>IFERROR(__xludf.DUMMYFUNCTION("""COMPUTED_VALUE"""),7217563.0)</f>
        <v>7217563</v>
      </c>
    </row>
    <row r="6119">
      <c r="A6119" s="2">
        <f>IFERROR(__xludf.DUMMYFUNCTION("""COMPUTED_VALUE"""),45407.66666666667)</f>
        <v>45407.66667</v>
      </c>
      <c r="B6119" s="1">
        <f>IFERROR(__xludf.DUMMYFUNCTION("""COMPUTED_VALUE"""),162.97)</f>
        <v>162.97</v>
      </c>
      <c r="C6119" s="1">
        <f>IFERROR(__xludf.DUMMYFUNCTION("""COMPUTED_VALUE"""),164.32)</f>
        <v>164.32</v>
      </c>
      <c r="D6119" s="1">
        <f>IFERROR(__xludf.DUMMYFUNCTION("""COMPUTED_VALUE"""),162.08)</f>
        <v>162.08</v>
      </c>
      <c r="E6119" s="1">
        <f>IFERROR(__xludf.DUMMYFUNCTION("""COMPUTED_VALUE"""),162.55)</f>
        <v>162.55</v>
      </c>
      <c r="F6119" s="1">
        <f>IFERROR(__xludf.DUMMYFUNCTION("""COMPUTED_VALUE"""),7094620.0)</f>
        <v>7094620</v>
      </c>
    </row>
    <row r="6120">
      <c r="A6120" s="2">
        <f>IFERROR(__xludf.DUMMYFUNCTION("""COMPUTED_VALUE"""),45408.66666666667)</f>
        <v>45408.66667</v>
      </c>
      <c r="B6120" s="1">
        <f>IFERROR(__xludf.DUMMYFUNCTION("""COMPUTED_VALUE"""),162.5)</f>
        <v>162.5</v>
      </c>
      <c r="C6120" s="1">
        <f>IFERROR(__xludf.DUMMYFUNCTION("""COMPUTED_VALUE"""),163.32)</f>
        <v>163.32</v>
      </c>
      <c r="D6120" s="1">
        <f>IFERROR(__xludf.DUMMYFUNCTION("""COMPUTED_VALUE"""),160.49)</f>
        <v>160.49</v>
      </c>
      <c r="E6120" s="1">
        <f>IFERROR(__xludf.DUMMYFUNCTION("""COMPUTED_VALUE"""),161.29)</f>
        <v>161.29</v>
      </c>
      <c r="F6120" s="1">
        <f>IFERROR(__xludf.DUMMYFUNCTION("""COMPUTED_VALUE"""),5659784.0)</f>
        <v>5659784</v>
      </c>
    </row>
    <row r="6121">
      <c r="A6121" s="2">
        <f>IFERROR(__xludf.DUMMYFUNCTION("""COMPUTED_VALUE"""),45411.66666666667)</f>
        <v>45411.66667</v>
      </c>
      <c r="B6121" s="1">
        <f>IFERROR(__xludf.DUMMYFUNCTION("""COMPUTED_VALUE"""),161.17)</f>
        <v>161.17</v>
      </c>
      <c r="C6121" s="1">
        <f>IFERROR(__xludf.DUMMYFUNCTION("""COMPUTED_VALUE"""),161.79)</f>
        <v>161.79</v>
      </c>
      <c r="D6121" s="1">
        <f>IFERROR(__xludf.DUMMYFUNCTION("""COMPUTED_VALUE"""),160.41)</f>
        <v>160.41</v>
      </c>
      <c r="E6121" s="1">
        <f>IFERROR(__xludf.DUMMYFUNCTION("""COMPUTED_VALUE"""),161.66)</f>
        <v>161.66</v>
      </c>
      <c r="F6121" s="1">
        <f>IFERROR(__xludf.DUMMYFUNCTION("""COMPUTED_VALUE"""),4622164.0)</f>
        <v>4622164</v>
      </c>
    </row>
    <row r="6122">
      <c r="A6122" s="2">
        <f>IFERROR(__xludf.DUMMYFUNCTION("""COMPUTED_VALUE"""),45412.66666666667)</f>
        <v>45412.66667</v>
      </c>
      <c r="B6122" s="1">
        <f>IFERROR(__xludf.DUMMYFUNCTION("""COMPUTED_VALUE"""),161.84)</f>
        <v>161.84</v>
      </c>
      <c r="C6122" s="1">
        <f>IFERROR(__xludf.DUMMYFUNCTION("""COMPUTED_VALUE"""),163.35)</f>
        <v>163.35</v>
      </c>
      <c r="D6122" s="1">
        <f>IFERROR(__xludf.DUMMYFUNCTION("""COMPUTED_VALUE"""),161.6)</f>
        <v>161.6</v>
      </c>
      <c r="E6122" s="1">
        <f>IFERROR(__xludf.DUMMYFUNCTION("""COMPUTED_VALUE"""),163.2)</f>
        <v>163.2</v>
      </c>
      <c r="F6122" s="1">
        <f>IFERROR(__xludf.DUMMYFUNCTION("""COMPUTED_VALUE"""),8106098.0)</f>
        <v>8106098</v>
      </c>
    </row>
    <row r="6123">
      <c r="A6123" s="2">
        <f>IFERROR(__xludf.DUMMYFUNCTION("""COMPUTED_VALUE"""),45413.66666666667)</f>
        <v>45413.66667</v>
      </c>
      <c r="B6123" s="1">
        <f>IFERROR(__xludf.DUMMYFUNCTION("""COMPUTED_VALUE"""),163.28)</f>
        <v>163.28</v>
      </c>
      <c r="C6123" s="1">
        <f>IFERROR(__xludf.DUMMYFUNCTION("""COMPUTED_VALUE"""),164.24)</f>
        <v>164.24</v>
      </c>
      <c r="D6123" s="1">
        <f>IFERROR(__xludf.DUMMYFUNCTION("""COMPUTED_VALUE"""),162.22)</f>
        <v>162.22</v>
      </c>
      <c r="E6123" s="1">
        <f>IFERROR(__xludf.DUMMYFUNCTION("""COMPUTED_VALUE"""),163.4)</f>
        <v>163.4</v>
      </c>
      <c r="F6123" s="1">
        <f>IFERROR(__xludf.DUMMYFUNCTION("""COMPUTED_VALUE"""),7543154.0)</f>
        <v>7543154</v>
      </c>
    </row>
    <row r="6124">
      <c r="A6124" s="2">
        <f>IFERROR(__xludf.DUMMYFUNCTION("""COMPUTED_VALUE"""),45414.66666666667)</f>
        <v>45414.66667</v>
      </c>
      <c r="B6124" s="1">
        <f>IFERROR(__xludf.DUMMYFUNCTION("""COMPUTED_VALUE"""),163.54)</f>
        <v>163.54</v>
      </c>
      <c r="C6124" s="1">
        <f>IFERROR(__xludf.DUMMYFUNCTION("""COMPUTED_VALUE"""),164.49)</f>
        <v>164.49</v>
      </c>
      <c r="D6124" s="1">
        <f>IFERROR(__xludf.DUMMYFUNCTION("""COMPUTED_VALUE"""),162.64)</f>
        <v>162.64</v>
      </c>
      <c r="E6124" s="1">
        <f>IFERROR(__xludf.DUMMYFUNCTION("""COMPUTED_VALUE"""),163.84)</f>
        <v>163.84</v>
      </c>
      <c r="F6124" s="1">
        <f>IFERROR(__xludf.DUMMYFUNCTION("""COMPUTED_VALUE"""),5647490.0)</f>
        <v>5647490</v>
      </c>
    </row>
    <row r="6125">
      <c r="A6125" s="2">
        <f>IFERROR(__xludf.DUMMYFUNCTION("""COMPUTED_VALUE"""),45415.66666666667)</f>
        <v>45415.66667</v>
      </c>
      <c r="B6125" s="1">
        <f>IFERROR(__xludf.DUMMYFUNCTION("""COMPUTED_VALUE"""),163.54)</f>
        <v>163.54</v>
      </c>
      <c r="C6125" s="1">
        <f>IFERROR(__xludf.DUMMYFUNCTION("""COMPUTED_VALUE"""),164.71)</f>
        <v>164.71</v>
      </c>
      <c r="D6125" s="1">
        <f>IFERROR(__xludf.DUMMYFUNCTION("""COMPUTED_VALUE"""),162.16)</f>
        <v>162.16</v>
      </c>
      <c r="E6125" s="1">
        <f>IFERROR(__xludf.DUMMYFUNCTION("""COMPUTED_VALUE"""),164.46)</f>
        <v>164.46</v>
      </c>
      <c r="F6125" s="1">
        <f>IFERROR(__xludf.DUMMYFUNCTION("""COMPUTED_VALUE"""),5581692.0)</f>
        <v>5581692</v>
      </c>
    </row>
    <row r="6126">
      <c r="A6126" s="2">
        <f>IFERROR(__xludf.DUMMYFUNCTION("""COMPUTED_VALUE"""),45418.66666666667)</f>
        <v>45418.66667</v>
      </c>
      <c r="B6126" s="1">
        <f>IFERROR(__xludf.DUMMYFUNCTION("""COMPUTED_VALUE"""),164.78)</f>
        <v>164.78</v>
      </c>
      <c r="C6126" s="1">
        <f>IFERROR(__xludf.DUMMYFUNCTION("""COMPUTED_VALUE"""),164.98)</f>
        <v>164.98</v>
      </c>
      <c r="D6126" s="1">
        <f>IFERROR(__xludf.DUMMYFUNCTION("""COMPUTED_VALUE"""),163.26)</f>
        <v>163.26</v>
      </c>
      <c r="E6126" s="1">
        <f>IFERROR(__xludf.DUMMYFUNCTION("""COMPUTED_VALUE"""),164.44)</f>
        <v>164.44</v>
      </c>
      <c r="F6126" s="1">
        <f>IFERROR(__xludf.DUMMYFUNCTION("""COMPUTED_VALUE"""),5472549.0)</f>
        <v>5472549</v>
      </c>
    </row>
    <row r="6127">
      <c r="A6127" s="2">
        <f>IFERROR(__xludf.DUMMYFUNCTION("""COMPUTED_VALUE"""),45419.66666666667)</f>
        <v>45419.66667</v>
      </c>
      <c r="B6127" s="1">
        <f>IFERROR(__xludf.DUMMYFUNCTION("""COMPUTED_VALUE"""),164.98)</f>
        <v>164.98</v>
      </c>
      <c r="C6127" s="1">
        <f>IFERROR(__xludf.DUMMYFUNCTION("""COMPUTED_VALUE"""),166.04)</f>
        <v>166.04</v>
      </c>
      <c r="D6127" s="1">
        <f>IFERROR(__xludf.DUMMYFUNCTION("""COMPUTED_VALUE"""),164.59)</f>
        <v>164.59</v>
      </c>
      <c r="E6127" s="1">
        <f>IFERROR(__xludf.DUMMYFUNCTION("""COMPUTED_VALUE"""),165.76)</f>
        <v>165.76</v>
      </c>
      <c r="F6127" s="1">
        <f>IFERROR(__xludf.DUMMYFUNCTION("""COMPUTED_VALUE"""),6433090.0)</f>
        <v>6433090</v>
      </c>
    </row>
    <row r="6128">
      <c r="A6128" s="2">
        <f>IFERROR(__xludf.DUMMYFUNCTION("""COMPUTED_VALUE"""),45420.66666666667)</f>
        <v>45420.66667</v>
      </c>
      <c r="B6128" s="1">
        <f>IFERROR(__xludf.DUMMYFUNCTION("""COMPUTED_VALUE"""),165.98)</f>
        <v>165.98</v>
      </c>
      <c r="C6128" s="1">
        <f>IFERROR(__xludf.DUMMYFUNCTION("""COMPUTED_VALUE"""),166.37)</f>
        <v>166.37</v>
      </c>
      <c r="D6128" s="1">
        <f>IFERROR(__xludf.DUMMYFUNCTION("""COMPUTED_VALUE"""),164.93)</f>
        <v>164.93</v>
      </c>
      <c r="E6128" s="1">
        <f>IFERROR(__xludf.DUMMYFUNCTION("""COMPUTED_VALUE"""),165.07)</f>
        <v>165.07</v>
      </c>
      <c r="F6128" s="1">
        <f>IFERROR(__xludf.DUMMYFUNCTION("""COMPUTED_VALUE"""),4579471.0)</f>
        <v>4579471</v>
      </c>
    </row>
    <row r="6129">
      <c r="A6129" s="2">
        <f>IFERROR(__xludf.DUMMYFUNCTION("""COMPUTED_VALUE"""),45421.66666666667)</f>
        <v>45421.66667</v>
      </c>
      <c r="B6129" s="1">
        <f>IFERROR(__xludf.DUMMYFUNCTION("""COMPUTED_VALUE"""),165.05)</f>
        <v>165.05</v>
      </c>
      <c r="C6129" s="1">
        <f>IFERROR(__xludf.DUMMYFUNCTION("""COMPUTED_VALUE"""),166.33)</f>
        <v>166.33</v>
      </c>
      <c r="D6129" s="1">
        <f>IFERROR(__xludf.DUMMYFUNCTION("""COMPUTED_VALUE"""),165.05)</f>
        <v>165.05</v>
      </c>
      <c r="E6129" s="1">
        <f>IFERROR(__xludf.DUMMYFUNCTION("""COMPUTED_VALUE"""),166.04)</f>
        <v>166.04</v>
      </c>
      <c r="F6129" s="1">
        <f>IFERROR(__xludf.DUMMYFUNCTION("""COMPUTED_VALUE"""),4671126.0)</f>
        <v>4671126</v>
      </c>
    </row>
    <row r="6130">
      <c r="A6130" s="2">
        <f>IFERROR(__xludf.DUMMYFUNCTION("""COMPUTED_VALUE"""),45422.66666666667)</f>
        <v>45422.66667</v>
      </c>
      <c r="B6130" s="1">
        <f>IFERROR(__xludf.DUMMYFUNCTION("""COMPUTED_VALUE"""),166.09)</f>
        <v>166.09</v>
      </c>
      <c r="C6130" s="1">
        <f>IFERROR(__xludf.DUMMYFUNCTION("""COMPUTED_VALUE"""),167.36)</f>
        <v>167.36</v>
      </c>
      <c r="D6130" s="1">
        <f>IFERROR(__xludf.DUMMYFUNCTION("""COMPUTED_VALUE"""),165.7)</f>
        <v>165.7</v>
      </c>
      <c r="E6130" s="1">
        <f>IFERROR(__xludf.DUMMYFUNCTION("""COMPUTED_VALUE"""),166.85)</f>
        <v>166.85</v>
      </c>
      <c r="F6130" s="1">
        <f>IFERROR(__xludf.DUMMYFUNCTION("""COMPUTED_VALUE"""),4879427.0)</f>
        <v>4879427</v>
      </c>
    </row>
    <row r="6131">
      <c r="A6131" s="2">
        <f>IFERROR(__xludf.DUMMYFUNCTION("""COMPUTED_VALUE"""),45425.66666666667)</f>
        <v>45425.66667</v>
      </c>
      <c r="B6131" s="1">
        <f>IFERROR(__xludf.DUMMYFUNCTION("""COMPUTED_VALUE"""),166.85)</f>
        <v>166.85</v>
      </c>
      <c r="C6131" s="1">
        <f>IFERROR(__xludf.DUMMYFUNCTION("""COMPUTED_VALUE"""),167.65)</f>
        <v>167.65</v>
      </c>
      <c r="D6131" s="1">
        <f>IFERROR(__xludf.DUMMYFUNCTION("""COMPUTED_VALUE"""),165.36)</f>
        <v>165.36</v>
      </c>
      <c r="E6131" s="1">
        <f>IFERROR(__xludf.DUMMYFUNCTION("""COMPUTED_VALUE"""),165.87)</f>
        <v>165.87</v>
      </c>
      <c r="F6131" s="1">
        <f>IFERROR(__xludf.DUMMYFUNCTION("""COMPUTED_VALUE"""),5725523.0)</f>
        <v>5725523</v>
      </c>
    </row>
    <row r="6132">
      <c r="A6132" s="2">
        <f>IFERROR(__xludf.DUMMYFUNCTION("""COMPUTED_VALUE"""),45426.66666666667)</f>
        <v>45426.66667</v>
      </c>
      <c r="B6132" s="1">
        <f>IFERROR(__xludf.DUMMYFUNCTION("""COMPUTED_VALUE"""),165.53)</f>
        <v>165.53</v>
      </c>
      <c r="C6132" s="1">
        <f>IFERROR(__xludf.DUMMYFUNCTION("""COMPUTED_VALUE"""),166.07)</f>
        <v>166.07</v>
      </c>
      <c r="D6132" s="1">
        <f>IFERROR(__xludf.DUMMYFUNCTION("""COMPUTED_VALUE"""),163.95)</f>
        <v>163.95</v>
      </c>
      <c r="E6132" s="1">
        <f>IFERROR(__xludf.DUMMYFUNCTION("""COMPUTED_VALUE"""),165.76)</f>
        <v>165.76</v>
      </c>
      <c r="F6132" s="1">
        <f>IFERROR(__xludf.DUMMYFUNCTION("""COMPUTED_VALUE"""),6009837.0)</f>
        <v>6009837</v>
      </c>
    </row>
    <row r="6133">
      <c r="A6133" s="2">
        <f>IFERROR(__xludf.DUMMYFUNCTION("""COMPUTED_VALUE"""),45427.66666666667)</f>
        <v>45427.66667</v>
      </c>
      <c r="B6133" s="1">
        <f>IFERROR(__xludf.DUMMYFUNCTION("""COMPUTED_VALUE"""),165.31)</f>
        <v>165.31</v>
      </c>
      <c r="C6133" s="1">
        <f>IFERROR(__xludf.DUMMYFUNCTION("""COMPUTED_VALUE"""),166.68)</f>
        <v>166.68</v>
      </c>
      <c r="D6133" s="1">
        <f>IFERROR(__xludf.DUMMYFUNCTION("""COMPUTED_VALUE"""),165.12)</f>
        <v>165.12</v>
      </c>
      <c r="E6133" s="1">
        <f>IFERROR(__xludf.DUMMYFUNCTION("""COMPUTED_VALUE"""),166.51)</f>
        <v>166.51</v>
      </c>
      <c r="F6133" s="1">
        <f>IFERROR(__xludf.DUMMYFUNCTION("""COMPUTED_VALUE"""),5102897.0)</f>
        <v>5102897</v>
      </c>
    </row>
    <row r="6134">
      <c r="A6134" s="2">
        <f>IFERROR(__xludf.DUMMYFUNCTION("""COMPUTED_VALUE"""),45428.66666666667)</f>
        <v>45428.66667</v>
      </c>
      <c r="B6134" s="1">
        <f>IFERROR(__xludf.DUMMYFUNCTION("""COMPUTED_VALUE"""),166.93)</f>
        <v>166.93</v>
      </c>
      <c r="C6134" s="1">
        <f>IFERROR(__xludf.DUMMYFUNCTION("""COMPUTED_VALUE"""),168.34)</f>
        <v>168.34</v>
      </c>
      <c r="D6134" s="1">
        <f>IFERROR(__xludf.DUMMYFUNCTION("""COMPUTED_VALUE"""),166.59)</f>
        <v>166.59</v>
      </c>
      <c r="E6134" s="1">
        <f>IFERROR(__xludf.DUMMYFUNCTION("""COMPUTED_VALUE"""),167.86)</f>
        <v>167.86</v>
      </c>
      <c r="F6134" s="1">
        <f>IFERROR(__xludf.DUMMYFUNCTION("""COMPUTED_VALUE"""),6793672.0)</f>
        <v>6793672</v>
      </c>
    </row>
    <row r="6135">
      <c r="A6135" s="2">
        <f>IFERROR(__xludf.DUMMYFUNCTION("""COMPUTED_VALUE"""),45429.66666666667)</f>
        <v>45429.66667</v>
      </c>
      <c r="B6135" s="1">
        <f>IFERROR(__xludf.DUMMYFUNCTION("""COMPUTED_VALUE"""),167.67)</f>
        <v>167.67</v>
      </c>
      <c r="C6135" s="1">
        <f>IFERROR(__xludf.DUMMYFUNCTION("""COMPUTED_VALUE"""),168.0)</f>
        <v>168</v>
      </c>
      <c r="D6135" s="1">
        <f>IFERROR(__xludf.DUMMYFUNCTION("""COMPUTED_VALUE"""),166.88)</f>
        <v>166.88</v>
      </c>
      <c r="E6135" s="1">
        <f>IFERROR(__xludf.DUMMYFUNCTION("""COMPUTED_VALUE"""),167.64)</f>
        <v>167.64</v>
      </c>
      <c r="F6135" s="1">
        <f>IFERROR(__xludf.DUMMYFUNCTION("""COMPUTED_VALUE"""),4700819.0)</f>
        <v>4700819</v>
      </c>
    </row>
    <row r="6136">
      <c r="A6136" s="2">
        <f>IFERROR(__xludf.DUMMYFUNCTION("""COMPUTED_VALUE"""),45432.66666666667)</f>
        <v>45432.66667</v>
      </c>
      <c r="B6136" s="1">
        <f>IFERROR(__xludf.DUMMYFUNCTION("""COMPUTED_VALUE"""),167.55)</f>
        <v>167.55</v>
      </c>
      <c r="C6136" s="1">
        <f>IFERROR(__xludf.DUMMYFUNCTION("""COMPUTED_VALUE"""),167.88)</f>
        <v>167.88</v>
      </c>
      <c r="D6136" s="1">
        <f>IFERROR(__xludf.DUMMYFUNCTION("""COMPUTED_VALUE"""),166.79)</f>
        <v>166.79</v>
      </c>
      <c r="E6136" s="1">
        <f>IFERROR(__xludf.DUMMYFUNCTION("""COMPUTED_VALUE"""),167.31)</f>
        <v>167.31</v>
      </c>
      <c r="F6136" s="1">
        <f>IFERROR(__xludf.DUMMYFUNCTION("""COMPUTED_VALUE"""),3804823.0)</f>
        <v>3804823</v>
      </c>
    </row>
    <row r="6137">
      <c r="A6137" s="2">
        <f>IFERROR(__xludf.DUMMYFUNCTION("""COMPUTED_VALUE"""),45433.66666666667)</f>
        <v>45433.66667</v>
      </c>
      <c r="B6137" s="1">
        <f>IFERROR(__xludf.DUMMYFUNCTION("""COMPUTED_VALUE"""),167.76)</f>
        <v>167.76</v>
      </c>
      <c r="C6137" s="1">
        <f>IFERROR(__xludf.DUMMYFUNCTION("""COMPUTED_VALUE"""),168.54)</f>
        <v>168.54</v>
      </c>
      <c r="D6137" s="1">
        <f>IFERROR(__xludf.DUMMYFUNCTION("""COMPUTED_VALUE"""),167.29)</f>
        <v>167.29</v>
      </c>
      <c r="E6137" s="1">
        <f>IFERROR(__xludf.DUMMYFUNCTION("""COMPUTED_VALUE"""),168.35)</f>
        <v>168.35</v>
      </c>
      <c r="F6137" s="1">
        <f>IFERROR(__xludf.DUMMYFUNCTION("""COMPUTED_VALUE"""),5147065.0)</f>
        <v>5147065</v>
      </c>
    </row>
    <row r="6138">
      <c r="A6138" s="2">
        <f>IFERROR(__xludf.DUMMYFUNCTION("""COMPUTED_VALUE"""),45434.66666666667)</f>
        <v>45434.66667</v>
      </c>
      <c r="B6138" s="1">
        <f>IFERROR(__xludf.DUMMYFUNCTION("""COMPUTED_VALUE"""),168.01)</f>
        <v>168.01</v>
      </c>
      <c r="C6138" s="1">
        <f>IFERROR(__xludf.DUMMYFUNCTION("""COMPUTED_VALUE"""),168.43)</f>
        <v>168.43</v>
      </c>
      <c r="D6138" s="1">
        <f>IFERROR(__xludf.DUMMYFUNCTION("""COMPUTED_VALUE"""),167.63)</f>
        <v>167.63</v>
      </c>
      <c r="E6138" s="1">
        <f>IFERROR(__xludf.DUMMYFUNCTION("""COMPUTED_VALUE"""),167.81)</f>
        <v>167.81</v>
      </c>
      <c r="F6138" s="1">
        <f>IFERROR(__xludf.DUMMYFUNCTION("""COMPUTED_VALUE"""),4536733.0)</f>
        <v>4536733</v>
      </c>
    </row>
    <row r="6139">
      <c r="A6139" s="2">
        <f>IFERROR(__xludf.DUMMYFUNCTION("""COMPUTED_VALUE"""),45435.66666666667)</f>
        <v>45435.66667</v>
      </c>
      <c r="B6139" s="1">
        <f>IFERROR(__xludf.DUMMYFUNCTION("""COMPUTED_VALUE"""),167.29)</f>
        <v>167.29</v>
      </c>
      <c r="C6139" s="1">
        <f>IFERROR(__xludf.DUMMYFUNCTION("""COMPUTED_VALUE"""),168.11)</f>
        <v>168.11</v>
      </c>
      <c r="D6139" s="1">
        <f>IFERROR(__xludf.DUMMYFUNCTION("""COMPUTED_VALUE"""),165.32)</f>
        <v>165.32</v>
      </c>
      <c r="E6139" s="1">
        <f>IFERROR(__xludf.DUMMYFUNCTION("""COMPUTED_VALUE"""),165.49)</f>
        <v>165.49</v>
      </c>
      <c r="F6139" s="1">
        <f>IFERROR(__xludf.DUMMYFUNCTION("""COMPUTED_VALUE"""),4729792.0)</f>
        <v>4729792</v>
      </c>
    </row>
    <row r="6140">
      <c r="A6140" s="2">
        <f>IFERROR(__xludf.DUMMYFUNCTION("""COMPUTED_VALUE"""),45436.66666666667)</f>
        <v>45436.66667</v>
      </c>
      <c r="B6140" s="1">
        <f>IFERROR(__xludf.DUMMYFUNCTION("""COMPUTED_VALUE"""),165.85)</f>
        <v>165.85</v>
      </c>
      <c r="C6140" s="1">
        <f>IFERROR(__xludf.DUMMYFUNCTION("""COMPUTED_VALUE"""),166.31)</f>
        <v>166.31</v>
      </c>
      <c r="D6140" s="1">
        <f>IFERROR(__xludf.DUMMYFUNCTION("""COMPUTED_VALUE"""),165.15)</f>
        <v>165.15</v>
      </c>
      <c r="E6140" s="1">
        <f>IFERROR(__xludf.DUMMYFUNCTION("""COMPUTED_VALUE"""),165.33)</f>
        <v>165.33</v>
      </c>
      <c r="F6140" s="1">
        <f>IFERROR(__xludf.DUMMYFUNCTION("""COMPUTED_VALUE"""),3820090.0)</f>
        <v>3820090</v>
      </c>
    </row>
    <row r="6141">
      <c r="A6141" s="2">
        <f>IFERROR(__xludf.DUMMYFUNCTION("""COMPUTED_VALUE"""),45440.66666666667)</f>
        <v>45440.66667</v>
      </c>
      <c r="B6141" s="1">
        <f>IFERROR(__xludf.DUMMYFUNCTION("""COMPUTED_VALUE"""),164.49)</f>
        <v>164.49</v>
      </c>
      <c r="C6141" s="1">
        <f>IFERROR(__xludf.DUMMYFUNCTION("""COMPUTED_VALUE"""),164.76)</f>
        <v>164.76</v>
      </c>
      <c r="D6141" s="1">
        <f>IFERROR(__xludf.DUMMYFUNCTION("""COMPUTED_VALUE"""),162.26)</f>
        <v>162.26</v>
      </c>
      <c r="E6141" s="1">
        <f>IFERROR(__xludf.DUMMYFUNCTION("""COMPUTED_VALUE"""),163.11)</f>
        <v>163.11</v>
      </c>
      <c r="F6141" s="1">
        <f>IFERROR(__xludf.DUMMYFUNCTION("""COMPUTED_VALUE"""),6466193.0)</f>
        <v>6466193</v>
      </c>
    </row>
    <row r="6142">
      <c r="A6142" s="2">
        <f>IFERROR(__xludf.DUMMYFUNCTION("""COMPUTED_VALUE"""),45441.66666666667)</f>
        <v>45441.66667</v>
      </c>
      <c r="B6142" s="1">
        <f>IFERROR(__xludf.DUMMYFUNCTION("""COMPUTED_VALUE"""),162.65)</f>
        <v>162.65</v>
      </c>
      <c r="C6142" s="1">
        <f>IFERROR(__xludf.DUMMYFUNCTION("""COMPUTED_VALUE"""),162.74)</f>
        <v>162.74</v>
      </c>
      <c r="D6142" s="1">
        <f>IFERROR(__xludf.DUMMYFUNCTION("""COMPUTED_VALUE"""),161.42)</f>
        <v>161.42</v>
      </c>
      <c r="E6142" s="1">
        <f>IFERROR(__xludf.DUMMYFUNCTION("""COMPUTED_VALUE"""),161.65)</f>
        <v>161.65</v>
      </c>
      <c r="F6142" s="1">
        <f>IFERROR(__xludf.DUMMYFUNCTION("""COMPUTED_VALUE"""),4360383.0)</f>
        <v>4360383</v>
      </c>
    </row>
    <row r="6143">
      <c r="A6143" s="2">
        <f>IFERROR(__xludf.DUMMYFUNCTION("""COMPUTED_VALUE"""),45442.66666666667)</f>
        <v>45442.66667</v>
      </c>
      <c r="B6143" s="1">
        <f>IFERROR(__xludf.DUMMYFUNCTION("""COMPUTED_VALUE"""),161.65)</f>
        <v>161.65</v>
      </c>
      <c r="C6143" s="1">
        <f>IFERROR(__xludf.DUMMYFUNCTION("""COMPUTED_VALUE"""),162.7)</f>
        <v>162.7</v>
      </c>
      <c r="D6143" s="1">
        <f>IFERROR(__xludf.DUMMYFUNCTION("""COMPUTED_VALUE"""),161.48)</f>
        <v>161.48</v>
      </c>
      <c r="E6143" s="1">
        <f>IFERROR(__xludf.DUMMYFUNCTION("""COMPUTED_VALUE"""),162.58)</f>
        <v>162.58</v>
      </c>
      <c r="F6143" s="1">
        <f>IFERROR(__xludf.DUMMYFUNCTION("""COMPUTED_VALUE"""),4756454.0)</f>
        <v>4756454</v>
      </c>
    </row>
    <row r="6144">
      <c r="A6144" s="2">
        <f>IFERROR(__xludf.DUMMYFUNCTION("""COMPUTED_VALUE"""),45443.66666666667)</f>
        <v>45443.66667</v>
      </c>
      <c r="B6144" s="1">
        <f>IFERROR(__xludf.DUMMYFUNCTION("""COMPUTED_VALUE"""),162.44)</f>
        <v>162.44</v>
      </c>
      <c r="C6144" s="1">
        <f>IFERROR(__xludf.DUMMYFUNCTION("""COMPUTED_VALUE"""),164.77)</f>
        <v>164.77</v>
      </c>
      <c r="D6144" s="1">
        <f>IFERROR(__xludf.DUMMYFUNCTION("""COMPUTED_VALUE"""),161.97)</f>
        <v>161.97</v>
      </c>
      <c r="E6144" s="1">
        <f>IFERROR(__xludf.DUMMYFUNCTION("""COMPUTED_VALUE"""),164.54)</f>
        <v>164.54</v>
      </c>
      <c r="F6144" s="1">
        <f>IFERROR(__xludf.DUMMYFUNCTION("""COMPUTED_VALUE"""),1.0341644E7)</f>
        <v>10341644</v>
      </c>
    </row>
    <row r="6145">
      <c r="A6145" s="2">
        <f>IFERROR(__xludf.DUMMYFUNCTION("""COMPUTED_VALUE"""),45446.66666666667)</f>
        <v>45446.66667</v>
      </c>
      <c r="B6145" s="1">
        <f>IFERROR(__xludf.DUMMYFUNCTION("""COMPUTED_VALUE"""),163.93)</f>
        <v>163.93</v>
      </c>
      <c r="C6145" s="1">
        <f>IFERROR(__xludf.DUMMYFUNCTION("""COMPUTED_VALUE"""),166.24)</f>
        <v>166.24</v>
      </c>
      <c r="D6145" s="1">
        <f>IFERROR(__xludf.DUMMYFUNCTION("""COMPUTED_VALUE"""),163.63)</f>
        <v>163.63</v>
      </c>
      <c r="E6145" s="1">
        <f>IFERROR(__xludf.DUMMYFUNCTION("""COMPUTED_VALUE"""),164.65)</f>
        <v>164.65</v>
      </c>
      <c r="F6145" s="1">
        <f>IFERROR(__xludf.DUMMYFUNCTION("""COMPUTED_VALUE"""),5828442.0)</f>
        <v>5828442</v>
      </c>
    </row>
    <row r="6146">
      <c r="A6146" s="2">
        <f>IFERROR(__xludf.DUMMYFUNCTION("""COMPUTED_VALUE"""),45447.66666666667)</f>
        <v>45447.66667</v>
      </c>
      <c r="B6146" s="1">
        <f>IFERROR(__xludf.DUMMYFUNCTION("""COMPUTED_VALUE"""),164.79)</f>
        <v>164.79</v>
      </c>
      <c r="C6146" s="1">
        <f>IFERROR(__xludf.DUMMYFUNCTION("""COMPUTED_VALUE"""),167.12)</f>
        <v>167.12</v>
      </c>
      <c r="D6146" s="1">
        <f>IFERROR(__xludf.DUMMYFUNCTION("""COMPUTED_VALUE"""),164.4)</f>
        <v>164.4</v>
      </c>
      <c r="E6146" s="1">
        <f>IFERROR(__xludf.DUMMYFUNCTION("""COMPUTED_VALUE"""),167.01)</f>
        <v>167.01</v>
      </c>
      <c r="F6146" s="1">
        <f>IFERROR(__xludf.DUMMYFUNCTION("""COMPUTED_VALUE"""),6277001.0)</f>
        <v>6277001</v>
      </c>
    </row>
    <row r="6147">
      <c r="A6147" s="2">
        <f>IFERROR(__xludf.DUMMYFUNCTION("""COMPUTED_VALUE"""),45448.66666666667)</f>
        <v>45448.66667</v>
      </c>
      <c r="B6147" s="1">
        <f>IFERROR(__xludf.DUMMYFUNCTION("""COMPUTED_VALUE"""),167.01)</f>
        <v>167.01</v>
      </c>
      <c r="C6147" s="1">
        <f>IFERROR(__xludf.DUMMYFUNCTION("""COMPUTED_VALUE"""),167.01)</f>
        <v>167.01</v>
      </c>
      <c r="D6147" s="1">
        <f>IFERROR(__xludf.DUMMYFUNCTION("""COMPUTED_VALUE"""),164.98)</f>
        <v>164.98</v>
      </c>
      <c r="E6147" s="1">
        <f>IFERROR(__xludf.DUMMYFUNCTION("""COMPUTED_VALUE"""),166.05)</f>
        <v>166.05</v>
      </c>
      <c r="F6147" s="1">
        <f>IFERROR(__xludf.DUMMYFUNCTION("""COMPUTED_VALUE"""),5243345.0)</f>
        <v>5243345</v>
      </c>
    </row>
    <row r="6148">
      <c r="A6148" s="2">
        <f>IFERROR(__xludf.DUMMYFUNCTION("""COMPUTED_VALUE"""),45449.66666666667)</f>
        <v>45449.66667</v>
      </c>
      <c r="B6148" s="1">
        <f>IFERROR(__xludf.DUMMYFUNCTION("""COMPUTED_VALUE"""),165.83)</f>
        <v>165.83</v>
      </c>
      <c r="C6148" s="1">
        <f>IFERROR(__xludf.DUMMYFUNCTION("""COMPUTED_VALUE"""),168.58)</f>
        <v>168.58</v>
      </c>
      <c r="D6148" s="1">
        <f>IFERROR(__xludf.DUMMYFUNCTION("""COMPUTED_VALUE"""),165.08)</f>
        <v>165.08</v>
      </c>
      <c r="E6148" s="1">
        <f>IFERROR(__xludf.DUMMYFUNCTION("""COMPUTED_VALUE"""),168.47)</f>
        <v>168.47</v>
      </c>
      <c r="F6148" s="1">
        <f>IFERROR(__xludf.DUMMYFUNCTION("""COMPUTED_VALUE"""),6302243.0)</f>
        <v>6302243</v>
      </c>
    </row>
    <row r="6149">
      <c r="A6149" s="2">
        <f>IFERROR(__xludf.DUMMYFUNCTION("""COMPUTED_VALUE"""),45450.66666666667)</f>
        <v>45450.66667</v>
      </c>
      <c r="B6149" s="1">
        <f>IFERROR(__xludf.DUMMYFUNCTION("""COMPUTED_VALUE"""),168.4)</f>
        <v>168.4</v>
      </c>
      <c r="C6149" s="1">
        <f>IFERROR(__xludf.DUMMYFUNCTION("""COMPUTED_VALUE"""),168.97)</f>
        <v>168.97</v>
      </c>
      <c r="D6149" s="1">
        <f>IFERROR(__xludf.DUMMYFUNCTION("""COMPUTED_VALUE"""),166.84)</f>
        <v>166.84</v>
      </c>
      <c r="E6149" s="1">
        <f>IFERROR(__xludf.DUMMYFUNCTION("""COMPUTED_VALUE"""),167.06)</f>
        <v>167.06</v>
      </c>
      <c r="F6149" s="1">
        <f>IFERROR(__xludf.DUMMYFUNCTION("""COMPUTED_VALUE"""),4558190.0)</f>
        <v>4558190</v>
      </c>
    </row>
    <row r="6150">
      <c r="A6150" s="2">
        <f>IFERROR(__xludf.DUMMYFUNCTION("""COMPUTED_VALUE"""),45453.66666666667)</f>
        <v>45453.66667</v>
      </c>
      <c r="B6150" s="1">
        <f>IFERROR(__xludf.DUMMYFUNCTION("""COMPUTED_VALUE"""),166.78)</f>
        <v>166.78</v>
      </c>
      <c r="C6150" s="1">
        <f>IFERROR(__xludf.DUMMYFUNCTION("""COMPUTED_VALUE"""),167.72)</f>
        <v>167.72</v>
      </c>
      <c r="D6150" s="1">
        <f>IFERROR(__xludf.DUMMYFUNCTION("""COMPUTED_VALUE"""),166.08)</f>
        <v>166.08</v>
      </c>
      <c r="E6150" s="1">
        <f>IFERROR(__xludf.DUMMYFUNCTION("""COMPUTED_VALUE"""),167.35)</f>
        <v>167.35</v>
      </c>
      <c r="F6150" s="1">
        <f>IFERROR(__xludf.DUMMYFUNCTION("""COMPUTED_VALUE"""),4110668.0)</f>
        <v>4110668</v>
      </c>
    </row>
    <row r="6151">
      <c r="A6151" s="2">
        <f>IFERROR(__xludf.DUMMYFUNCTION("""COMPUTED_VALUE"""),45454.66666666667)</f>
        <v>45454.66667</v>
      </c>
      <c r="B6151" s="1">
        <f>IFERROR(__xludf.DUMMYFUNCTION("""COMPUTED_VALUE"""),166.97)</f>
        <v>166.97</v>
      </c>
      <c r="C6151" s="1">
        <f>IFERROR(__xludf.DUMMYFUNCTION("""COMPUTED_VALUE"""),167.5)</f>
        <v>167.5</v>
      </c>
      <c r="D6151" s="1">
        <f>IFERROR(__xludf.DUMMYFUNCTION("""COMPUTED_VALUE"""),166.02)</f>
        <v>166.02</v>
      </c>
      <c r="E6151" s="1">
        <f>IFERROR(__xludf.DUMMYFUNCTION("""COMPUTED_VALUE"""),167.48)</f>
        <v>167.48</v>
      </c>
      <c r="F6151" s="1">
        <f>IFERROR(__xludf.DUMMYFUNCTION("""COMPUTED_VALUE"""),3947671.0)</f>
        <v>3947671</v>
      </c>
    </row>
    <row r="6152">
      <c r="A6152" s="2">
        <f>IFERROR(__xludf.DUMMYFUNCTION("""COMPUTED_VALUE"""),45455.66666666667)</f>
        <v>45455.66667</v>
      </c>
      <c r="B6152" s="1">
        <f>IFERROR(__xludf.DUMMYFUNCTION("""COMPUTED_VALUE"""),167.5)</f>
        <v>167.5</v>
      </c>
      <c r="C6152" s="1">
        <f>IFERROR(__xludf.DUMMYFUNCTION("""COMPUTED_VALUE"""),167.64)</f>
        <v>167.64</v>
      </c>
      <c r="D6152" s="1">
        <f>IFERROR(__xludf.DUMMYFUNCTION("""COMPUTED_VALUE"""),164.22)</f>
        <v>164.22</v>
      </c>
      <c r="E6152" s="1">
        <f>IFERROR(__xludf.DUMMYFUNCTION("""COMPUTED_VALUE"""),165.18)</f>
        <v>165.18</v>
      </c>
      <c r="F6152" s="1">
        <f>IFERROR(__xludf.DUMMYFUNCTION("""COMPUTED_VALUE"""),5474498.0)</f>
        <v>5474498</v>
      </c>
    </row>
    <row r="6153">
      <c r="A6153" s="2">
        <f>IFERROR(__xludf.DUMMYFUNCTION("""COMPUTED_VALUE"""),45456.66666666667)</f>
        <v>45456.66667</v>
      </c>
      <c r="B6153" s="1">
        <f>IFERROR(__xludf.DUMMYFUNCTION("""COMPUTED_VALUE"""),164.47)</f>
        <v>164.47</v>
      </c>
      <c r="C6153" s="1">
        <f>IFERROR(__xludf.DUMMYFUNCTION("""COMPUTED_VALUE"""),167.0)</f>
        <v>167</v>
      </c>
      <c r="D6153" s="1">
        <f>IFERROR(__xludf.DUMMYFUNCTION("""COMPUTED_VALUE"""),164.47)</f>
        <v>164.47</v>
      </c>
      <c r="E6153" s="1">
        <f>IFERROR(__xludf.DUMMYFUNCTION("""COMPUTED_VALUE"""),166.41)</f>
        <v>166.41</v>
      </c>
      <c r="F6153" s="1">
        <f>IFERROR(__xludf.DUMMYFUNCTION("""COMPUTED_VALUE"""),4902180.0)</f>
        <v>4902180</v>
      </c>
    </row>
    <row r="6154">
      <c r="A6154" s="2">
        <f>IFERROR(__xludf.DUMMYFUNCTION("""COMPUTED_VALUE"""),45457.66666666667)</f>
        <v>45457.66667</v>
      </c>
      <c r="B6154" s="1">
        <f>IFERROR(__xludf.DUMMYFUNCTION("""COMPUTED_VALUE"""),165.99)</f>
        <v>165.99</v>
      </c>
      <c r="C6154" s="1">
        <f>IFERROR(__xludf.DUMMYFUNCTION("""COMPUTED_VALUE"""),166.93)</f>
        <v>166.93</v>
      </c>
      <c r="D6154" s="1">
        <f>IFERROR(__xludf.DUMMYFUNCTION("""COMPUTED_VALUE"""),165.25)</f>
        <v>165.25</v>
      </c>
      <c r="E6154" s="1">
        <f>IFERROR(__xludf.DUMMYFUNCTION("""COMPUTED_VALUE"""),166.79)</f>
        <v>166.79</v>
      </c>
      <c r="F6154" s="1">
        <f>IFERROR(__xludf.DUMMYFUNCTION("""COMPUTED_VALUE"""),3694974.0)</f>
        <v>3694974</v>
      </c>
    </row>
    <row r="6155">
      <c r="A6155" s="2">
        <f>IFERROR(__xludf.DUMMYFUNCTION("""COMPUTED_VALUE"""),45460.66666666667)</f>
        <v>45460.66667</v>
      </c>
      <c r="B6155" s="1">
        <f>IFERROR(__xludf.DUMMYFUNCTION("""COMPUTED_VALUE"""),165.85)</f>
        <v>165.85</v>
      </c>
      <c r="C6155" s="1">
        <f>IFERROR(__xludf.DUMMYFUNCTION("""COMPUTED_VALUE"""),168.71)</f>
        <v>168.71</v>
      </c>
      <c r="D6155" s="1">
        <f>IFERROR(__xludf.DUMMYFUNCTION("""COMPUTED_VALUE"""),165.4)</f>
        <v>165.4</v>
      </c>
      <c r="E6155" s="1">
        <f>IFERROR(__xludf.DUMMYFUNCTION("""COMPUTED_VALUE"""),167.5)</f>
        <v>167.5</v>
      </c>
      <c r="F6155" s="1">
        <f>IFERROR(__xludf.DUMMYFUNCTION("""COMPUTED_VALUE"""),6759352.0)</f>
        <v>6759352</v>
      </c>
    </row>
    <row r="6156">
      <c r="A6156" s="2">
        <f>IFERROR(__xludf.DUMMYFUNCTION("""COMPUTED_VALUE"""),45461.66666666667)</f>
        <v>45461.66667</v>
      </c>
      <c r="B6156" s="1">
        <f>IFERROR(__xludf.DUMMYFUNCTION("""COMPUTED_VALUE"""),167.03)</f>
        <v>167.03</v>
      </c>
      <c r="C6156" s="1">
        <f>IFERROR(__xludf.DUMMYFUNCTION("""COMPUTED_VALUE"""),168.65)</f>
        <v>168.65</v>
      </c>
      <c r="D6156" s="1">
        <f>IFERROR(__xludf.DUMMYFUNCTION("""COMPUTED_VALUE"""),166.94)</f>
        <v>166.94</v>
      </c>
      <c r="E6156" s="1">
        <f>IFERROR(__xludf.DUMMYFUNCTION("""COMPUTED_VALUE"""),168.56)</f>
        <v>168.56</v>
      </c>
      <c r="F6156" s="1">
        <f>IFERROR(__xludf.DUMMYFUNCTION("""COMPUTED_VALUE"""),5112634.0)</f>
        <v>5112634</v>
      </c>
    </row>
    <row r="6157">
      <c r="A6157" s="2">
        <f>IFERROR(__xludf.DUMMYFUNCTION("""COMPUTED_VALUE"""),45463.66666666667)</f>
        <v>45463.66667</v>
      </c>
      <c r="B6157" s="1">
        <f>IFERROR(__xludf.DUMMYFUNCTION("""COMPUTED_VALUE"""),168.37)</f>
        <v>168.37</v>
      </c>
      <c r="C6157" s="1">
        <f>IFERROR(__xludf.DUMMYFUNCTION("""COMPUTED_VALUE"""),168.78)</f>
        <v>168.78</v>
      </c>
      <c r="D6157" s="1">
        <f>IFERROR(__xludf.DUMMYFUNCTION("""COMPUTED_VALUE"""),166.86)</f>
        <v>166.86</v>
      </c>
      <c r="E6157" s="1">
        <f>IFERROR(__xludf.DUMMYFUNCTION("""COMPUTED_VALUE"""),167.67)</f>
        <v>167.67</v>
      </c>
      <c r="F6157" s="1">
        <f>IFERROR(__xludf.DUMMYFUNCTION("""COMPUTED_VALUE"""),8483606.0)</f>
        <v>8483606</v>
      </c>
    </row>
    <row r="6158">
      <c r="A6158" s="2">
        <f>IFERROR(__xludf.DUMMYFUNCTION("""COMPUTED_VALUE"""),45464.66666666667)</f>
        <v>45464.66667</v>
      </c>
      <c r="B6158" s="1">
        <f>IFERROR(__xludf.DUMMYFUNCTION("""COMPUTED_VALUE"""),167.48)</f>
        <v>167.48</v>
      </c>
      <c r="C6158" s="1">
        <f>IFERROR(__xludf.DUMMYFUNCTION("""COMPUTED_VALUE"""),168.88)</f>
        <v>168.88</v>
      </c>
      <c r="D6158" s="1">
        <f>IFERROR(__xludf.DUMMYFUNCTION("""COMPUTED_VALUE"""),167.18)</f>
        <v>167.18</v>
      </c>
      <c r="E6158" s="1">
        <f>IFERROR(__xludf.DUMMYFUNCTION("""COMPUTED_VALUE"""),168.26)</f>
        <v>168.26</v>
      </c>
      <c r="F6158" s="1">
        <f>IFERROR(__xludf.DUMMYFUNCTION("""COMPUTED_VALUE"""),1.4682061E7)</f>
        <v>14682061</v>
      </c>
    </row>
    <row r="6159">
      <c r="A6159" s="2">
        <f>IFERROR(__xludf.DUMMYFUNCTION("""COMPUTED_VALUE"""),45467.66666666667)</f>
        <v>45467.66667</v>
      </c>
      <c r="B6159" s="1">
        <f>IFERROR(__xludf.DUMMYFUNCTION("""COMPUTED_VALUE"""),168.76)</f>
        <v>168.76</v>
      </c>
      <c r="C6159" s="1">
        <f>IFERROR(__xludf.DUMMYFUNCTION("""COMPUTED_VALUE"""),169.41)</f>
        <v>169.41</v>
      </c>
      <c r="D6159" s="1">
        <f>IFERROR(__xludf.DUMMYFUNCTION("""COMPUTED_VALUE"""),167.48)</f>
        <v>167.48</v>
      </c>
      <c r="E6159" s="1">
        <f>IFERROR(__xludf.DUMMYFUNCTION("""COMPUTED_VALUE"""),168.45)</f>
        <v>168.45</v>
      </c>
      <c r="F6159" s="1">
        <f>IFERROR(__xludf.DUMMYFUNCTION("""COMPUTED_VALUE"""),7565304.0)</f>
        <v>7565304</v>
      </c>
    </row>
    <row r="6160">
      <c r="A6160" s="2">
        <f>IFERROR(__xludf.DUMMYFUNCTION("""COMPUTED_VALUE"""),45468.66666666667)</f>
        <v>45468.66667</v>
      </c>
      <c r="B6160" s="1">
        <f>IFERROR(__xludf.DUMMYFUNCTION("""COMPUTED_VALUE"""),168.63)</f>
        <v>168.63</v>
      </c>
      <c r="C6160" s="1">
        <f>IFERROR(__xludf.DUMMYFUNCTION("""COMPUTED_VALUE"""),168.91)</f>
        <v>168.91</v>
      </c>
      <c r="D6160" s="1">
        <f>IFERROR(__xludf.DUMMYFUNCTION("""COMPUTED_VALUE"""),165.9)</f>
        <v>165.9</v>
      </c>
      <c r="E6160" s="1">
        <f>IFERROR(__xludf.DUMMYFUNCTION("""COMPUTED_VALUE"""),166.85)</f>
        <v>166.85</v>
      </c>
      <c r="F6160" s="1">
        <f>IFERROR(__xludf.DUMMYFUNCTION("""COMPUTED_VALUE"""),8323968.0)</f>
        <v>8323968</v>
      </c>
    </row>
    <row r="6161">
      <c r="A6161" s="2">
        <f>IFERROR(__xludf.DUMMYFUNCTION("""COMPUTED_VALUE"""),45469.66666666667)</f>
        <v>45469.66667</v>
      </c>
      <c r="B6161" s="1">
        <f>IFERROR(__xludf.DUMMYFUNCTION("""COMPUTED_VALUE"""),166.05)</f>
        <v>166.05</v>
      </c>
      <c r="C6161" s="1">
        <f>IFERROR(__xludf.DUMMYFUNCTION("""COMPUTED_VALUE"""),167.81)</f>
        <v>167.81</v>
      </c>
      <c r="D6161" s="1">
        <f>IFERROR(__xludf.DUMMYFUNCTION("""COMPUTED_VALUE"""),165.66)</f>
        <v>165.66</v>
      </c>
      <c r="E6161" s="1">
        <f>IFERROR(__xludf.DUMMYFUNCTION("""COMPUTED_VALUE"""),167.45)</f>
        <v>167.45</v>
      </c>
      <c r="F6161" s="1">
        <f>IFERROR(__xludf.DUMMYFUNCTION("""COMPUTED_VALUE"""),5164046.0)</f>
        <v>5164046</v>
      </c>
    </row>
    <row r="6162">
      <c r="A6162" s="2">
        <f>IFERROR(__xludf.DUMMYFUNCTION("""COMPUTED_VALUE"""),45470.66666666667)</f>
        <v>45470.66667</v>
      </c>
      <c r="B6162" s="1">
        <f>IFERROR(__xludf.DUMMYFUNCTION("""COMPUTED_VALUE"""),167.49)</f>
        <v>167.49</v>
      </c>
      <c r="C6162" s="1">
        <f>IFERROR(__xludf.DUMMYFUNCTION("""COMPUTED_VALUE"""),168.1)</f>
        <v>168.1</v>
      </c>
      <c r="D6162" s="1">
        <f>IFERROR(__xludf.DUMMYFUNCTION("""COMPUTED_VALUE"""),165.5)</f>
        <v>165.5</v>
      </c>
      <c r="E6162" s="1">
        <f>IFERROR(__xludf.DUMMYFUNCTION("""COMPUTED_VALUE"""),166.62)</f>
        <v>166.62</v>
      </c>
      <c r="F6162" s="1">
        <f>IFERROR(__xludf.DUMMYFUNCTION("""COMPUTED_VALUE"""),5006990.0)</f>
        <v>5006990</v>
      </c>
    </row>
    <row r="6163">
      <c r="A6163" s="2">
        <f>IFERROR(__xludf.DUMMYFUNCTION("""COMPUTED_VALUE"""),45471.66666666667)</f>
        <v>45471.66667</v>
      </c>
      <c r="B6163" s="1">
        <f>IFERROR(__xludf.DUMMYFUNCTION("""COMPUTED_VALUE"""),166.0)</f>
        <v>166</v>
      </c>
      <c r="C6163" s="1">
        <f>IFERROR(__xludf.DUMMYFUNCTION("""COMPUTED_VALUE"""),167.24)</f>
        <v>167.24</v>
      </c>
      <c r="D6163" s="1">
        <f>IFERROR(__xludf.DUMMYFUNCTION("""COMPUTED_VALUE"""),164.58)</f>
        <v>164.58</v>
      </c>
      <c r="E6163" s="1">
        <f>IFERROR(__xludf.DUMMYFUNCTION("""COMPUTED_VALUE"""),164.92)</f>
        <v>164.92</v>
      </c>
      <c r="F6163" s="1">
        <f>IFERROR(__xludf.DUMMYFUNCTION("""COMPUTED_VALUE"""),9253317.0)</f>
        <v>9253317</v>
      </c>
    </row>
    <row r="6164">
      <c r="A6164" s="2">
        <f>IFERROR(__xludf.DUMMYFUNCTION("""COMPUTED_VALUE"""),45474.66666666667)</f>
        <v>45474.66667</v>
      </c>
      <c r="B6164" s="1">
        <f>IFERROR(__xludf.DUMMYFUNCTION("""COMPUTED_VALUE"""),165.59)</f>
        <v>165.59</v>
      </c>
      <c r="C6164" s="1">
        <f>IFERROR(__xludf.DUMMYFUNCTION("""COMPUTED_VALUE"""),166.21)</f>
        <v>166.21</v>
      </c>
      <c r="D6164" s="1">
        <f>IFERROR(__xludf.DUMMYFUNCTION("""COMPUTED_VALUE"""),162.2)</f>
        <v>162.2</v>
      </c>
      <c r="E6164" s="1">
        <f>IFERROR(__xludf.DUMMYFUNCTION("""COMPUTED_VALUE"""),162.72)</f>
        <v>162.72</v>
      </c>
      <c r="F6164" s="1">
        <f>IFERROR(__xludf.DUMMYFUNCTION("""COMPUTED_VALUE"""),7638639.0)</f>
        <v>7638639</v>
      </c>
    </row>
    <row r="6165">
      <c r="A6165" s="2">
        <f>IFERROR(__xludf.DUMMYFUNCTION("""COMPUTED_VALUE"""),45475.66666666667)</f>
        <v>45475.66667</v>
      </c>
      <c r="B6165" s="1">
        <f>IFERROR(__xludf.DUMMYFUNCTION("""COMPUTED_VALUE"""),162.58)</f>
        <v>162.58</v>
      </c>
      <c r="C6165" s="1">
        <f>IFERROR(__xludf.DUMMYFUNCTION("""COMPUTED_VALUE"""),164.04)</f>
        <v>164.04</v>
      </c>
      <c r="D6165" s="1">
        <f>IFERROR(__xludf.DUMMYFUNCTION("""COMPUTED_VALUE"""),161.71)</f>
        <v>161.71</v>
      </c>
      <c r="E6165" s="1">
        <f>IFERROR(__xludf.DUMMYFUNCTION("""COMPUTED_VALUE"""),163.9)</f>
        <v>163.9</v>
      </c>
      <c r="F6165" s="1">
        <f>IFERROR(__xludf.DUMMYFUNCTION("""COMPUTED_VALUE"""),5449219.0)</f>
        <v>5449219</v>
      </c>
    </row>
    <row r="6166">
      <c r="A6166" s="2">
        <f>IFERROR(__xludf.DUMMYFUNCTION("""COMPUTED_VALUE"""),45476.54166666667)</f>
        <v>45476.54167</v>
      </c>
      <c r="B6166" s="1">
        <f>IFERROR(__xludf.DUMMYFUNCTION("""COMPUTED_VALUE"""),163.21)</f>
        <v>163.21</v>
      </c>
      <c r="C6166" s="1">
        <f>IFERROR(__xludf.DUMMYFUNCTION("""COMPUTED_VALUE"""),164.21)</f>
        <v>164.21</v>
      </c>
      <c r="D6166" s="1">
        <f>IFERROR(__xludf.DUMMYFUNCTION("""COMPUTED_VALUE"""),162.98)</f>
        <v>162.98</v>
      </c>
      <c r="E6166" s="1">
        <f>IFERROR(__xludf.DUMMYFUNCTION("""COMPUTED_VALUE"""),163.83)</f>
        <v>163.83</v>
      </c>
      <c r="F6166" s="1">
        <f>IFERROR(__xludf.DUMMYFUNCTION("""COMPUTED_VALUE"""),2980461.0)</f>
        <v>2980461</v>
      </c>
    </row>
    <row r="6167">
      <c r="A6167" s="2">
        <f>IFERROR(__xludf.DUMMYFUNCTION("""COMPUTED_VALUE"""),45478.66666666667)</f>
        <v>45478.66667</v>
      </c>
      <c r="B6167" s="1">
        <f>IFERROR(__xludf.DUMMYFUNCTION("""COMPUTED_VALUE"""),164.01)</f>
        <v>164.01</v>
      </c>
      <c r="C6167" s="1">
        <f>IFERROR(__xludf.DUMMYFUNCTION("""COMPUTED_VALUE"""),165.63)</f>
        <v>165.63</v>
      </c>
      <c r="D6167" s="1">
        <f>IFERROR(__xludf.DUMMYFUNCTION("""COMPUTED_VALUE"""),163.5)</f>
        <v>163.5</v>
      </c>
      <c r="E6167" s="1">
        <f>IFERROR(__xludf.DUMMYFUNCTION("""COMPUTED_VALUE"""),165.21)</f>
        <v>165.21</v>
      </c>
      <c r="F6167" s="1">
        <f>IFERROR(__xludf.DUMMYFUNCTION("""COMPUTED_VALUE"""),6509248.0)</f>
        <v>6509248</v>
      </c>
    </row>
    <row r="6168">
      <c r="A6168" s="2">
        <f>IFERROR(__xludf.DUMMYFUNCTION("""COMPUTED_VALUE"""),45481.66666666667)</f>
        <v>45481.66667</v>
      </c>
      <c r="B6168" s="1">
        <f>IFERROR(__xludf.DUMMYFUNCTION("""COMPUTED_VALUE"""),165.95)</f>
        <v>165.95</v>
      </c>
      <c r="C6168" s="1">
        <f>IFERROR(__xludf.DUMMYFUNCTION("""COMPUTED_VALUE"""),166.67)</f>
        <v>166.67</v>
      </c>
      <c r="D6168" s="1">
        <f>IFERROR(__xludf.DUMMYFUNCTION("""COMPUTED_VALUE"""),165.62)</f>
        <v>165.62</v>
      </c>
      <c r="E6168" s="1">
        <f>IFERROR(__xludf.DUMMYFUNCTION("""COMPUTED_VALUE"""),166.52)</f>
        <v>166.52</v>
      </c>
      <c r="F6168" s="1">
        <f>IFERROR(__xludf.DUMMYFUNCTION("""COMPUTED_VALUE"""),5144458.0)</f>
        <v>5144458</v>
      </c>
    </row>
    <row r="6169">
      <c r="A6169" s="2">
        <f>IFERROR(__xludf.DUMMYFUNCTION("""COMPUTED_VALUE"""),45482.66666666667)</f>
        <v>45482.66667</v>
      </c>
      <c r="B6169" s="1">
        <f>IFERROR(__xludf.DUMMYFUNCTION("""COMPUTED_VALUE"""),166.63)</f>
        <v>166.63</v>
      </c>
      <c r="C6169" s="1">
        <f>IFERROR(__xludf.DUMMYFUNCTION("""COMPUTED_VALUE"""),166.76)</f>
        <v>166.76</v>
      </c>
      <c r="D6169" s="1">
        <f>IFERROR(__xludf.DUMMYFUNCTION("""COMPUTED_VALUE"""),165.14)</f>
        <v>165.14</v>
      </c>
      <c r="E6169" s="1">
        <f>IFERROR(__xludf.DUMMYFUNCTION("""COMPUTED_VALUE"""),165.66)</f>
        <v>165.66</v>
      </c>
      <c r="F6169" s="1">
        <f>IFERROR(__xludf.DUMMYFUNCTION("""COMPUTED_VALUE"""),4393179.0)</f>
        <v>4393179</v>
      </c>
    </row>
    <row r="6170">
      <c r="A6170" s="2">
        <f>IFERROR(__xludf.DUMMYFUNCTION("""COMPUTED_VALUE"""),45483.66666666667)</f>
        <v>45483.66667</v>
      </c>
      <c r="B6170" s="1">
        <f>IFERROR(__xludf.DUMMYFUNCTION("""COMPUTED_VALUE"""),165.9)</f>
        <v>165.9</v>
      </c>
      <c r="C6170" s="1">
        <f>IFERROR(__xludf.DUMMYFUNCTION("""COMPUTED_VALUE"""),166.92)</f>
        <v>166.92</v>
      </c>
      <c r="D6170" s="1">
        <f>IFERROR(__xludf.DUMMYFUNCTION("""COMPUTED_VALUE"""),165.54)</f>
        <v>165.54</v>
      </c>
      <c r="E6170" s="1">
        <f>IFERROR(__xludf.DUMMYFUNCTION("""COMPUTED_VALUE"""),166.8)</f>
        <v>166.8</v>
      </c>
      <c r="F6170" s="1">
        <f>IFERROR(__xludf.DUMMYFUNCTION("""COMPUTED_VALUE"""),5037097.0)</f>
        <v>5037097</v>
      </c>
    </row>
    <row r="6171">
      <c r="A6171" s="2">
        <f>IFERROR(__xludf.DUMMYFUNCTION("""COMPUTED_VALUE"""),45484.66666666667)</f>
        <v>45484.66667</v>
      </c>
      <c r="B6171" s="1">
        <f>IFERROR(__xludf.DUMMYFUNCTION("""COMPUTED_VALUE"""),166.3)</f>
        <v>166.3</v>
      </c>
      <c r="C6171" s="1">
        <f>IFERROR(__xludf.DUMMYFUNCTION("""COMPUTED_VALUE"""),166.63)</f>
        <v>166.63</v>
      </c>
      <c r="D6171" s="1">
        <f>IFERROR(__xludf.DUMMYFUNCTION("""COMPUTED_VALUE"""),164.78)</f>
        <v>164.78</v>
      </c>
      <c r="E6171" s="1">
        <f>IFERROR(__xludf.DUMMYFUNCTION("""COMPUTED_VALUE"""),165.54)</f>
        <v>165.54</v>
      </c>
      <c r="F6171" s="1">
        <f>IFERROR(__xludf.DUMMYFUNCTION("""COMPUTED_VALUE"""),5833061.0)</f>
        <v>5833061</v>
      </c>
    </row>
    <row r="6172">
      <c r="A6172" s="2">
        <f>IFERROR(__xludf.DUMMYFUNCTION("""COMPUTED_VALUE"""),45485.66666666667)</f>
        <v>45485.66667</v>
      </c>
      <c r="B6172" s="1">
        <f>IFERROR(__xludf.DUMMYFUNCTION("""COMPUTED_VALUE"""),166.22)</f>
        <v>166.22</v>
      </c>
      <c r="C6172" s="1">
        <f>IFERROR(__xludf.DUMMYFUNCTION("""COMPUTED_VALUE"""),167.64)</f>
        <v>167.64</v>
      </c>
      <c r="D6172" s="1">
        <f>IFERROR(__xludf.DUMMYFUNCTION("""COMPUTED_VALUE"""),166.02)</f>
        <v>166.02</v>
      </c>
      <c r="E6172" s="1">
        <f>IFERROR(__xludf.DUMMYFUNCTION("""COMPUTED_VALUE"""),166.61)</f>
        <v>166.61</v>
      </c>
      <c r="F6172" s="1">
        <f>IFERROR(__xludf.DUMMYFUNCTION("""COMPUTED_VALUE"""),4684642.0)</f>
        <v>4684642</v>
      </c>
    </row>
    <row r="6173">
      <c r="A6173" s="2">
        <f>IFERROR(__xludf.DUMMYFUNCTION("""COMPUTED_VALUE"""),45488.66666666667)</f>
        <v>45488.66667</v>
      </c>
      <c r="B6173" s="1">
        <f>IFERROR(__xludf.DUMMYFUNCTION("""COMPUTED_VALUE"""),166.47)</f>
        <v>166.47</v>
      </c>
      <c r="C6173" s="1">
        <f>IFERROR(__xludf.DUMMYFUNCTION("""COMPUTED_VALUE"""),166.62)</f>
        <v>166.62</v>
      </c>
      <c r="D6173" s="1">
        <f>IFERROR(__xludf.DUMMYFUNCTION("""COMPUTED_VALUE"""),164.46)</f>
        <v>164.46</v>
      </c>
      <c r="E6173" s="1">
        <f>IFERROR(__xludf.DUMMYFUNCTION("""COMPUTED_VALUE"""),164.58)</f>
        <v>164.58</v>
      </c>
      <c r="F6173" s="1">
        <f>IFERROR(__xludf.DUMMYFUNCTION("""COMPUTED_VALUE"""),5752513.0)</f>
        <v>5752513</v>
      </c>
    </row>
    <row r="6174">
      <c r="A6174" s="2">
        <f>IFERROR(__xludf.DUMMYFUNCTION("""COMPUTED_VALUE"""),45489.66666666667)</f>
        <v>45489.66667</v>
      </c>
      <c r="B6174" s="1">
        <f>IFERROR(__xludf.DUMMYFUNCTION("""COMPUTED_VALUE"""),164.91)</f>
        <v>164.91</v>
      </c>
      <c r="C6174" s="1">
        <f>IFERROR(__xludf.DUMMYFUNCTION("""COMPUTED_VALUE"""),167.07)</f>
        <v>167.07</v>
      </c>
      <c r="D6174" s="1">
        <f>IFERROR(__xludf.DUMMYFUNCTION("""COMPUTED_VALUE"""),164.61)</f>
        <v>164.61</v>
      </c>
      <c r="E6174" s="1">
        <f>IFERROR(__xludf.DUMMYFUNCTION("""COMPUTED_VALUE"""),166.95)</f>
        <v>166.95</v>
      </c>
      <c r="F6174" s="1">
        <f>IFERROR(__xludf.DUMMYFUNCTION("""COMPUTED_VALUE"""),6378312.0)</f>
        <v>6378312</v>
      </c>
    </row>
    <row r="6175">
      <c r="A6175" s="2">
        <f>IFERROR(__xludf.DUMMYFUNCTION("""COMPUTED_VALUE"""),45490.66666666667)</f>
        <v>45490.66667</v>
      </c>
      <c r="B6175" s="1">
        <f>IFERROR(__xludf.DUMMYFUNCTION("""COMPUTED_VALUE"""),167.75)</f>
        <v>167.75</v>
      </c>
      <c r="C6175" s="1">
        <f>IFERROR(__xludf.DUMMYFUNCTION("""COMPUTED_VALUE"""),170.17)</f>
        <v>170.17</v>
      </c>
      <c r="D6175" s="1">
        <f>IFERROR(__xludf.DUMMYFUNCTION("""COMPUTED_VALUE"""),167.33)</f>
        <v>167.33</v>
      </c>
      <c r="E6175" s="1">
        <f>IFERROR(__xludf.DUMMYFUNCTION("""COMPUTED_VALUE"""),169.44)</f>
        <v>169.44</v>
      </c>
      <c r="F6175" s="1">
        <f>IFERROR(__xludf.DUMMYFUNCTION("""COMPUTED_VALUE"""),7982328.0)</f>
        <v>7982328</v>
      </c>
    </row>
    <row r="6176">
      <c r="A6176" s="2">
        <f>IFERROR(__xludf.DUMMYFUNCTION("""COMPUTED_VALUE"""),45491.66666666667)</f>
        <v>45491.66667</v>
      </c>
      <c r="B6176" s="1">
        <f>IFERROR(__xludf.DUMMYFUNCTION("""COMPUTED_VALUE"""),168.8)</f>
        <v>168.8</v>
      </c>
      <c r="C6176" s="1">
        <f>IFERROR(__xludf.DUMMYFUNCTION("""COMPUTED_VALUE"""),170.92)</f>
        <v>170.92</v>
      </c>
      <c r="D6176" s="1">
        <f>IFERROR(__xludf.DUMMYFUNCTION("""COMPUTED_VALUE"""),168.28)</f>
        <v>168.28</v>
      </c>
      <c r="E6176" s="1">
        <f>IFERROR(__xludf.DUMMYFUNCTION("""COMPUTED_VALUE"""),168.44)</f>
        <v>168.44</v>
      </c>
      <c r="F6176" s="1">
        <f>IFERROR(__xludf.DUMMYFUNCTION("""COMPUTED_VALUE"""),5926346.0)</f>
        <v>5926346</v>
      </c>
    </row>
    <row r="6177">
      <c r="A6177" s="2">
        <f>IFERROR(__xludf.DUMMYFUNCTION("""COMPUTED_VALUE"""),45492.66666666667)</f>
        <v>45492.66667</v>
      </c>
      <c r="B6177" s="1">
        <f>IFERROR(__xludf.DUMMYFUNCTION("""COMPUTED_VALUE"""),167.97)</f>
        <v>167.97</v>
      </c>
      <c r="C6177" s="1">
        <f>IFERROR(__xludf.DUMMYFUNCTION("""COMPUTED_VALUE"""),169.04)</f>
        <v>169.04</v>
      </c>
      <c r="D6177" s="1">
        <f>IFERROR(__xludf.DUMMYFUNCTION("""COMPUTED_VALUE"""),167.13)</f>
        <v>167.13</v>
      </c>
      <c r="E6177" s="1">
        <f>IFERROR(__xludf.DUMMYFUNCTION("""COMPUTED_VALUE"""),167.96)</f>
        <v>167.96</v>
      </c>
      <c r="F6177" s="1">
        <f>IFERROR(__xludf.DUMMYFUNCTION("""COMPUTED_VALUE"""),6597090.0)</f>
        <v>6597090</v>
      </c>
    </row>
    <row r="6178">
      <c r="A6178" s="2">
        <f>IFERROR(__xludf.DUMMYFUNCTION("""COMPUTED_VALUE"""),45495.66666666667)</f>
        <v>45495.66667</v>
      </c>
      <c r="B6178" s="1">
        <f>IFERROR(__xludf.DUMMYFUNCTION("""COMPUTED_VALUE"""),167.93)</f>
        <v>167.93</v>
      </c>
      <c r="C6178" s="1">
        <f>IFERROR(__xludf.DUMMYFUNCTION("""COMPUTED_VALUE"""),168.7)</f>
        <v>168.7</v>
      </c>
      <c r="D6178" s="1">
        <f>IFERROR(__xludf.DUMMYFUNCTION("""COMPUTED_VALUE"""),167.7)</f>
        <v>167.7</v>
      </c>
      <c r="E6178" s="1">
        <f>IFERROR(__xludf.DUMMYFUNCTION("""COMPUTED_VALUE"""),168.25)</f>
        <v>168.25</v>
      </c>
      <c r="F6178" s="1">
        <f>IFERROR(__xludf.DUMMYFUNCTION("""COMPUTED_VALUE"""),6383031.0)</f>
        <v>6383031</v>
      </c>
    </row>
    <row r="6179">
      <c r="A6179" s="2">
        <f>IFERROR(__xludf.DUMMYFUNCTION("""COMPUTED_VALUE"""),45496.66666666667)</f>
        <v>45496.66667</v>
      </c>
      <c r="B6179" s="1">
        <f>IFERROR(__xludf.DUMMYFUNCTION("""COMPUTED_VALUE"""),168.11)</f>
        <v>168.11</v>
      </c>
      <c r="C6179" s="1">
        <f>IFERROR(__xludf.DUMMYFUNCTION("""COMPUTED_VALUE"""),168.42)</f>
        <v>168.42</v>
      </c>
      <c r="D6179" s="1">
        <f>IFERROR(__xludf.DUMMYFUNCTION("""COMPUTED_VALUE"""),166.32)</f>
        <v>166.32</v>
      </c>
      <c r="E6179" s="1">
        <f>IFERROR(__xludf.DUMMYFUNCTION("""COMPUTED_VALUE"""),166.62)</f>
        <v>166.62</v>
      </c>
      <c r="F6179" s="1">
        <f>IFERROR(__xludf.DUMMYFUNCTION("""COMPUTED_VALUE"""),4863398.0)</f>
        <v>4863398</v>
      </c>
    </row>
    <row r="6180">
      <c r="A6180" s="2">
        <f>IFERROR(__xludf.DUMMYFUNCTION("""COMPUTED_VALUE"""),45497.66666666667)</f>
        <v>45497.66667</v>
      </c>
      <c r="B6180" s="1">
        <f>IFERROR(__xludf.DUMMYFUNCTION("""COMPUTED_VALUE"""),166.32)</f>
        <v>166.32</v>
      </c>
      <c r="C6180" s="1">
        <f>IFERROR(__xludf.DUMMYFUNCTION("""COMPUTED_VALUE"""),168.28)</f>
        <v>168.28</v>
      </c>
      <c r="D6180" s="1">
        <f>IFERROR(__xludf.DUMMYFUNCTION("""COMPUTED_VALUE"""),165.58)</f>
        <v>165.58</v>
      </c>
      <c r="E6180" s="1">
        <f>IFERROR(__xludf.DUMMYFUNCTION("""COMPUTED_VALUE"""),168.0)</f>
        <v>168</v>
      </c>
      <c r="F6180" s="1">
        <f>IFERROR(__xludf.DUMMYFUNCTION("""COMPUTED_VALUE"""),5906992.0)</f>
        <v>5906992</v>
      </c>
    </row>
    <row r="6181">
      <c r="A6181" s="2">
        <f>IFERROR(__xludf.DUMMYFUNCTION("""COMPUTED_VALUE"""),45498.66666666667)</f>
        <v>45498.66667</v>
      </c>
      <c r="B6181" s="1">
        <f>IFERROR(__xludf.DUMMYFUNCTION("""COMPUTED_VALUE"""),168.32)</f>
        <v>168.32</v>
      </c>
      <c r="C6181" s="1">
        <f>IFERROR(__xludf.DUMMYFUNCTION("""COMPUTED_VALUE"""),170.09)</f>
        <v>170.09</v>
      </c>
      <c r="D6181" s="1">
        <f>IFERROR(__xludf.DUMMYFUNCTION("""COMPUTED_VALUE"""),166.87)</f>
        <v>166.87</v>
      </c>
      <c r="E6181" s="1">
        <f>IFERROR(__xludf.DUMMYFUNCTION("""COMPUTED_VALUE"""),166.9)</f>
        <v>166.9</v>
      </c>
      <c r="F6181" s="1">
        <f>IFERROR(__xludf.DUMMYFUNCTION("""COMPUTED_VALUE"""),7338521.0)</f>
        <v>7338521</v>
      </c>
    </row>
    <row r="6182">
      <c r="A6182" s="2">
        <f>IFERROR(__xludf.DUMMYFUNCTION("""COMPUTED_VALUE"""),45499.66666666667)</f>
        <v>45499.66667</v>
      </c>
      <c r="B6182" s="1">
        <f>IFERROR(__xludf.DUMMYFUNCTION("""COMPUTED_VALUE"""),167.25)</f>
        <v>167.25</v>
      </c>
      <c r="C6182" s="1">
        <f>IFERROR(__xludf.DUMMYFUNCTION("""COMPUTED_VALUE"""),169.32)</f>
        <v>169.32</v>
      </c>
      <c r="D6182" s="1">
        <f>IFERROR(__xludf.DUMMYFUNCTION("""COMPUTED_VALUE"""),167.03)</f>
        <v>167.03</v>
      </c>
      <c r="E6182" s="1">
        <f>IFERROR(__xludf.DUMMYFUNCTION("""COMPUTED_VALUE"""),169.11)</f>
        <v>169.11</v>
      </c>
      <c r="F6182" s="1">
        <f>IFERROR(__xludf.DUMMYFUNCTION("""COMPUTED_VALUE"""),5581557.0)</f>
        <v>5581557</v>
      </c>
    </row>
    <row r="6183">
      <c r="A6183" s="2">
        <f>IFERROR(__xludf.DUMMYFUNCTION("""COMPUTED_VALUE"""),45502.66666666667)</f>
        <v>45502.66667</v>
      </c>
      <c r="B6183" s="1">
        <f>IFERROR(__xludf.DUMMYFUNCTION("""COMPUTED_VALUE"""),168.85)</f>
        <v>168.85</v>
      </c>
      <c r="C6183" s="1">
        <f>IFERROR(__xludf.DUMMYFUNCTION("""COMPUTED_VALUE"""),170.54)</f>
        <v>170.54</v>
      </c>
      <c r="D6183" s="1">
        <f>IFERROR(__xludf.DUMMYFUNCTION("""COMPUTED_VALUE"""),168.11)</f>
        <v>168.11</v>
      </c>
      <c r="E6183" s="1">
        <f>IFERROR(__xludf.DUMMYFUNCTION("""COMPUTED_VALUE"""),169.93)</f>
        <v>169.93</v>
      </c>
      <c r="F6183" s="1">
        <f>IFERROR(__xludf.DUMMYFUNCTION("""COMPUTED_VALUE"""),6797832.0)</f>
        <v>6797832</v>
      </c>
    </row>
    <row r="6184">
      <c r="A6184" s="2">
        <f>IFERROR(__xludf.DUMMYFUNCTION("""COMPUTED_VALUE"""),45503.66666666667)</f>
        <v>45503.66667</v>
      </c>
      <c r="B6184" s="1">
        <f>IFERROR(__xludf.DUMMYFUNCTION("""COMPUTED_VALUE"""),161.79)</f>
        <v>161.79</v>
      </c>
      <c r="C6184" s="1">
        <f>IFERROR(__xludf.DUMMYFUNCTION("""COMPUTED_VALUE"""),162.38)</f>
        <v>162.38</v>
      </c>
      <c r="D6184" s="1">
        <f>IFERROR(__xludf.DUMMYFUNCTION("""COMPUTED_VALUE"""),158.04)</f>
        <v>158.04</v>
      </c>
      <c r="E6184" s="1">
        <f>IFERROR(__xludf.DUMMYFUNCTION("""COMPUTED_VALUE"""),161.7)</f>
        <v>161.7</v>
      </c>
      <c r="F6184" s="1">
        <f>IFERROR(__xludf.DUMMYFUNCTION("""COMPUTED_VALUE"""),1.5746254E7)</f>
        <v>15746254</v>
      </c>
    </row>
    <row r="6185">
      <c r="A6185" s="2">
        <f>IFERROR(__xludf.DUMMYFUNCTION("""COMPUTED_VALUE"""),45504.66666666667)</f>
        <v>45504.66667</v>
      </c>
      <c r="B6185" s="1">
        <f>IFERROR(__xludf.DUMMYFUNCTION("""COMPUTED_VALUE"""),160.81)</f>
        <v>160.81</v>
      </c>
      <c r="C6185" s="1">
        <f>IFERROR(__xludf.DUMMYFUNCTION("""COMPUTED_VALUE"""),162.86)</f>
        <v>162.86</v>
      </c>
      <c r="D6185" s="1">
        <f>IFERROR(__xludf.DUMMYFUNCTION("""COMPUTED_VALUE"""),159.21)</f>
        <v>159.21</v>
      </c>
      <c r="E6185" s="1">
        <f>IFERROR(__xludf.DUMMYFUNCTION("""COMPUTED_VALUE"""),160.76)</f>
        <v>160.76</v>
      </c>
      <c r="F6185" s="1">
        <f>IFERROR(__xludf.DUMMYFUNCTION("""COMPUTED_VALUE"""),9660902.0)</f>
        <v>9660902</v>
      </c>
    </row>
    <row r="6186">
      <c r="A6186" s="2">
        <f>IFERROR(__xludf.DUMMYFUNCTION("""COMPUTED_VALUE"""),45505.66666666667)</f>
        <v>45505.66667</v>
      </c>
      <c r="B6186" s="1">
        <f>IFERROR(__xludf.DUMMYFUNCTION("""COMPUTED_VALUE"""),160.88)</f>
        <v>160.88</v>
      </c>
      <c r="C6186" s="1">
        <f>IFERROR(__xludf.DUMMYFUNCTION("""COMPUTED_VALUE"""),166.31)</f>
        <v>166.31</v>
      </c>
      <c r="D6186" s="1">
        <f>IFERROR(__xludf.DUMMYFUNCTION("""COMPUTED_VALUE"""),160.68)</f>
        <v>160.68</v>
      </c>
      <c r="E6186" s="1">
        <f>IFERROR(__xludf.DUMMYFUNCTION("""COMPUTED_VALUE"""),165.69)</f>
        <v>165.69</v>
      </c>
      <c r="F6186" s="1">
        <f>IFERROR(__xludf.DUMMYFUNCTION("""COMPUTED_VALUE"""),1.25327E7)</f>
        <v>12532700</v>
      </c>
    </row>
    <row r="6187">
      <c r="A6187" s="2">
        <f>IFERROR(__xludf.DUMMYFUNCTION("""COMPUTED_VALUE"""),45506.66666666667)</f>
        <v>45506.66667</v>
      </c>
      <c r="B6187" s="1">
        <f>IFERROR(__xludf.DUMMYFUNCTION("""COMPUTED_VALUE"""),167.44)</f>
        <v>167.44</v>
      </c>
      <c r="C6187" s="1">
        <f>IFERROR(__xludf.DUMMYFUNCTION("""COMPUTED_VALUE"""),170.35)</f>
        <v>170.35</v>
      </c>
      <c r="D6187" s="1">
        <f>IFERROR(__xludf.DUMMYFUNCTION("""COMPUTED_VALUE"""),165.15)</f>
        <v>165.15</v>
      </c>
      <c r="E6187" s="1">
        <f>IFERROR(__xludf.DUMMYFUNCTION("""COMPUTED_VALUE"""),170.08)</f>
        <v>170.08</v>
      </c>
      <c r="F6187" s="1">
        <f>IFERROR(__xludf.DUMMYFUNCTION("""COMPUTED_VALUE"""),1.1899038E7)</f>
        <v>11899038</v>
      </c>
    </row>
    <row r="6188">
      <c r="A6188" s="2">
        <f>IFERROR(__xludf.DUMMYFUNCTION("""COMPUTED_VALUE"""),45509.66666666667)</f>
        <v>45509.66667</v>
      </c>
      <c r="B6188" s="1">
        <f>IFERROR(__xludf.DUMMYFUNCTION("""COMPUTED_VALUE"""),170.88)</f>
        <v>170.88</v>
      </c>
      <c r="C6188" s="1">
        <f>IFERROR(__xludf.DUMMYFUNCTION("""COMPUTED_VALUE"""),170.88)</f>
        <v>170.88</v>
      </c>
      <c r="D6188" s="1">
        <f>IFERROR(__xludf.DUMMYFUNCTION("""COMPUTED_VALUE"""),166.67)</f>
        <v>166.67</v>
      </c>
      <c r="E6188" s="1">
        <f>IFERROR(__xludf.DUMMYFUNCTION("""COMPUTED_VALUE"""),168.06)</f>
        <v>168.06</v>
      </c>
      <c r="F6188" s="1">
        <f>IFERROR(__xludf.DUMMYFUNCTION("""COMPUTED_VALUE"""),1.0338767E7)</f>
        <v>10338767</v>
      </c>
    </row>
    <row r="6189">
      <c r="A6189" s="2">
        <f>IFERROR(__xludf.DUMMYFUNCTION("""COMPUTED_VALUE"""),45510.66666666667)</f>
        <v>45510.66667</v>
      </c>
      <c r="B6189" s="1">
        <f>IFERROR(__xludf.DUMMYFUNCTION("""COMPUTED_VALUE"""),167.9)</f>
        <v>167.9</v>
      </c>
      <c r="C6189" s="1">
        <f>IFERROR(__xludf.DUMMYFUNCTION("""COMPUTED_VALUE"""),170.33)</f>
        <v>170.33</v>
      </c>
      <c r="D6189" s="1">
        <f>IFERROR(__xludf.DUMMYFUNCTION("""COMPUTED_VALUE"""),167.85)</f>
        <v>167.85</v>
      </c>
      <c r="E6189" s="1">
        <f>IFERROR(__xludf.DUMMYFUNCTION("""COMPUTED_VALUE"""),168.09)</f>
        <v>168.09</v>
      </c>
      <c r="F6189" s="1">
        <f>IFERROR(__xludf.DUMMYFUNCTION("""COMPUTED_VALUE"""),7454869.0)</f>
        <v>7454869</v>
      </c>
    </row>
    <row r="6190">
      <c r="A6190" s="2">
        <f>IFERROR(__xludf.DUMMYFUNCTION("""COMPUTED_VALUE"""),45511.66666666667)</f>
        <v>45511.66667</v>
      </c>
      <c r="B6190" s="1">
        <f>IFERROR(__xludf.DUMMYFUNCTION("""COMPUTED_VALUE"""),168.57)</f>
        <v>168.57</v>
      </c>
      <c r="C6190" s="1">
        <f>IFERROR(__xludf.DUMMYFUNCTION("""COMPUTED_VALUE"""),171.72)</f>
        <v>171.72</v>
      </c>
      <c r="D6190" s="1">
        <f>IFERROR(__xludf.DUMMYFUNCTION("""COMPUTED_VALUE"""),168.01)</f>
        <v>168.01</v>
      </c>
      <c r="E6190" s="1">
        <f>IFERROR(__xludf.DUMMYFUNCTION("""COMPUTED_VALUE"""),170.02)</f>
        <v>170.02</v>
      </c>
      <c r="F6190" s="1">
        <f>IFERROR(__xludf.DUMMYFUNCTION("""COMPUTED_VALUE"""),8385546.0)</f>
        <v>8385546</v>
      </c>
    </row>
    <row r="6191">
      <c r="A6191" s="2">
        <f>IFERROR(__xludf.DUMMYFUNCTION("""COMPUTED_VALUE"""),45512.66666666667)</f>
        <v>45512.66667</v>
      </c>
      <c r="B6191" s="1">
        <f>IFERROR(__xludf.DUMMYFUNCTION("""COMPUTED_VALUE"""),169.42)</f>
        <v>169.42</v>
      </c>
      <c r="C6191" s="1">
        <f>IFERROR(__xludf.DUMMYFUNCTION("""COMPUTED_VALUE"""),171.56)</f>
        <v>171.56</v>
      </c>
      <c r="D6191" s="1">
        <f>IFERROR(__xludf.DUMMYFUNCTION("""COMPUTED_VALUE"""),169.0)</f>
        <v>169</v>
      </c>
      <c r="E6191" s="1">
        <f>IFERROR(__xludf.DUMMYFUNCTION("""COMPUTED_VALUE"""),170.87)</f>
        <v>170.87</v>
      </c>
      <c r="F6191" s="1">
        <f>IFERROR(__xludf.DUMMYFUNCTION("""COMPUTED_VALUE"""),6386941.0)</f>
        <v>6386941</v>
      </c>
    </row>
    <row r="6192">
      <c r="A6192" s="2">
        <f>IFERROR(__xludf.DUMMYFUNCTION("""COMPUTED_VALUE"""),45513.66666666667)</f>
        <v>45513.66667</v>
      </c>
      <c r="B6192" s="1">
        <f>IFERROR(__xludf.DUMMYFUNCTION("""COMPUTED_VALUE"""),170.12)</f>
        <v>170.12</v>
      </c>
      <c r="C6192" s="1">
        <f>IFERROR(__xludf.DUMMYFUNCTION("""COMPUTED_VALUE"""),171.26)</f>
        <v>171.26</v>
      </c>
      <c r="D6192" s="1">
        <f>IFERROR(__xludf.DUMMYFUNCTION("""COMPUTED_VALUE"""),169.65)</f>
        <v>169.65</v>
      </c>
      <c r="E6192" s="1">
        <f>IFERROR(__xludf.DUMMYFUNCTION("""COMPUTED_VALUE"""),170.54)</f>
        <v>170.54</v>
      </c>
      <c r="F6192" s="1">
        <f>IFERROR(__xludf.DUMMYFUNCTION("""COMPUTED_VALUE"""),5377378.0)</f>
        <v>5377378</v>
      </c>
    </row>
    <row r="6193">
      <c r="A6193" s="2">
        <f>IFERROR(__xludf.DUMMYFUNCTION("""COMPUTED_VALUE"""),45516.66666666667)</f>
        <v>45516.66667</v>
      </c>
      <c r="B6193" s="1">
        <f>IFERROR(__xludf.DUMMYFUNCTION("""COMPUTED_VALUE"""),169.4)</f>
        <v>169.4</v>
      </c>
      <c r="C6193" s="1">
        <f>IFERROR(__xludf.DUMMYFUNCTION("""COMPUTED_VALUE"""),169.65)</f>
        <v>169.65</v>
      </c>
      <c r="D6193" s="1">
        <f>IFERROR(__xludf.DUMMYFUNCTION("""COMPUTED_VALUE"""),166.2)</f>
        <v>166.2</v>
      </c>
      <c r="E6193" s="1">
        <f>IFERROR(__xludf.DUMMYFUNCTION("""COMPUTED_VALUE"""),166.81)</f>
        <v>166.81</v>
      </c>
      <c r="F6193" s="1">
        <f>IFERROR(__xludf.DUMMYFUNCTION("""COMPUTED_VALUE"""),7208103.0)</f>
        <v>7208103</v>
      </c>
    </row>
    <row r="6194">
      <c r="A6194" s="2">
        <f>IFERROR(__xludf.DUMMYFUNCTION("""COMPUTED_VALUE"""),45517.66666666667)</f>
        <v>45517.66667</v>
      </c>
      <c r="B6194" s="1">
        <f>IFERROR(__xludf.DUMMYFUNCTION("""COMPUTED_VALUE"""),167.34)</f>
        <v>167.34</v>
      </c>
      <c r="C6194" s="1">
        <f>IFERROR(__xludf.DUMMYFUNCTION("""COMPUTED_VALUE"""),167.8)</f>
        <v>167.8</v>
      </c>
      <c r="D6194" s="1">
        <f>IFERROR(__xludf.DUMMYFUNCTION("""COMPUTED_VALUE"""),166.46)</f>
        <v>166.46</v>
      </c>
      <c r="E6194" s="1">
        <f>IFERROR(__xludf.DUMMYFUNCTION("""COMPUTED_VALUE"""),167.29)</f>
        <v>167.29</v>
      </c>
      <c r="F6194" s="1">
        <f>IFERROR(__xludf.DUMMYFUNCTION("""COMPUTED_VALUE"""),3770007.0)</f>
        <v>3770007</v>
      </c>
    </row>
    <row r="6195">
      <c r="A6195" s="2">
        <f>IFERROR(__xludf.DUMMYFUNCTION("""COMPUTED_VALUE"""),45518.66666666667)</f>
        <v>45518.66667</v>
      </c>
      <c r="B6195" s="1">
        <f>IFERROR(__xludf.DUMMYFUNCTION("""COMPUTED_VALUE"""),166.5)</f>
        <v>166.5</v>
      </c>
      <c r="C6195" s="1">
        <f>IFERROR(__xludf.DUMMYFUNCTION("""COMPUTED_VALUE"""),169.47)</f>
        <v>169.47</v>
      </c>
      <c r="D6195" s="1">
        <f>IFERROR(__xludf.DUMMYFUNCTION("""COMPUTED_VALUE"""),165.82)</f>
        <v>165.82</v>
      </c>
      <c r="E6195" s="1">
        <f>IFERROR(__xludf.DUMMYFUNCTION("""COMPUTED_VALUE"""),168.8)</f>
        <v>168.8</v>
      </c>
      <c r="F6195" s="1">
        <f>IFERROR(__xludf.DUMMYFUNCTION("""COMPUTED_VALUE"""),5476675.0)</f>
        <v>5476675</v>
      </c>
    </row>
    <row r="6196">
      <c r="A6196" s="2">
        <f>IFERROR(__xludf.DUMMYFUNCTION("""COMPUTED_VALUE"""),45519.66666666667)</f>
        <v>45519.66667</v>
      </c>
      <c r="B6196" s="1">
        <f>IFERROR(__xludf.DUMMYFUNCTION("""COMPUTED_VALUE"""),169.46)</f>
        <v>169.46</v>
      </c>
      <c r="C6196" s="1">
        <f>IFERROR(__xludf.DUMMYFUNCTION("""COMPUTED_VALUE"""),169.68)</f>
        <v>169.68</v>
      </c>
      <c r="D6196" s="1">
        <f>IFERROR(__xludf.DUMMYFUNCTION("""COMPUTED_VALUE"""),166.75)</f>
        <v>166.75</v>
      </c>
      <c r="E6196" s="1">
        <f>IFERROR(__xludf.DUMMYFUNCTION("""COMPUTED_VALUE"""),167.92)</f>
        <v>167.92</v>
      </c>
      <c r="F6196" s="1">
        <f>IFERROR(__xludf.DUMMYFUNCTION("""COMPUTED_VALUE"""),9491625.0)</f>
        <v>9491625</v>
      </c>
    </row>
    <row r="6197">
      <c r="A6197" s="2">
        <f>IFERROR(__xludf.DUMMYFUNCTION("""COMPUTED_VALUE"""),45520.66666666667)</f>
        <v>45520.66667</v>
      </c>
      <c r="B6197" s="1">
        <f>IFERROR(__xludf.DUMMYFUNCTION("""COMPUTED_VALUE"""),167.82)</f>
        <v>167.82</v>
      </c>
      <c r="C6197" s="1">
        <f>IFERROR(__xludf.DUMMYFUNCTION("""COMPUTED_VALUE"""),168.35)</f>
        <v>168.35</v>
      </c>
      <c r="D6197" s="1">
        <f>IFERROR(__xludf.DUMMYFUNCTION("""COMPUTED_VALUE"""),166.8)</f>
        <v>166.8</v>
      </c>
      <c r="E6197" s="1">
        <f>IFERROR(__xludf.DUMMYFUNCTION("""COMPUTED_VALUE"""),167.89)</f>
        <v>167.89</v>
      </c>
      <c r="F6197" s="1">
        <f>IFERROR(__xludf.DUMMYFUNCTION("""COMPUTED_VALUE"""),5640925.0)</f>
        <v>5640925</v>
      </c>
    </row>
    <row r="6198">
      <c r="A6198" s="2">
        <f>IFERROR(__xludf.DUMMYFUNCTION("""COMPUTED_VALUE"""),45523.66666666667)</f>
        <v>45523.66667</v>
      </c>
      <c r="B6198" s="1">
        <f>IFERROR(__xludf.DUMMYFUNCTION("""COMPUTED_VALUE"""),168.18)</f>
        <v>168.18</v>
      </c>
      <c r="C6198" s="1">
        <f>IFERROR(__xludf.DUMMYFUNCTION("""COMPUTED_VALUE"""),169.24)</f>
        <v>169.24</v>
      </c>
      <c r="D6198" s="1">
        <f>IFERROR(__xludf.DUMMYFUNCTION("""COMPUTED_VALUE"""),168.17)</f>
        <v>168.17</v>
      </c>
      <c r="E6198" s="1">
        <f>IFERROR(__xludf.DUMMYFUNCTION("""COMPUTED_VALUE"""),168.42)</f>
        <v>168.42</v>
      </c>
      <c r="F6198" s="1">
        <f>IFERROR(__xludf.DUMMYFUNCTION("""COMPUTED_VALUE"""),3885315.0)</f>
        <v>3885315</v>
      </c>
    </row>
    <row r="6199">
      <c r="A6199" s="2">
        <f>IFERROR(__xludf.DUMMYFUNCTION("""COMPUTED_VALUE"""),45524.66666666667)</f>
        <v>45524.66667</v>
      </c>
      <c r="B6199" s="1">
        <f>IFERROR(__xludf.DUMMYFUNCTION("""COMPUTED_VALUE"""),168.77)</f>
        <v>168.77</v>
      </c>
      <c r="C6199" s="1">
        <f>IFERROR(__xludf.DUMMYFUNCTION("""COMPUTED_VALUE"""),170.56)</f>
        <v>170.56</v>
      </c>
      <c r="D6199" s="1">
        <f>IFERROR(__xludf.DUMMYFUNCTION("""COMPUTED_VALUE"""),168.11)</f>
        <v>168.11</v>
      </c>
      <c r="E6199" s="1">
        <f>IFERROR(__xludf.DUMMYFUNCTION("""COMPUTED_VALUE"""),170.41)</f>
        <v>170.41</v>
      </c>
      <c r="F6199" s="1">
        <f>IFERROR(__xludf.DUMMYFUNCTION("""COMPUTED_VALUE"""),4513600.0)</f>
        <v>4513600</v>
      </c>
    </row>
    <row r="6200">
      <c r="A6200" s="2">
        <f>IFERROR(__xludf.DUMMYFUNCTION("""COMPUTED_VALUE"""),45525.66666666667)</f>
        <v>45525.66667</v>
      </c>
      <c r="B6200" s="1">
        <f>IFERROR(__xludf.DUMMYFUNCTION("""COMPUTED_VALUE"""),170.19)</f>
        <v>170.19</v>
      </c>
      <c r="C6200" s="1">
        <f>IFERROR(__xludf.DUMMYFUNCTION("""COMPUTED_VALUE"""),171.89)</f>
        <v>171.89</v>
      </c>
      <c r="D6200" s="1">
        <f>IFERROR(__xludf.DUMMYFUNCTION("""COMPUTED_VALUE"""),169.6)</f>
        <v>169.6</v>
      </c>
      <c r="E6200" s="1">
        <f>IFERROR(__xludf.DUMMYFUNCTION("""COMPUTED_VALUE"""),170.16)</f>
        <v>170.16</v>
      </c>
      <c r="F6200" s="1">
        <f>IFERROR(__xludf.DUMMYFUNCTION("""COMPUTED_VALUE"""),4082026.0)</f>
        <v>4082026</v>
      </c>
    </row>
    <row r="6201">
      <c r="A6201" s="2">
        <f>IFERROR(__xludf.DUMMYFUNCTION("""COMPUTED_VALUE"""),45526.66666666667)</f>
        <v>45526.66667</v>
      </c>
      <c r="B6201" s="1">
        <f>IFERROR(__xludf.DUMMYFUNCTION("""COMPUTED_VALUE"""),170.88)</f>
        <v>170.88</v>
      </c>
      <c r="C6201" s="1">
        <f>IFERROR(__xludf.DUMMYFUNCTION("""COMPUTED_VALUE"""),171.24)</f>
        <v>171.24</v>
      </c>
      <c r="D6201" s="1">
        <f>IFERROR(__xludf.DUMMYFUNCTION("""COMPUTED_VALUE"""),169.14)</f>
        <v>169.14</v>
      </c>
      <c r="E6201" s="1">
        <f>IFERROR(__xludf.DUMMYFUNCTION("""COMPUTED_VALUE"""),170.15)</f>
        <v>170.15</v>
      </c>
      <c r="F6201" s="1">
        <f>IFERROR(__xludf.DUMMYFUNCTION("""COMPUTED_VALUE"""),4097382.0)</f>
        <v>4097382</v>
      </c>
    </row>
    <row r="6202">
      <c r="A6202" s="2">
        <f>IFERROR(__xludf.DUMMYFUNCTION("""COMPUTED_VALUE"""),45527.66666666667)</f>
        <v>45527.66667</v>
      </c>
      <c r="B6202" s="1">
        <f>IFERROR(__xludf.DUMMYFUNCTION("""COMPUTED_VALUE"""),170.05)</f>
        <v>170.05</v>
      </c>
      <c r="C6202" s="1">
        <f>IFERROR(__xludf.DUMMYFUNCTION("""COMPUTED_VALUE"""),170.11)</f>
        <v>170.11</v>
      </c>
      <c r="D6202" s="1">
        <f>IFERROR(__xludf.DUMMYFUNCTION("""COMPUTED_VALUE"""),168.25)</f>
        <v>168.25</v>
      </c>
      <c r="E6202" s="1">
        <f>IFERROR(__xludf.DUMMYFUNCTION("""COMPUTED_VALUE"""),169.17)</f>
        <v>169.17</v>
      </c>
      <c r="F6202" s="1">
        <f>IFERROR(__xludf.DUMMYFUNCTION("""COMPUTED_VALUE"""),4771267.0)</f>
        <v>4771267</v>
      </c>
    </row>
    <row r="6203">
      <c r="A6203" s="2">
        <f>IFERROR(__xludf.DUMMYFUNCTION("""COMPUTED_VALUE"""),45530.66666666667)</f>
        <v>45530.66667</v>
      </c>
      <c r="B6203" s="1">
        <f>IFERROR(__xludf.DUMMYFUNCTION("""COMPUTED_VALUE"""),168.7)</f>
        <v>168.7</v>
      </c>
      <c r="C6203" s="1">
        <f>IFERROR(__xludf.DUMMYFUNCTION("""COMPUTED_VALUE"""),170.97)</f>
        <v>170.97</v>
      </c>
      <c r="D6203" s="1">
        <f>IFERROR(__xludf.DUMMYFUNCTION("""COMPUTED_VALUE"""),168.7)</f>
        <v>168.7</v>
      </c>
      <c r="E6203" s="1">
        <f>IFERROR(__xludf.DUMMYFUNCTION("""COMPUTED_VALUE"""),170.35)</f>
        <v>170.35</v>
      </c>
      <c r="F6203" s="1">
        <f>IFERROR(__xludf.DUMMYFUNCTION("""COMPUTED_VALUE"""),6472417.0)</f>
        <v>6472417</v>
      </c>
    </row>
    <row r="6204">
      <c r="A6204" s="2">
        <f>IFERROR(__xludf.DUMMYFUNCTION("""COMPUTED_VALUE"""),45531.66666666667)</f>
        <v>45531.66667</v>
      </c>
      <c r="B6204" s="1">
        <f>IFERROR(__xludf.DUMMYFUNCTION("""COMPUTED_VALUE"""),170.83)</f>
        <v>170.83</v>
      </c>
      <c r="C6204" s="1">
        <f>IFERROR(__xludf.DUMMYFUNCTION("""COMPUTED_VALUE"""),171.1)</f>
        <v>171.1</v>
      </c>
      <c r="D6204" s="1">
        <f>IFERROR(__xludf.DUMMYFUNCTION("""COMPUTED_VALUE"""),169.08)</f>
        <v>169.08</v>
      </c>
      <c r="E6204" s="1">
        <f>IFERROR(__xludf.DUMMYFUNCTION("""COMPUTED_VALUE"""),169.25)</f>
        <v>169.25</v>
      </c>
      <c r="F6204" s="1">
        <f>IFERROR(__xludf.DUMMYFUNCTION("""COMPUTED_VALUE"""),4456635.0)</f>
        <v>4456635</v>
      </c>
    </row>
    <row r="6205">
      <c r="A6205" s="2">
        <f>IFERROR(__xludf.DUMMYFUNCTION("""COMPUTED_VALUE"""),45532.66666666667)</f>
        <v>45532.66667</v>
      </c>
      <c r="B6205" s="1">
        <f>IFERROR(__xludf.DUMMYFUNCTION("""COMPUTED_VALUE"""),169.42)</f>
        <v>169.42</v>
      </c>
      <c r="C6205" s="1">
        <f>IFERROR(__xludf.DUMMYFUNCTION("""COMPUTED_VALUE"""),171.2)</f>
        <v>171.2</v>
      </c>
      <c r="D6205" s="1">
        <f>IFERROR(__xludf.DUMMYFUNCTION("""COMPUTED_VALUE"""),168.58)</f>
        <v>168.58</v>
      </c>
      <c r="E6205" s="1">
        <f>IFERROR(__xludf.DUMMYFUNCTION("""COMPUTED_VALUE"""),169.06)</f>
        <v>169.06</v>
      </c>
      <c r="F6205" s="1">
        <f>IFERROR(__xludf.DUMMYFUNCTION("""COMPUTED_VALUE"""),5645040.0)</f>
        <v>5645040</v>
      </c>
    </row>
    <row r="6206">
      <c r="A6206" s="2">
        <f>IFERROR(__xludf.DUMMYFUNCTION("""COMPUTED_VALUE"""),45533.66666666667)</f>
        <v>45533.66667</v>
      </c>
      <c r="B6206" s="1">
        <f>IFERROR(__xludf.DUMMYFUNCTION("""COMPUTED_VALUE"""),169.75)</f>
        <v>169.75</v>
      </c>
      <c r="C6206" s="1">
        <f>IFERROR(__xludf.DUMMYFUNCTION("""COMPUTED_VALUE"""),170.6)</f>
        <v>170.6</v>
      </c>
      <c r="D6206" s="1">
        <f>IFERROR(__xludf.DUMMYFUNCTION("""COMPUTED_VALUE"""),168.94)</f>
        <v>168.94</v>
      </c>
      <c r="E6206" s="1">
        <f>IFERROR(__xludf.DUMMYFUNCTION("""COMPUTED_VALUE"""),170.03)</f>
        <v>170.03</v>
      </c>
      <c r="F6206" s="1">
        <f>IFERROR(__xludf.DUMMYFUNCTION("""COMPUTED_VALUE"""),4413165.0)</f>
        <v>4413165</v>
      </c>
    </row>
    <row r="6207">
      <c r="A6207" s="2">
        <f>IFERROR(__xludf.DUMMYFUNCTION("""COMPUTED_VALUE"""),45534.66666666667)</f>
        <v>45534.66667</v>
      </c>
      <c r="B6207" s="1">
        <f>IFERROR(__xludf.DUMMYFUNCTION("""COMPUTED_VALUE"""),170.16)</f>
        <v>170.16</v>
      </c>
      <c r="C6207" s="1">
        <f>IFERROR(__xludf.DUMMYFUNCTION("""COMPUTED_VALUE"""),171.88)</f>
        <v>171.88</v>
      </c>
      <c r="D6207" s="1">
        <f>IFERROR(__xludf.DUMMYFUNCTION("""COMPUTED_VALUE"""),169.69)</f>
        <v>169.69</v>
      </c>
      <c r="E6207" s="1">
        <f>IFERROR(__xludf.DUMMYFUNCTION("""COMPUTED_VALUE"""),171.54)</f>
        <v>171.54</v>
      </c>
      <c r="F6207" s="1">
        <f>IFERROR(__xludf.DUMMYFUNCTION("""COMPUTED_VALUE"""),7301617.0)</f>
        <v>7301617</v>
      </c>
    </row>
    <row r="6208">
      <c r="A6208" s="2">
        <f>IFERROR(__xludf.DUMMYFUNCTION("""COMPUTED_VALUE"""),45538.66666666667)</f>
        <v>45538.66667</v>
      </c>
      <c r="B6208" s="1">
        <f>IFERROR(__xludf.DUMMYFUNCTION("""COMPUTED_VALUE"""),171.03)</f>
        <v>171.03</v>
      </c>
      <c r="C6208" s="1">
        <f>IFERROR(__xludf.DUMMYFUNCTION("""COMPUTED_VALUE"""),175.0)</f>
        <v>175</v>
      </c>
      <c r="D6208" s="1">
        <f>IFERROR(__xludf.DUMMYFUNCTION("""COMPUTED_VALUE"""),170.99)</f>
        <v>170.99</v>
      </c>
      <c r="E6208" s="1">
        <f>IFERROR(__xludf.DUMMYFUNCTION("""COMPUTED_VALUE"""),174.52)</f>
        <v>174.52</v>
      </c>
      <c r="F6208" s="1">
        <f>IFERROR(__xludf.DUMMYFUNCTION("""COMPUTED_VALUE"""),1.0101418E7)</f>
        <v>10101418</v>
      </c>
    </row>
    <row r="6209">
      <c r="A6209" s="2">
        <f>IFERROR(__xludf.DUMMYFUNCTION("""COMPUTED_VALUE"""),45539.66666666667)</f>
        <v>45539.66667</v>
      </c>
      <c r="B6209" s="1">
        <f>IFERROR(__xludf.DUMMYFUNCTION("""COMPUTED_VALUE"""),173.63)</f>
        <v>173.63</v>
      </c>
      <c r="C6209" s="1">
        <f>IFERROR(__xludf.DUMMYFUNCTION("""COMPUTED_VALUE"""),176.0)</f>
        <v>176</v>
      </c>
      <c r="D6209" s="1">
        <f>IFERROR(__xludf.DUMMYFUNCTION("""COMPUTED_VALUE"""),173.63)</f>
        <v>173.63</v>
      </c>
      <c r="E6209" s="1">
        <f>IFERROR(__xludf.DUMMYFUNCTION("""COMPUTED_VALUE"""),175.9)</f>
        <v>175.9</v>
      </c>
      <c r="F6209" s="1">
        <f>IFERROR(__xludf.DUMMYFUNCTION("""COMPUTED_VALUE"""),7517526.0)</f>
        <v>7517526</v>
      </c>
    </row>
    <row r="6210">
      <c r="A6210" s="2">
        <f>IFERROR(__xludf.DUMMYFUNCTION("""COMPUTED_VALUE"""),45540.66666666667)</f>
        <v>45540.66667</v>
      </c>
      <c r="B6210" s="1">
        <f>IFERROR(__xludf.DUMMYFUNCTION("""COMPUTED_VALUE"""),175.99)</f>
        <v>175.99</v>
      </c>
      <c r="C6210" s="1">
        <f>IFERROR(__xludf.DUMMYFUNCTION("""COMPUTED_VALUE"""),176.55)</f>
        <v>176.55</v>
      </c>
      <c r="D6210" s="1">
        <f>IFERROR(__xludf.DUMMYFUNCTION("""COMPUTED_VALUE"""),174.67)</f>
        <v>174.67</v>
      </c>
      <c r="E6210" s="1">
        <f>IFERROR(__xludf.DUMMYFUNCTION("""COMPUTED_VALUE"""),175.47)</f>
        <v>175.47</v>
      </c>
      <c r="F6210" s="1">
        <f>IFERROR(__xludf.DUMMYFUNCTION("""COMPUTED_VALUE"""),6061865.0)</f>
        <v>6061865</v>
      </c>
    </row>
    <row r="6211">
      <c r="A6211" s="2">
        <f>IFERROR(__xludf.DUMMYFUNCTION("""COMPUTED_VALUE"""),45541.66666666667)</f>
        <v>45541.66667</v>
      </c>
      <c r="B6211" s="1">
        <f>IFERROR(__xludf.DUMMYFUNCTION("""COMPUTED_VALUE"""),175.76)</f>
        <v>175.76</v>
      </c>
      <c r="C6211" s="1">
        <f>IFERROR(__xludf.DUMMYFUNCTION("""COMPUTED_VALUE"""),177.04)</f>
        <v>177.04</v>
      </c>
      <c r="D6211" s="1">
        <f>IFERROR(__xludf.DUMMYFUNCTION("""COMPUTED_VALUE"""),175.34)</f>
        <v>175.34</v>
      </c>
      <c r="E6211" s="1">
        <f>IFERROR(__xludf.DUMMYFUNCTION("""COMPUTED_VALUE"""),175.59)</f>
        <v>175.59</v>
      </c>
      <c r="F6211" s="1">
        <f>IFERROR(__xludf.DUMMYFUNCTION("""COMPUTED_VALUE"""),5785684.0)</f>
        <v>5785684</v>
      </c>
    </row>
    <row r="6212">
      <c r="A6212" s="2">
        <f>IFERROR(__xludf.DUMMYFUNCTION("""COMPUTED_VALUE"""),45544.66666666667)</f>
        <v>45544.66667</v>
      </c>
      <c r="B6212" s="1">
        <f>IFERROR(__xludf.DUMMYFUNCTION("""COMPUTED_VALUE"""),175.54)</f>
        <v>175.54</v>
      </c>
      <c r="C6212" s="1">
        <f>IFERROR(__xludf.DUMMYFUNCTION("""COMPUTED_VALUE"""),176.84)</f>
        <v>176.84</v>
      </c>
      <c r="D6212" s="1">
        <f>IFERROR(__xludf.DUMMYFUNCTION("""COMPUTED_VALUE"""),174.66)</f>
        <v>174.66</v>
      </c>
      <c r="E6212" s="1">
        <f>IFERROR(__xludf.DUMMYFUNCTION("""COMPUTED_VALUE"""),176.06)</f>
        <v>176.06</v>
      </c>
      <c r="F6212" s="1">
        <f>IFERROR(__xludf.DUMMYFUNCTION("""COMPUTED_VALUE"""),6450204.0)</f>
        <v>6450204</v>
      </c>
    </row>
    <row r="6213">
      <c r="A6213" s="2">
        <f>IFERROR(__xludf.DUMMYFUNCTION("""COMPUTED_VALUE"""),45545.66666666667)</f>
        <v>45545.66667</v>
      </c>
      <c r="B6213" s="1">
        <f>IFERROR(__xludf.DUMMYFUNCTION("""COMPUTED_VALUE"""),175.91)</f>
        <v>175.91</v>
      </c>
      <c r="C6213" s="1">
        <f>IFERROR(__xludf.DUMMYFUNCTION("""COMPUTED_VALUE"""),177.94)</f>
        <v>177.94</v>
      </c>
      <c r="D6213" s="1">
        <f>IFERROR(__xludf.DUMMYFUNCTION("""COMPUTED_VALUE"""),175.91)</f>
        <v>175.91</v>
      </c>
      <c r="E6213" s="1">
        <f>IFERROR(__xludf.DUMMYFUNCTION("""COMPUTED_VALUE"""),177.79)</f>
        <v>177.79</v>
      </c>
      <c r="F6213" s="1">
        <f>IFERROR(__xludf.DUMMYFUNCTION("""COMPUTED_VALUE"""),6396311.0)</f>
        <v>6396311</v>
      </c>
    </row>
    <row r="6214">
      <c r="A6214" s="2">
        <f>IFERROR(__xludf.DUMMYFUNCTION("""COMPUTED_VALUE"""),45546.66666666667)</f>
        <v>45546.66667</v>
      </c>
      <c r="B6214" s="1">
        <f>IFERROR(__xludf.DUMMYFUNCTION("""COMPUTED_VALUE"""),176.6)</f>
        <v>176.6</v>
      </c>
      <c r="C6214" s="1">
        <f>IFERROR(__xludf.DUMMYFUNCTION("""COMPUTED_VALUE"""),177.0)</f>
        <v>177</v>
      </c>
      <c r="D6214" s="1">
        <f>IFERROR(__xludf.DUMMYFUNCTION("""COMPUTED_VALUE"""),173.63)</f>
        <v>173.63</v>
      </c>
      <c r="E6214" s="1">
        <f>IFERROR(__xludf.DUMMYFUNCTION("""COMPUTED_VALUE"""),173.92)</f>
        <v>173.92</v>
      </c>
      <c r="F6214" s="1">
        <f>IFERROR(__xludf.DUMMYFUNCTION("""COMPUTED_VALUE"""),6828173.0)</f>
        <v>6828173</v>
      </c>
    </row>
    <row r="6215">
      <c r="A6215" s="2">
        <f>IFERROR(__xludf.DUMMYFUNCTION("""COMPUTED_VALUE"""),45547.66666666667)</f>
        <v>45547.66667</v>
      </c>
      <c r="B6215" s="1">
        <f>IFERROR(__xludf.DUMMYFUNCTION("""COMPUTED_VALUE"""),173.9)</f>
        <v>173.9</v>
      </c>
      <c r="C6215" s="1">
        <f>IFERROR(__xludf.DUMMYFUNCTION("""COMPUTED_VALUE"""),174.61)</f>
        <v>174.61</v>
      </c>
      <c r="D6215" s="1">
        <f>IFERROR(__xludf.DUMMYFUNCTION("""COMPUTED_VALUE"""),172.44)</f>
        <v>172.44</v>
      </c>
      <c r="E6215" s="1">
        <f>IFERROR(__xludf.DUMMYFUNCTION("""COMPUTED_VALUE"""),173.47)</f>
        <v>173.47</v>
      </c>
      <c r="F6215" s="1">
        <f>IFERROR(__xludf.DUMMYFUNCTION("""COMPUTED_VALUE"""),4839752.0)</f>
        <v>4839752</v>
      </c>
    </row>
    <row r="6216">
      <c r="A6216" s="2">
        <f>IFERROR(__xludf.DUMMYFUNCTION("""COMPUTED_VALUE"""),45548.66666666667)</f>
        <v>45548.66667</v>
      </c>
      <c r="B6216" s="1">
        <f>IFERROR(__xludf.DUMMYFUNCTION("""COMPUTED_VALUE"""),173.37)</f>
        <v>173.37</v>
      </c>
      <c r="C6216" s="1">
        <f>IFERROR(__xludf.DUMMYFUNCTION("""COMPUTED_VALUE"""),174.54)</f>
        <v>174.54</v>
      </c>
      <c r="D6216" s="1">
        <f>IFERROR(__xludf.DUMMYFUNCTION("""COMPUTED_VALUE"""),172.8)</f>
        <v>172.8</v>
      </c>
      <c r="E6216" s="1">
        <f>IFERROR(__xludf.DUMMYFUNCTION("""COMPUTED_VALUE"""),174.08)</f>
        <v>174.08</v>
      </c>
      <c r="F6216" s="1">
        <f>IFERROR(__xludf.DUMMYFUNCTION("""COMPUTED_VALUE"""),3917986.0)</f>
        <v>3917986</v>
      </c>
    </row>
    <row r="6217">
      <c r="A6217" s="2">
        <f>IFERROR(__xludf.DUMMYFUNCTION("""COMPUTED_VALUE"""),45551.66666666667)</f>
        <v>45551.66667</v>
      </c>
      <c r="B6217" s="1">
        <f>IFERROR(__xludf.DUMMYFUNCTION("""COMPUTED_VALUE"""),174.71)</f>
        <v>174.71</v>
      </c>
      <c r="C6217" s="1">
        <f>IFERROR(__xludf.DUMMYFUNCTION("""COMPUTED_VALUE"""),177.31)</f>
        <v>177.31</v>
      </c>
      <c r="D6217" s="1">
        <f>IFERROR(__xludf.DUMMYFUNCTION("""COMPUTED_VALUE"""),174.32)</f>
        <v>174.32</v>
      </c>
      <c r="E6217" s="1">
        <f>IFERROR(__xludf.DUMMYFUNCTION("""COMPUTED_VALUE"""),177.24)</f>
        <v>177.24</v>
      </c>
      <c r="F6217" s="1">
        <f>IFERROR(__xludf.DUMMYFUNCTION("""COMPUTED_VALUE"""),6892335.0)</f>
        <v>6892335</v>
      </c>
    </row>
    <row r="6218">
      <c r="A6218" s="2">
        <f>IFERROR(__xludf.DUMMYFUNCTION("""COMPUTED_VALUE"""),45552.66666666667)</f>
        <v>45552.66667</v>
      </c>
      <c r="B6218" s="1">
        <f>IFERROR(__xludf.DUMMYFUNCTION("""COMPUTED_VALUE"""),176.63)</f>
        <v>176.63</v>
      </c>
      <c r="C6218" s="1">
        <f>IFERROR(__xludf.DUMMYFUNCTION("""COMPUTED_VALUE"""),176.97)</f>
        <v>176.97</v>
      </c>
      <c r="D6218" s="1">
        <f>IFERROR(__xludf.DUMMYFUNCTION("""COMPUTED_VALUE"""),175.36)</f>
        <v>175.36</v>
      </c>
      <c r="E6218" s="1">
        <f>IFERROR(__xludf.DUMMYFUNCTION("""COMPUTED_VALUE"""),175.88)</f>
        <v>175.88</v>
      </c>
      <c r="F6218" s="1">
        <f>IFERROR(__xludf.DUMMYFUNCTION("""COMPUTED_VALUE"""),4757247.0)</f>
        <v>4757247</v>
      </c>
    </row>
    <row r="6219">
      <c r="A6219" s="2">
        <f>IFERROR(__xludf.DUMMYFUNCTION("""COMPUTED_VALUE"""),45553.66666666667)</f>
        <v>45553.66667</v>
      </c>
      <c r="B6219" s="1">
        <f>IFERROR(__xludf.DUMMYFUNCTION("""COMPUTED_VALUE"""),175.05)</f>
        <v>175.05</v>
      </c>
      <c r="C6219" s="1">
        <f>IFERROR(__xludf.DUMMYFUNCTION("""COMPUTED_VALUE"""),175.9)</f>
        <v>175.9</v>
      </c>
      <c r="D6219" s="1">
        <f>IFERROR(__xludf.DUMMYFUNCTION("""COMPUTED_VALUE"""),172.57)</f>
        <v>172.57</v>
      </c>
      <c r="E6219" s="1">
        <f>IFERROR(__xludf.DUMMYFUNCTION("""COMPUTED_VALUE"""),173.92)</f>
        <v>173.92</v>
      </c>
      <c r="F6219" s="1">
        <f>IFERROR(__xludf.DUMMYFUNCTION("""COMPUTED_VALUE"""),5102884.0)</f>
        <v>5102884</v>
      </c>
    </row>
    <row r="6220">
      <c r="A6220" s="2">
        <f>IFERROR(__xludf.DUMMYFUNCTION("""COMPUTED_VALUE"""),45554.66666666667)</f>
        <v>45554.66667</v>
      </c>
      <c r="B6220" s="1">
        <f>IFERROR(__xludf.DUMMYFUNCTION("""COMPUTED_VALUE"""),172.88)</f>
        <v>172.88</v>
      </c>
      <c r="C6220" s="1">
        <f>IFERROR(__xludf.DUMMYFUNCTION("""COMPUTED_VALUE"""),173.16)</f>
        <v>173.16</v>
      </c>
      <c r="D6220" s="1">
        <f>IFERROR(__xludf.DUMMYFUNCTION("""COMPUTED_VALUE"""),170.38)</f>
        <v>170.38</v>
      </c>
      <c r="E6220" s="1">
        <f>IFERROR(__xludf.DUMMYFUNCTION("""COMPUTED_VALUE"""),171.54)</f>
        <v>171.54</v>
      </c>
      <c r="F6220" s="1">
        <f>IFERROR(__xludf.DUMMYFUNCTION("""COMPUTED_VALUE"""),8692016.0)</f>
        <v>8692016</v>
      </c>
    </row>
    <row r="6221">
      <c r="A6221" s="2">
        <f>IFERROR(__xludf.DUMMYFUNCTION("""COMPUTED_VALUE"""),45555.66666666667)</f>
        <v>45555.66667</v>
      </c>
      <c r="B6221" s="1">
        <f>IFERROR(__xludf.DUMMYFUNCTION("""COMPUTED_VALUE"""),171.51)</f>
        <v>171.51</v>
      </c>
      <c r="C6221" s="1">
        <f>IFERROR(__xludf.DUMMYFUNCTION("""COMPUTED_VALUE"""),174.54)</f>
        <v>174.54</v>
      </c>
      <c r="D6221" s="1">
        <f>IFERROR(__xludf.DUMMYFUNCTION("""COMPUTED_VALUE"""),171.5)</f>
        <v>171.5</v>
      </c>
      <c r="E6221" s="1">
        <f>IFERROR(__xludf.DUMMYFUNCTION("""COMPUTED_VALUE"""),174.22)</f>
        <v>174.22</v>
      </c>
      <c r="F6221" s="1">
        <f>IFERROR(__xludf.DUMMYFUNCTION("""COMPUTED_VALUE"""),2.8647462E7)</f>
        <v>28647462</v>
      </c>
    </row>
    <row r="6222">
      <c r="A6222" s="2">
        <f>IFERROR(__xludf.DUMMYFUNCTION("""COMPUTED_VALUE"""),45558.66666666667)</f>
        <v>45558.66667</v>
      </c>
      <c r="B6222" s="1">
        <f>IFERROR(__xludf.DUMMYFUNCTION("""COMPUTED_VALUE"""),174.01)</f>
        <v>174.01</v>
      </c>
      <c r="C6222" s="1">
        <f>IFERROR(__xludf.DUMMYFUNCTION("""COMPUTED_VALUE"""),175.19)</f>
        <v>175.19</v>
      </c>
      <c r="D6222" s="1">
        <f>IFERROR(__xludf.DUMMYFUNCTION("""COMPUTED_VALUE"""),172.59)</f>
        <v>172.59</v>
      </c>
      <c r="E6222" s="1">
        <f>IFERROR(__xludf.DUMMYFUNCTION("""COMPUTED_VALUE"""),173.77)</f>
        <v>173.77</v>
      </c>
      <c r="F6222" s="1">
        <f>IFERROR(__xludf.DUMMYFUNCTION("""COMPUTED_VALUE"""),1.0265199E7)</f>
        <v>10265199</v>
      </c>
    </row>
    <row r="6223">
      <c r="A6223" s="2">
        <f>IFERROR(__xludf.DUMMYFUNCTION("""COMPUTED_VALUE"""),45559.66666666667)</f>
        <v>45559.66667</v>
      </c>
      <c r="B6223" s="1">
        <f>IFERROR(__xludf.DUMMYFUNCTION("""COMPUTED_VALUE"""),172.88)</f>
        <v>172.88</v>
      </c>
      <c r="C6223" s="1">
        <f>IFERROR(__xludf.DUMMYFUNCTION("""COMPUTED_VALUE"""),174.5)</f>
        <v>174.5</v>
      </c>
      <c r="D6223" s="1">
        <f>IFERROR(__xludf.DUMMYFUNCTION("""COMPUTED_VALUE"""),172.62)</f>
        <v>172.62</v>
      </c>
      <c r="E6223" s="1">
        <f>IFERROR(__xludf.DUMMYFUNCTION("""COMPUTED_VALUE"""),173.24)</f>
        <v>173.24</v>
      </c>
      <c r="F6223" s="1">
        <f>IFERROR(__xludf.DUMMYFUNCTION("""COMPUTED_VALUE"""),5422351.0)</f>
        <v>5422351</v>
      </c>
    </row>
    <row r="6224">
      <c r="A6224" s="2">
        <f>IFERROR(__xludf.DUMMYFUNCTION("""COMPUTED_VALUE"""),45560.66666666667)</f>
        <v>45560.66667</v>
      </c>
      <c r="B6224" s="1">
        <f>IFERROR(__xludf.DUMMYFUNCTION("""COMPUTED_VALUE"""),174.07)</f>
        <v>174.07</v>
      </c>
      <c r="C6224" s="1">
        <f>IFERROR(__xludf.DUMMYFUNCTION("""COMPUTED_VALUE"""),174.68)</f>
        <v>174.68</v>
      </c>
      <c r="D6224" s="1">
        <f>IFERROR(__xludf.DUMMYFUNCTION("""COMPUTED_VALUE"""),172.06)</f>
        <v>172.06</v>
      </c>
      <c r="E6224" s="1">
        <f>IFERROR(__xludf.DUMMYFUNCTION("""COMPUTED_VALUE"""),172.26)</f>
        <v>172.26</v>
      </c>
      <c r="F6224" s="1">
        <f>IFERROR(__xludf.DUMMYFUNCTION("""COMPUTED_VALUE"""),8916483.0)</f>
        <v>8916483</v>
      </c>
    </row>
    <row r="6225">
      <c r="A6225" s="2">
        <f>IFERROR(__xludf.DUMMYFUNCTION("""COMPUTED_VALUE"""),45561.66666666667)</f>
        <v>45561.66667</v>
      </c>
      <c r="B6225" s="1">
        <f>IFERROR(__xludf.DUMMYFUNCTION("""COMPUTED_VALUE"""),171.5)</f>
        <v>171.5</v>
      </c>
      <c r="C6225" s="1">
        <f>IFERROR(__xludf.DUMMYFUNCTION("""COMPUTED_VALUE"""),174.61)</f>
        <v>174.61</v>
      </c>
      <c r="D6225" s="1">
        <f>IFERROR(__xludf.DUMMYFUNCTION("""COMPUTED_VALUE"""),171.36)</f>
        <v>171.36</v>
      </c>
      <c r="E6225" s="1">
        <f>IFERROR(__xludf.DUMMYFUNCTION("""COMPUTED_VALUE"""),173.21)</f>
        <v>173.21</v>
      </c>
      <c r="F6225" s="1">
        <f>IFERROR(__xludf.DUMMYFUNCTION("""COMPUTED_VALUE"""),4957367.0)</f>
        <v>4957367</v>
      </c>
    </row>
    <row r="6226">
      <c r="A6226" s="2">
        <f>IFERROR(__xludf.DUMMYFUNCTION("""COMPUTED_VALUE"""),45562.66666666667)</f>
        <v>45562.66667</v>
      </c>
      <c r="B6226" s="1">
        <f>IFERROR(__xludf.DUMMYFUNCTION("""COMPUTED_VALUE"""),173.01)</f>
        <v>173.01</v>
      </c>
      <c r="C6226" s="1">
        <f>IFERROR(__xludf.DUMMYFUNCTION("""COMPUTED_VALUE"""),174.45)</f>
        <v>174.45</v>
      </c>
      <c r="D6226" s="1">
        <f>IFERROR(__xludf.DUMMYFUNCTION("""COMPUTED_VALUE"""),172.58)</f>
        <v>172.58</v>
      </c>
      <c r="E6226" s="1">
        <f>IFERROR(__xludf.DUMMYFUNCTION("""COMPUTED_VALUE"""),173.55)</f>
        <v>173.55</v>
      </c>
      <c r="F6226" s="1">
        <f>IFERROR(__xludf.DUMMYFUNCTION("""COMPUTED_VALUE"""),4599709.0)</f>
        <v>4599709</v>
      </c>
    </row>
    <row r="6227">
      <c r="A6227" s="2">
        <f>IFERROR(__xludf.DUMMYFUNCTION("""COMPUTED_VALUE"""),45565.66666666667)</f>
        <v>45565.66667</v>
      </c>
      <c r="B6227" s="1">
        <f>IFERROR(__xludf.DUMMYFUNCTION("""COMPUTED_VALUE"""),173.73)</f>
        <v>173.73</v>
      </c>
      <c r="C6227" s="1">
        <f>IFERROR(__xludf.DUMMYFUNCTION("""COMPUTED_VALUE"""),174.0)</f>
        <v>174</v>
      </c>
      <c r="D6227" s="1">
        <f>IFERROR(__xludf.DUMMYFUNCTION("""COMPUTED_VALUE"""),172.71)</f>
        <v>172.71</v>
      </c>
      <c r="E6227" s="1">
        <f>IFERROR(__xludf.DUMMYFUNCTION("""COMPUTED_VALUE"""),173.2)</f>
        <v>173.2</v>
      </c>
      <c r="F6227" s="1">
        <f>IFERROR(__xludf.DUMMYFUNCTION("""COMPUTED_VALUE"""),6296653.0)</f>
        <v>6296653</v>
      </c>
    </row>
    <row r="6228">
      <c r="A6228" s="2">
        <f>IFERROR(__xludf.DUMMYFUNCTION("""COMPUTED_VALUE"""),45566.66666666667)</f>
        <v>45566.66667</v>
      </c>
      <c r="B6228" s="1">
        <f>IFERROR(__xludf.DUMMYFUNCTION("""COMPUTED_VALUE"""),173.24)</f>
        <v>173.24</v>
      </c>
      <c r="C6228" s="1">
        <f>IFERROR(__xludf.DUMMYFUNCTION("""COMPUTED_VALUE"""),174.0)</f>
        <v>174</v>
      </c>
      <c r="D6228" s="1">
        <f>IFERROR(__xludf.DUMMYFUNCTION("""COMPUTED_VALUE"""),172.2)</f>
        <v>172.2</v>
      </c>
      <c r="E6228" s="1">
        <f>IFERROR(__xludf.DUMMYFUNCTION("""COMPUTED_VALUE"""),173.04)</f>
        <v>173.04</v>
      </c>
      <c r="F6228" s="1">
        <f>IFERROR(__xludf.DUMMYFUNCTION("""COMPUTED_VALUE"""),7130825.0)</f>
        <v>7130825</v>
      </c>
    </row>
    <row r="6229">
      <c r="A6229" s="2">
        <f>IFERROR(__xludf.DUMMYFUNCTION("""COMPUTED_VALUE"""),45567.66666666667)</f>
        <v>45567.66667</v>
      </c>
      <c r="B6229" s="1">
        <f>IFERROR(__xludf.DUMMYFUNCTION("""COMPUTED_VALUE"""),172.01)</f>
        <v>172.01</v>
      </c>
      <c r="C6229" s="1">
        <f>IFERROR(__xludf.DUMMYFUNCTION("""COMPUTED_VALUE"""),172.45)</f>
        <v>172.45</v>
      </c>
      <c r="D6229" s="1">
        <f>IFERROR(__xludf.DUMMYFUNCTION("""COMPUTED_VALUE"""),171.08)</f>
        <v>171.08</v>
      </c>
      <c r="E6229" s="1">
        <f>IFERROR(__xludf.DUMMYFUNCTION("""COMPUTED_VALUE"""),171.92)</f>
        <v>171.92</v>
      </c>
      <c r="F6229" s="1">
        <f>IFERROR(__xludf.DUMMYFUNCTION("""COMPUTED_VALUE"""),6212890.0)</f>
        <v>6212890</v>
      </c>
    </row>
    <row r="6230">
      <c r="A6230" s="2">
        <f>IFERROR(__xludf.DUMMYFUNCTION("""COMPUTED_VALUE"""),45568.66666666667)</f>
        <v>45568.66667</v>
      </c>
      <c r="B6230" s="1">
        <f>IFERROR(__xludf.DUMMYFUNCTION("""COMPUTED_VALUE"""),171.37)</f>
        <v>171.37</v>
      </c>
      <c r="C6230" s="1">
        <f>IFERROR(__xludf.DUMMYFUNCTION("""COMPUTED_VALUE"""),171.37)</f>
        <v>171.37</v>
      </c>
      <c r="D6230" s="1">
        <f>IFERROR(__xludf.DUMMYFUNCTION("""COMPUTED_VALUE"""),169.77)</f>
        <v>169.77</v>
      </c>
      <c r="E6230" s="1">
        <f>IFERROR(__xludf.DUMMYFUNCTION("""COMPUTED_VALUE"""),170.12)</f>
        <v>170.12</v>
      </c>
      <c r="F6230" s="1">
        <f>IFERROR(__xludf.DUMMYFUNCTION("""COMPUTED_VALUE"""),4794348.0)</f>
        <v>4794348</v>
      </c>
    </row>
    <row r="6231">
      <c r="A6231" s="2">
        <f>IFERROR(__xludf.DUMMYFUNCTION("""COMPUTED_VALUE"""),45569.66666666667)</f>
        <v>45569.66667</v>
      </c>
      <c r="B6231" s="1">
        <f>IFERROR(__xludf.DUMMYFUNCTION("""COMPUTED_VALUE"""),168.85)</f>
        <v>168.85</v>
      </c>
      <c r="C6231" s="1">
        <f>IFERROR(__xludf.DUMMYFUNCTION("""COMPUTED_VALUE"""),170.09)</f>
        <v>170.09</v>
      </c>
      <c r="D6231" s="1">
        <f>IFERROR(__xludf.DUMMYFUNCTION("""COMPUTED_VALUE"""),168.26)</f>
        <v>168.26</v>
      </c>
      <c r="E6231" s="1">
        <f>IFERROR(__xludf.DUMMYFUNCTION("""COMPUTED_VALUE"""),168.88)</f>
        <v>168.88</v>
      </c>
      <c r="F6231" s="1">
        <f>IFERROR(__xludf.DUMMYFUNCTION("""COMPUTED_VALUE"""),6003668.0)</f>
        <v>6003668</v>
      </c>
    </row>
    <row r="6232">
      <c r="A6232" s="2">
        <f>IFERROR(__xludf.DUMMYFUNCTION("""COMPUTED_VALUE"""),45572.66666666667)</f>
        <v>45572.66667</v>
      </c>
      <c r="B6232" s="1">
        <f>IFERROR(__xludf.DUMMYFUNCTION("""COMPUTED_VALUE"""),169.16)</f>
        <v>169.16</v>
      </c>
      <c r="C6232" s="1">
        <f>IFERROR(__xludf.DUMMYFUNCTION("""COMPUTED_VALUE"""),169.58)</f>
        <v>169.58</v>
      </c>
      <c r="D6232" s="1">
        <f>IFERROR(__xludf.DUMMYFUNCTION("""COMPUTED_VALUE"""),166.87)</f>
        <v>166.87</v>
      </c>
      <c r="E6232" s="1">
        <f>IFERROR(__xludf.DUMMYFUNCTION("""COMPUTED_VALUE"""),167.12)</f>
        <v>167.12</v>
      </c>
      <c r="F6232" s="1">
        <f>IFERROR(__xludf.DUMMYFUNCTION("""COMPUTED_VALUE"""),6325281.0)</f>
        <v>6325281</v>
      </c>
    </row>
    <row r="6233">
      <c r="A6233" s="2">
        <f>IFERROR(__xludf.DUMMYFUNCTION("""COMPUTED_VALUE"""),45573.66666666667)</f>
        <v>45573.66667</v>
      </c>
      <c r="B6233" s="1">
        <f>IFERROR(__xludf.DUMMYFUNCTION("""COMPUTED_VALUE"""),166.85)</f>
        <v>166.85</v>
      </c>
      <c r="C6233" s="1">
        <f>IFERROR(__xludf.DUMMYFUNCTION("""COMPUTED_VALUE"""),168.59)</f>
        <v>168.59</v>
      </c>
      <c r="D6233" s="1">
        <f>IFERROR(__xludf.DUMMYFUNCTION("""COMPUTED_VALUE"""),166.27)</f>
        <v>166.27</v>
      </c>
      <c r="E6233" s="1">
        <f>IFERROR(__xludf.DUMMYFUNCTION("""COMPUTED_VALUE"""),168.16)</f>
        <v>168.16</v>
      </c>
      <c r="F6233" s="1">
        <f>IFERROR(__xludf.DUMMYFUNCTION("""COMPUTED_VALUE"""),7472965.0)</f>
        <v>7472965</v>
      </c>
    </row>
    <row r="6234">
      <c r="A6234" s="2">
        <f>IFERROR(__xludf.DUMMYFUNCTION("""COMPUTED_VALUE"""),45574.66666666667)</f>
        <v>45574.66667</v>
      </c>
      <c r="B6234" s="1">
        <f>IFERROR(__xludf.DUMMYFUNCTION("""COMPUTED_VALUE"""),168.38)</f>
        <v>168.38</v>
      </c>
      <c r="C6234" s="1">
        <f>IFERROR(__xludf.DUMMYFUNCTION("""COMPUTED_VALUE"""),169.81)</f>
        <v>169.81</v>
      </c>
      <c r="D6234" s="1">
        <f>IFERROR(__xludf.DUMMYFUNCTION("""COMPUTED_VALUE"""),168.0)</f>
        <v>168</v>
      </c>
      <c r="E6234" s="1">
        <f>IFERROR(__xludf.DUMMYFUNCTION("""COMPUTED_VALUE"""),169.27)</f>
        <v>169.27</v>
      </c>
      <c r="F6234" s="1">
        <f>IFERROR(__xludf.DUMMYFUNCTION("""COMPUTED_VALUE"""),8758806.0)</f>
        <v>8758806</v>
      </c>
    </row>
    <row r="6235">
      <c r="A6235" s="2">
        <f>IFERROR(__xludf.DUMMYFUNCTION("""COMPUTED_VALUE"""),45575.66666666667)</f>
        <v>45575.66667</v>
      </c>
      <c r="B6235" s="1">
        <f>IFERROR(__xludf.DUMMYFUNCTION("""COMPUTED_VALUE"""),168.8)</f>
        <v>168.8</v>
      </c>
      <c r="C6235" s="1">
        <f>IFERROR(__xludf.DUMMYFUNCTION("""COMPUTED_VALUE"""),169.79)</f>
        <v>169.79</v>
      </c>
      <c r="D6235" s="1">
        <f>IFERROR(__xludf.DUMMYFUNCTION("""COMPUTED_VALUE"""),168.37)</f>
        <v>168.37</v>
      </c>
      <c r="E6235" s="1">
        <f>IFERROR(__xludf.DUMMYFUNCTION("""COMPUTED_VALUE"""),168.95)</f>
        <v>168.95</v>
      </c>
      <c r="F6235" s="1">
        <f>IFERROR(__xludf.DUMMYFUNCTION("""COMPUTED_VALUE"""),6932308.0)</f>
        <v>6932308</v>
      </c>
    </row>
    <row r="6236">
      <c r="A6236" s="2">
        <f>IFERROR(__xludf.DUMMYFUNCTION("""COMPUTED_VALUE"""),45576.66666666667)</f>
        <v>45576.66667</v>
      </c>
      <c r="B6236" s="1">
        <f>IFERROR(__xludf.DUMMYFUNCTION("""COMPUTED_VALUE"""),169.46)</f>
        <v>169.46</v>
      </c>
      <c r="C6236" s="1">
        <f>IFERROR(__xludf.DUMMYFUNCTION("""COMPUTED_VALUE"""),171.41)</f>
        <v>171.41</v>
      </c>
      <c r="D6236" s="1">
        <f>IFERROR(__xludf.DUMMYFUNCTION("""COMPUTED_VALUE"""),168.97)</f>
        <v>168.97</v>
      </c>
      <c r="E6236" s="1">
        <f>IFERROR(__xludf.DUMMYFUNCTION("""COMPUTED_VALUE"""),171.09)</f>
        <v>171.09</v>
      </c>
      <c r="F6236" s="1">
        <f>IFERROR(__xludf.DUMMYFUNCTION("""COMPUTED_VALUE"""),7036480.0)</f>
        <v>7036480</v>
      </c>
    </row>
    <row r="6237">
      <c r="A6237" s="2">
        <f>IFERROR(__xludf.DUMMYFUNCTION("""COMPUTED_VALUE"""),45579.66666666667)</f>
        <v>45579.66667</v>
      </c>
      <c r="B6237" s="1">
        <f>IFERROR(__xludf.DUMMYFUNCTION("""COMPUTED_VALUE"""),171.02)</f>
        <v>171.02</v>
      </c>
      <c r="C6237" s="1">
        <f>IFERROR(__xludf.DUMMYFUNCTION("""COMPUTED_VALUE"""),172.84)</f>
        <v>172.84</v>
      </c>
      <c r="D6237" s="1">
        <f>IFERROR(__xludf.DUMMYFUNCTION("""COMPUTED_VALUE"""),170.74)</f>
        <v>170.74</v>
      </c>
      <c r="E6237" s="1">
        <f>IFERROR(__xludf.DUMMYFUNCTION("""COMPUTED_VALUE"""),172.51)</f>
        <v>172.51</v>
      </c>
      <c r="F6237" s="1">
        <f>IFERROR(__xludf.DUMMYFUNCTION("""COMPUTED_VALUE"""),5909158.0)</f>
        <v>5909158</v>
      </c>
    </row>
    <row r="6238">
      <c r="A6238" s="2">
        <f>IFERROR(__xludf.DUMMYFUNCTION("""COMPUTED_VALUE"""),45580.66666666667)</f>
        <v>45580.66667</v>
      </c>
      <c r="B6238" s="1">
        <f>IFERROR(__xludf.DUMMYFUNCTION("""COMPUTED_VALUE"""),172.89)</f>
        <v>172.89</v>
      </c>
      <c r="C6238" s="1">
        <f>IFERROR(__xludf.DUMMYFUNCTION("""COMPUTED_VALUE"""),174.91)</f>
        <v>174.91</v>
      </c>
      <c r="D6238" s="1">
        <f>IFERROR(__xludf.DUMMYFUNCTION("""COMPUTED_VALUE"""),172.82)</f>
        <v>172.82</v>
      </c>
      <c r="E6238" s="1">
        <f>IFERROR(__xludf.DUMMYFUNCTION("""COMPUTED_VALUE"""),173.57)</f>
        <v>173.57</v>
      </c>
      <c r="F6238" s="1">
        <f>IFERROR(__xludf.DUMMYFUNCTION("""COMPUTED_VALUE"""),7172262.0)</f>
        <v>7172262</v>
      </c>
    </row>
    <row r="6239">
      <c r="A6239" s="2">
        <f>IFERROR(__xludf.DUMMYFUNCTION("""COMPUTED_VALUE"""),45581.66666666667)</f>
        <v>45581.66667</v>
      </c>
      <c r="B6239" s="1">
        <f>IFERROR(__xludf.DUMMYFUNCTION("""COMPUTED_VALUE"""),171.88)</f>
        <v>171.88</v>
      </c>
      <c r="C6239" s="1">
        <f>IFERROR(__xludf.DUMMYFUNCTION("""COMPUTED_VALUE"""),172.59)</f>
        <v>172.59</v>
      </c>
      <c r="D6239" s="1">
        <f>IFERROR(__xludf.DUMMYFUNCTION("""COMPUTED_VALUE"""),170.89)</f>
        <v>170.89</v>
      </c>
      <c r="E6239" s="1">
        <f>IFERROR(__xludf.DUMMYFUNCTION("""COMPUTED_VALUE"""),172.38)</f>
        <v>172.38</v>
      </c>
      <c r="F6239" s="1">
        <f>IFERROR(__xludf.DUMMYFUNCTION("""COMPUTED_VALUE"""),6117053.0)</f>
        <v>6117053</v>
      </c>
    </row>
    <row r="6240">
      <c r="A6240" s="2">
        <f>IFERROR(__xludf.DUMMYFUNCTION("""COMPUTED_VALUE"""),45582.66666666667)</f>
        <v>45582.66667</v>
      </c>
      <c r="B6240" s="1">
        <f>IFERROR(__xludf.DUMMYFUNCTION("""COMPUTED_VALUE"""),172.18)</f>
        <v>172.18</v>
      </c>
      <c r="C6240" s="1">
        <f>IFERROR(__xludf.DUMMYFUNCTION("""COMPUTED_VALUE"""),173.68)</f>
        <v>173.68</v>
      </c>
      <c r="D6240" s="1">
        <f>IFERROR(__xludf.DUMMYFUNCTION("""COMPUTED_VALUE"""),171.76)</f>
        <v>171.76</v>
      </c>
      <c r="E6240" s="1">
        <f>IFERROR(__xludf.DUMMYFUNCTION("""COMPUTED_VALUE"""),172.28)</f>
        <v>172.28</v>
      </c>
      <c r="F6240" s="1">
        <f>IFERROR(__xludf.DUMMYFUNCTION("""COMPUTED_VALUE"""),7045586.0)</f>
        <v>7045586</v>
      </c>
    </row>
    <row r="6241">
      <c r="A6241" s="2">
        <f>IFERROR(__xludf.DUMMYFUNCTION("""COMPUTED_VALUE"""),45583.66666666667)</f>
        <v>45583.66667</v>
      </c>
      <c r="B6241" s="1">
        <f>IFERROR(__xludf.DUMMYFUNCTION("""COMPUTED_VALUE"""),170.3)</f>
        <v>170.3</v>
      </c>
      <c r="C6241" s="1">
        <f>IFERROR(__xludf.DUMMYFUNCTION("""COMPUTED_VALUE"""),172.21)</f>
        <v>172.21</v>
      </c>
      <c r="D6241" s="1">
        <f>IFERROR(__xludf.DUMMYFUNCTION("""COMPUTED_VALUE"""),168.46)</f>
        <v>168.46</v>
      </c>
      <c r="E6241" s="1">
        <f>IFERROR(__xludf.DUMMYFUNCTION("""COMPUTED_VALUE"""),171.28)</f>
        <v>171.28</v>
      </c>
      <c r="F6241" s="1">
        <f>IFERROR(__xludf.DUMMYFUNCTION("""COMPUTED_VALUE"""),8372536.0)</f>
        <v>8372536</v>
      </c>
    </row>
    <row r="6242">
      <c r="A6242" s="2">
        <f>IFERROR(__xludf.DUMMYFUNCTION("""COMPUTED_VALUE"""),45586.66666666667)</f>
        <v>45586.66667</v>
      </c>
      <c r="B6242" s="1">
        <f>IFERROR(__xludf.DUMMYFUNCTION("""COMPUTED_VALUE"""),170.98)</f>
        <v>170.98</v>
      </c>
      <c r="C6242" s="1">
        <f>IFERROR(__xludf.DUMMYFUNCTION("""COMPUTED_VALUE"""),171.48)</f>
        <v>171.48</v>
      </c>
      <c r="D6242" s="1">
        <f>IFERROR(__xludf.DUMMYFUNCTION("""COMPUTED_VALUE"""),168.45)</f>
        <v>168.45</v>
      </c>
      <c r="E6242" s="1">
        <f>IFERROR(__xludf.DUMMYFUNCTION("""COMPUTED_VALUE"""),169.54)</f>
        <v>169.54</v>
      </c>
      <c r="F6242" s="1">
        <f>IFERROR(__xludf.DUMMYFUNCTION("""COMPUTED_VALUE"""),5522460.0)</f>
        <v>5522460</v>
      </c>
    </row>
    <row r="6243">
      <c r="A6243" s="2">
        <f>IFERROR(__xludf.DUMMYFUNCTION("""COMPUTED_VALUE"""),45587.66666666667)</f>
        <v>45587.66667</v>
      </c>
      <c r="B6243" s="1">
        <f>IFERROR(__xludf.DUMMYFUNCTION("""COMPUTED_VALUE"""),168.57)</f>
        <v>168.57</v>
      </c>
      <c r="C6243" s="1">
        <f>IFERROR(__xludf.DUMMYFUNCTION("""COMPUTED_VALUE"""),170.73)</f>
        <v>170.73</v>
      </c>
      <c r="D6243" s="1">
        <f>IFERROR(__xludf.DUMMYFUNCTION("""COMPUTED_VALUE"""),168.57)</f>
        <v>168.57</v>
      </c>
      <c r="E6243" s="1">
        <f>IFERROR(__xludf.DUMMYFUNCTION("""COMPUTED_VALUE"""),169.7)</f>
        <v>169.7</v>
      </c>
      <c r="F6243" s="1">
        <f>IFERROR(__xludf.DUMMYFUNCTION("""COMPUTED_VALUE"""),7511671.0)</f>
        <v>7511671</v>
      </c>
    </row>
    <row r="6244">
      <c r="A6244" s="2">
        <f>IFERROR(__xludf.DUMMYFUNCTION("""COMPUTED_VALUE"""),45588.66666666667)</f>
        <v>45588.66667</v>
      </c>
      <c r="B6244" s="1">
        <f>IFERROR(__xludf.DUMMYFUNCTION("""COMPUTED_VALUE"""),169.55)</f>
        <v>169.55</v>
      </c>
      <c r="C6244" s="1">
        <f>IFERROR(__xludf.DUMMYFUNCTION("""COMPUTED_VALUE"""),170.17)</f>
        <v>170.17</v>
      </c>
      <c r="D6244" s="1">
        <f>IFERROR(__xludf.DUMMYFUNCTION("""COMPUTED_VALUE"""),168.73)</f>
        <v>168.73</v>
      </c>
      <c r="E6244" s="1">
        <f>IFERROR(__xludf.DUMMYFUNCTION("""COMPUTED_VALUE"""),169.58)</f>
        <v>169.58</v>
      </c>
      <c r="F6244" s="1">
        <f>IFERROR(__xludf.DUMMYFUNCTION("""COMPUTED_VALUE"""),4837810.0)</f>
        <v>4837810</v>
      </c>
    </row>
    <row r="6245">
      <c r="A6245" s="2">
        <f>IFERROR(__xludf.DUMMYFUNCTION("""COMPUTED_VALUE"""),45589.66666666667)</f>
        <v>45589.66667</v>
      </c>
      <c r="B6245" s="1">
        <f>IFERROR(__xludf.DUMMYFUNCTION("""COMPUTED_VALUE"""),169.42)</f>
        <v>169.42</v>
      </c>
      <c r="C6245" s="1">
        <f>IFERROR(__xludf.DUMMYFUNCTION("""COMPUTED_VALUE"""),169.96)</f>
        <v>169.96</v>
      </c>
      <c r="D6245" s="1">
        <f>IFERROR(__xludf.DUMMYFUNCTION("""COMPUTED_VALUE"""),168.93)</f>
        <v>168.93</v>
      </c>
      <c r="E6245" s="1">
        <f>IFERROR(__xludf.DUMMYFUNCTION("""COMPUTED_VALUE"""),169.62)</f>
        <v>169.62</v>
      </c>
      <c r="F6245" s="1">
        <f>IFERROR(__xludf.DUMMYFUNCTION("""COMPUTED_VALUE"""),5861303.0)</f>
        <v>5861303</v>
      </c>
    </row>
    <row r="6246">
      <c r="A6246" s="2">
        <f>IFERROR(__xludf.DUMMYFUNCTION("""COMPUTED_VALUE"""),45590.66666666667)</f>
        <v>45590.66667</v>
      </c>
      <c r="B6246" s="1">
        <f>IFERROR(__xludf.DUMMYFUNCTION("""COMPUTED_VALUE"""),168.92)</f>
        <v>168.92</v>
      </c>
      <c r="C6246" s="1">
        <f>IFERROR(__xludf.DUMMYFUNCTION("""COMPUTED_VALUE"""),169.4)</f>
        <v>169.4</v>
      </c>
      <c r="D6246" s="1">
        <f>IFERROR(__xludf.DUMMYFUNCTION("""COMPUTED_VALUE"""),168.04)</f>
        <v>168.04</v>
      </c>
      <c r="E6246" s="1">
        <f>IFERROR(__xludf.DUMMYFUNCTION("""COMPUTED_VALUE"""),168.22)</f>
        <v>168.22</v>
      </c>
      <c r="F6246" s="1">
        <f>IFERROR(__xludf.DUMMYFUNCTION("""COMPUTED_VALUE"""),4877911.0)</f>
        <v>4877911</v>
      </c>
    </row>
    <row r="6247">
      <c r="A6247" s="2">
        <f>IFERROR(__xludf.DUMMYFUNCTION("""COMPUTED_VALUE"""),45593.66666666667)</f>
        <v>45593.66667</v>
      </c>
      <c r="B6247" s="1">
        <f>IFERROR(__xludf.DUMMYFUNCTION("""COMPUTED_VALUE"""),169.28)</f>
        <v>169.28</v>
      </c>
      <c r="C6247" s="1">
        <f>IFERROR(__xludf.DUMMYFUNCTION("""COMPUTED_VALUE"""),169.66)</f>
        <v>169.66</v>
      </c>
      <c r="D6247" s="1">
        <f>IFERROR(__xludf.DUMMYFUNCTION("""COMPUTED_VALUE"""),168.38)</f>
        <v>168.38</v>
      </c>
      <c r="E6247" s="1">
        <f>IFERROR(__xludf.DUMMYFUNCTION("""COMPUTED_VALUE"""),169.3)</f>
        <v>169.3</v>
      </c>
      <c r="F6247" s="1">
        <f>IFERROR(__xludf.DUMMYFUNCTION("""COMPUTED_VALUE"""),5754043.0)</f>
        <v>5754043</v>
      </c>
    </row>
    <row r="6248">
      <c r="A6248" s="2">
        <f>IFERROR(__xludf.DUMMYFUNCTION("""COMPUTED_VALUE"""),45594.66666666667)</f>
        <v>45594.66667</v>
      </c>
      <c r="B6248" s="1">
        <f>IFERROR(__xludf.DUMMYFUNCTION("""COMPUTED_VALUE"""),168.86)</f>
        <v>168.86</v>
      </c>
      <c r="C6248" s="1">
        <f>IFERROR(__xludf.DUMMYFUNCTION("""COMPUTED_VALUE"""),168.86)</f>
        <v>168.86</v>
      </c>
      <c r="D6248" s="1">
        <f>IFERROR(__xludf.DUMMYFUNCTION("""COMPUTED_VALUE"""),166.83)</f>
        <v>166.83</v>
      </c>
      <c r="E6248" s="1">
        <f>IFERROR(__xludf.DUMMYFUNCTION("""COMPUTED_VALUE"""),167.17)</f>
        <v>167.17</v>
      </c>
      <c r="F6248" s="1">
        <f>IFERROR(__xludf.DUMMYFUNCTION("""COMPUTED_VALUE"""),5681358.0)</f>
        <v>5681358</v>
      </c>
    </row>
    <row r="6249">
      <c r="A6249" s="2">
        <f>IFERROR(__xludf.DUMMYFUNCTION("""COMPUTED_VALUE"""),45595.66666666667)</f>
        <v>45595.66667</v>
      </c>
      <c r="B6249" s="1">
        <f>IFERROR(__xludf.DUMMYFUNCTION("""COMPUTED_VALUE"""),167.09)</f>
        <v>167.09</v>
      </c>
      <c r="C6249" s="1">
        <f>IFERROR(__xludf.DUMMYFUNCTION("""COMPUTED_VALUE"""),167.32)</f>
        <v>167.32</v>
      </c>
      <c r="D6249" s="1">
        <f>IFERROR(__xludf.DUMMYFUNCTION("""COMPUTED_VALUE"""),165.96)</f>
        <v>165.96</v>
      </c>
      <c r="E6249" s="1">
        <f>IFERROR(__xludf.DUMMYFUNCTION("""COMPUTED_VALUE"""),166.16)</f>
        <v>166.16</v>
      </c>
      <c r="F6249" s="1">
        <f>IFERROR(__xludf.DUMMYFUNCTION("""COMPUTED_VALUE"""),5518085.0)</f>
        <v>5518085</v>
      </c>
    </row>
    <row r="6250">
      <c r="A6250" s="2">
        <f>IFERROR(__xludf.DUMMYFUNCTION("""COMPUTED_VALUE"""),45596.66666666667)</f>
        <v>45596.66667</v>
      </c>
      <c r="B6250" s="1">
        <f>IFERROR(__xludf.DUMMYFUNCTION("""COMPUTED_VALUE"""),165.76)</f>
        <v>165.76</v>
      </c>
      <c r="C6250" s="1">
        <f>IFERROR(__xludf.DUMMYFUNCTION("""COMPUTED_VALUE"""),167.04)</f>
        <v>167.04</v>
      </c>
      <c r="D6250" s="1">
        <f>IFERROR(__xludf.DUMMYFUNCTION("""COMPUTED_VALUE"""),165.09)</f>
        <v>165.09</v>
      </c>
      <c r="E6250" s="1">
        <f>IFERROR(__xludf.DUMMYFUNCTION("""COMPUTED_VALUE"""),165.18)</f>
        <v>165.18</v>
      </c>
      <c r="F6250" s="1">
        <f>IFERROR(__xludf.DUMMYFUNCTION("""COMPUTED_VALUE"""),6056514.0)</f>
        <v>6056514</v>
      </c>
    </row>
    <row r="6251">
      <c r="A6251" s="2">
        <f>IFERROR(__xludf.DUMMYFUNCTION("""COMPUTED_VALUE"""),45597.66666666667)</f>
        <v>45597.66667</v>
      </c>
      <c r="B6251" s="1">
        <f>IFERROR(__xludf.DUMMYFUNCTION("""COMPUTED_VALUE"""),165.31)</f>
        <v>165.31</v>
      </c>
      <c r="C6251" s="1">
        <f>IFERROR(__xludf.DUMMYFUNCTION("""COMPUTED_VALUE"""),166.35)</f>
        <v>166.35</v>
      </c>
      <c r="D6251" s="1">
        <f>IFERROR(__xludf.DUMMYFUNCTION("""COMPUTED_VALUE"""),164.99)</f>
        <v>164.99</v>
      </c>
      <c r="E6251" s="1">
        <f>IFERROR(__xludf.DUMMYFUNCTION("""COMPUTED_VALUE"""),165.1)</f>
        <v>165.1</v>
      </c>
      <c r="F6251" s="1">
        <f>IFERROR(__xludf.DUMMYFUNCTION("""COMPUTED_VALUE"""),5455095.0)</f>
        <v>5455095</v>
      </c>
    </row>
    <row r="6252">
      <c r="A6252" s="2">
        <f>IFERROR(__xludf.DUMMYFUNCTION("""COMPUTED_VALUE"""),45600.66666666667)</f>
        <v>45600.66667</v>
      </c>
      <c r="B6252" s="1">
        <f>IFERROR(__xludf.DUMMYFUNCTION("""COMPUTED_VALUE"""),165.72)</f>
        <v>165.72</v>
      </c>
      <c r="C6252" s="1">
        <f>IFERROR(__xludf.DUMMYFUNCTION("""COMPUTED_VALUE"""),166.27)</f>
        <v>166.27</v>
      </c>
      <c r="D6252" s="1">
        <f>IFERROR(__xludf.DUMMYFUNCTION("""COMPUTED_VALUE"""),164.58)</f>
        <v>164.58</v>
      </c>
      <c r="E6252" s="1">
        <f>IFERROR(__xludf.DUMMYFUNCTION("""COMPUTED_VALUE"""),165.08)</f>
        <v>165.08</v>
      </c>
      <c r="F6252" s="1">
        <f>IFERROR(__xludf.DUMMYFUNCTION("""COMPUTED_VALUE"""),5130338.0)</f>
        <v>5130338</v>
      </c>
    </row>
    <row r="6253">
      <c r="A6253" s="2">
        <f>IFERROR(__xludf.DUMMYFUNCTION("""COMPUTED_VALUE"""),45601.66666666667)</f>
        <v>45601.66667</v>
      </c>
      <c r="B6253" s="1">
        <f>IFERROR(__xludf.DUMMYFUNCTION("""COMPUTED_VALUE"""),164.33)</f>
        <v>164.33</v>
      </c>
      <c r="C6253" s="1">
        <f>IFERROR(__xludf.DUMMYFUNCTION("""COMPUTED_VALUE"""),166.32)</f>
        <v>166.32</v>
      </c>
      <c r="D6253" s="1">
        <f>IFERROR(__xludf.DUMMYFUNCTION("""COMPUTED_VALUE"""),164.33)</f>
        <v>164.33</v>
      </c>
      <c r="E6253" s="1">
        <f>IFERROR(__xludf.DUMMYFUNCTION("""COMPUTED_VALUE"""),165.76)</f>
        <v>165.76</v>
      </c>
      <c r="F6253" s="1">
        <f>IFERROR(__xludf.DUMMYFUNCTION("""COMPUTED_VALUE"""),4397441.0)</f>
        <v>4397441</v>
      </c>
    </row>
    <row r="6254">
      <c r="A6254" s="2">
        <f>IFERROR(__xludf.DUMMYFUNCTION("""COMPUTED_VALUE"""),45602.66666666667)</f>
        <v>45602.66667</v>
      </c>
      <c r="B6254" s="1">
        <f>IFERROR(__xludf.DUMMYFUNCTION("""COMPUTED_VALUE"""),165.61)</f>
        <v>165.61</v>
      </c>
      <c r="C6254" s="1">
        <f>IFERROR(__xludf.DUMMYFUNCTION("""COMPUTED_VALUE"""),166.04)</f>
        <v>166.04</v>
      </c>
      <c r="D6254" s="1">
        <f>IFERROR(__xludf.DUMMYFUNCTION("""COMPUTED_VALUE"""),159.81)</f>
        <v>159.81</v>
      </c>
      <c r="E6254" s="1">
        <f>IFERROR(__xludf.DUMMYFUNCTION("""COMPUTED_VALUE"""),161.05)</f>
        <v>161.05</v>
      </c>
      <c r="F6254" s="1">
        <f>IFERROR(__xludf.DUMMYFUNCTION("""COMPUTED_VALUE"""),1.1473688E7)</f>
        <v>11473688</v>
      </c>
    </row>
    <row r="6255">
      <c r="A6255" s="2">
        <f>IFERROR(__xludf.DUMMYFUNCTION("""COMPUTED_VALUE"""),45603.66666666667)</f>
        <v>45603.66667</v>
      </c>
      <c r="B6255" s="1">
        <f>IFERROR(__xludf.DUMMYFUNCTION("""COMPUTED_VALUE"""),161.96)</f>
        <v>161.96</v>
      </c>
      <c r="C6255" s="1">
        <f>IFERROR(__xludf.DUMMYFUNCTION("""COMPUTED_VALUE"""),163.95)</f>
        <v>163.95</v>
      </c>
      <c r="D6255" s="1">
        <f>IFERROR(__xludf.DUMMYFUNCTION("""COMPUTED_VALUE"""),161.48)</f>
        <v>161.48</v>
      </c>
      <c r="E6255" s="1">
        <f>IFERROR(__xludf.DUMMYFUNCTION("""COMPUTED_VALUE"""),163.41)</f>
        <v>163.41</v>
      </c>
      <c r="F6255" s="1">
        <f>IFERROR(__xludf.DUMMYFUNCTION("""COMPUTED_VALUE"""),9056725.0)</f>
        <v>9056725</v>
      </c>
    </row>
    <row r="6256">
      <c r="A6256" s="2">
        <f>IFERROR(__xludf.DUMMYFUNCTION("""COMPUTED_VALUE"""),45604.66666666667)</f>
        <v>45604.66667</v>
      </c>
      <c r="B6256" s="1">
        <f>IFERROR(__xludf.DUMMYFUNCTION("""COMPUTED_VALUE"""),164.02)</f>
        <v>164.02</v>
      </c>
      <c r="C6256" s="1">
        <f>IFERROR(__xludf.DUMMYFUNCTION("""COMPUTED_VALUE"""),167.75)</f>
        <v>167.75</v>
      </c>
      <c r="D6256" s="1">
        <f>IFERROR(__xludf.DUMMYFUNCTION("""COMPUTED_VALUE"""),163.93)</f>
        <v>163.93</v>
      </c>
      <c r="E6256" s="1">
        <f>IFERROR(__xludf.DUMMYFUNCTION("""COMPUTED_VALUE"""),167.71)</f>
        <v>167.71</v>
      </c>
      <c r="F6256" s="1">
        <f>IFERROR(__xludf.DUMMYFUNCTION("""COMPUTED_VALUE"""),7506566.0)</f>
        <v>7506566</v>
      </c>
    </row>
    <row r="6257">
      <c r="A6257" s="2">
        <f>IFERROR(__xludf.DUMMYFUNCTION("""COMPUTED_VALUE"""),45607.66666666667)</f>
        <v>45607.66667</v>
      </c>
      <c r="B6257" s="1">
        <f>IFERROR(__xludf.DUMMYFUNCTION("""COMPUTED_VALUE"""),167.0)</f>
        <v>167</v>
      </c>
      <c r="C6257" s="1">
        <f>IFERROR(__xludf.DUMMYFUNCTION("""COMPUTED_VALUE"""),168.52)</f>
        <v>168.52</v>
      </c>
      <c r="D6257" s="1">
        <f>IFERROR(__xludf.DUMMYFUNCTION("""COMPUTED_VALUE"""),165.78)</f>
        <v>165.78</v>
      </c>
      <c r="E6257" s="1">
        <f>IFERROR(__xludf.DUMMYFUNCTION("""COMPUTED_VALUE"""),166.03)</f>
        <v>166.03</v>
      </c>
      <c r="F6257" s="1">
        <f>IFERROR(__xludf.DUMMYFUNCTION("""COMPUTED_VALUE"""),6364403.0)</f>
        <v>6364403</v>
      </c>
    </row>
    <row r="6258">
      <c r="A6258" s="2">
        <f>IFERROR(__xludf.DUMMYFUNCTION("""COMPUTED_VALUE"""),45608.66666666667)</f>
        <v>45608.66667</v>
      </c>
      <c r="B6258" s="1">
        <f>IFERROR(__xludf.DUMMYFUNCTION("""COMPUTED_VALUE"""),166.14)</f>
        <v>166.14</v>
      </c>
      <c r="C6258" s="1">
        <f>IFERROR(__xludf.DUMMYFUNCTION("""COMPUTED_VALUE"""),167.06)</f>
        <v>167.06</v>
      </c>
      <c r="D6258" s="1">
        <f>IFERROR(__xludf.DUMMYFUNCTION("""COMPUTED_VALUE"""),165.57)</f>
        <v>165.57</v>
      </c>
      <c r="E6258" s="1">
        <f>IFERROR(__xludf.DUMMYFUNCTION("""COMPUTED_VALUE"""),165.84)</f>
        <v>165.84</v>
      </c>
      <c r="F6258" s="1">
        <f>IFERROR(__xludf.DUMMYFUNCTION("""COMPUTED_VALUE"""),6507823.0)</f>
        <v>6507823</v>
      </c>
    </row>
    <row r="6259">
      <c r="A6259" s="2">
        <f>IFERROR(__xludf.DUMMYFUNCTION("""COMPUTED_VALUE"""),45609.66666666667)</f>
        <v>45609.66667</v>
      </c>
      <c r="B6259" s="1">
        <f>IFERROR(__xludf.DUMMYFUNCTION("""COMPUTED_VALUE"""),166.06)</f>
        <v>166.06</v>
      </c>
      <c r="C6259" s="1">
        <f>IFERROR(__xludf.DUMMYFUNCTION("""COMPUTED_VALUE"""),166.8)</f>
        <v>166.8</v>
      </c>
      <c r="D6259" s="1">
        <f>IFERROR(__xludf.DUMMYFUNCTION("""COMPUTED_VALUE"""),165.68)</f>
        <v>165.68</v>
      </c>
      <c r="E6259" s="1">
        <f>IFERROR(__xludf.DUMMYFUNCTION("""COMPUTED_VALUE"""),166.58)</f>
        <v>166.58</v>
      </c>
      <c r="F6259" s="1">
        <f>IFERROR(__xludf.DUMMYFUNCTION("""COMPUTED_VALUE"""),5412566.0)</f>
        <v>5412566</v>
      </c>
    </row>
    <row r="6260">
      <c r="A6260" s="2">
        <f>IFERROR(__xludf.DUMMYFUNCTION("""COMPUTED_VALUE"""),45610.66666666667)</f>
        <v>45610.66667</v>
      </c>
      <c r="B6260" s="1">
        <f>IFERROR(__xludf.DUMMYFUNCTION("""COMPUTED_VALUE"""),166.71)</f>
        <v>166.71</v>
      </c>
      <c r="C6260" s="1">
        <f>IFERROR(__xludf.DUMMYFUNCTION("""COMPUTED_VALUE"""),168.04)</f>
        <v>168.04</v>
      </c>
      <c r="D6260" s="1">
        <f>IFERROR(__xludf.DUMMYFUNCTION("""COMPUTED_VALUE"""),166.51)</f>
        <v>166.51</v>
      </c>
      <c r="E6260" s="1">
        <f>IFERROR(__xludf.DUMMYFUNCTION("""COMPUTED_VALUE"""),167.08)</f>
        <v>167.08</v>
      </c>
      <c r="F6260" s="1">
        <f>IFERROR(__xludf.DUMMYFUNCTION("""COMPUTED_VALUE"""),7444273.0)</f>
        <v>7444273</v>
      </c>
    </row>
    <row r="6261">
      <c r="A6261" s="2">
        <f>IFERROR(__xludf.DUMMYFUNCTION("""COMPUTED_VALUE"""),45611.66666666667)</f>
        <v>45611.66667</v>
      </c>
      <c r="B6261" s="1">
        <f>IFERROR(__xludf.DUMMYFUNCTION("""COMPUTED_VALUE"""),167.94)</f>
        <v>167.94</v>
      </c>
      <c r="C6261" s="1">
        <f>IFERROR(__xludf.DUMMYFUNCTION("""COMPUTED_VALUE"""),170.57)</f>
        <v>170.57</v>
      </c>
      <c r="D6261" s="1">
        <f>IFERROR(__xludf.DUMMYFUNCTION("""COMPUTED_VALUE"""),166.88)</f>
        <v>166.88</v>
      </c>
      <c r="E6261" s="1">
        <f>IFERROR(__xludf.DUMMYFUNCTION("""COMPUTED_VALUE"""),169.54)</f>
        <v>169.54</v>
      </c>
      <c r="F6261" s="1">
        <f>IFERROR(__xludf.DUMMYFUNCTION("""COMPUTED_VALUE"""),9939416.0)</f>
        <v>9939416</v>
      </c>
    </row>
    <row r="6262">
      <c r="A6262" s="2">
        <f>IFERROR(__xludf.DUMMYFUNCTION("""COMPUTED_VALUE"""),45614.66666666667)</f>
        <v>45614.66667</v>
      </c>
      <c r="B6262" s="1">
        <f>IFERROR(__xludf.DUMMYFUNCTION("""COMPUTED_VALUE"""),169.11)</f>
        <v>169.11</v>
      </c>
      <c r="C6262" s="1">
        <f>IFERROR(__xludf.DUMMYFUNCTION("""COMPUTED_VALUE"""),171.45)</f>
        <v>171.45</v>
      </c>
      <c r="D6262" s="1">
        <f>IFERROR(__xludf.DUMMYFUNCTION("""COMPUTED_VALUE"""),168.83)</f>
        <v>168.83</v>
      </c>
      <c r="E6262" s="1">
        <f>IFERROR(__xludf.DUMMYFUNCTION("""COMPUTED_VALUE"""),170.75)</f>
        <v>170.75</v>
      </c>
      <c r="F6262" s="1">
        <f>IFERROR(__xludf.DUMMYFUNCTION("""COMPUTED_VALUE"""),6681087.0)</f>
        <v>6681087</v>
      </c>
    </row>
    <row r="6263">
      <c r="A6263" s="2">
        <f>IFERROR(__xludf.DUMMYFUNCTION("""COMPUTED_VALUE"""),45615.66666666667)</f>
        <v>45615.66667</v>
      </c>
      <c r="B6263" s="1">
        <f>IFERROR(__xludf.DUMMYFUNCTION("""COMPUTED_VALUE"""),170.69)</f>
        <v>170.69</v>
      </c>
      <c r="C6263" s="1">
        <f>IFERROR(__xludf.DUMMYFUNCTION("""COMPUTED_VALUE"""),171.17)</f>
        <v>171.17</v>
      </c>
      <c r="D6263" s="1">
        <f>IFERROR(__xludf.DUMMYFUNCTION("""COMPUTED_VALUE"""),169.66)</f>
        <v>169.66</v>
      </c>
      <c r="E6263" s="1">
        <f>IFERROR(__xludf.DUMMYFUNCTION("""COMPUTED_VALUE"""),170.76)</f>
        <v>170.76</v>
      </c>
      <c r="F6263" s="1">
        <f>IFERROR(__xludf.DUMMYFUNCTION("""COMPUTED_VALUE"""),5683673.0)</f>
        <v>5683673</v>
      </c>
    </row>
    <row r="6264">
      <c r="A6264" s="2">
        <f>IFERROR(__xludf.DUMMYFUNCTION("""COMPUTED_VALUE"""),45616.66666666667)</f>
        <v>45616.66667</v>
      </c>
      <c r="B6264" s="1">
        <f>IFERROR(__xludf.DUMMYFUNCTION("""COMPUTED_VALUE"""),170.01)</f>
        <v>170.01</v>
      </c>
      <c r="C6264" s="1">
        <f>IFERROR(__xludf.DUMMYFUNCTION("""COMPUTED_VALUE"""),171.07)</f>
        <v>171.07</v>
      </c>
      <c r="D6264" s="1">
        <f>IFERROR(__xludf.DUMMYFUNCTION("""COMPUTED_VALUE"""),169.51)</f>
        <v>169.51</v>
      </c>
      <c r="E6264" s="1">
        <f>IFERROR(__xludf.DUMMYFUNCTION("""COMPUTED_VALUE"""),170.89)</f>
        <v>170.89</v>
      </c>
      <c r="F6264" s="1">
        <f>IFERROR(__xludf.DUMMYFUNCTION("""COMPUTED_VALUE"""),7081237.0)</f>
        <v>7081237</v>
      </c>
    </row>
    <row r="6265">
      <c r="A6265" s="2">
        <f>IFERROR(__xludf.DUMMYFUNCTION("""COMPUTED_VALUE"""),45617.66666666667)</f>
        <v>45617.66667</v>
      </c>
      <c r="B6265" s="1">
        <f>IFERROR(__xludf.DUMMYFUNCTION("""COMPUTED_VALUE"""),171.66)</f>
        <v>171.66</v>
      </c>
      <c r="C6265" s="1">
        <f>IFERROR(__xludf.DUMMYFUNCTION("""COMPUTED_VALUE"""),173.51)</f>
        <v>173.51</v>
      </c>
      <c r="D6265" s="1">
        <f>IFERROR(__xludf.DUMMYFUNCTION("""COMPUTED_VALUE"""),170.22)</f>
        <v>170.22</v>
      </c>
      <c r="E6265" s="1">
        <f>IFERROR(__xludf.DUMMYFUNCTION("""COMPUTED_VALUE"""),172.75)</f>
        <v>172.75</v>
      </c>
      <c r="F6265" s="1">
        <f>IFERROR(__xludf.DUMMYFUNCTION("""COMPUTED_VALUE"""),6240403.0)</f>
        <v>6240403</v>
      </c>
    </row>
    <row r="6266">
      <c r="A6266" s="2">
        <f>IFERROR(__xludf.DUMMYFUNCTION("""COMPUTED_VALUE"""),45618.66666666667)</f>
        <v>45618.66667</v>
      </c>
      <c r="B6266" s="1">
        <f>IFERROR(__xludf.DUMMYFUNCTION("""COMPUTED_VALUE"""),174.15)</f>
        <v>174.15</v>
      </c>
      <c r="C6266" s="1">
        <f>IFERROR(__xludf.DUMMYFUNCTION("""COMPUTED_VALUE"""),177.4)</f>
        <v>177.4</v>
      </c>
      <c r="D6266" s="1">
        <f>IFERROR(__xludf.DUMMYFUNCTION("""COMPUTED_VALUE"""),173.88)</f>
        <v>173.88</v>
      </c>
      <c r="E6266" s="1">
        <f>IFERROR(__xludf.DUMMYFUNCTION("""COMPUTED_VALUE"""),176.28)</f>
        <v>176.28</v>
      </c>
      <c r="F6266" s="1">
        <f>IFERROR(__xludf.DUMMYFUNCTION("""COMPUTED_VALUE"""),1.0609785E7)</f>
        <v>10609785</v>
      </c>
    </row>
    <row r="6267">
      <c r="A6267" s="2">
        <f>IFERROR(__xludf.DUMMYFUNCTION("""COMPUTED_VALUE"""),45621.66666666667)</f>
        <v>45621.66667</v>
      </c>
      <c r="B6267" s="1">
        <f>IFERROR(__xludf.DUMMYFUNCTION("""COMPUTED_VALUE"""),177.48)</f>
        <v>177.48</v>
      </c>
      <c r="C6267" s="1">
        <f>IFERROR(__xludf.DUMMYFUNCTION("""COMPUTED_VALUE"""),178.82)</f>
        <v>178.82</v>
      </c>
      <c r="D6267" s="1">
        <f>IFERROR(__xludf.DUMMYFUNCTION("""COMPUTED_VALUE"""),176.9)</f>
        <v>176.9</v>
      </c>
      <c r="E6267" s="1">
        <f>IFERROR(__xludf.DUMMYFUNCTION("""COMPUTED_VALUE"""),177.39)</f>
        <v>177.39</v>
      </c>
      <c r="F6267" s="1">
        <f>IFERROR(__xludf.DUMMYFUNCTION("""COMPUTED_VALUE"""),1.9357005E7)</f>
        <v>19357005</v>
      </c>
    </row>
    <row r="6268">
      <c r="A6268" s="2">
        <f>IFERROR(__xludf.DUMMYFUNCTION("""COMPUTED_VALUE"""),45622.66666666667)</f>
        <v>45622.66667</v>
      </c>
      <c r="B6268" s="1">
        <f>IFERROR(__xludf.DUMMYFUNCTION("""COMPUTED_VALUE"""),177.2)</f>
        <v>177.2</v>
      </c>
      <c r="C6268" s="1">
        <f>IFERROR(__xludf.DUMMYFUNCTION("""COMPUTED_VALUE"""),179.46)</f>
        <v>179.46</v>
      </c>
      <c r="D6268" s="1">
        <f>IFERROR(__xludf.DUMMYFUNCTION("""COMPUTED_VALUE"""),177.2)</f>
        <v>177.2</v>
      </c>
      <c r="E6268" s="1">
        <f>IFERROR(__xludf.DUMMYFUNCTION("""COMPUTED_VALUE"""),179.31)</f>
        <v>179.31</v>
      </c>
      <c r="F6268" s="1">
        <f>IFERROR(__xludf.DUMMYFUNCTION("""COMPUTED_VALUE"""),6276933.0)</f>
        <v>6276933</v>
      </c>
    </row>
    <row r="6269">
      <c r="A6269" s="2">
        <f>IFERROR(__xludf.DUMMYFUNCTION("""COMPUTED_VALUE"""),45623.66666666667)</f>
        <v>45623.66667</v>
      </c>
      <c r="B6269" s="1">
        <f>IFERROR(__xludf.DUMMYFUNCTION("""COMPUTED_VALUE"""),180.0)</f>
        <v>180</v>
      </c>
      <c r="C6269" s="1">
        <f>IFERROR(__xludf.DUMMYFUNCTION("""COMPUTED_VALUE"""),180.43)</f>
        <v>180.43</v>
      </c>
      <c r="D6269" s="1">
        <f>IFERROR(__xludf.DUMMYFUNCTION("""COMPUTED_VALUE"""),178.73)</f>
        <v>178.73</v>
      </c>
      <c r="E6269" s="1">
        <f>IFERROR(__xludf.DUMMYFUNCTION("""COMPUTED_VALUE"""),179.36)</f>
        <v>179.36</v>
      </c>
      <c r="F6269" s="1">
        <f>IFERROR(__xludf.DUMMYFUNCTION("""COMPUTED_VALUE"""),5522912.0)</f>
        <v>5522912</v>
      </c>
    </row>
    <row r="6270">
      <c r="A6270" s="2">
        <f>IFERROR(__xludf.DUMMYFUNCTION("""COMPUTED_VALUE"""),45625.54166666667)</f>
        <v>45625.54167</v>
      </c>
      <c r="B6270" s="1">
        <f>IFERROR(__xludf.DUMMYFUNCTION("""COMPUTED_VALUE"""),178.7)</f>
        <v>178.7</v>
      </c>
      <c r="C6270" s="1">
        <f>IFERROR(__xludf.DUMMYFUNCTION("""COMPUTED_VALUE"""),179.63)</f>
        <v>179.63</v>
      </c>
      <c r="D6270" s="1">
        <f>IFERROR(__xludf.DUMMYFUNCTION("""COMPUTED_VALUE"""),178.28)</f>
        <v>178.28</v>
      </c>
      <c r="E6270" s="1">
        <f>IFERROR(__xludf.DUMMYFUNCTION("""COMPUTED_VALUE"""),179.26)</f>
        <v>179.26</v>
      </c>
      <c r="F6270" s="1">
        <f>IFERROR(__xludf.DUMMYFUNCTION("""COMPUTED_VALUE"""),3823708.0)</f>
        <v>3823708</v>
      </c>
    </row>
    <row r="6271">
      <c r="A6271" s="2">
        <f>IFERROR(__xludf.DUMMYFUNCTION("""COMPUTED_VALUE"""),45628.66666666667)</f>
        <v>45628.66667</v>
      </c>
      <c r="B6271" s="1">
        <f>IFERROR(__xludf.DUMMYFUNCTION("""COMPUTED_VALUE"""),179.12)</f>
        <v>179.12</v>
      </c>
      <c r="C6271" s="1">
        <f>IFERROR(__xludf.DUMMYFUNCTION("""COMPUTED_VALUE"""),180.16)</f>
        <v>180.16</v>
      </c>
      <c r="D6271" s="1">
        <f>IFERROR(__xludf.DUMMYFUNCTION("""COMPUTED_VALUE"""),178.01)</f>
        <v>178.01</v>
      </c>
      <c r="E6271" s="1">
        <f>IFERROR(__xludf.DUMMYFUNCTION("""COMPUTED_VALUE"""),179.7)</f>
        <v>179.7</v>
      </c>
      <c r="F6271" s="1">
        <f>IFERROR(__xludf.DUMMYFUNCTION("""COMPUTED_VALUE"""),5728297.0)</f>
        <v>5728297</v>
      </c>
    </row>
    <row r="6272">
      <c r="A6272" s="2">
        <f>IFERROR(__xludf.DUMMYFUNCTION("""COMPUTED_VALUE"""),45629.66666666667)</f>
        <v>45629.66667</v>
      </c>
      <c r="B6272" s="1">
        <f>IFERROR(__xludf.DUMMYFUNCTION("""COMPUTED_VALUE"""),178.77)</f>
        <v>178.77</v>
      </c>
      <c r="C6272" s="1">
        <f>IFERROR(__xludf.DUMMYFUNCTION("""COMPUTED_VALUE"""),179.62)</f>
        <v>179.62</v>
      </c>
      <c r="D6272" s="1">
        <f>IFERROR(__xludf.DUMMYFUNCTION("""COMPUTED_VALUE"""),175.2)</f>
        <v>175.2</v>
      </c>
      <c r="E6272" s="1">
        <f>IFERROR(__xludf.DUMMYFUNCTION("""COMPUTED_VALUE"""),175.42)</f>
        <v>175.42</v>
      </c>
      <c r="F6272" s="1">
        <f>IFERROR(__xludf.DUMMYFUNCTION("""COMPUTED_VALUE"""),8127329.0)</f>
        <v>8127329</v>
      </c>
    </row>
    <row r="6273">
      <c r="A6273" s="2">
        <f>IFERROR(__xludf.DUMMYFUNCTION("""COMPUTED_VALUE"""),45630.66666666667)</f>
        <v>45630.66667</v>
      </c>
      <c r="B6273" s="1">
        <f>IFERROR(__xludf.DUMMYFUNCTION("""COMPUTED_VALUE"""),174.17)</f>
        <v>174.17</v>
      </c>
      <c r="C6273" s="1">
        <f>IFERROR(__xludf.DUMMYFUNCTION("""COMPUTED_VALUE"""),175.15)</f>
        <v>175.15</v>
      </c>
      <c r="D6273" s="1">
        <f>IFERROR(__xludf.DUMMYFUNCTION("""COMPUTED_VALUE"""),173.46)</f>
        <v>173.46</v>
      </c>
      <c r="E6273" s="1">
        <f>IFERROR(__xludf.DUMMYFUNCTION("""COMPUTED_VALUE"""),175.11)</f>
        <v>175.11</v>
      </c>
      <c r="F6273" s="1">
        <f>IFERROR(__xludf.DUMMYFUNCTION("""COMPUTED_VALUE"""),6823659.0)</f>
        <v>6823659</v>
      </c>
    </row>
    <row r="6274">
      <c r="A6274" s="2">
        <f>IFERROR(__xludf.DUMMYFUNCTION("""COMPUTED_VALUE"""),45631.66666666667)</f>
        <v>45631.66667</v>
      </c>
      <c r="B6274" s="1">
        <f>IFERROR(__xludf.DUMMYFUNCTION("""COMPUTED_VALUE"""),174.86)</f>
        <v>174.86</v>
      </c>
      <c r="C6274" s="1">
        <f>IFERROR(__xludf.DUMMYFUNCTION("""COMPUTED_VALUE"""),176.46)</f>
        <v>176.46</v>
      </c>
      <c r="D6274" s="1">
        <f>IFERROR(__xludf.DUMMYFUNCTION("""COMPUTED_VALUE"""),174.45)</f>
        <v>174.45</v>
      </c>
      <c r="E6274" s="1">
        <f>IFERROR(__xludf.DUMMYFUNCTION("""COMPUTED_VALUE"""),176.03)</f>
        <v>176.03</v>
      </c>
      <c r="F6274" s="1">
        <f>IFERROR(__xludf.DUMMYFUNCTION("""COMPUTED_VALUE"""),5022189.0)</f>
        <v>5022189</v>
      </c>
    </row>
    <row r="6275">
      <c r="A6275" s="2">
        <f>IFERROR(__xludf.DUMMYFUNCTION("""COMPUTED_VALUE"""),45632.66666666667)</f>
        <v>45632.66667</v>
      </c>
      <c r="B6275" s="1">
        <f>IFERROR(__xludf.DUMMYFUNCTION("""COMPUTED_VALUE"""),175.37)</f>
        <v>175.37</v>
      </c>
      <c r="C6275" s="1">
        <f>IFERROR(__xludf.DUMMYFUNCTION("""COMPUTED_VALUE"""),176.74)</f>
        <v>176.74</v>
      </c>
      <c r="D6275" s="1">
        <f>IFERROR(__xludf.DUMMYFUNCTION("""COMPUTED_VALUE"""),173.75)</f>
        <v>173.75</v>
      </c>
      <c r="E6275" s="1">
        <f>IFERROR(__xludf.DUMMYFUNCTION("""COMPUTED_VALUE"""),173.82)</f>
        <v>173.82</v>
      </c>
      <c r="F6275" s="1">
        <f>IFERROR(__xludf.DUMMYFUNCTION("""COMPUTED_VALUE"""),5741167.0)</f>
        <v>5741167</v>
      </c>
    </row>
    <row r="6276">
      <c r="A6276" s="2">
        <f>IFERROR(__xludf.DUMMYFUNCTION("""COMPUTED_VALUE"""),45635.66666666667)</f>
        <v>45635.66667</v>
      </c>
      <c r="B6276" s="1">
        <f>IFERROR(__xludf.DUMMYFUNCTION("""COMPUTED_VALUE"""),173.64)</f>
        <v>173.64</v>
      </c>
      <c r="C6276" s="1">
        <f>IFERROR(__xludf.DUMMYFUNCTION("""COMPUTED_VALUE"""),173.76)</f>
        <v>173.76</v>
      </c>
      <c r="D6276" s="1">
        <f>IFERROR(__xludf.DUMMYFUNCTION("""COMPUTED_VALUE"""),170.43)</f>
        <v>170.43</v>
      </c>
      <c r="E6276" s="1">
        <f>IFERROR(__xludf.DUMMYFUNCTION("""COMPUTED_VALUE"""),170.79)</f>
        <v>170.79</v>
      </c>
      <c r="F6276" s="1">
        <f>IFERROR(__xludf.DUMMYFUNCTION("""COMPUTED_VALUE"""),7164286.0)</f>
        <v>7164286</v>
      </c>
    </row>
    <row r="6277">
      <c r="A6277" s="2">
        <f>IFERROR(__xludf.DUMMYFUNCTION("""COMPUTED_VALUE"""),45636.66666666667)</f>
        <v>45636.66667</v>
      </c>
      <c r="B6277" s="1">
        <f>IFERROR(__xludf.DUMMYFUNCTION("""COMPUTED_VALUE"""),170.42)</f>
        <v>170.42</v>
      </c>
      <c r="C6277" s="1">
        <f>IFERROR(__xludf.DUMMYFUNCTION("""COMPUTED_VALUE"""),172.93)</f>
        <v>172.93</v>
      </c>
      <c r="D6277" s="1">
        <f>IFERROR(__xludf.DUMMYFUNCTION("""COMPUTED_VALUE"""),169.93)</f>
        <v>169.93</v>
      </c>
      <c r="E6277" s="1">
        <f>IFERROR(__xludf.DUMMYFUNCTION("""COMPUTED_VALUE"""),172.28)</f>
        <v>172.28</v>
      </c>
      <c r="F6277" s="1">
        <f>IFERROR(__xludf.DUMMYFUNCTION("""COMPUTED_VALUE"""),6220088.0)</f>
        <v>6220088</v>
      </c>
    </row>
    <row r="6278">
      <c r="A6278" s="2">
        <f>IFERROR(__xludf.DUMMYFUNCTION("""COMPUTED_VALUE"""),45637.66666666667)</f>
        <v>45637.66667</v>
      </c>
      <c r="B6278" s="1">
        <f>IFERROR(__xludf.DUMMYFUNCTION("""COMPUTED_VALUE"""),173.01)</f>
        <v>173.01</v>
      </c>
      <c r="C6278" s="1">
        <f>IFERROR(__xludf.DUMMYFUNCTION("""COMPUTED_VALUE"""),173.39)</f>
        <v>173.39</v>
      </c>
      <c r="D6278" s="1">
        <f>IFERROR(__xludf.DUMMYFUNCTION("""COMPUTED_VALUE"""),170.4)</f>
        <v>170.4</v>
      </c>
      <c r="E6278" s="1">
        <f>IFERROR(__xludf.DUMMYFUNCTION("""COMPUTED_VALUE"""),170.63)</f>
        <v>170.63</v>
      </c>
      <c r="F6278" s="1">
        <f>IFERROR(__xludf.DUMMYFUNCTION("""COMPUTED_VALUE"""),5237533.0)</f>
        <v>5237533</v>
      </c>
    </row>
    <row r="6279">
      <c r="A6279" s="2">
        <f>IFERROR(__xludf.DUMMYFUNCTION("""COMPUTED_VALUE"""),45638.66666666667)</f>
        <v>45638.66667</v>
      </c>
      <c r="B6279" s="1">
        <f>IFERROR(__xludf.DUMMYFUNCTION("""COMPUTED_VALUE"""),171.43)</f>
        <v>171.43</v>
      </c>
      <c r="C6279" s="1">
        <f>IFERROR(__xludf.DUMMYFUNCTION("""COMPUTED_VALUE"""),171.82)</f>
        <v>171.82</v>
      </c>
      <c r="D6279" s="1">
        <f>IFERROR(__xludf.DUMMYFUNCTION("""COMPUTED_VALUE"""),170.02)</f>
        <v>170.02</v>
      </c>
      <c r="E6279" s="1">
        <f>IFERROR(__xludf.DUMMYFUNCTION("""COMPUTED_VALUE"""),170.85)</f>
        <v>170.85</v>
      </c>
      <c r="F6279" s="1">
        <f>IFERROR(__xludf.DUMMYFUNCTION("""COMPUTED_VALUE"""),4072810.0)</f>
        <v>4072810</v>
      </c>
    </row>
    <row r="6280">
      <c r="A6280" s="2">
        <f>IFERROR(__xludf.DUMMYFUNCTION("""COMPUTED_VALUE"""),45639.66666666667)</f>
        <v>45639.66667</v>
      </c>
      <c r="B6280" s="1">
        <f>IFERROR(__xludf.DUMMYFUNCTION("""COMPUTED_VALUE"""),170.77)</f>
        <v>170.77</v>
      </c>
      <c r="C6280" s="1">
        <f>IFERROR(__xludf.DUMMYFUNCTION("""COMPUTED_VALUE"""),171.79)</f>
        <v>171.79</v>
      </c>
      <c r="D6280" s="1">
        <f>IFERROR(__xludf.DUMMYFUNCTION("""COMPUTED_VALUE"""),170.12)</f>
        <v>170.12</v>
      </c>
      <c r="E6280" s="1">
        <f>IFERROR(__xludf.DUMMYFUNCTION("""COMPUTED_VALUE"""),171.06)</f>
        <v>171.06</v>
      </c>
      <c r="F6280" s="1">
        <f>IFERROR(__xludf.DUMMYFUNCTION("""COMPUTED_VALUE"""),3884513.0)</f>
        <v>3884513</v>
      </c>
    </row>
    <row r="6281">
      <c r="A6281" s="2">
        <f>IFERROR(__xludf.DUMMYFUNCTION("""COMPUTED_VALUE"""),45642.66666666667)</f>
        <v>45642.66667</v>
      </c>
      <c r="B6281" s="1">
        <f>IFERROR(__xludf.DUMMYFUNCTION("""COMPUTED_VALUE"""),171.45)</f>
        <v>171.45</v>
      </c>
      <c r="C6281" s="1">
        <f>IFERROR(__xludf.DUMMYFUNCTION("""COMPUTED_VALUE"""),172.78)</f>
        <v>172.78</v>
      </c>
      <c r="D6281" s="1">
        <f>IFERROR(__xludf.DUMMYFUNCTION("""COMPUTED_VALUE"""),171.1)</f>
        <v>171.1</v>
      </c>
      <c r="E6281" s="1">
        <f>IFERROR(__xludf.DUMMYFUNCTION("""COMPUTED_VALUE"""),171.14)</f>
        <v>171.14</v>
      </c>
      <c r="F6281" s="1">
        <f>IFERROR(__xludf.DUMMYFUNCTION("""COMPUTED_VALUE"""),5943680.0)</f>
        <v>5943680</v>
      </c>
    </row>
    <row r="6282">
      <c r="A6282" s="2">
        <f>IFERROR(__xludf.DUMMYFUNCTION("""COMPUTED_VALUE"""),45643.66666666667)</f>
        <v>45643.66667</v>
      </c>
      <c r="B6282" s="1">
        <f>IFERROR(__xludf.DUMMYFUNCTION("""COMPUTED_VALUE"""),170.67)</f>
        <v>170.67</v>
      </c>
      <c r="C6282" s="1">
        <f>IFERROR(__xludf.DUMMYFUNCTION("""COMPUTED_VALUE"""),171.95)</f>
        <v>171.95</v>
      </c>
      <c r="D6282" s="1">
        <f>IFERROR(__xludf.DUMMYFUNCTION("""COMPUTED_VALUE"""),170.02)</f>
        <v>170.02</v>
      </c>
      <c r="E6282" s="1">
        <f>IFERROR(__xludf.DUMMYFUNCTION("""COMPUTED_VALUE"""),170.33)</f>
        <v>170.33</v>
      </c>
      <c r="F6282" s="1">
        <f>IFERROR(__xludf.DUMMYFUNCTION("""COMPUTED_VALUE"""),6069344.0)</f>
        <v>6069344</v>
      </c>
    </row>
    <row r="6283">
      <c r="A6283" s="2">
        <f>IFERROR(__xludf.DUMMYFUNCTION("""COMPUTED_VALUE"""),45644.66666666667)</f>
        <v>45644.66667</v>
      </c>
      <c r="B6283" s="1">
        <f>IFERROR(__xludf.DUMMYFUNCTION("""COMPUTED_VALUE"""),169.76)</f>
        <v>169.76</v>
      </c>
      <c r="C6283" s="1">
        <f>IFERROR(__xludf.DUMMYFUNCTION("""COMPUTED_VALUE"""),170.56)</f>
        <v>170.56</v>
      </c>
      <c r="D6283" s="1">
        <f>IFERROR(__xludf.DUMMYFUNCTION("""COMPUTED_VALUE"""),169.02)</f>
        <v>169.02</v>
      </c>
      <c r="E6283" s="1">
        <f>IFERROR(__xludf.DUMMYFUNCTION("""COMPUTED_VALUE"""),169.08)</f>
        <v>169.08</v>
      </c>
      <c r="F6283" s="1">
        <f>IFERROR(__xludf.DUMMYFUNCTION("""COMPUTED_VALUE"""),7517081.0)</f>
        <v>7517081</v>
      </c>
    </row>
    <row r="6284">
      <c r="A6284" s="2">
        <f>IFERROR(__xludf.DUMMYFUNCTION("""COMPUTED_VALUE"""),45645.66666666667)</f>
        <v>45645.66667</v>
      </c>
      <c r="B6284" s="1">
        <f>IFERROR(__xludf.DUMMYFUNCTION("""COMPUTED_VALUE"""),169.01)</f>
        <v>169.01</v>
      </c>
      <c r="C6284" s="1">
        <f>IFERROR(__xludf.DUMMYFUNCTION("""COMPUTED_VALUE"""),170.1)</f>
        <v>170.1</v>
      </c>
      <c r="D6284" s="1">
        <f>IFERROR(__xludf.DUMMYFUNCTION("""COMPUTED_VALUE"""),167.35)</f>
        <v>167.35</v>
      </c>
      <c r="E6284" s="1">
        <f>IFERROR(__xludf.DUMMYFUNCTION("""COMPUTED_VALUE"""),169.19)</f>
        <v>169.19</v>
      </c>
      <c r="F6284" s="1">
        <f>IFERROR(__xludf.DUMMYFUNCTION("""COMPUTED_VALUE"""),8585220.0)</f>
        <v>8585220</v>
      </c>
    </row>
    <row r="6285">
      <c r="A6285" s="2">
        <f>IFERROR(__xludf.DUMMYFUNCTION("""COMPUTED_VALUE"""),45646.66666666667)</f>
        <v>45646.66667</v>
      </c>
      <c r="B6285" s="1">
        <f>IFERROR(__xludf.DUMMYFUNCTION("""COMPUTED_VALUE"""),168.87)</f>
        <v>168.87</v>
      </c>
      <c r="C6285" s="1">
        <f>IFERROR(__xludf.DUMMYFUNCTION("""COMPUTED_VALUE"""),169.87)</f>
        <v>169.87</v>
      </c>
      <c r="D6285" s="1">
        <f>IFERROR(__xludf.DUMMYFUNCTION("""COMPUTED_VALUE"""),167.5)</f>
        <v>167.5</v>
      </c>
      <c r="E6285" s="1">
        <f>IFERROR(__xludf.DUMMYFUNCTION("""COMPUTED_VALUE"""),168.06)</f>
        <v>168.06</v>
      </c>
      <c r="F6285" s="1">
        <f>IFERROR(__xludf.DUMMYFUNCTION("""COMPUTED_VALUE"""),2.1999342E7)</f>
        <v>21999342</v>
      </c>
    </row>
    <row r="6286">
      <c r="A6286" s="2">
        <f>IFERROR(__xludf.DUMMYFUNCTION("""COMPUTED_VALUE"""),45649.66666666667)</f>
        <v>45649.66667</v>
      </c>
      <c r="B6286" s="1">
        <f>IFERROR(__xludf.DUMMYFUNCTION("""COMPUTED_VALUE"""),168.06)</f>
        <v>168.06</v>
      </c>
      <c r="C6286" s="1">
        <f>IFERROR(__xludf.DUMMYFUNCTION("""COMPUTED_VALUE"""),168.68)</f>
        <v>168.68</v>
      </c>
      <c r="D6286" s="1">
        <f>IFERROR(__xludf.DUMMYFUNCTION("""COMPUTED_VALUE"""),166.36)</f>
        <v>166.36</v>
      </c>
      <c r="E6286" s="1">
        <f>IFERROR(__xludf.DUMMYFUNCTION("""COMPUTED_VALUE"""),168.11)</f>
        <v>168.11</v>
      </c>
      <c r="F6286" s="1">
        <f>IFERROR(__xludf.DUMMYFUNCTION("""COMPUTED_VALUE"""),6984079.0)</f>
        <v>6984079</v>
      </c>
    </row>
    <row r="6287">
      <c r="A6287" s="2">
        <f>IFERROR(__xludf.DUMMYFUNCTION("""COMPUTED_VALUE"""),45650.54166666667)</f>
        <v>45650.54167</v>
      </c>
      <c r="B6287" s="1">
        <f>IFERROR(__xludf.DUMMYFUNCTION("""COMPUTED_VALUE"""),167.62)</f>
        <v>167.62</v>
      </c>
      <c r="C6287" s="1">
        <f>IFERROR(__xludf.DUMMYFUNCTION("""COMPUTED_VALUE"""),169.18)</f>
        <v>169.18</v>
      </c>
      <c r="D6287" s="1">
        <f>IFERROR(__xludf.DUMMYFUNCTION("""COMPUTED_VALUE"""),167.42)</f>
        <v>167.42</v>
      </c>
      <c r="E6287" s="1">
        <f>IFERROR(__xludf.DUMMYFUNCTION("""COMPUTED_VALUE"""),168.94)</f>
        <v>168.94</v>
      </c>
      <c r="F6287" s="1">
        <f>IFERROR(__xludf.DUMMYFUNCTION("""COMPUTED_VALUE"""),2460756.0)</f>
        <v>2460756</v>
      </c>
    </row>
    <row r="6288">
      <c r="A6288" s="2">
        <f>IFERROR(__xludf.DUMMYFUNCTION("""COMPUTED_VALUE"""),45652.66666666667)</f>
        <v>45652.66667</v>
      </c>
      <c r="B6288" s="1">
        <f>IFERROR(__xludf.DUMMYFUNCTION("""COMPUTED_VALUE"""),168.6)</f>
        <v>168.6</v>
      </c>
      <c r="C6288" s="1">
        <f>IFERROR(__xludf.DUMMYFUNCTION("""COMPUTED_VALUE"""),170.3)</f>
        <v>170.3</v>
      </c>
      <c r="D6288" s="1">
        <f>IFERROR(__xludf.DUMMYFUNCTION("""COMPUTED_VALUE"""),168.07)</f>
        <v>168.07</v>
      </c>
      <c r="E6288" s="1">
        <f>IFERROR(__xludf.DUMMYFUNCTION("""COMPUTED_VALUE"""),170.16)</f>
        <v>170.16</v>
      </c>
      <c r="F6288" s="1">
        <f>IFERROR(__xludf.DUMMYFUNCTION("""COMPUTED_VALUE"""),3629533.0)</f>
        <v>3629533</v>
      </c>
    </row>
    <row r="6289">
      <c r="A6289" s="2">
        <f>IFERROR(__xludf.DUMMYFUNCTION("""COMPUTED_VALUE"""),45653.66666666667)</f>
        <v>45653.66667</v>
      </c>
      <c r="B6289" s="1">
        <f>IFERROR(__xludf.DUMMYFUNCTION("""COMPUTED_VALUE"""),169.42)</f>
        <v>169.42</v>
      </c>
      <c r="C6289" s="1">
        <f>IFERROR(__xludf.DUMMYFUNCTION("""COMPUTED_VALUE"""),170.76)</f>
        <v>170.76</v>
      </c>
      <c r="D6289" s="1">
        <f>IFERROR(__xludf.DUMMYFUNCTION("""COMPUTED_VALUE"""),169.26)</f>
        <v>169.26</v>
      </c>
      <c r="E6289" s="1">
        <f>IFERROR(__xludf.DUMMYFUNCTION("""COMPUTED_VALUE"""),169.53)</f>
        <v>169.53</v>
      </c>
      <c r="F6289" s="1">
        <f>IFERROR(__xludf.DUMMYFUNCTION("""COMPUTED_VALUE"""),4367879.0)</f>
        <v>4367879</v>
      </c>
    </row>
    <row r="6290">
      <c r="A6290" s="2">
        <f>IFERROR(__xludf.DUMMYFUNCTION("""COMPUTED_VALUE"""),45656.66666666667)</f>
        <v>45656.66667</v>
      </c>
      <c r="B6290" s="1">
        <f>IFERROR(__xludf.DUMMYFUNCTION("""COMPUTED_VALUE"""),168.67)</f>
        <v>168.67</v>
      </c>
      <c r="C6290" s="1">
        <f>IFERROR(__xludf.DUMMYFUNCTION("""COMPUTED_VALUE"""),168.98)</f>
        <v>168.98</v>
      </c>
      <c r="D6290" s="1">
        <f>IFERROR(__xludf.DUMMYFUNCTION("""COMPUTED_VALUE"""),166.71)</f>
        <v>166.71</v>
      </c>
      <c r="E6290" s="1">
        <f>IFERROR(__xludf.DUMMYFUNCTION("""COMPUTED_VALUE"""),167.09)</f>
        <v>167.09</v>
      </c>
      <c r="F6290" s="1">
        <f>IFERROR(__xludf.DUMMYFUNCTION("""COMPUTED_VALUE"""),4354543.0)</f>
        <v>4354543</v>
      </c>
    </row>
    <row r="6291">
      <c r="A6291" s="2">
        <f>IFERROR(__xludf.DUMMYFUNCTION("""COMPUTED_VALUE"""),45657.66666666667)</f>
        <v>45657.66667</v>
      </c>
      <c r="B6291" s="1">
        <f>IFERROR(__xludf.DUMMYFUNCTION("""COMPUTED_VALUE"""),167.36)</f>
        <v>167.36</v>
      </c>
      <c r="C6291" s="1">
        <f>IFERROR(__xludf.DUMMYFUNCTION("""COMPUTED_VALUE"""),168.08)</f>
        <v>168.08</v>
      </c>
      <c r="D6291" s="1">
        <f>IFERROR(__xludf.DUMMYFUNCTION("""COMPUTED_VALUE"""),166.59)</f>
        <v>166.59</v>
      </c>
      <c r="E6291" s="1">
        <f>IFERROR(__xludf.DUMMYFUNCTION("""COMPUTED_VALUE"""),167.65)</f>
        <v>167.65</v>
      </c>
      <c r="F6291" s="1">
        <f>IFERROR(__xludf.DUMMYFUNCTION("""COMPUTED_VALUE"""),3957920.0)</f>
        <v>3957920</v>
      </c>
    </row>
    <row r="6292">
      <c r="A6292" s="2">
        <f>IFERROR(__xludf.DUMMYFUNCTION("""COMPUTED_VALUE"""),45659.66666666667)</f>
        <v>45659.66667</v>
      </c>
      <c r="B6292" s="1">
        <f>IFERROR(__xludf.DUMMYFUNCTION("""COMPUTED_VALUE"""),168.09)</f>
        <v>168.09</v>
      </c>
      <c r="C6292" s="1">
        <f>IFERROR(__xludf.DUMMYFUNCTION("""COMPUTED_VALUE"""),168.71)</f>
        <v>168.71</v>
      </c>
      <c r="D6292" s="1">
        <f>IFERROR(__xludf.DUMMYFUNCTION("""COMPUTED_VALUE"""),165.91)</f>
        <v>165.91</v>
      </c>
      <c r="E6292" s="1">
        <f>IFERROR(__xludf.DUMMYFUNCTION("""COMPUTED_VALUE"""),165.98)</f>
        <v>165.98</v>
      </c>
      <c r="F6292" s="1">
        <f>IFERROR(__xludf.DUMMYFUNCTION("""COMPUTED_VALUE"""),5401712.0)</f>
        <v>5401712</v>
      </c>
    </row>
    <row r="6293">
      <c r="A6293" s="2">
        <f>IFERROR(__xludf.DUMMYFUNCTION("""COMPUTED_VALUE"""),45660.66666666667)</f>
        <v>45660.66667</v>
      </c>
      <c r="B6293" s="1">
        <f>IFERROR(__xludf.DUMMYFUNCTION("""COMPUTED_VALUE"""),166.25)</f>
        <v>166.25</v>
      </c>
      <c r="C6293" s="1">
        <f>IFERROR(__xludf.DUMMYFUNCTION("""COMPUTED_VALUE"""),166.5)</f>
        <v>166.5</v>
      </c>
      <c r="D6293" s="1">
        <f>IFERROR(__xludf.DUMMYFUNCTION("""COMPUTED_VALUE"""),164.25)</f>
        <v>164.25</v>
      </c>
      <c r="E6293" s="1">
        <f>IFERROR(__xludf.DUMMYFUNCTION("""COMPUTED_VALUE"""),165.13)</f>
        <v>165.13</v>
      </c>
      <c r="F6293" s="1">
        <f>IFERROR(__xludf.DUMMYFUNCTION("""COMPUTED_VALUE"""),5256807.0)</f>
        <v>5256807</v>
      </c>
    </row>
    <row r="6294">
      <c r="A6294" s="2">
        <f>IFERROR(__xludf.DUMMYFUNCTION("""COMPUTED_VALUE"""),45663.66666666667)</f>
        <v>45663.66667</v>
      </c>
      <c r="B6294" s="1">
        <f>IFERROR(__xludf.DUMMYFUNCTION("""COMPUTED_VALUE"""),162.81)</f>
        <v>162.81</v>
      </c>
      <c r="C6294" s="1">
        <f>IFERROR(__xludf.DUMMYFUNCTION("""COMPUTED_VALUE"""),163.5)</f>
        <v>163.5</v>
      </c>
      <c r="D6294" s="1">
        <f>IFERROR(__xludf.DUMMYFUNCTION("""COMPUTED_VALUE"""),160.44)</f>
        <v>160.44</v>
      </c>
      <c r="E6294" s="1">
        <f>IFERROR(__xludf.DUMMYFUNCTION("""COMPUTED_VALUE"""),160.6)</f>
        <v>160.6</v>
      </c>
      <c r="F6294" s="1">
        <f>IFERROR(__xludf.DUMMYFUNCTION("""COMPUTED_VALUE"""),8731671.0)</f>
        <v>8731671</v>
      </c>
    </row>
    <row r="6295">
      <c r="A6295" s="2">
        <f>IFERROR(__xludf.DUMMYFUNCTION("""COMPUTED_VALUE"""),45664.66666666667)</f>
        <v>45664.66667</v>
      </c>
      <c r="B6295" s="1">
        <f>IFERROR(__xludf.DUMMYFUNCTION("""COMPUTED_VALUE"""),161.46)</f>
        <v>161.46</v>
      </c>
      <c r="C6295" s="1">
        <f>IFERROR(__xludf.DUMMYFUNCTION("""COMPUTED_VALUE"""),162.61)</f>
        <v>162.61</v>
      </c>
      <c r="D6295" s="1">
        <f>IFERROR(__xludf.DUMMYFUNCTION("""COMPUTED_VALUE"""),160.74)</f>
        <v>160.74</v>
      </c>
      <c r="E6295" s="1">
        <f>IFERROR(__xludf.DUMMYFUNCTION("""COMPUTED_VALUE"""),161.3)</f>
        <v>161.3</v>
      </c>
      <c r="F6295" s="1">
        <f>IFERROR(__xludf.DUMMYFUNCTION("""COMPUTED_VALUE"""),8447744.0)</f>
        <v>8447744</v>
      </c>
    </row>
    <row r="6296">
      <c r="A6296" s="2">
        <f>IFERROR(__xludf.DUMMYFUNCTION("""COMPUTED_VALUE"""),45665.66666666667)</f>
        <v>45665.66667</v>
      </c>
      <c r="B6296" s="1">
        <f>IFERROR(__xludf.DUMMYFUNCTION("""COMPUTED_VALUE"""),160.99)</f>
        <v>160.99</v>
      </c>
      <c r="C6296" s="1">
        <f>IFERROR(__xludf.DUMMYFUNCTION("""COMPUTED_VALUE"""),162.4)</f>
        <v>162.4</v>
      </c>
      <c r="D6296" s="1">
        <f>IFERROR(__xludf.DUMMYFUNCTION("""COMPUTED_VALUE"""),160.57)</f>
        <v>160.57</v>
      </c>
      <c r="E6296" s="1">
        <f>IFERROR(__xludf.DUMMYFUNCTION("""COMPUTED_VALUE"""),162.1)</f>
        <v>162.1</v>
      </c>
      <c r="F6296" s="1">
        <f>IFERROR(__xludf.DUMMYFUNCTION("""COMPUTED_VALUE"""),4974783.0)</f>
        <v>4974783</v>
      </c>
    </row>
    <row r="6297">
      <c r="A6297" s="2">
        <f>IFERROR(__xludf.DUMMYFUNCTION("""COMPUTED_VALUE"""),45667.66666666667)</f>
        <v>45667.66667</v>
      </c>
      <c r="B6297" s="1">
        <f>IFERROR(__xludf.DUMMYFUNCTION("""COMPUTED_VALUE"""),160.3)</f>
        <v>160.3</v>
      </c>
      <c r="C6297" s="1">
        <f>IFERROR(__xludf.DUMMYFUNCTION("""COMPUTED_VALUE"""),161.21)</f>
        <v>161.21</v>
      </c>
      <c r="D6297" s="1">
        <f>IFERROR(__xludf.DUMMYFUNCTION("""COMPUTED_VALUE"""),157.47)</f>
        <v>157.47</v>
      </c>
      <c r="E6297" s="1">
        <f>IFERROR(__xludf.DUMMYFUNCTION("""COMPUTED_VALUE"""),158.56)</f>
        <v>158.56</v>
      </c>
      <c r="F6297" s="1">
        <f>IFERROR(__xludf.DUMMYFUNCTION("""COMPUTED_VALUE"""),8501525.0)</f>
        <v>8501525</v>
      </c>
    </row>
    <row r="6298">
      <c r="A6298" s="2">
        <f>IFERROR(__xludf.DUMMYFUNCTION("""COMPUTED_VALUE"""),45670.66666666667)</f>
        <v>45670.66667</v>
      </c>
      <c r="B6298" s="1">
        <f>IFERROR(__xludf.DUMMYFUNCTION("""COMPUTED_VALUE"""),159.35)</f>
        <v>159.35</v>
      </c>
      <c r="C6298" s="1">
        <f>IFERROR(__xludf.DUMMYFUNCTION("""COMPUTED_VALUE"""),160.09)</f>
        <v>160.09</v>
      </c>
      <c r="D6298" s="1">
        <f>IFERROR(__xludf.DUMMYFUNCTION("""COMPUTED_VALUE"""),158.41)</f>
        <v>158.41</v>
      </c>
      <c r="E6298" s="1">
        <f>IFERROR(__xludf.DUMMYFUNCTION("""COMPUTED_VALUE"""),158.84)</f>
        <v>158.84</v>
      </c>
      <c r="F6298" s="1">
        <f>IFERROR(__xludf.DUMMYFUNCTION("""COMPUTED_VALUE"""),6772198.0)</f>
        <v>6772198</v>
      </c>
    </row>
    <row r="6299">
      <c r="A6299" s="2">
        <f>IFERROR(__xludf.DUMMYFUNCTION("""COMPUTED_VALUE"""),45671.66666666667)</f>
        <v>45671.66667</v>
      </c>
      <c r="B6299" s="1">
        <f>IFERROR(__xludf.DUMMYFUNCTION("""COMPUTED_VALUE"""),158.85)</f>
        <v>158.85</v>
      </c>
      <c r="C6299" s="1">
        <f>IFERROR(__xludf.DUMMYFUNCTION("""COMPUTED_VALUE"""),160.07)</f>
        <v>160.07</v>
      </c>
      <c r="D6299" s="1">
        <f>IFERROR(__xludf.DUMMYFUNCTION("""COMPUTED_VALUE"""),158.31)</f>
        <v>158.31</v>
      </c>
      <c r="E6299" s="1">
        <f>IFERROR(__xludf.DUMMYFUNCTION("""COMPUTED_VALUE"""),159.74)</f>
        <v>159.74</v>
      </c>
      <c r="F6299" s="1">
        <f>IFERROR(__xludf.DUMMYFUNCTION("""COMPUTED_VALUE"""),5982254.0)</f>
        <v>5982254</v>
      </c>
    </row>
    <row r="6300">
      <c r="A6300" s="2">
        <f>IFERROR(__xludf.DUMMYFUNCTION("""COMPUTED_VALUE"""),45672.66666666667)</f>
        <v>45672.66667</v>
      </c>
      <c r="B6300" s="1">
        <f>IFERROR(__xludf.DUMMYFUNCTION("""COMPUTED_VALUE"""),160.59)</f>
        <v>160.59</v>
      </c>
      <c r="C6300" s="1">
        <f>IFERROR(__xludf.DUMMYFUNCTION("""COMPUTED_VALUE"""),161.15)</f>
        <v>161.15</v>
      </c>
      <c r="D6300" s="1">
        <f>IFERROR(__xludf.DUMMYFUNCTION("""COMPUTED_VALUE"""),159.34)</f>
        <v>159.34</v>
      </c>
      <c r="E6300" s="1">
        <f>IFERROR(__xludf.DUMMYFUNCTION("""COMPUTED_VALUE"""),159.65)</f>
        <v>159.65</v>
      </c>
      <c r="F6300" s="1">
        <f>IFERROR(__xludf.DUMMYFUNCTION("""COMPUTED_VALUE"""),8059231.0)</f>
        <v>8059231</v>
      </c>
    </row>
    <row r="6301">
      <c r="A6301" s="2">
        <f>IFERROR(__xludf.DUMMYFUNCTION("""COMPUTED_VALUE"""),45673.66666666667)</f>
        <v>45673.66667</v>
      </c>
      <c r="B6301" s="1">
        <f>IFERROR(__xludf.DUMMYFUNCTION("""COMPUTED_VALUE"""),159.62)</f>
        <v>159.62</v>
      </c>
      <c r="C6301" s="1">
        <f>IFERROR(__xludf.DUMMYFUNCTION("""COMPUTED_VALUE"""),160.58)</f>
        <v>160.58</v>
      </c>
      <c r="D6301" s="1">
        <f>IFERROR(__xludf.DUMMYFUNCTION("""COMPUTED_VALUE"""),159.14)</f>
        <v>159.14</v>
      </c>
      <c r="E6301" s="1">
        <f>IFERROR(__xludf.DUMMYFUNCTION("""COMPUTED_VALUE"""),160.5)</f>
        <v>160.5</v>
      </c>
      <c r="F6301" s="1">
        <f>IFERROR(__xludf.DUMMYFUNCTION("""COMPUTED_VALUE"""),5774429.0)</f>
        <v>5774429</v>
      </c>
    </row>
    <row r="6302">
      <c r="A6302" s="2">
        <f>IFERROR(__xludf.DUMMYFUNCTION("""COMPUTED_VALUE"""),45674.66666666667)</f>
        <v>45674.66667</v>
      </c>
      <c r="B6302" s="1">
        <f>IFERROR(__xludf.DUMMYFUNCTION("""COMPUTED_VALUE"""),159.74)</f>
        <v>159.74</v>
      </c>
      <c r="C6302" s="1">
        <f>IFERROR(__xludf.DUMMYFUNCTION("""COMPUTED_VALUE"""),161.75)</f>
        <v>161.75</v>
      </c>
      <c r="D6302" s="1">
        <f>IFERROR(__xludf.DUMMYFUNCTION("""COMPUTED_VALUE"""),159.6)</f>
        <v>159.6</v>
      </c>
      <c r="E6302" s="1">
        <f>IFERROR(__xludf.DUMMYFUNCTION("""COMPUTED_VALUE"""),161.13)</f>
        <v>161.13</v>
      </c>
      <c r="F6302" s="1">
        <f>IFERROR(__xludf.DUMMYFUNCTION("""COMPUTED_VALUE"""),7262739.0)</f>
        <v>7262739</v>
      </c>
    </row>
    <row r="6303">
      <c r="A6303" s="2">
        <f>IFERROR(__xludf.DUMMYFUNCTION("""COMPUTED_VALUE"""),45678.66666666667)</f>
        <v>45678.66667</v>
      </c>
      <c r="B6303" s="1">
        <f>IFERROR(__xludf.DUMMYFUNCTION("""COMPUTED_VALUE"""),161.42)</f>
        <v>161.42</v>
      </c>
      <c r="C6303" s="1">
        <f>IFERROR(__xludf.DUMMYFUNCTION("""COMPUTED_VALUE"""),162.35)</f>
        <v>162.35</v>
      </c>
      <c r="D6303" s="1">
        <f>IFERROR(__xludf.DUMMYFUNCTION("""COMPUTED_VALUE"""),160.96)</f>
        <v>160.96</v>
      </c>
      <c r="E6303" s="1">
        <f>IFERROR(__xludf.DUMMYFUNCTION("""COMPUTED_VALUE"""),161.72)</f>
        <v>161.72</v>
      </c>
      <c r="F6303" s="1">
        <f>IFERROR(__xludf.DUMMYFUNCTION("""COMPUTED_VALUE"""),1.3914694E7)</f>
        <v>13914694</v>
      </c>
    </row>
    <row r="6304">
      <c r="A6304" s="2">
        <f>IFERROR(__xludf.DUMMYFUNCTION("""COMPUTED_VALUE"""),45679.66666666667)</f>
        <v>45679.66667</v>
      </c>
      <c r="B6304" s="1">
        <f>IFERROR(__xludf.DUMMYFUNCTION("""COMPUTED_VALUE"""),167.1)</f>
        <v>167.1</v>
      </c>
      <c r="C6304" s="1">
        <f>IFERROR(__xludf.DUMMYFUNCTION("""COMPUTED_VALUE"""),168.14)</f>
        <v>168.14</v>
      </c>
      <c r="D6304" s="1">
        <f>IFERROR(__xludf.DUMMYFUNCTION("""COMPUTED_VALUE"""),164.44)</f>
        <v>164.44</v>
      </c>
      <c r="E6304" s="1">
        <f>IFERROR(__xludf.DUMMYFUNCTION("""COMPUTED_VALUE"""),164.74)</f>
        <v>164.74</v>
      </c>
      <c r="F6304" s="1">
        <f>IFERROR(__xludf.DUMMYFUNCTION("""COMPUTED_VALUE"""),1.4356691E7)</f>
        <v>14356691</v>
      </c>
    </row>
    <row r="6305">
      <c r="A6305" s="2">
        <f>IFERROR(__xludf.DUMMYFUNCTION("""COMPUTED_VALUE"""),45680.66666666667)</f>
        <v>45680.66667</v>
      </c>
      <c r="B6305" s="1">
        <f>IFERROR(__xludf.DUMMYFUNCTION("""COMPUTED_VALUE"""),163.88)</f>
        <v>163.88</v>
      </c>
      <c r="C6305" s="1">
        <f>IFERROR(__xludf.DUMMYFUNCTION("""COMPUTED_VALUE"""),166.48)</f>
        <v>166.48</v>
      </c>
      <c r="D6305" s="1">
        <f>IFERROR(__xludf.DUMMYFUNCTION("""COMPUTED_VALUE"""),163.32)</f>
        <v>163.32</v>
      </c>
      <c r="E6305" s="1">
        <f>IFERROR(__xludf.DUMMYFUNCTION("""COMPUTED_VALUE"""),166.15)</f>
        <v>166.15</v>
      </c>
      <c r="F6305" s="1">
        <f>IFERROR(__xludf.DUMMYFUNCTION("""COMPUTED_VALUE"""),7614308.0)</f>
        <v>7614308</v>
      </c>
    </row>
    <row r="6306">
      <c r="A6306" s="2">
        <f>IFERROR(__xludf.DUMMYFUNCTION("""COMPUTED_VALUE"""),45681.66666666667)</f>
        <v>45681.66667</v>
      </c>
      <c r="B6306" s="1">
        <f>IFERROR(__xludf.DUMMYFUNCTION("""COMPUTED_VALUE"""),165.91)</f>
        <v>165.91</v>
      </c>
      <c r="C6306" s="1">
        <f>IFERROR(__xludf.DUMMYFUNCTION("""COMPUTED_VALUE"""),165.91)</f>
        <v>165.91</v>
      </c>
      <c r="D6306" s="1">
        <f>IFERROR(__xludf.DUMMYFUNCTION("""COMPUTED_VALUE"""),163.2)</f>
        <v>163.2</v>
      </c>
      <c r="E6306" s="1">
        <f>IFERROR(__xludf.DUMMYFUNCTION("""COMPUTED_VALUE"""),164.12)</f>
        <v>164.12</v>
      </c>
      <c r="F6306" s="1">
        <f>IFERROR(__xludf.DUMMYFUNCTION("""COMPUTED_VALUE"""),6199939.0)</f>
        <v>6199939</v>
      </c>
    </row>
    <row r="6307">
      <c r="A6307" s="2">
        <f>IFERROR(__xludf.DUMMYFUNCTION("""COMPUTED_VALUE"""),45684.66666666667)</f>
        <v>45684.66667</v>
      </c>
      <c r="B6307" s="1">
        <f>IFERROR(__xludf.DUMMYFUNCTION("""COMPUTED_VALUE"""),166.72)</f>
        <v>166.72</v>
      </c>
      <c r="C6307" s="1">
        <f>IFERROR(__xludf.DUMMYFUNCTION("""COMPUTED_VALUE"""),169.94)</f>
        <v>169.94</v>
      </c>
      <c r="D6307" s="1">
        <f>IFERROR(__xludf.DUMMYFUNCTION("""COMPUTED_VALUE"""),166.11)</f>
        <v>166.11</v>
      </c>
      <c r="E6307" s="1">
        <f>IFERROR(__xludf.DUMMYFUNCTION("""COMPUTED_VALUE"""),169.66)</f>
        <v>169.66</v>
      </c>
      <c r="F6307" s="1">
        <f>IFERROR(__xludf.DUMMYFUNCTION("""COMPUTED_VALUE"""),9170829.0)</f>
        <v>9170829</v>
      </c>
    </row>
    <row r="6308">
      <c r="A6308" s="2">
        <f>IFERROR(__xludf.DUMMYFUNCTION("""COMPUTED_VALUE"""),45685.66666666667)</f>
        <v>45685.66667</v>
      </c>
      <c r="B6308" s="1">
        <f>IFERROR(__xludf.DUMMYFUNCTION("""COMPUTED_VALUE"""),168.91)</f>
        <v>168.91</v>
      </c>
      <c r="C6308" s="1">
        <f>IFERROR(__xludf.DUMMYFUNCTION("""COMPUTED_VALUE"""),169.59)</f>
        <v>169.59</v>
      </c>
      <c r="D6308" s="1">
        <f>IFERROR(__xludf.DUMMYFUNCTION("""COMPUTED_VALUE"""),166.11)</f>
        <v>166.11</v>
      </c>
      <c r="E6308" s="1">
        <f>IFERROR(__xludf.DUMMYFUNCTION("""COMPUTED_VALUE"""),166.19)</f>
        <v>166.19</v>
      </c>
      <c r="F6308" s="1">
        <f>IFERROR(__xludf.DUMMYFUNCTION("""COMPUTED_VALUE"""),6716387.0)</f>
        <v>6716387</v>
      </c>
    </row>
    <row r="6309">
      <c r="A6309" s="2">
        <f>IFERROR(__xludf.DUMMYFUNCTION("""COMPUTED_VALUE"""),45686.66666666667)</f>
        <v>45686.66667</v>
      </c>
      <c r="B6309" s="1">
        <f>IFERROR(__xludf.DUMMYFUNCTION("""COMPUTED_VALUE"""),166.72)</f>
        <v>166.72</v>
      </c>
      <c r="C6309" s="1">
        <f>IFERROR(__xludf.DUMMYFUNCTION("""COMPUTED_VALUE"""),167.29)</f>
        <v>167.29</v>
      </c>
      <c r="D6309" s="1">
        <f>IFERROR(__xludf.DUMMYFUNCTION("""COMPUTED_VALUE"""),165.88)</f>
        <v>165.88</v>
      </c>
      <c r="E6309" s="1">
        <f>IFERROR(__xludf.DUMMYFUNCTION("""COMPUTED_VALUE"""),166.23)</f>
        <v>166.23</v>
      </c>
      <c r="F6309" s="1">
        <f>IFERROR(__xludf.DUMMYFUNCTION("""COMPUTED_VALUE"""),4850295.0)</f>
        <v>4850295</v>
      </c>
    </row>
    <row r="6310">
      <c r="A6310" s="2">
        <f>IFERROR(__xludf.DUMMYFUNCTION("""COMPUTED_VALUE"""),45687.66666666667)</f>
        <v>45687.66667</v>
      </c>
      <c r="B6310" s="1">
        <f>IFERROR(__xludf.DUMMYFUNCTION("""COMPUTED_VALUE"""),167.48)</f>
        <v>167.48</v>
      </c>
      <c r="C6310" s="1">
        <f>IFERROR(__xludf.DUMMYFUNCTION("""COMPUTED_VALUE"""),167.6)</f>
        <v>167.6</v>
      </c>
      <c r="D6310" s="1">
        <f>IFERROR(__xludf.DUMMYFUNCTION("""COMPUTED_VALUE"""),165.93)</f>
        <v>165.93</v>
      </c>
      <c r="E6310" s="1">
        <f>IFERROR(__xludf.DUMMYFUNCTION("""COMPUTED_VALUE"""),167.41)</f>
        <v>167.41</v>
      </c>
      <c r="F6310" s="1">
        <f>IFERROR(__xludf.DUMMYFUNCTION("""COMPUTED_VALUE"""),4136546.0)</f>
        <v>4136546</v>
      </c>
    </row>
    <row r="6311">
      <c r="A6311" s="2">
        <f>IFERROR(__xludf.DUMMYFUNCTION("""COMPUTED_VALUE"""),45688.66666666667)</f>
        <v>45688.66667</v>
      </c>
      <c r="B6311" s="1">
        <f>IFERROR(__xludf.DUMMYFUNCTION("""COMPUTED_VALUE"""),166.0)</f>
        <v>166</v>
      </c>
      <c r="C6311" s="1">
        <f>IFERROR(__xludf.DUMMYFUNCTION("""COMPUTED_VALUE"""),166.62)</f>
        <v>166.62</v>
      </c>
      <c r="D6311" s="1">
        <f>IFERROR(__xludf.DUMMYFUNCTION("""COMPUTED_VALUE"""),165.21)</f>
        <v>165.21</v>
      </c>
      <c r="E6311" s="1">
        <f>IFERROR(__xludf.DUMMYFUNCTION("""COMPUTED_VALUE"""),165.99)</f>
        <v>165.99</v>
      </c>
      <c r="F6311" s="1">
        <f>IFERROR(__xludf.DUMMYFUNCTION("""COMPUTED_VALUE"""),5464903.0)</f>
        <v>5464903</v>
      </c>
    </row>
    <row r="6312">
      <c r="A6312" s="2">
        <f>IFERROR(__xludf.DUMMYFUNCTION("""COMPUTED_VALUE"""),45691.66666666667)</f>
        <v>45691.66667</v>
      </c>
      <c r="B6312" s="1">
        <f>IFERROR(__xludf.DUMMYFUNCTION("""COMPUTED_VALUE"""),165.47)</f>
        <v>165.47</v>
      </c>
      <c r="C6312" s="1">
        <f>IFERROR(__xludf.DUMMYFUNCTION("""COMPUTED_VALUE"""),169.38)</f>
        <v>169.38</v>
      </c>
      <c r="D6312" s="1">
        <f>IFERROR(__xludf.DUMMYFUNCTION("""COMPUTED_VALUE"""),165.23)</f>
        <v>165.23</v>
      </c>
      <c r="E6312" s="1">
        <f>IFERROR(__xludf.DUMMYFUNCTION("""COMPUTED_VALUE"""),168.76)</f>
        <v>168.76</v>
      </c>
      <c r="F6312" s="1">
        <f>IFERROR(__xludf.DUMMYFUNCTION("""COMPUTED_VALUE"""),8668729.0)</f>
        <v>8668729</v>
      </c>
    </row>
    <row r="6313">
      <c r="A6313" s="2">
        <f>IFERROR(__xludf.DUMMYFUNCTION("""COMPUTED_VALUE"""),45692.66666666667)</f>
        <v>45692.66667</v>
      </c>
      <c r="B6313" s="1">
        <f>IFERROR(__xludf.DUMMYFUNCTION("""COMPUTED_VALUE"""),169.29)</f>
        <v>169.29</v>
      </c>
      <c r="C6313" s="1">
        <f>IFERROR(__xludf.DUMMYFUNCTION("""COMPUTED_VALUE"""),169.29)</f>
        <v>169.29</v>
      </c>
      <c r="D6313" s="1">
        <f>IFERROR(__xludf.DUMMYFUNCTION("""COMPUTED_VALUE"""),166.28)</f>
        <v>166.28</v>
      </c>
      <c r="E6313" s="1">
        <f>IFERROR(__xludf.DUMMYFUNCTION("""COMPUTED_VALUE"""),168.13)</f>
        <v>168.13</v>
      </c>
      <c r="F6313" s="1">
        <f>IFERROR(__xludf.DUMMYFUNCTION("""COMPUTED_VALUE"""),6410938.0)</f>
        <v>6410938</v>
      </c>
    </row>
    <row r="6314">
      <c r="A6314" s="2">
        <f>IFERROR(__xludf.DUMMYFUNCTION("""COMPUTED_VALUE"""),45693.66666666667)</f>
        <v>45693.66667</v>
      </c>
      <c r="B6314" s="1">
        <f>IFERROR(__xludf.DUMMYFUNCTION("""COMPUTED_VALUE"""),168.09)</f>
        <v>168.09</v>
      </c>
      <c r="C6314" s="1">
        <f>IFERROR(__xludf.DUMMYFUNCTION("""COMPUTED_VALUE"""),169.14)</f>
        <v>169.14</v>
      </c>
      <c r="D6314" s="1">
        <f>IFERROR(__xludf.DUMMYFUNCTION("""COMPUTED_VALUE"""),166.61)</f>
        <v>166.61</v>
      </c>
      <c r="E6314" s="1">
        <f>IFERROR(__xludf.DUMMYFUNCTION("""COMPUTED_VALUE"""),169.01)</f>
        <v>169.01</v>
      </c>
      <c r="F6314" s="1">
        <f>IFERROR(__xludf.DUMMYFUNCTION("""COMPUTED_VALUE"""),7537232.0)</f>
        <v>7537232</v>
      </c>
    </row>
    <row r="6315">
      <c r="A6315" s="2">
        <f>IFERROR(__xludf.DUMMYFUNCTION("""COMPUTED_VALUE"""),45694.66666666667)</f>
        <v>45694.66667</v>
      </c>
      <c r="B6315" s="1">
        <f>IFERROR(__xludf.DUMMYFUNCTION("""COMPUTED_VALUE"""),169.37)</f>
        <v>169.37</v>
      </c>
      <c r="C6315" s="1">
        <f>IFERROR(__xludf.DUMMYFUNCTION("""COMPUTED_VALUE"""),169.93)</f>
        <v>169.93</v>
      </c>
      <c r="D6315" s="1">
        <f>IFERROR(__xludf.DUMMYFUNCTION("""COMPUTED_VALUE"""),168.03)</f>
        <v>168.03</v>
      </c>
      <c r="E6315" s="1">
        <f>IFERROR(__xludf.DUMMYFUNCTION("""COMPUTED_VALUE"""),168.88)</f>
        <v>168.88</v>
      </c>
      <c r="F6315" s="1">
        <f>IFERROR(__xludf.DUMMYFUNCTION("""COMPUTED_VALUE"""),4957889.0)</f>
        <v>4957889</v>
      </c>
    </row>
    <row r="6316">
      <c r="A6316" s="2">
        <f>IFERROR(__xludf.DUMMYFUNCTION("""COMPUTED_VALUE"""),45695.66666666667)</f>
        <v>45695.66667</v>
      </c>
      <c r="B6316" s="1">
        <f>IFERROR(__xludf.DUMMYFUNCTION("""COMPUTED_VALUE"""),169.09)</f>
        <v>169.09</v>
      </c>
      <c r="C6316" s="1">
        <f>IFERROR(__xludf.DUMMYFUNCTION("""COMPUTED_VALUE"""),169.12)</f>
        <v>169.12</v>
      </c>
      <c r="D6316" s="1">
        <f>IFERROR(__xludf.DUMMYFUNCTION("""COMPUTED_VALUE"""),167.87)</f>
        <v>167.87</v>
      </c>
      <c r="E6316" s="1">
        <f>IFERROR(__xludf.DUMMYFUNCTION("""COMPUTED_VALUE"""),167.97)</f>
        <v>167.97</v>
      </c>
      <c r="F6316" s="1">
        <f>IFERROR(__xludf.DUMMYFUNCTION("""COMPUTED_VALUE"""),4535617.0)</f>
        <v>4535617</v>
      </c>
    </row>
    <row r="6317">
      <c r="A6317" s="2">
        <f>IFERROR(__xludf.DUMMYFUNCTION("""COMPUTED_VALUE"""),45698.66666666667)</f>
        <v>45698.66667</v>
      </c>
      <c r="B6317" s="1">
        <f>IFERROR(__xludf.DUMMYFUNCTION("""COMPUTED_VALUE"""),167.69)</f>
        <v>167.69</v>
      </c>
      <c r="C6317" s="1">
        <f>IFERROR(__xludf.DUMMYFUNCTION("""COMPUTED_VALUE"""),168.48)</f>
        <v>168.48</v>
      </c>
      <c r="D6317" s="1">
        <f>IFERROR(__xludf.DUMMYFUNCTION("""COMPUTED_VALUE"""),166.4)</f>
        <v>166.4</v>
      </c>
      <c r="E6317" s="1">
        <f>IFERROR(__xludf.DUMMYFUNCTION("""COMPUTED_VALUE"""),167.53)</f>
        <v>167.53</v>
      </c>
      <c r="F6317" s="1">
        <f>IFERROR(__xludf.DUMMYFUNCTION("""COMPUTED_VALUE"""),7063167.0)</f>
        <v>7063167</v>
      </c>
    </row>
    <row r="6318">
      <c r="A6318" s="2">
        <f>IFERROR(__xludf.DUMMYFUNCTION("""COMPUTED_VALUE"""),45699.66666666667)</f>
        <v>45699.66667</v>
      </c>
      <c r="B6318" s="1">
        <f>IFERROR(__xludf.DUMMYFUNCTION("""COMPUTED_VALUE"""),167.69)</f>
        <v>167.69</v>
      </c>
      <c r="C6318" s="1">
        <f>IFERROR(__xludf.DUMMYFUNCTION("""COMPUTED_VALUE"""),169.57)</f>
        <v>169.57</v>
      </c>
      <c r="D6318" s="1">
        <f>IFERROR(__xludf.DUMMYFUNCTION("""COMPUTED_VALUE"""),166.5)</f>
        <v>166.5</v>
      </c>
      <c r="E6318" s="1">
        <f>IFERROR(__xludf.DUMMYFUNCTION("""COMPUTED_VALUE"""),169.43)</f>
        <v>169.43</v>
      </c>
      <c r="F6318" s="1">
        <f>IFERROR(__xludf.DUMMYFUNCTION("""COMPUTED_VALUE"""),5438081.0)</f>
        <v>5438081</v>
      </c>
    </row>
    <row r="6319">
      <c r="A6319" s="2">
        <f>IFERROR(__xludf.DUMMYFUNCTION("""COMPUTED_VALUE"""),45700.66666666667)</f>
        <v>45700.66667</v>
      </c>
      <c r="B6319" s="1">
        <f>IFERROR(__xludf.DUMMYFUNCTION("""COMPUTED_VALUE"""),168.35)</f>
        <v>168.35</v>
      </c>
      <c r="C6319" s="1">
        <f>IFERROR(__xludf.DUMMYFUNCTION("""COMPUTED_VALUE"""),170.08)</f>
        <v>170.08</v>
      </c>
      <c r="D6319" s="1">
        <f>IFERROR(__xludf.DUMMYFUNCTION("""COMPUTED_VALUE"""),167.97)</f>
        <v>167.97</v>
      </c>
      <c r="E6319" s="1">
        <f>IFERROR(__xludf.DUMMYFUNCTION("""COMPUTED_VALUE"""),169.58)</f>
        <v>169.58</v>
      </c>
      <c r="F6319" s="1">
        <f>IFERROR(__xludf.DUMMYFUNCTION("""COMPUTED_VALUE"""),6037671.0)</f>
        <v>6037671</v>
      </c>
    </row>
    <row r="6320">
      <c r="A6320" s="2">
        <f>IFERROR(__xludf.DUMMYFUNCTION("""COMPUTED_VALUE"""),45701.66666666667)</f>
        <v>45701.66667</v>
      </c>
      <c r="B6320" s="1">
        <f>IFERROR(__xludf.DUMMYFUNCTION("""COMPUTED_VALUE"""),169.63)</f>
        <v>169.63</v>
      </c>
      <c r="C6320" s="1">
        <f>IFERROR(__xludf.DUMMYFUNCTION("""COMPUTED_VALUE"""),171.38)</f>
        <v>171.38</v>
      </c>
      <c r="D6320" s="1">
        <f>IFERROR(__xludf.DUMMYFUNCTION("""COMPUTED_VALUE"""),169.14)</f>
        <v>169.14</v>
      </c>
      <c r="E6320" s="1">
        <f>IFERROR(__xludf.DUMMYFUNCTION("""COMPUTED_VALUE"""),171.02)</f>
        <v>171.02</v>
      </c>
      <c r="F6320" s="1">
        <f>IFERROR(__xludf.DUMMYFUNCTION("""COMPUTED_VALUE"""),6328365.0)</f>
        <v>6328365</v>
      </c>
    </row>
    <row r="6321">
      <c r="A6321" s="2">
        <f>IFERROR(__xludf.DUMMYFUNCTION("""COMPUTED_VALUE"""),45702.66666666667)</f>
        <v>45702.66667</v>
      </c>
      <c r="B6321" s="1">
        <f>IFERROR(__xludf.DUMMYFUNCTION("""COMPUTED_VALUE"""),169.79)</f>
        <v>169.79</v>
      </c>
      <c r="C6321" s="1">
        <f>IFERROR(__xludf.DUMMYFUNCTION("""COMPUTED_VALUE"""),170.0)</f>
        <v>170</v>
      </c>
      <c r="D6321" s="1">
        <f>IFERROR(__xludf.DUMMYFUNCTION("""COMPUTED_VALUE"""),162.3)</f>
        <v>162.3</v>
      </c>
      <c r="E6321" s="1">
        <f>IFERROR(__xludf.DUMMYFUNCTION("""COMPUTED_VALUE"""),162.89)</f>
        <v>162.89</v>
      </c>
      <c r="F6321" s="1">
        <f>IFERROR(__xludf.DUMMYFUNCTION("""COMPUTED_VALUE"""),1.3179478E7)</f>
        <v>13179478</v>
      </c>
    </row>
    <row r="6322">
      <c r="A6322" s="2">
        <f>IFERROR(__xludf.DUMMYFUNCTION("""COMPUTED_VALUE"""),45706.66666666667)</f>
        <v>45706.66667</v>
      </c>
      <c r="B6322" s="1">
        <f>IFERROR(__xludf.DUMMYFUNCTION("""COMPUTED_VALUE"""),163.35)</f>
        <v>163.35</v>
      </c>
      <c r="C6322" s="1">
        <f>IFERROR(__xludf.DUMMYFUNCTION("""COMPUTED_VALUE"""),165.76)</f>
        <v>165.76</v>
      </c>
      <c r="D6322" s="1">
        <f>IFERROR(__xludf.DUMMYFUNCTION("""COMPUTED_VALUE"""),162.2)</f>
        <v>162.2</v>
      </c>
      <c r="E6322" s="1">
        <f>IFERROR(__xludf.DUMMYFUNCTION("""COMPUTED_VALUE"""),165.43)</f>
        <v>165.43</v>
      </c>
      <c r="F6322" s="1">
        <f>IFERROR(__xludf.DUMMYFUNCTION("""COMPUTED_VALUE"""),7075681.0)</f>
        <v>7075681</v>
      </c>
    </row>
    <row r="6323">
      <c r="A6323" s="2">
        <f>IFERROR(__xludf.DUMMYFUNCTION("""COMPUTED_VALUE"""),45707.66666666667)</f>
        <v>45707.66667</v>
      </c>
      <c r="B6323" s="1">
        <f>IFERROR(__xludf.DUMMYFUNCTION("""COMPUTED_VALUE"""),166.1)</f>
        <v>166.1</v>
      </c>
      <c r="C6323" s="1">
        <f>IFERROR(__xludf.DUMMYFUNCTION("""COMPUTED_VALUE"""),166.87)</f>
        <v>166.87</v>
      </c>
      <c r="D6323" s="1">
        <f>IFERROR(__xludf.DUMMYFUNCTION("""COMPUTED_VALUE"""),165.24)</f>
        <v>165.24</v>
      </c>
      <c r="E6323" s="1">
        <f>IFERROR(__xludf.DUMMYFUNCTION("""COMPUTED_VALUE"""),166.49)</f>
        <v>166.49</v>
      </c>
      <c r="F6323" s="1">
        <f>IFERROR(__xludf.DUMMYFUNCTION("""COMPUTED_VALUE"""),7910823.0)</f>
        <v>7910823</v>
      </c>
    </row>
    <row r="6324">
      <c r="A6324" s="2">
        <f>IFERROR(__xludf.DUMMYFUNCTION("""COMPUTED_VALUE"""),45708.66666666667)</f>
        <v>45708.66667</v>
      </c>
      <c r="B6324" s="1">
        <f>IFERROR(__xludf.DUMMYFUNCTION("""COMPUTED_VALUE"""),163.15)</f>
        <v>163.15</v>
      </c>
      <c r="C6324" s="1">
        <f>IFERROR(__xludf.DUMMYFUNCTION("""COMPUTED_VALUE"""),167.78)</f>
        <v>167.78</v>
      </c>
      <c r="D6324" s="1">
        <f>IFERROR(__xludf.DUMMYFUNCTION("""COMPUTED_VALUE"""),162.8)</f>
        <v>162.8</v>
      </c>
      <c r="E6324" s="1">
        <f>IFERROR(__xludf.DUMMYFUNCTION("""COMPUTED_VALUE"""),167.21)</f>
        <v>167.21</v>
      </c>
      <c r="F6324" s="1">
        <f>IFERROR(__xludf.DUMMYFUNCTION("""COMPUTED_VALUE"""),6162601.0)</f>
        <v>6162601</v>
      </c>
    </row>
    <row r="6325">
      <c r="A6325" s="2">
        <f>IFERROR(__xludf.DUMMYFUNCTION("""COMPUTED_VALUE"""),45709.66666666667)</f>
        <v>45709.66667</v>
      </c>
      <c r="B6325" s="1">
        <f>IFERROR(__xludf.DUMMYFUNCTION("""COMPUTED_VALUE"""),167.44)</f>
        <v>167.44</v>
      </c>
      <c r="C6325" s="1">
        <f>IFERROR(__xludf.DUMMYFUNCTION("""COMPUTED_VALUE"""),170.55)</f>
        <v>170.55</v>
      </c>
      <c r="D6325" s="1">
        <f>IFERROR(__xludf.DUMMYFUNCTION("""COMPUTED_VALUE"""),165.92)</f>
        <v>165.92</v>
      </c>
      <c r="E6325" s="1">
        <f>IFERROR(__xludf.DUMMYFUNCTION("""COMPUTED_VALUE"""),170.23)</f>
        <v>170.23</v>
      </c>
      <c r="F6325" s="1">
        <f>IFERROR(__xludf.DUMMYFUNCTION("""COMPUTED_VALUE"""),9813720.0)</f>
        <v>9813720</v>
      </c>
    </row>
    <row r="6326">
      <c r="A6326" s="2">
        <f>IFERROR(__xludf.DUMMYFUNCTION("""COMPUTED_VALUE"""),45712.66666666667)</f>
        <v>45712.66667</v>
      </c>
      <c r="B6326" s="1">
        <f>IFERROR(__xludf.DUMMYFUNCTION("""COMPUTED_VALUE"""),170.22)</f>
        <v>170.22</v>
      </c>
      <c r="C6326" s="1">
        <f>IFERROR(__xludf.DUMMYFUNCTION("""COMPUTED_VALUE"""),172.98)</f>
        <v>172.98</v>
      </c>
      <c r="D6326" s="1">
        <f>IFERROR(__xludf.DUMMYFUNCTION("""COMPUTED_VALUE"""),169.79)</f>
        <v>169.79</v>
      </c>
      <c r="E6326" s="1">
        <f>IFERROR(__xludf.DUMMYFUNCTION("""COMPUTED_VALUE"""),170.54)</f>
        <v>170.54</v>
      </c>
      <c r="F6326" s="1">
        <f>IFERROR(__xludf.DUMMYFUNCTION("""COMPUTED_VALUE"""),8564057.0)</f>
        <v>8564057</v>
      </c>
    </row>
    <row r="6327">
      <c r="A6327" s="2">
        <f>IFERROR(__xludf.DUMMYFUNCTION("""COMPUTED_VALUE"""),45713.66666666667)</f>
        <v>45713.66667</v>
      </c>
      <c r="B6327" s="1">
        <f>IFERROR(__xludf.DUMMYFUNCTION("""COMPUTED_VALUE"""),171.28)</f>
        <v>171.28</v>
      </c>
      <c r="C6327" s="1">
        <f>IFERROR(__xludf.DUMMYFUNCTION("""COMPUTED_VALUE"""),173.95)</f>
        <v>173.95</v>
      </c>
      <c r="D6327" s="1">
        <f>IFERROR(__xludf.DUMMYFUNCTION("""COMPUTED_VALUE"""),170.8)</f>
        <v>170.8</v>
      </c>
      <c r="E6327" s="1">
        <f>IFERROR(__xludf.DUMMYFUNCTION("""COMPUTED_VALUE"""),172.65)</f>
        <v>172.65</v>
      </c>
      <c r="F6327" s="1">
        <f>IFERROR(__xludf.DUMMYFUNCTION("""COMPUTED_VALUE"""),7314856.0)</f>
        <v>7314856</v>
      </c>
    </row>
    <row r="6328">
      <c r="A6328" s="2">
        <f>IFERROR(__xludf.DUMMYFUNCTION("""COMPUTED_VALUE"""),45714.66666666667)</f>
        <v>45714.66667</v>
      </c>
      <c r="B6328" s="1">
        <f>IFERROR(__xludf.DUMMYFUNCTION("""COMPUTED_VALUE"""),172.28)</f>
        <v>172.28</v>
      </c>
      <c r="C6328" s="1">
        <f>IFERROR(__xludf.DUMMYFUNCTION("""COMPUTED_VALUE"""),172.65)</f>
        <v>172.65</v>
      </c>
      <c r="D6328" s="1">
        <f>IFERROR(__xludf.DUMMYFUNCTION("""COMPUTED_VALUE"""),170.65)</f>
        <v>170.65</v>
      </c>
      <c r="E6328" s="1">
        <f>IFERROR(__xludf.DUMMYFUNCTION("""COMPUTED_VALUE"""),171.3)</f>
        <v>171.3</v>
      </c>
      <c r="F6328" s="1">
        <f>IFERROR(__xludf.DUMMYFUNCTION("""COMPUTED_VALUE"""),5519041.0)</f>
        <v>5519041</v>
      </c>
    </row>
    <row r="6329">
      <c r="A6329" s="2">
        <f>IFERROR(__xludf.DUMMYFUNCTION("""COMPUTED_VALUE"""),45715.66666666667)</f>
        <v>45715.66667</v>
      </c>
      <c r="B6329" s="1">
        <f>IFERROR(__xludf.DUMMYFUNCTION("""COMPUTED_VALUE"""),170.85)</f>
        <v>170.85</v>
      </c>
      <c r="C6329" s="1">
        <f>IFERROR(__xludf.DUMMYFUNCTION("""COMPUTED_VALUE"""),173.09)</f>
        <v>173.09</v>
      </c>
      <c r="D6329" s="1">
        <f>IFERROR(__xludf.DUMMYFUNCTION("""COMPUTED_VALUE"""),170.63)</f>
        <v>170.63</v>
      </c>
      <c r="E6329" s="1">
        <f>IFERROR(__xludf.DUMMYFUNCTION("""COMPUTED_VALUE"""),171.97)</f>
        <v>171.97</v>
      </c>
      <c r="F6329" s="1">
        <f>IFERROR(__xludf.DUMMYFUNCTION("""COMPUTED_VALUE"""),5466965.0)</f>
        <v>5466965</v>
      </c>
    </row>
    <row r="6330">
      <c r="A6330" s="2">
        <f>IFERROR(__xludf.DUMMYFUNCTION("""COMPUTED_VALUE"""),45716.66666666667)</f>
        <v>45716.66667</v>
      </c>
      <c r="B6330" s="1">
        <f>IFERROR(__xludf.DUMMYFUNCTION("""COMPUTED_VALUE"""),173.58)</f>
        <v>173.58</v>
      </c>
      <c r="C6330" s="1">
        <f>IFERROR(__xludf.DUMMYFUNCTION("""COMPUTED_VALUE"""),174.65)</f>
        <v>174.65</v>
      </c>
      <c r="D6330" s="1">
        <f>IFERROR(__xludf.DUMMYFUNCTION("""COMPUTED_VALUE"""),171.85)</f>
        <v>171.85</v>
      </c>
      <c r="E6330" s="1">
        <f>IFERROR(__xludf.DUMMYFUNCTION("""COMPUTED_VALUE"""),173.84)</f>
        <v>173.84</v>
      </c>
      <c r="F6330" s="1">
        <f>IFERROR(__xludf.DUMMYFUNCTION("""COMPUTED_VALUE"""),1.0240069E7)</f>
        <v>10240069</v>
      </c>
    </row>
    <row r="6331">
      <c r="A6331" s="2">
        <f>IFERROR(__xludf.DUMMYFUNCTION("""COMPUTED_VALUE"""),45719.66666666667)</f>
        <v>45719.66667</v>
      </c>
      <c r="B6331" s="1">
        <f>IFERROR(__xludf.DUMMYFUNCTION("""COMPUTED_VALUE"""),173.58)</f>
        <v>173.58</v>
      </c>
      <c r="C6331" s="1">
        <f>IFERROR(__xludf.DUMMYFUNCTION("""COMPUTED_VALUE"""),176.29)</f>
        <v>176.29</v>
      </c>
      <c r="D6331" s="1">
        <f>IFERROR(__xludf.DUMMYFUNCTION("""COMPUTED_VALUE"""),173.51)</f>
        <v>173.51</v>
      </c>
      <c r="E6331" s="1">
        <f>IFERROR(__xludf.DUMMYFUNCTION("""COMPUTED_VALUE"""),175.59)</f>
        <v>175.59</v>
      </c>
      <c r="F6331" s="1">
        <f>IFERROR(__xludf.DUMMYFUNCTION("""COMPUTED_VALUE"""),7615570.0)</f>
        <v>7615570</v>
      </c>
    </row>
    <row r="6332">
      <c r="A6332" s="2">
        <f>IFERROR(__xludf.DUMMYFUNCTION("""COMPUTED_VALUE"""),45720.66666666667)</f>
        <v>45720.66667</v>
      </c>
      <c r="B6332" s="1">
        <f>IFERROR(__xludf.DUMMYFUNCTION("""COMPUTED_VALUE"""),176.75)</f>
        <v>176.75</v>
      </c>
      <c r="C6332" s="1">
        <f>IFERROR(__xludf.DUMMYFUNCTION("""COMPUTED_VALUE"""),179.99)</f>
        <v>179.99</v>
      </c>
      <c r="D6332" s="1">
        <f>IFERROR(__xludf.DUMMYFUNCTION("""COMPUTED_VALUE"""),172.91)</f>
        <v>172.91</v>
      </c>
      <c r="E6332" s="1">
        <f>IFERROR(__xludf.DUMMYFUNCTION("""COMPUTED_VALUE"""),173.18)</f>
        <v>173.18</v>
      </c>
      <c r="F6332" s="1">
        <f>IFERROR(__xludf.DUMMYFUNCTION("""COMPUTED_VALUE"""),1.2118023E7)</f>
        <v>12118023</v>
      </c>
    </row>
    <row r="6333">
      <c r="A6333" s="2">
        <f>IFERROR(__xludf.DUMMYFUNCTION("""COMPUTED_VALUE"""),45721.66666666667)</f>
        <v>45721.66667</v>
      </c>
      <c r="B6333" s="1">
        <f>IFERROR(__xludf.DUMMYFUNCTION("""COMPUTED_VALUE"""),173.38)</f>
        <v>173.38</v>
      </c>
      <c r="C6333" s="1">
        <f>IFERROR(__xludf.DUMMYFUNCTION("""COMPUTED_VALUE"""),175.87)</f>
        <v>175.87</v>
      </c>
      <c r="D6333" s="1">
        <f>IFERROR(__xludf.DUMMYFUNCTION("""COMPUTED_VALUE"""),173.02)</f>
        <v>173.02</v>
      </c>
      <c r="E6333" s="1">
        <f>IFERROR(__xludf.DUMMYFUNCTION("""COMPUTED_VALUE"""),174.61)</f>
        <v>174.61</v>
      </c>
      <c r="F6333" s="1">
        <f>IFERROR(__xludf.DUMMYFUNCTION("""COMPUTED_VALUE"""),6989086.0)</f>
        <v>6989086</v>
      </c>
    </row>
    <row r="6334">
      <c r="A6334" s="2">
        <f>IFERROR(__xludf.DUMMYFUNCTION("""COMPUTED_VALUE"""),45722.66666666667)</f>
        <v>45722.66667</v>
      </c>
      <c r="B6334" s="1">
        <f>IFERROR(__xludf.DUMMYFUNCTION("""COMPUTED_VALUE"""),174.89)</f>
        <v>174.89</v>
      </c>
      <c r="C6334" s="1">
        <f>IFERROR(__xludf.DUMMYFUNCTION("""COMPUTED_VALUE"""),175.84)</f>
        <v>175.84</v>
      </c>
      <c r="D6334" s="1">
        <f>IFERROR(__xludf.DUMMYFUNCTION("""COMPUTED_VALUE"""),172.84)</f>
        <v>172.84</v>
      </c>
      <c r="E6334" s="1">
        <f>IFERROR(__xludf.DUMMYFUNCTION("""COMPUTED_VALUE"""),174.66)</f>
        <v>174.66</v>
      </c>
      <c r="F6334" s="1">
        <f>IFERROR(__xludf.DUMMYFUNCTION("""COMPUTED_VALUE"""),6702490.0)</f>
        <v>6702490</v>
      </c>
    </row>
    <row r="6335">
      <c r="A6335" s="2">
        <f>IFERROR(__xludf.DUMMYFUNCTION("""COMPUTED_VALUE"""),45723.66666666667)</f>
        <v>45723.66667</v>
      </c>
      <c r="B6335" s="1">
        <f>IFERROR(__xludf.DUMMYFUNCTION("""COMPUTED_VALUE"""),174.09)</f>
        <v>174.09</v>
      </c>
      <c r="C6335" s="1">
        <f>IFERROR(__xludf.DUMMYFUNCTION("""COMPUTED_VALUE"""),178.89)</f>
        <v>178.89</v>
      </c>
      <c r="D6335" s="1">
        <f>IFERROR(__xludf.DUMMYFUNCTION("""COMPUTED_VALUE"""),174.05)</f>
        <v>174.05</v>
      </c>
      <c r="E6335" s="1">
        <f>IFERROR(__xludf.DUMMYFUNCTION("""COMPUTED_VALUE"""),175.95)</f>
        <v>175.95</v>
      </c>
      <c r="F6335" s="1">
        <f>IFERROR(__xludf.DUMMYFUNCTION("""COMPUTED_VALUE"""),9566763.0)</f>
        <v>9566763</v>
      </c>
    </row>
    <row r="6336">
      <c r="A6336" s="2">
        <f>IFERROR(__xludf.DUMMYFUNCTION("""COMPUTED_VALUE"""),45726.66666666667)</f>
        <v>45726.66667</v>
      </c>
      <c r="B6336" s="1">
        <f>IFERROR(__xludf.DUMMYFUNCTION("""COMPUTED_VALUE"""),176.76)</f>
        <v>176.76</v>
      </c>
      <c r="C6336" s="1">
        <f>IFERROR(__xludf.DUMMYFUNCTION("""COMPUTED_VALUE"""),179.99)</f>
        <v>179.99</v>
      </c>
      <c r="D6336" s="1">
        <f>IFERROR(__xludf.DUMMYFUNCTION("""COMPUTED_VALUE"""),175.83)</f>
        <v>175.83</v>
      </c>
      <c r="E6336" s="1">
        <f>IFERROR(__xludf.DUMMYFUNCTION("""COMPUTED_VALUE"""),176.26)</f>
        <v>176.26</v>
      </c>
      <c r="F6336" s="1">
        <f>IFERROR(__xludf.DUMMYFUNCTION("""COMPUTED_VALUE"""),1.1047022E7)</f>
        <v>11047022</v>
      </c>
    </row>
    <row r="6337">
      <c r="A6337" s="2">
        <f>IFERROR(__xludf.DUMMYFUNCTION("""COMPUTED_VALUE"""),45727.66666666667)</f>
        <v>45727.66667</v>
      </c>
      <c r="B6337" s="1">
        <f>IFERROR(__xludf.DUMMYFUNCTION("""COMPUTED_VALUE"""),175.83)</f>
        <v>175.83</v>
      </c>
      <c r="C6337" s="1">
        <f>IFERROR(__xludf.DUMMYFUNCTION("""COMPUTED_VALUE"""),175.99)</f>
        <v>175.99</v>
      </c>
      <c r="D6337" s="1">
        <f>IFERROR(__xludf.DUMMYFUNCTION("""COMPUTED_VALUE"""),172.32)</f>
        <v>172.32</v>
      </c>
      <c r="E6337" s="1">
        <f>IFERROR(__xludf.DUMMYFUNCTION("""COMPUTED_VALUE"""),173.12)</f>
        <v>173.12</v>
      </c>
      <c r="F6337" s="1">
        <f>IFERROR(__xludf.DUMMYFUNCTION("""COMPUTED_VALUE"""),1.1032285E7)</f>
        <v>11032285</v>
      </c>
    </row>
    <row r="6338">
      <c r="A6338" s="2">
        <f>IFERROR(__xludf.DUMMYFUNCTION("""COMPUTED_VALUE"""),45728.66666666667)</f>
        <v>45728.66667</v>
      </c>
      <c r="B6338" s="1">
        <f>IFERROR(__xludf.DUMMYFUNCTION("""COMPUTED_VALUE"""),169.7)</f>
        <v>169.7</v>
      </c>
      <c r="C6338" s="1">
        <f>IFERROR(__xludf.DUMMYFUNCTION("""COMPUTED_VALUE"""),171.83)</f>
        <v>171.83</v>
      </c>
      <c r="D6338" s="1">
        <f>IFERROR(__xludf.DUMMYFUNCTION("""COMPUTED_VALUE"""),167.77)</f>
        <v>167.77</v>
      </c>
      <c r="E6338" s="1">
        <f>IFERROR(__xludf.DUMMYFUNCTION("""COMPUTED_VALUE"""),168.37)</f>
        <v>168.37</v>
      </c>
      <c r="F6338" s="1">
        <f>IFERROR(__xludf.DUMMYFUNCTION("""COMPUTED_VALUE"""),1.0159136E7)</f>
        <v>10159136</v>
      </c>
    </row>
    <row r="6339">
      <c r="A6339" s="2">
        <f>IFERROR(__xludf.DUMMYFUNCTION("""COMPUTED_VALUE"""),45729.66666666667)</f>
        <v>45729.66667</v>
      </c>
      <c r="B6339" s="1">
        <f>IFERROR(__xludf.DUMMYFUNCTION("""COMPUTED_VALUE"""),167.7)</f>
        <v>167.7</v>
      </c>
      <c r="C6339" s="1">
        <f>IFERROR(__xludf.DUMMYFUNCTION("""COMPUTED_VALUE"""),169.29)</f>
        <v>169.29</v>
      </c>
      <c r="D6339" s="1">
        <f>IFERROR(__xludf.DUMMYFUNCTION("""COMPUTED_VALUE"""),167.28)</f>
        <v>167.28</v>
      </c>
      <c r="E6339" s="1">
        <f>IFERROR(__xludf.DUMMYFUNCTION("""COMPUTED_VALUE"""),168.59)</f>
        <v>168.59</v>
      </c>
      <c r="F6339" s="1">
        <f>IFERROR(__xludf.DUMMYFUNCTION("""COMPUTED_VALUE"""),6609126.0)</f>
        <v>6609126</v>
      </c>
    </row>
    <row r="6340">
      <c r="A6340" s="2">
        <f>IFERROR(__xludf.DUMMYFUNCTION("""COMPUTED_VALUE"""),45730.66666666667)</f>
        <v>45730.66667</v>
      </c>
      <c r="B6340" s="1">
        <f>IFERROR(__xludf.DUMMYFUNCTION("""COMPUTED_VALUE"""),167.79)</f>
        <v>167.79</v>
      </c>
      <c r="C6340" s="1">
        <f>IFERROR(__xludf.DUMMYFUNCTION("""COMPUTED_VALUE"""),168.59)</f>
        <v>168.59</v>
      </c>
      <c r="D6340" s="1">
        <f>IFERROR(__xludf.DUMMYFUNCTION("""COMPUTED_VALUE"""),166.62)</f>
        <v>166.62</v>
      </c>
      <c r="E6340" s="1">
        <f>IFERROR(__xludf.DUMMYFUNCTION("""COMPUTED_VALUE"""),167.97)</f>
        <v>167.97</v>
      </c>
      <c r="F6340" s="1">
        <f>IFERROR(__xludf.DUMMYFUNCTION("""COMPUTED_VALUE"""),6790624.0)</f>
        <v>6790624</v>
      </c>
    </row>
    <row r="6341">
      <c r="A6341" s="2">
        <f>IFERROR(__xludf.DUMMYFUNCTION("""COMPUTED_VALUE"""),45733.66666666667)</f>
        <v>45733.66667</v>
      </c>
      <c r="B6341" s="1">
        <f>IFERROR(__xludf.DUMMYFUNCTION("""COMPUTED_VALUE"""),168.37)</f>
        <v>168.37</v>
      </c>
      <c r="C6341" s="1">
        <f>IFERROR(__xludf.DUMMYFUNCTION("""COMPUTED_VALUE"""),171.09)</f>
        <v>171.09</v>
      </c>
      <c r="D6341" s="1">
        <f>IFERROR(__xludf.DUMMYFUNCTION("""COMPUTED_VALUE"""),168.13)</f>
        <v>168.13</v>
      </c>
      <c r="E6341" s="1">
        <f>IFERROR(__xludf.DUMMYFUNCTION("""COMPUTED_VALUE"""),169.76)</f>
        <v>169.76</v>
      </c>
      <c r="F6341" s="1">
        <f>IFERROR(__xludf.DUMMYFUNCTION("""COMPUTED_VALUE"""),9931678.0)</f>
        <v>9931678</v>
      </c>
    </row>
    <row r="6342">
      <c r="A6342" s="2">
        <f>IFERROR(__xludf.DUMMYFUNCTION("""COMPUTED_VALUE"""),45734.66666666667)</f>
        <v>45734.66667</v>
      </c>
      <c r="B6342" s="1">
        <f>IFERROR(__xludf.DUMMYFUNCTION("""COMPUTED_VALUE"""),170.07)</f>
        <v>170.07</v>
      </c>
      <c r="C6342" s="1">
        <f>IFERROR(__xludf.DUMMYFUNCTION("""COMPUTED_VALUE"""),170.26)</f>
        <v>170.26</v>
      </c>
      <c r="D6342" s="1">
        <f>IFERROR(__xludf.DUMMYFUNCTION("""COMPUTED_VALUE"""),167.58)</f>
        <v>167.58</v>
      </c>
      <c r="E6342" s="1">
        <f>IFERROR(__xludf.DUMMYFUNCTION("""COMPUTED_VALUE"""),167.71)</f>
        <v>167.71</v>
      </c>
      <c r="F6342" s="1">
        <f>IFERROR(__xludf.DUMMYFUNCTION("""COMPUTED_VALUE"""),6100242.0)</f>
        <v>6100242</v>
      </c>
    </row>
    <row r="6343">
      <c r="A6343" s="2">
        <f>IFERROR(__xludf.DUMMYFUNCTION("""COMPUTED_VALUE"""),45735.66666666667)</f>
        <v>45735.66667</v>
      </c>
      <c r="B6343" s="1">
        <f>IFERROR(__xludf.DUMMYFUNCTION("""COMPUTED_VALUE"""),167.87)</f>
        <v>167.87</v>
      </c>
      <c r="C6343" s="1">
        <f>IFERROR(__xludf.DUMMYFUNCTION("""COMPUTED_VALUE"""),168.75)</f>
        <v>168.75</v>
      </c>
      <c r="D6343" s="1">
        <f>IFERROR(__xludf.DUMMYFUNCTION("""COMPUTED_VALUE"""),167.11)</f>
        <v>167.11</v>
      </c>
      <c r="E6343" s="1">
        <f>IFERROR(__xludf.DUMMYFUNCTION("""COMPUTED_VALUE"""),168.57)</f>
        <v>168.57</v>
      </c>
      <c r="F6343" s="1">
        <f>IFERROR(__xludf.DUMMYFUNCTION("""COMPUTED_VALUE"""),7569165.0)</f>
        <v>7569165</v>
      </c>
    </row>
    <row r="6344">
      <c r="A6344" s="2">
        <f>IFERROR(__xludf.DUMMYFUNCTION("""COMPUTED_VALUE"""),45736.66666666667)</f>
        <v>45736.66667</v>
      </c>
      <c r="B6344" s="1">
        <f>IFERROR(__xludf.DUMMYFUNCTION("""COMPUTED_VALUE"""),168.89)</f>
        <v>168.89</v>
      </c>
      <c r="C6344" s="1">
        <f>IFERROR(__xludf.DUMMYFUNCTION("""COMPUTED_VALUE"""),169.21)</f>
        <v>169.21</v>
      </c>
      <c r="D6344" s="1">
        <f>IFERROR(__xludf.DUMMYFUNCTION("""COMPUTED_VALUE"""),166.03)</f>
        <v>166.03</v>
      </c>
      <c r="E6344" s="1">
        <f>IFERROR(__xludf.DUMMYFUNCTION("""COMPUTED_VALUE"""),167.55)</f>
        <v>167.55</v>
      </c>
      <c r="F6344" s="1">
        <f>IFERROR(__xludf.DUMMYFUNCTION("""COMPUTED_VALUE"""),8789167.0)</f>
        <v>8789167</v>
      </c>
    </row>
    <row r="6345">
      <c r="A6345" s="2">
        <f>IFERROR(__xludf.DUMMYFUNCTION("""COMPUTED_VALUE"""),45737.66666666667)</f>
        <v>45737.66667</v>
      </c>
      <c r="B6345" s="1">
        <f>IFERROR(__xludf.DUMMYFUNCTION("""COMPUTED_VALUE"""),167.14)</f>
        <v>167.14</v>
      </c>
      <c r="C6345" s="1">
        <f>IFERROR(__xludf.DUMMYFUNCTION("""COMPUTED_VALUE"""),168.14)</f>
        <v>168.14</v>
      </c>
      <c r="D6345" s="1">
        <f>IFERROR(__xludf.DUMMYFUNCTION("""COMPUTED_VALUE"""),164.12)</f>
        <v>164.12</v>
      </c>
      <c r="E6345" s="1">
        <f>IFERROR(__xludf.DUMMYFUNCTION("""COMPUTED_VALUE"""),166.69)</f>
        <v>166.69</v>
      </c>
      <c r="F6345" s="1">
        <f>IFERROR(__xludf.DUMMYFUNCTION("""COMPUTED_VALUE"""),1.6027251E7)</f>
        <v>16027251</v>
      </c>
    </row>
    <row r="6346">
      <c r="A6346" s="2">
        <f>IFERROR(__xludf.DUMMYFUNCTION("""COMPUTED_VALUE"""),45740.66666666667)</f>
        <v>45740.66667</v>
      </c>
      <c r="B6346" s="1">
        <f>IFERROR(__xludf.DUMMYFUNCTION("""COMPUTED_VALUE"""),166.43)</f>
        <v>166.43</v>
      </c>
      <c r="C6346" s="1">
        <f>IFERROR(__xludf.DUMMYFUNCTION("""COMPUTED_VALUE"""),166.87)</f>
        <v>166.87</v>
      </c>
      <c r="D6346" s="1">
        <f>IFERROR(__xludf.DUMMYFUNCTION("""COMPUTED_VALUE"""),165.36)</f>
        <v>165.36</v>
      </c>
      <c r="E6346" s="1">
        <f>IFERROR(__xludf.DUMMYFUNCTION("""COMPUTED_VALUE"""),165.65)</f>
        <v>165.65</v>
      </c>
      <c r="F6346" s="1">
        <f>IFERROR(__xludf.DUMMYFUNCTION("""COMPUTED_VALUE"""),6102109.0)</f>
        <v>6102109</v>
      </c>
    </row>
    <row r="6347">
      <c r="A6347" s="2">
        <f>IFERROR(__xludf.DUMMYFUNCTION("""COMPUTED_VALUE"""),45741.66666666667)</f>
        <v>45741.66667</v>
      </c>
      <c r="B6347" s="1">
        <f>IFERROR(__xludf.DUMMYFUNCTION("""COMPUTED_VALUE"""),165.3)</f>
        <v>165.3</v>
      </c>
      <c r="C6347" s="1">
        <f>IFERROR(__xludf.DUMMYFUNCTION("""COMPUTED_VALUE"""),165.37)</f>
        <v>165.37</v>
      </c>
      <c r="D6347" s="1">
        <f>IFERROR(__xludf.DUMMYFUNCTION("""COMPUTED_VALUE"""),162.2)</f>
        <v>162.2</v>
      </c>
      <c r="E6347" s="1">
        <f>IFERROR(__xludf.DUMMYFUNCTION("""COMPUTED_VALUE"""),162.85)</f>
        <v>162.85</v>
      </c>
      <c r="F6347" s="1">
        <f>IFERROR(__xludf.DUMMYFUNCTION("""COMPUTED_VALUE"""),8366736.0)</f>
        <v>8366736</v>
      </c>
    </row>
    <row r="6348">
      <c r="A6348" s="2">
        <f>IFERROR(__xludf.DUMMYFUNCTION("""COMPUTED_VALUE"""),45742.66666666667)</f>
        <v>45742.66667</v>
      </c>
      <c r="B6348" s="1">
        <f>IFERROR(__xludf.DUMMYFUNCTION("""COMPUTED_VALUE"""),163.35)</f>
        <v>163.35</v>
      </c>
      <c r="C6348" s="1">
        <f>IFERROR(__xludf.DUMMYFUNCTION("""COMPUTED_VALUE"""),166.82)</f>
        <v>166.82</v>
      </c>
      <c r="D6348" s="1">
        <f>IFERROR(__xludf.DUMMYFUNCTION("""COMPUTED_VALUE"""),162.99)</f>
        <v>162.99</v>
      </c>
      <c r="E6348" s="1">
        <f>IFERROR(__xludf.DUMMYFUNCTION("""COMPUTED_VALUE"""),166.58)</f>
        <v>166.58</v>
      </c>
      <c r="F6348" s="1">
        <f>IFERROR(__xludf.DUMMYFUNCTION("""COMPUTED_VALUE"""),7757259.0)</f>
        <v>7757259</v>
      </c>
    </row>
    <row r="6349">
      <c r="A6349" s="2">
        <f>IFERROR(__xludf.DUMMYFUNCTION("""COMPUTED_VALUE"""),45743.66666666667)</f>
        <v>45743.66667</v>
      </c>
      <c r="B6349" s="1">
        <f>IFERROR(__xludf.DUMMYFUNCTION("""COMPUTED_VALUE"""),167.87)</f>
        <v>167.87</v>
      </c>
      <c r="C6349" s="1">
        <f>IFERROR(__xludf.DUMMYFUNCTION("""COMPUTED_VALUE"""),169.03)</f>
        <v>169.03</v>
      </c>
      <c r="D6349" s="1">
        <f>IFERROR(__xludf.DUMMYFUNCTION("""COMPUTED_VALUE"""),166.62)</f>
        <v>166.62</v>
      </c>
      <c r="E6349" s="1">
        <f>IFERROR(__xludf.DUMMYFUNCTION("""COMPUTED_VALUE"""),168.71)</f>
        <v>168.71</v>
      </c>
      <c r="F6349" s="1">
        <f>IFERROR(__xludf.DUMMYFUNCTION("""COMPUTED_VALUE"""),6211735.0)</f>
        <v>6211735</v>
      </c>
    </row>
    <row r="6350">
      <c r="A6350" s="2">
        <f>IFERROR(__xludf.DUMMYFUNCTION("""COMPUTED_VALUE"""),45744.66666666667)</f>
        <v>45744.66667</v>
      </c>
      <c r="B6350" s="1">
        <f>IFERROR(__xludf.DUMMYFUNCTION("""COMPUTED_VALUE"""),169.38)</f>
        <v>169.38</v>
      </c>
      <c r="C6350" s="1">
        <f>IFERROR(__xludf.DUMMYFUNCTION("""COMPUTED_VALUE"""),169.71)</f>
        <v>169.71</v>
      </c>
      <c r="D6350" s="1">
        <f>IFERROR(__xludf.DUMMYFUNCTION("""COMPUTED_VALUE"""),167.62)</f>
        <v>167.62</v>
      </c>
      <c r="E6350" s="1">
        <f>IFERROR(__xludf.DUMMYFUNCTION("""COMPUTED_VALUE"""),168.03)</f>
        <v>168.03</v>
      </c>
      <c r="F6350" s="1">
        <f>IFERROR(__xludf.DUMMYFUNCTION("""COMPUTED_VALUE"""),5479306.0)</f>
        <v>5479306</v>
      </c>
    </row>
    <row r="6351">
      <c r="A6351" s="2">
        <f>IFERROR(__xludf.DUMMYFUNCTION("""COMPUTED_VALUE"""),45747.66666666667)</f>
        <v>45747.66667</v>
      </c>
      <c r="B6351" s="1">
        <f>IFERROR(__xludf.DUMMYFUNCTION("""COMPUTED_VALUE"""),168.1)</f>
        <v>168.1</v>
      </c>
      <c r="C6351" s="1">
        <f>IFERROR(__xludf.DUMMYFUNCTION("""COMPUTED_VALUE"""),171.14)</f>
        <v>171.14</v>
      </c>
      <c r="D6351" s="1">
        <f>IFERROR(__xludf.DUMMYFUNCTION("""COMPUTED_VALUE"""),168.1)</f>
        <v>168.1</v>
      </c>
      <c r="E6351" s="1">
        <f>IFERROR(__xludf.DUMMYFUNCTION("""COMPUTED_VALUE"""),170.42)</f>
        <v>170.42</v>
      </c>
      <c r="F6351" s="1">
        <f>IFERROR(__xludf.DUMMYFUNCTION("""COMPUTED_VALUE"""),1.1520451E7)</f>
        <v>11520451</v>
      </c>
    </row>
    <row r="6352">
      <c r="A6352" s="2">
        <f>IFERROR(__xludf.DUMMYFUNCTION("""COMPUTED_VALUE"""),45748.66666666667)</f>
        <v>45748.66667</v>
      </c>
      <c r="B6352" s="1">
        <f>IFERROR(__xludf.DUMMYFUNCTION("""COMPUTED_VALUE"""),170.57)</f>
        <v>170.57</v>
      </c>
      <c r="C6352" s="1">
        <f>IFERROR(__xludf.DUMMYFUNCTION("""COMPUTED_VALUE"""),171.05)</f>
        <v>171.05</v>
      </c>
      <c r="D6352" s="1">
        <f>IFERROR(__xludf.DUMMYFUNCTION("""COMPUTED_VALUE"""),169.06)</f>
        <v>169.06</v>
      </c>
      <c r="E6352" s="1">
        <f>IFERROR(__xludf.DUMMYFUNCTION("""COMPUTED_VALUE"""),170.56)</f>
        <v>170.56</v>
      </c>
      <c r="F6352" s="1">
        <f>IFERROR(__xludf.DUMMYFUNCTION("""COMPUTED_VALUE"""),7021507.0)</f>
        <v>7021507</v>
      </c>
    </row>
    <row r="6353">
      <c r="A6353" s="2">
        <f>IFERROR(__xludf.DUMMYFUNCTION("""COMPUTED_VALUE"""),45749.66666666667)</f>
        <v>45749.66667</v>
      </c>
      <c r="B6353" s="1">
        <f>IFERROR(__xludf.DUMMYFUNCTION("""COMPUTED_VALUE"""),170.07)</f>
        <v>170.07</v>
      </c>
      <c r="C6353" s="1">
        <f>IFERROR(__xludf.DUMMYFUNCTION("""COMPUTED_VALUE"""),170.88)</f>
        <v>170.88</v>
      </c>
      <c r="D6353" s="1">
        <f>IFERROR(__xludf.DUMMYFUNCTION("""COMPUTED_VALUE"""),168.31)</f>
        <v>168.31</v>
      </c>
      <c r="E6353" s="1">
        <f>IFERROR(__xludf.DUMMYFUNCTION("""COMPUTED_VALUE"""),169.5)</f>
        <v>169.5</v>
      </c>
      <c r="F6353" s="1">
        <f>IFERROR(__xludf.DUMMYFUNCTION("""COMPUTED_VALUE"""),6274548.0)</f>
        <v>6274548</v>
      </c>
    </row>
    <row r="6354">
      <c r="A6354" s="2">
        <f>IFERROR(__xludf.DUMMYFUNCTION("""COMPUTED_VALUE"""),45750.66666666667)</f>
        <v>45750.66667</v>
      </c>
      <c r="B6354" s="1">
        <f>IFERROR(__xludf.DUMMYFUNCTION("""COMPUTED_VALUE"""),174.23)</f>
        <v>174.23</v>
      </c>
      <c r="C6354" s="1">
        <f>IFERROR(__xludf.DUMMYFUNCTION("""COMPUTED_VALUE"""),174.8)</f>
        <v>174.8</v>
      </c>
      <c r="D6354" s="1">
        <f>IFERROR(__xludf.DUMMYFUNCTION("""COMPUTED_VALUE"""),170.73)</f>
        <v>170.73</v>
      </c>
      <c r="E6354" s="1">
        <f>IFERROR(__xludf.DUMMYFUNCTION("""COMPUTED_VALUE"""),172.39)</f>
        <v>172.39</v>
      </c>
      <c r="F6354" s="1">
        <f>IFERROR(__xludf.DUMMYFUNCTION("""COMPUTED_VALUE"""),9393270.0)</f>
        <v>9393270</v>
      </c>
    </row>
    <row r="6355">
      <c r="A6355" s="2">
        <f>IFERROR(__xludf.DUMMYFUNCTION("""COMPUTED_VALUE"""),45751.66666666667)</f>
        <v>45751.66667</v>
      </c>
      <c r="B6355" s="1">
        <f>IFERROR(__xludf.DUMMYFUNCTION("""COMPUTED_VALUE"""),171.77)</f>
        <v>171.77</v>
      </c>
      <c r="C6355" s="1">
        <f>IFERROR(__xludf.DUMMYFUNCTION("""COMPUTED_VALUE"""),173.6)</f>
        <v>173.6</v>
      </c>
      <c r="D6355" s="1">
        <f>IFERROR(__xludf.DUMMYFUNCTION("""COMPUTED_VALUE"""),163.47)</f>
        <v>163.47</v>
      </c>
      <c r="E6355" s="1">
        <f>IFERROR(__xludf.DUMMYFUNCTION("""COMPUTED_VALUE"""),163.75)</f>
        <v>163.75</v>
      </c>
      <c r="F6355" s="1">
        <f>IFERROR(__xludf.DUMMYFUNCTION("""COMPUTED_VALUE"""),1.3454205E7)</f>
        <v>13454205</v>
      </c>
    </row>
    <row r="6356">
      <c r="A6356" s="2">
        <f>IFERROR(__xludf.DUMMYFUNCTION("""COMPUTED_VALUE"""),45754.66666666667)</f>
        <v>45754.66667</v>
      </c>
      <c r="B6356" s="1">
        <f>IFERROR(__xludf.DUMMYFUNCTION("""COMPUTED_VALUE"""),163.66)</f>
        <v>163.66</v>
      </c>
      <c r="C6356" s="1">
        <f>IFERROR(__xludf.DUMMYFUNCTION("""COMPUTED_VALUE"""),164.7)</f>
        <v>164.7</v>
      </c>
      <c r="D6356" s="1">
        <f>IFERROR(__xludf.DUMMYFUNCTION("""COMPUTED_VALUE"""),159.19)</f>
        <v>159.19</v>
      </c>
      <c r="E6356" s="1">
        <f>IFERROR(__xludf.DUMMYFUNCTION("""COMPUTED_VALUE"""),160.23)</f>
        <v>160.23</v>
      </c>
      <c r="F6356" s="1">
        <f>IFERROR(__xludf.DUMMYFUNCTION("""COMPUTED_VALUE"""),1.5708009E7)</f>
        <v>15708009</v>
      </c>
    </row>
    <row r="6357">
      <c r="A6357" s="2">
        <f>IFERROR(__xludf.DUMMYFUNCTION("""COMPUTED_VALUE"""),45755.66666666667)</f>
        <v>45755.66667</v>
      </c>
      <c r="B6357" s="1">
        <f>IFERROR(__xludf.DUMMYFUNCTION("""COMPUTED_VALUE"""),162.31)</f>
        <v>162.31</v>
      </c>
      <c r="C6357" s="1">
        <f>IFERROR(__xludf.DUMMYFUNCTION("""COMPUTED_VALUE"""),163.28)</f>
        <v>163.28</v>
      </c>
      <c r="D6357" s="1">
        <f>IFERROR(__xludf.DUMMYFUNCTION("""COMPUTED_VALUE"""),156.71)</f>
        <v>156.71</v>
      </c>
      <c r="E6357" s="1">
        <f>IFERROR(__xludf.DUMMYFUNCTION("""COMPUTED_VALUE"""),158.39)</f>
        <v>158.39</v>
      </c>
      <c r="F6357" s="1">
        <f>IFERROR(__xludf.DUMMYFUNCTION("""COMPUTED_VALUE"""),1.1541114E7)</f>
        <v>11541114</v>
      </c>
    </row>
    <row r="6358">
      <c r="A6358" s="2">
        <f>IFERROR(__xludf.DUMMYFUNCTION("""COMPUTED_VALUE"""),45756.66666666667)</f>
        <v>45756.66667</v>
      </c>
      <c r="B6358" s="1">
        <f>IFERROR(__xludf.DUMMYFUNCTION("""COMPUTED_VALUE"""),157.36)</f>
        <v>157.36</v>
      </c>
      <c r="C6358" s="1">
        <f>IFERROR(__xludf.DUMMYFUNCTION("""COMPUTED_VALUE"""),164.68)</f>
        <v>164.68</v>
      </c>
      <c r="D6358" s="1">
        <f>IFERROR(__xludf.DUMMYFUNCTION("""COMPUTED_VALUE"""),156.69)</f>
        <v>156.69</v>
      </c>
      <c r="E6358" s="1">
        <f>IFERROR(__xludf.DUMMYFUNCTION("""COMPUTED_VALUE"""),162.32)</f>
        <v>162.32</v>
      </c>
      <c r="F6358" s="1">
        <f>IFERROR(__xludf.DUMMYFUNCTION("""COMPUTED_VALUE"""),1.0670212E7)</f>
        <v>10670212</v>
      </c>
    </row>
    <row r="6359">
      <c r="A6359" s="2">
        <f>IFERROR(__xludf.DUMMYFUNCTION("""COMPUTED_VALUE"""),45757.66666666667)</f>
        <v>45757.66667</v>
      </c>
      <c r="B6359" s="1">
        <f>IFERROR(__xludf.DUMMYFUNCTION("""COMPUTED_VALUE"""),162.9)</f>
        <v>162.9</v>
      </c>
      <c r="C6359" s="1">
        <f>IFERROR(__xludf.DUMMYFUNCTION("""COMPUTED_VALUE"""),165.07)</f>
        <v>165.07</v>
      </c>
      <c r="D6359" s="1">
        <f>IFERROR(__xludf.DUMMYFUNCTION("""COMPUTED_VALUE"""),160.75)</f>
        <v>160.75</v>
      </c>
      <c r="E6359" s="1">
        <f>IFERROR(__xludf.DUMMYFUNCTION("""COMPUTED_VALUE"""),163.56)</f>
        <v>163.56</v>
      </c>
      <c r="F6359" s="1">
        <f>IFERROR(__xludf.DUMMYFUNCTION("""COMPUTED_VALUE"""),1.0581571E7)</f>
        <v>10581571</v>
      </c>
    </row>
    <row r="6360">
      <c r="A6360" s="2">
        <f>IFERROR(__xludf.DUMMYFUNCTION("""COMPUTED_VALUE"""),45758.66666666667)</f>
        <v>45758.66667</v>
      </c>
      <c r="B6360" s="1">
        <f>IFERROR(__xludf.DUMMYFUNCTION("""COMPUTED_VALUE"""),163.37)</f>
        <v>163.37</v>
      </c>
      <c r="C6360" s="1">
        <f>IFERROR(__xludf.DUMMYFUNCTION("""COMPUTED_VALUE"""),168.02)</f>
        <v>168.02</v>
      </c>
      <c r="D6360" s="1">
        <f>IFERROR(__xludf.DUMMYFUNCTION("""COMPUTED_VALUE"""),162.62)</f>
        <v>162.62</v>
      </c>
      <c r="E6360" s="1">
        <f>IFERROR(__xludf.DUMMYFUNCTION("""COMPUTED_VALUE"""),166.91)</f>
        <v>166.91</v>
      </c>
      <c r="F6360" s="1">
        <f>IFERROR(__xludf.DUMMYFUNCTION("""COMPUTED_VALUE"""),8603200.0)</f>
        <v>8603200</v>
      </c>
    </row>
    <row r="6361">
      <c r="A6361" s="2">
        <f>IFERROR(__xludf.DUMMYFUNCTION("""COMPUTED_VALUE"""),45761.66666666667)</f>
        <v>45761.66667</v>
      </c>
      <c r="B6361" s="1">
        <f>IFERROR(__xludf.DUMMYFUNCTION("""COMPUTED_VALUE"""),167.04)</f>
        <v>167.04</v>
      </c>
      <c r="C6361" s="1">
        <f>IFERROR(__xludf.DUMMYFUNCTION("""COMPUTED_VALUE"""),170.11)</f>
        <v>170.11</v>
      </c>
      <c r="D6361" s="1">
        <f>IFERROR(__xludf.DUMMYFUNCTION("""COMPUTED_VALUE"""),165.78)</f>
        <v>165.78</v>
      </c>
      <c r="E6361" s="1">
        <f>IFERROR(__xludf.DUMMYFUNCTION("""COMPUTED_VALUE"""),169.13)</f>
        <v>169.13</v>
      </c>
      <c r="F6361" s="1">
        <f>IFERROR(__xludf.DUMMYFUNCTION("""COMPUTED_VALUE"""),9877411.0)</f>
        <v>9877411</v>
      </c>
    </row>
    <row r="6362">
      <c r="A6362" s="2">
        <f>IFERROR(__xludf.DUMMYFUNCTION("""COMPUTED_VALUE"""),45762.66666666667)</f>
        <v>45762.66667</v>
      </c>
      <c r="B6362" s="1">
        <f>IFERROR(__xludf.DUMMYFUNCTION("""COMPUTED_VALUE"""),169.14)</f>
        <v>169.14</v>
      </c>
      <c r="C6362" s="1">
        <f>IFERROR(__xludf.DUMMYFUNCTION("""COMPUTED_VALUE"""),170.16)</f>
        <v>170.16</v>
      </c>
      <c r="D6362" s="1">
        <f>IFERROR(__xludf.DUMMYFUNCTION("""COMPUTED_VALUE"""),168.28)</f>
        <v>168.28</v>
      </c>
      <c r="E6362" s="1">
        <f>IFERROR(__xludf.DUMMYFUNCTION("""COMPUTED_VALUE"""),168.47)</f>
        <v>168.47</v>
      </c>
      <c r="F6362" s="1">
        <f>IFERROR(__xludf.DUMMYFUNCTION("""COMPUTED_VALUE"""),8764978.0)</f>
        <v>8764978</v>
      </c>
    </row>
    <row r="6363">
      <c r="A6363" s="2">
        <f>IFERROR(__xludf.DUMMYFUNCTION("""COMPUTED_VALUE"""),45763.66666666667)</f>
        <v>45763.66667</v>
      </c>
      <c r="B6363" s="1">
        <f>IFERROR(__xludf.DUMMYFUNCTION("""COMPUTED_VALUE"""),169.29)</f>
        <v>169.29</v>
      </c>
      <c r="C6363" s="1">
        <f>IFERROR(__xludf.DUMMYFUNCTION("""COMPUTED_VALUE"""),169.68)</f>
        <v>169.68</v>
      </c>
      <c r="D6363" s="1">
        <f>IFERROR(__xludf.DUMMYFUNCTION("""COMPUTED_VALUE"""),165.79)</f>
        <v>165.79</v>
      </c>
      <c r="E6363" s="1">
        <f>IFERROR(__xludf.DUMMYFUNCTION("""COMPUTED_VALUE"""),166.39)</f>
        <v>166.39</v>
      </c>
      <c r="F6363" s="1">
        <f>IFERROR(__xludf.DUMMYFUNCTION("""COMPUTED_VALUE"""),5897634.0)</f>
        <v>5897634</v>
      </c>
    </row>
    <row r="6364">
      <c r="A6364" s="2">
        <f>IFERROR(__xludf.DUMMYFUNCTION("""COMPUTED_VALUE"""),45764.66666666667)</f>
        <v>45764.66667</v>
      </c>
      <c r="B6364" s="1">
        <f>IFERROR(__xludf.DUMMYFUNCTION("""COMPUTED_VALUE"""),167.53)</f>
        <v>167.53</v>
      </c>
      <c r="C6364" s="1">
        <f>IFERROR(__xludf.DUMMYFUNCTION("""COMPUTED_VALUE"""),171.65)</f>
        <v>171.65</v>
      </c>
      <c r="D6364" s="1">
        <f>IFERROR(__xludf.DUMMYFUNCTION("""COMPUTED_VALUE"""),167.35)</f>
        <v>167.35</v>
      </c>
      <c r="E6364" s="1">
        <f>IFERROR(__xludf.DUMMYFUNCTION("""COMPUTED_VALUE"""),170.63)</f>
        <v>170.63</v>
      </c>
      <c r="F6364" s="1">
        <f>IFERROR(__xludf.DUMMYFUNCTION("""COMPUTED_VALUE"""),7227061.0)</f>
        <v>7227061</v>
      </c>
    </row>
    <row r="6365">
      <c r="A6365" s="2">
        <f>IFERROR(__xludf.DUMMYFUNCTION("""COMPUTED_VALUE"""),45768.66666666667)</f>
        <v>45768.66667</v>
      </c>
      <c r="B6365" s="1">
        <f>IFERROR(__xludf.DUMMYFUNCTION("""COMPUTED_VALUE"""),169.89)</f>
        <v>169.89</v>
      </c>
      <c r="C6365" s="1">
        <f>IFERROR(__xludf.DUMMYFUNCTION("""COMPUTED_VALUE"""),169.95)</f>
        <v>169.95</v>
      </c>
      <c r="D6365" s="1">
        <f>IFERROR(__xludf.DUMMYFUNCTION("""COMPUTED_VALUE"""),164.28)</f>
        <v>164.28</v>
      </c>
      <c r="E6365" s="1">
        <f>IFERROR(__xludf.DUMMYFUNCTION("""COMPUTED_VALUE"""),165.75)</f>
        <v>165.75</v>
      </c>
      <c r="F6365" s="1">
        <f>IFERROR(__xludf.DUMMYFUNCTION("""COMPUTED_VALUE"""),8062360.0)</f>
        <v>8062360</v>
      </c>
    </row>
    <row r="6366">
      <c r="A6366" s="2">
        <f>IFERROR(__xludf.DUMMYFUNCTION("""COMPUTED_VALUE"""),45769.66666666667)</f>
        <v>45769.66667</v>
      </c>
      <c r="B6366" s="1">
        <f>IFERROR(__xludf.DUMMYFUNCTION("""COMPUTED_VALUE"""),165.86)</f>
        <v>165.86</v>
      </c>
      <c r="C6366" s="1">
        <f>IFERROR(__xludf.DUMMYFUNCTION("""COMPUTED_VALUE"""),168.77)</f>
        <v>168.77</v>
      </c>
      <c r="D6366" s="1">
        <f>IFERROR(__xludf.DUMMYFUNCTION("""COMPUTED_VALUE"""),164.54)</f>
        <v>164.54</v>
      </c>
      <c r="E6366" s="1">
        <f>IFERROR(__xludf.DUMMYFUNCTION("""COMPUTED_VALUE"""),167.88)</f>
        <v>167.88</v>
      </c>
      <c r="F6366" s="1">
        <f>IFERROR(__xludf.DUMMYFUNCTION("""COMPUTED_VALUE"""),7907421.0)</f>
        <v>7907421</v>
      </c>
    </row>
    <row r="6367">
      <c r="A6367" s="2">
        <f>IFERROR(__xludf.DUMMYFUNCTION("""COMPUTED_VALUE"""),45770.66666666667)</f>
        <v>45770.66667</v>
      </c>
      <c r="B6367" s="1">
        <f>IFERROR(__xludf.DUMMYFUNCTION("""COMPUTED_VALUE"""),166.4)</f>
        <v>166.4</v>
      </c>
      <c r="C6367" s="1">
        <f>IFERROR(__xludf.DUMMYFUNCTION("""COMPUTED_VALUE"""),166.61)</f>
        <v>166.61</v>
      </c>
      <c r="D6367" s="1">
        <f>IFERROR(__xludf.DUMMYFUNCTION("""COMPUTED_VALUE"""),163.11)</f>
        <v>163.11</v>
      </c>
      <c r="E6367" s="1">
        <f>IFERROR(__xludf.DUMMYFUNCTION("""COMPUTED_VALUE"""),165.73)</f>
        <v>165.73</v>
      </c>
      <c r="F6367" s="1">
        <f>IFERROR(__xludf.DUMMYFUNCTION("""COMPUTED_VALUE"""),9309164.0)</f>
        <v>9309164</v>
      </c>
    </row>
    <row r="6368">
      <c r="A6368" s="2">
        <f>IFERROR(__xludf.DUMMYFUNCTION("""COMPUTED_VALUE"""),45771.66666666667)</f>
        <v>45771.66667</v>
      </c>
      <c r="B6368" s="1">
        <f>IFERROR(__xludf.DUMMYFUNCTION("""COMPUTED_VALUE"""),160.5)</f>
        <v>160.5</v>
      </c>
      <c r="C6368" s="1">
        <f>IFERROR(__xludf.DUMMYFUNCTION("""COMPUTED_VALUE"""),160.96)</f>
        <v>160.96</v>
      </c>
      <c r="D6368" s="1">
        <f>IFERROR(__xludf.DUMMYFUNCTION("""COMPUTED_VALUE"""),156.58)</f>
        <v>156.58</v>
      </c>
      <c r="E6368" s="1">
        <f>IFERROR(__xludf.DUMMYFUNCTION("""COMPUTED_VALUE"""),159.53)</f>
        <v>159.53</v>
      </c>
      <c r="F6368" s="1">
        <f>IFERROR(__xludf.DUMMYFUNCTION("""COMPUTED_VALUE"""),2.0077665E7)</f>
        <v>20077665</v>
      </c>
    </row>
    <row r="6369">
      <c r="A6369" s="2">
        <f>IFERROR(__xludf.DUMMYFUNCTION("""COMPUTED_VALUE"""),45772.66666666667)</f>
        <v>45772.66667</v>
      </c>
      <c r="B6369" s="1">
        <f>IFERROR(__xludf.DUMMYFUNCTION("""COMPUTED_VALUE"""),159.88)</f>
        <v>159.88</v>
      </c>
      <c r="C6369" s="1">
        <f>IFERROR(__xludf.DUMMYFUNCTION("""COMPUTED_VALUE"""),161.8)</f>
        <v>161.8</v>
      </c>
      <c r="D6369" s="1">
        <f>IFERROR(__xludf.DUMMYFUNCTION("""COMPUTED_VALUE"""),157.77)</f>
        <v>157.77</v>
      </c>
      <c r="E6369" s="1">
        <f>IFERROR(__xludf.DUMMYFUNCTION("""COMPUTED_VALUE"""),161.02)</f>
        <v>161.02</v>
      </c>
      <c r="F6369" s="1">
        <f>IFERROR(__xludf.DUMMYFUNCTION("""COMPUTED_VALUE"""),1.28932E7)</f>
        <v>12893200</v>
      </c>
    </row>
    <row r="6370">
      <c r="A6370" s="2">
        <f>IFERROR(__xludf.DUMMYFUNCTION("""COMPUTED_VALUE"""),45775.66666666667)</f>
        <v>45775.66667</v>
      </c>
      <c r="B6370" s="1">
        <f>IFERROR(__xludf.DUMMYFUNCTION("""COMPUTED_VALUE"""),161.04)</f>
        <v>161.04</v>
      </c>
      <c r="C6370" s="1">
        <f>IFERROR(__xludf.DUMMYFUNCTION("""COMPUTED_VALUE"""),162.56)</f>
        <v>162.56</v>
      </c>
      <c r="D6370" s="1">
        <f>IFERROR(__xludf.DUMMYFUNCTION("""COMPUTED_VALUE"""),160.39)</f>
        <v>160.39</v>
      </c>
      <c r="E6370" s="1">
        <f>IFERROR(__xludf.DUMMYFUNCTION("""COMPUTED_VALUE"""),161.85)</f>
        <v>161.85</v>
      </c>
      <c r="F6370" s="1">
        <f>IFERROR(__xludf.DUMMYFUNCTION("""COMPUTED_VALUE"""),8126981.0)</f>
        <v>8126981</v>
      </c>
    </row>
    <row r="6371">
      <c r="A6371" s="2">
        <f>IFERROR(__xludf.DUMMYFUNCTION("""COMPUTED_VALUE"""),45776.66666666667)</f>
        <v>45776.66667</v>
      </c>
      <c r="B6371" s="1">
        <f>IFERROR(__xludf.DUMMYFUNCTION("""COMPUTED_VALUE"""),161.29)</f>
        <v>161.29</v>
      </c>
      <c r="C6371" s="1">
        <f>IFERROR(__xludf.DUMMYFUNCTION("""COMPUTED_VALUE"""),162.39)</f>
        <v>162.39</v>
      </c>
      <c r="D6371" s="1">
        <f>IFERROR(__xludf.DUMMYFUNCTION("""COMPUTED_VALUE"""),159.2)</f>
        <v>159.2</v>
      </c>
      <c r="E6371" s="1">
        <f>IFERROR(__xludf.DUMMYFUNCTION("""COMPUTED_VALUE"""),162.26)</f>
        <v>162.26</v>
      </c>
      <c r="F6371" s="1">
        <f>IFERROR(__xludf.DUMMYFUNCTION("""COMPUTED_VALUE"""),8266154.0)</f>
        <v>8266154</v>
      </c>
    </row>
    <row r="6372">
      <c r="A6372" s="2">
        <f>IFERROR(__xludf.DUMMYFUNCTION("""COMPUTED_VALUE"""),45777.66666666667)</f>
        <v>45777.66667</v>
      </c>
      <c r="B6372" s="1">
        <f>IFERROR(__xludf.DUMMYFUNCTION("""COMPUTED_VALUE"""),162.45)</f>
        <v>162.45</v>
      </c>
      <c r="C6372" s="1">
        <f>IFERROR(__xludf.DUMMYFUNCTION("""COMPUTED_VALUE"""),163.16)</f>
        <v>163.16</v>
      </c>
      <c r="D6372" s="1">
        <f>IFERROR(__xludf.DUMMYFUNCTION("""COMPUTED_VALUE"""),159.95)</f>
        <v>159.95</v>
      </c>
      <c r="E6372" s="1">
        <f>IFERROR(__xludf.DUMMYFUNCTION("""COMPUTED_VALUE"""),162.57)</f>
        <v>162.57</v>
      </c>
      <c r="F6372" s="1">
        <f>IFERROR(__xludf.DUMMYFUNCTION("""COMPUTED_VALUE"""),1.2475539E7)</f>
        <v>12475539</v>
      </c>
    </row>
    <row r="6373">
      <c r="A6373" s="2">
        <f>IFERROR(__xludf.DUMMYFUNCTION("""COMPUTED_VALUE"""),45778.66666666667)</f>
        <v>45778.66667</v>
      </c>
      <c r="B6373" s="1">
        <f>IFERROR(__xludf.DUMMYFUNCTION("""COMPUTED_VALUE"""),160.66)</f>
        <v>160.66</v>
      </c>
      <c r="C6373" s="1">
        <f>IFERROR(__xludf.DUMMYFUNCTION("""COMPUTED_VALUE"""),161.35)</f>
        <v>161.35</v>
      </c>
      <c r="D6373" s="1">
        <f>IFERROR(__xludf.DUMMYFUNCTION("""COMPUTED_VALUE"""),159.05)</f>
        <v>159.05</v>
      </c>
      <c r="E6373" s="1">
        <f>IFERROR(__xludf.DUMMYFUNCTION("""COMPUTED_VALUE"""),159.98)</f>
        <v>159.98</v>
      </c>
      <c r="F6373" s="1">
        <f>IFERROR(__xludf.DUMMYFUNCTION("""COMPUTED_VALUE"""),6792815.0)</f>
        <v>6792815</v>
      </c>
    </row>
    <row r="6374">
      <c r="A6374" s="2">
        <f>IFERROR(__xludf.DUMMYFUNCTION("""COMPUTED_VALUE"""),45779.66666666667)</f>
        <v>45779.66667</v>
      </c>
      <c r="B6374" s="1">
        <f>IFERROR(__xludf.DUMMYFUNCTION("""COMPUTED_VALUE"""),160.93)</f>
        <v>160.93</v>
      </c>
      <c r="C6374" s="1">
        <f>IFERROR(__xludf.DUMMYFUNCTION("""COMPUTED_VALUE"""),161.81)</f>
        <v>161.81</v>
      </c>
      <c r="D6374" s="1">
        <f>IFERROR(__xludf.DUMMYFUNCTION("""COMPUTED_VALUE"""),159.9)</f>
        <v>159.9</v>
      </c>
      <c r="E6374" s="1">
        <f>IFERROR(__xludf.DUMMYFUNCTION("""COMPUTED_VALUE"""),160.52)</f>
        <v>160.52</v>
      </c>
      <c r="F6374" s="1">
        <f>IFERROR(__xludf.DUMMYFUNCTION("""COMPUTED_VALUE"""),5750165.0)</f>
        <v>5750165</v>
      </c>
    </row>
    <row r="6375">
      <c r="A6375" s="2">
        <f>IFERROR(__xludf.DUMMYFUNCTION("""COMPUTED_VALUE"""),45782.66666666667)</f>
        <v>45782.66667</v>
      </c>
      <c r="B6375" s="1">
        <f>IFERROR(__xludf.DUMMYFUNCTION("""COMPUTED_VALUE"""),160.89)</f>
        <v>160.89</v>
      </c>
      <c r="C6375" s="1">
        <f>IFERROR(__xludf.DUMMYFUNCTION("""COMPUTED_VALUE"""),160.91)</f>
        <v>160.91</v>
      </c>
      <c r="D6375" s="1">
        <f>IFERROR(__xludf.DUMMYFUNCTION("""COMPUTED_VALUE"""),158.02)</f>
        <v>158.02</v>
      </c>
      <c r="E6375" s="1">
        <f>IFERROR(__xludf.DUMMYFUNCTION("""COMPUTED_VALUE"""),158.83)</f>
        <v>158.83</v>
      </c>
      <c r="F6375" s="1">
        <f>IFERROR(__xludf.DUMMYFUNCTION("""COMPUTED_VALUE"""),7576219.0)</f>
        <v>7576219</v>
      </c>
    </row>
    <row r="6376">
      <c r="A6376" s="2">
        <f>IFERROR(__xludf.DUMMYFUNCTION("""COMPUTED_VALUE"""),45783.66666666667)</f>
        <v>45783.66667</v>
      </c>
      <c r="B6376" s="1">
        <f>IFERROR(__xludf.DUMMYFUNCTION("""COMPUTED_VALUE"""),158.04)</f>
        <v>158.04</v>
      </c>
      <c r="C6376" s="1">
        <f>IFERROR(__xludf.DUMMYFUNCTION("""COMPUTED_VALUE"""),159.71)</f>
        <v>159.71</v>
      </c>
      <c r="D6376" s="1">
        <f>IFERROR(__xludf.DUMMYFUNCTION("""COMPUTED_VALUE"""),157.65)</f>
        <v>157.65</v>
      </c>
      <c r="E6376" s="1">
        <f>IFERROR(__xludf.DUMMYFUNCTION("""COMPUTED_VALUE"""),159.25)</f>
        <v>159.25</v>
      </c>
      <c r="F6376" s="1">
        <f>IFERROR(__xludf.DUMMYFUNCTION("""COMPUTED_VALUE"""),7703843.0)</f>
        <v>7703843</v>
      </c>
    </row>
    <row r="6377">
      <c r="A6377" s="2">
        <f>IFERROR(__xludf.DUMMYFUNCTION("""COMPUTED_VALUE"""),45784.66666666667)</f>
        <v>45784.66667</v>
      </c>
      <c r="B6377" s="1">
        <f>IFERROR(__xludf.DUMMYFUNCTION("""COMPUTED_VALUE"""),159.02)</f>
        <v>159.02</v>
      </c>
      <c r="C6377" s="1">
        <f>IFERROR(__xludf.DUMMYFUNCTION("""COMPUTED_VALUE"""),160.05)</f>
        <v>160.05</v>
      </c>
      <c r="D6377" s="1">
        <f>IFERROR(__xludf.DUMMYFUNCTION("""COMPUTED_VALUE"""),158.54)</f>
        <v>158.54</v>
      </c>
      <c r="E6377" s="1">
        <f>IFERROR(__xludf.DUMMYFUNCTION("""COMPUTED_VALUE"""),159.29)</f>
        <v>159.29</v>
      </c>
      <c r="F6377" s="1">
        <f>IFERROR(__xludf.DUMMYFUNCTION("""COMPUTED_VALUE"""),6430156.0)</f>
        <v>6430156</v>
      </c>
    </row>
    <row r="6378">
      <c r="A6378" s="2">
        <f>IFERROR(__xludf.DUMMYFUNCTION("""COMPUTED_VALUE"""),45785.66666666667)</f>
        <v>45785.66667</v>
      </c>
      <c r="B6378" s="1">
        <f>IFERROR(__xludf.DUMMYFUNCTION("""COMPUTED_VALUE"""),158.38)</f>
        <v>158.38</v>
      </c>
      <c r="C6378" s="1">
        <f>IFERROR(__xludf.DUMMYFUNCTION("""COMPUTED_VALUE"""),160.0)</f>
        <v>160</v>
      </c>
      <c r="D6378" s="1">
        <f>IFERROR(__xludf.DUMMYFUNCTION("""COMPUTED_VALUE"""),158.01)</f>
        <v>158.01</v>
      </c>
      <c r="E6378" s="1">
        <f>IFERROR(__xludf.DUMMYFUNCTION("""COMPUTED_VALUE"""),158.65)</f>
        <v>158.65</v>
      </c>
      <c r="F6378" s="1">
        <f>IFERROR(__xludf.DUMMYFUNCTION("""COMPUTED_VALUE"""),7230806.0)</f>
        <v>7230806</v>
      </c>
    </row>
    <row r="6379">
      <c r="A6379" s="2">
        <f>IFERROR(__xludf.DUMMYFUNCTION("""COMPUTED_VALUE"""),45786.66666666667)</f>
        <v>45786.66667</v>
      </c>
      <c r="B6379" s="1">
        <f>IFERROR(__xludf.DUMMYFUNCTION("""COMPUTED_VALUE"""),158.02)</f>
        <v>158.02</v>
      </c>
      <c r="C6379" s="1">
        <f>IFERROR(__xludf.DUMMYFUNCTION("""COMPUTED_VALUE"""),159.13)</f>
        <v>159.13</v>
      </c>
      <c r="D6379" s="1">
        <f>IFERROR(__xludf.DUMMYFUNCTION("""COMPUTED_VALUE"""),157.41)</f>
        <v>157.41</v>
      </c>
      <c r="E6379" s="1">
        <f>IFERROR(__xludf.DUMMYFUNCTION("""COMPUTED_VALUE"""),157.66)</f>
        <v>157.66</v>
      </c>
      <c r="F6379" s="1">
        <f>IFERROR(__xludf.DUMMYFUNCTION("""COMPUTED_VALUE"""),6453232.0)</f>
        <v>6453232</v>
      </c>
    </row>
    <row r="6380">
      <c r="A6380" s="2">
        <f>IFERROR(__xludf.DUMMYFUNCTION("""COMPUTED_VALUE"""),45789.66666666667)</f>
        <v>45789.66667</v>
      </c>
      <c r="B6380" s="1">
        <f>IFERROR(__xludf.DUMMYFUNCTION("""COMPUTED_VALUE"""),157.43)</f>
        <v>157.43</v>
      </c>
      <c r="C6380" s="1">
        <f>IFERROR(__xludf.DUMMYFUNCTION("""COMPUTED_VALUE"""),161.05)</f>
        <v>161.05</v>
      </c>
      <c r="D6380" s="1">
        <f>IFERROR(__xludf.DUMMYFUNCTION("""COMPUTED_VALUE"""),156.69)</f>
        <v>156.69</v>
      </c>
      <c r="E6380" s="1">
        <f>IFERROR(__xludf.DUMMYFUNCTION("""COMPUTED_VALUE"""),160.9)</f>
        <v>160.9</v>
      </c>
      <c r="F6380" s="1">
        <f>IFERROR(__xludf.DUMMYFUNCTION("""COMPUTED_VALUE"""),7378380.0)</f>
        <v>7378380</v>
      </c>
    </row>
    <row r="6381">
      <c r="A6381" s="2">
        <f>IFERROR(__xludf.DUMMYFUNCTION("""COMPUTED_VALUE"""),45790.66666666667)</f>
        <v>45790.66667</v>
      </c>
      <c r="B6381" s="1">
        <f>IFERROR(__xludf.DUMMYFUNCTION("""COMPUTED_VALUE"""),160.02)</f>
        <v>160.02</v>
      </c>
      <c r="C6381" s="1">
        <f>IFERROR(__xludf.DUMMYFUNCTION("""COMPUTED_VALUE"""),160.72)</f>
        <v>160.72</v>
      </c>
      <c r="D6381" s="1">
        <f>IFERROR(__xludf.DUMMYFUNCTION("""COMPUTED_VALUE"""),157.36)</f>
        <v>157.36</v>
      </c>
      <c r="E6381" s="1">
        <f>IFERROR(__xludf.DUMMYFUNCTION("""COMPUTED_VALUE"""),158.73)</f>
        <v>158.73</v>
      </c>
      <c r="F6381" s="1">
        <f>IFERROR(__xludf.DUMMYFUNCTION("""COMPUTED_VALUE"""),7780827.0)</f>
        <v>7780827</v>
      </c>
    </row>
    <row r="6382">
      <c r="A6382" s="2">
        <f>IFERROR(__xludf.DUMMYFUNCTION("""COMPUTED_VALUE"""),45791.66666666667)</f>
        <v>45791.66667</v>
      </c>
      <c r="B6382" s="1">
        <f>IFERROR(__xludf.DUMMYFUNCTION("""COMPUTED_VALUE"""),158.12)</f>
        <v>158.12</v>
      </c>
      <c r="C6382" s="1">
        <f>IFERROR(__xludf.DUMMYFUNCTION("""COMPUTED_VALUE"""),159.16)</f>
        <v>159.16</v>
      </c>
      <c r="D6382" s="1">
        <f>IFERROR(__xludf.DUMMYFUNCTION("""COMPUTED_VALUE"""),157.57)</f>
        <v>157.57</v>
      </c>
      <c r="E6382" s="1">
        <f>IFERROR(__xludf.DUMMYFUNCTION("""COMPUTED_VALUE"""),158.02)</f>
        <v>158.02</v>
      </c>
      <c r="F6382" s="1">
        <f>IFERROR(__xludf.DUMMYFUNCTION("""COMPUTED_VALUE"""),5988905.0)</f>
        <v>5988905</v>
      </c>
    </row>
    <row r="6383">
      <c r="A6383" s="2">
        <f>IFERROR(__xludf.DUMMYFUNCTION("""COMPUTED_VALUE"""),45792.66666666667)</f>
        <v>45792.66667</v>
      </c>
      <c r="B6383" s="1">
        <f>IFERROR(__xludf.DUMMYFUNCTION("""COMPUTED_VALUE"""),159.59)</f>
        <v>159.59</v>
      </c>
      <c r="C6383" s="1">
        <f>IFERROR(__xludf.DUMMYFUNCTION("""COMPUTED_VALUE"""),162.91)</f>
        <v>162.91</v>
      </c>
      <c r="D6383" s="1">
        <f>IFERROR(__xludf.DUMMYFUNCTION("""COMPUTED_VALUE"""),158.7)</f>
        <v>158.7</v>
      </c>
      <c r="E6383" s="1">
        <f>IFERROR(__xludf.DUMMYFUNCTION("""COMPUTED_VALUE"""),162.41)</f>
        <v>162.41</v>
      </c>
      <c r="F6383" s="1">
        <f>IFERROR(__xludf.DUMMYFUNCTION("""COMPUTED_VALUE"""),8727316.0)</f>
        <v>8727316</v>
      </c>
    </row>
    <row r="6384">
      <c r="A6384" s="2">
        <f>IFERROR(__xludf.DUMMYFUNCTION("""COMPUTED_VALUE"""),45793.66666666667)</f>
        <v>45793.66667</v>
      </c>
      <c r="B6384" s="1">
        <f>IFERROR(__xludf.DUMMYFUNCTION("""COMPUTED_VALUE"""),162.65)</f>
        <v>162.65</v>
      </c>
      <c r="C6384" s="1">
        <f>IFERROR(__xludf.DUMMYFUNCTION("""COMPUTED_VALUE"""),163.43)</f>
        <v>163.43</v>
      </c>
      <c r="D6384" s="1">
        <f>IFERROR(__xludf.DUMMYFUNCTION("""COMPUTED_VALUE"""),161.85)</f>
        <v>161.85</v>
      </c>
      <c r="E6384" s="1">
        <f>IFERROR(__xludf.DUMMYFUNCTION("""COMPUTED_VALUE"""),163.28)</f>
        <v>163.28</v>
      </c>
      <c r="F6384" s="1">
        <f>IFERROR(__xludf.DUMMYFUNCTION("""COMPUTED_VALUE"""),7100784.0)</f>
        <v>7100784</v>
      </c>
    </row>
    <row r="6385">
      <c r="A6385" s="2">
        <f>IFERROR(__xludf.DUMMYFUNCTION("""COMPUTED_VALUE"""),45796.66666666667)</f>
        <v>45796.66667</v>
      </c>
      <c r="B6385" s="1">
        <f>IFERROR(__xludf.DUMMYFUNCTION("""COMPUTED_VALUE"""),163.47)</f>
        <v>163.47</v>
      </c>
      <c r="C6385" s="1">
        <f>IFERROR(__xludf.DUMMYFUNCTION("""COMPUTED_VALUE"""),165.15)</f>
        <v>165.15</v>
      </c>
      <c r="D6385" s="1">
        <f>IFERROR(__xludf.DUMMYFUNCTION("""COMPUTED_VALUE"""),163.41)</f>
        <v>163.41</v>
      </c>
      <c r="E6385" s="1">
        <f>IFERROR(__xludf.DUMMYFUNCTION("""COMPUTED_VALUE"""),164.77)</f>
        <v>164.77</v>
      </c>
      <c r="F6385" s="1">
        <f>IFERROR(__xludf.DUMMYFUNCTION("""COMPUTED_VALUE"""),8120219.0)</f>
        <v>8120219</v>
      </c>
    </row>
    <row r="6386">
      <c r="A6386" s="2">
        <f>IFERROR(__xludf.DUMMYFUNCTION("""COMPUTED_VALUE"""),45797.66666666667)</f>
        <v>45797.66667</v>
      </c>
      <c r="B6386" s="1">
        <f>IFERROR(__xludf.DUMMYFUNCTION("""COMPUTED_VALUE"""),164.61)</f>
        <v>164.61</v>
      </c>
      <c r="C6386" s="1">
        <f>IFERROR(__xludf.DUMMYFUNCTION("""COMPUTED_VALUE"""),166.0)</f>
        <v>166</v>
      </c>
      <c r="D6386" s="1">
        <f>IFERROR(__xludf.DUMMYFUNCTION("""COMPUTED_VALUE"""),164.6)</f>
        <v>164.6</v>
      </c>
      <c r="E6386" s="1">
        <f>IFERROR(__xludf.DUMMYFUNCTION("""COMPUTED_VALUE"""),165.64)</f>
        <v>165.64</v>
      </c>
      <c r="F6386" s="1">
        <f>IFERROR(__xludf.DUMMYFUNCTION("""COMPUTED_VALUE"""),5576561.0)</f>
        <v>5576561</v>
      </c>
    </row>
    <row r="6387">
      <c r="A6387" s="2">
        <f>IFERROR(__xludf.DUMMYFUNCTION("""COMPUTED_VALUE"""),45798.66666666667)</f>
        <v>45798.66667</v>
      </c>
      <c r="B6387" s="1">
        <f>IFERROR(__xludf.DUMMYFUNCTION("""COMPUTED_VALUE"""),164.82)</f>
        <v>164.82</v>
      </c>
      <c r="C6387" s="1">
        <f>IFERROR(__xludf.DUMMYFUNCTION("""COMPUTED_VALUE"""),166.37)</f>
        <v>166.37</v>
      </c>
      <c r="D6387" s="1">
        <f>IFERROR(__xludf.DUMMYFUNCTION("""COMPUTED_VALUE"""),164.62)</f>
        <v>164.62</v>
      </c>
      <c r="E6387" s="1">
        <f>IFERROR(__xludf.DUMMYFUNCTION("""COMPUTED_VALUE"""),165.43)</f>
        <v>165.43</v>
      </c>
      <c r="F6387" s="1">
        <f>IFERROR(__xludf.DUMMYFUNCTION("""COMPUTED_VALUE"""),6424153.0)</f>
        <v>6424153</v>
      </c>
    </row>
    <row r="6388">
      <c r="A6388" s="2">
        <f>IFERROR(__xludf.DUMMYFUNCTION("""COMPUTED_VALUE"""),45799.66666666667)</f>
        <v>45799.66667</v>
      </c>
      <c r="B6388" s="1">
        <f>IFERROR(__xludf.DUMMYFUNCTION("""COMPUTED_VALUE"""),164.82)</f>
        <v>164.82</v>
      </c>
      <c r="C6388" s="1">
        <f>IFERROR(__xludf.DUMMYFUNCTION("""COMPUTED_VALUE"""),166.37)</f>
        <v>166.37</v>
      </c>
      <c r="D6388" s="1">
        <f>IFERROR(__xludf.DUMMYFUNCTION("""COMPUTED_VALUE"""),164.62)</f>
        <v>164.62</v>
      </c>
      <c r="E6388" s="1">
        <f>IFERROR(__xludf.DUMMYFUNCTION("""COMPUTED_VALUE"""),165.43)</f>
        <v>165.43</v>
      </c>
      <c r="F6388" s="1">
        <f>IFERROR(__xludf.DUMMYFUNCTION("""COMPUTED_VALUE"""),8716.0)</f>
        <v>8716</v>
      </c>
    </row>
    <row r="6389">
      <c r="A6389" s="2">
        <f>IFERROR(__xludf.DUMMYFUNCTION("""COMPUTED_VALUE"""),45800.66666666667)</f>
        <v>45800.66667</v>
      </c>
      <c r="B6389" s="1">
        <f>IFERROR(__xludf.DUMMYFUNCTION("""COMPUTED_VALUE"""),164.83)</f>
        <v>164.83</v>
      </c>
      <c r="C6389" s="1">
        <f>IFERROR(__xludf.DUMMYFUNCTION("""COMPUTED_VALUE"""),166.22)</f>
        <v>166.22</v>
      </c>
      <c r="D6389" s="1">
        <f>IFERROR(__xludf.DUMMYFUNCTION("""COMPUTED_VALUE"""),163.48)</f>
        <v>163.48</v>
      </c>
      <c r="E6389" s="1">
        <f>IFERROR(__xludf.DUMMYFUNCTION("""COMPUTED_VALUE"""),165.86)</f>
        <v>165.86</v>
      </c>
      <c r="F6389" s="1">
        <f>IFERROR(__xludf.DUMMYFUNCTION("""COMPUTED_VALUE"""),5349868.0)</f>
        <v>5349868</v>
      </c>
    </row>
    <row r="6390">
      <c r="A6390" s="2">
        <f>IFERROR(__xludf.DUMMYFUNCTION("""COMPUTED_VALUE"""),45804.66666666667)</f>
        <v>45804.66667</v>
      </c>
      <c r="B6390" s="1">
        <f>IFERROR(__xludf.DUMMYFUNCTION("""COMPUTED_VALUE"""),165.27)</f>
        <v>165.27</v>
      </c>
      <c r="C6390" s="1">
        <f>IFERROR(__xludf.DUMMYFUNCTION("""COMPUTED_VALUE"""),167.98)</f>
        <v>167.98</v>
      </c>
      <c r="D6390" s="1">
        <f>IFERROR(__xludf.DUMMYFUNCTION("""COMPUTED_VALUE"""),165.27)</f>
        <v>165.27</v>
      </c>
      <c r="E6390" s="1">
        <f>IFERROR(__xludf.DUMMYFUNCTION("""COMPUTED_VALUE"""),167.76)</f>
        <v>167.76</v>
      </c>
      <c r="F6390" s="1">
        <f>IFERROR(__xludf.DUMMYFUNCTION("""COMPUTED_VALUE"""),1.1423794E7)</f>
        <v>11423794</v>
      </c>
    </row>
    <row r="6391">
      <c r="A6391" s="2">
        <f>IFERROR(__xludf.DUMMYFUNCTION("""COMPUTED_VALUE"""),45805.66666666667)</f>
        <v>45805.66667</v>
      </c>
      <c r="B6391" s="1">
        <f>IFERROR(__xludf.DUMMYFUNCTION("""COMPUTED_VALUE"""),167.65)</f>
        <v>167.65</v>
      </c>
      <c r="C6391" s="1">
        <f>IFERROR(__xludf.DUMMYFUNCTION("""COMPUTED_VALUE"""),168.84)</f>
        <v>168.84</v>
      </c>
      <c r="D6391" s="1">
        <f>IFERROR(__xludf.DUMMYFUNCTION("""COMPUTED_VALUE"""),167.06)</f>
        <v>167.06</v>
      </c>
      <c r="E6391" s="1">
        <f>IFERROR(__xludf.DUMMYFUNCTION("""COMPUTED_VALUE"""),167.36)</f>
        <v>167.36</v>
      </c>
      <c r="F6391" s="1">
        <f>IFERROR(__xludf.DUMMYFUNCTION("""COMPUTED_VALUE"""),5385942.0)</f>
        <v>5385942</v>
      </c>
    </row>
    <row r="6392">
      <c r="A6392" s="2">
        <f>IFERROR(__xludf.DUMMYFUNCTION("""COMPUTED_VALUE"""),45806.66666666667)</f>
        <v>45806.66667</v>
      </c>
      <c r="B6392" s="1">
        <f>IFERROR(__xludf.DUMMYFUNCTION("""COMPUTED_VALUE"""),166.74)</f>
        <v>166.74</v>
      </c>
      <c r="C6392" s="1">
        <f>IFERROR(__xludf.DUMMYFUNCTION("""COMPUTED_VALUE"""),168.99)</f>
        <v>168.99</v>
      </c>
      <c r="D6392" s="1">
        <f>IFERROR(__xludf.DUMMYFUNCTION("""COMPUTED_VALUE"""),166.44)</f>
        <v>166.44</v>
      </c>
      <c r="E6392" s="1">
        <f>IFERROR(__xludf.DUMMYFUNCTION("""COMPUTED_VALUE"""),168.56)</f>
        <v>168.56</v>
      </c>
      <c r="F6392" s="1">
        <f>IFERROR(__xludf.DUMMYFUNCTION("""COMPUTED_VALUE"""),4842554.0)</f>
        <v>4842554</v>
      </c>
    </row>
    <row r="6393">
      <c r="A6393" s="2">
        <f>IFERROR(__xludf.DUMMYFUNCTION("""COMPUTED_VALUE"""),45807.66666666667)</f>
        <v>45807.66667</v>
      </c>
      <c r="B6393" s="1">
        <f>IFERROR(__xludf.DUMMYFUNCTION("""COMPUTED_VALUE"""),168.75)</f>
        <v>168.75</v>
      </c>
      <c r="C6393" s="1">
        <f>IFERROR(__xludf.DUMMYFUNCTION("""COMPUTED_VALUE"""),170.99)</f>
        <v>170.99</v>
      </c>
      <c r="D6393" s="1">
        <f>IFERROR(__xludf.DUMMYFUNCTION("""COMPUTED_VALUE"""),168.6)</f>
        <v>168.6</v>
      </c>
      <c r="E6393" s="1">
        <f>IFERROR(__xludf.DUMMYFUNCTION("""COMPUTED_VALUE"""),169.89)</f>
        <v>169.89</v>
      </c>
      <c r="F6393" s="1">
        <f>IFERROR(__xludf.DUMMYFUNCTION("""COMPUTED_VALUE"""),1.2587537E7)</f>
        <v>12587537</v>
      </c>
    </row>
    <row r="6394">
      <c r="A6394" s="2">
        <f>IFERROR(__xludf.DUMMYFUNCTION("""COMPUTED_VALUE"""),45810.66666666667)</f>
        <v>45810.66667</v>
      </c>
      <c r="B6394" s="1">
        <f>IFERROR(__xludf.DUMMYFUNCTION("""COMPUTED_VALUE"""),169.02)</f>
        <v>169.02</v>
      </c>
      <c r="C6394" s="1">
        <f>IFERROR(__xludf.DUMMYFUNCTION("""COMPUTED_VALUE"""),169.04)</f>
        <v>169.04</v>
      </c>
      <c r="D6394" s="1">
        <f>IFERROR(__xludf.DUMMYFUNCTION("""COMPUTED_VALUE"""),166.23)</f>
        <v>166.23</v>
      </c>
      <c r="E6394" s="1">
        <f>IFERROR(__xludf.DUMMYFUNCTION("""COMPUTED_VALUE"""),167.78)</f>
        <v>167.78</v>
      </c>
      <c r="F6394" s="1">
        <f>IFERROR(__xludf.DUMMYFUNCTION("""COMPUTED_VALUE"""),7574428.0)</f>
        <v>7574428</v>
      </c>
    </row>
    <row r="6395">
      <c r="A6395" s="2">
        <f>IFERROR(__xludf.DUMMYFUNCTION("""COMPUTED_VALUE"""),45811.66666666667)</f>
        <v>45811.66667</v>
      </c>
      <c r="B6395" s="1">
        <f>IFERROR(__xludf.DUMMYFUNCTION("""COMPUTED_VALUE"""),166.78)</f>
        <v>166.78</v>
      </c>
      <c r="C6395" s="1">
        <f>IFERROR(__xludf.DUMMYFUNCTION("""COMPUTED_VALUE"""),167.41)</f>
        <v>167.41</v>
      </c>
      <c r="D6395" s="1">
        <f>IFERROR(__xludf.DUMMYFUNCTION("""COMPUTED_VALUE"""),165.9)</f>
        <v>165.9</v>
      </c>
      <c r="E6395" s="1">
        <f>IFERROR(__xludf.DUMMYFUNCTION("""COMPUTED_VALUE"""),166.85)</f>
        <v>166.85</v>
      </c>
      <c r="F6395" s="1">
        <f>IFERROR(__xludf.DUMMYFUNCTION("""COMPUTED_VALUE"""),6223447.0)</f>
        <v>6223447</v>
      </c>
    </row>
    <row r="6396">
      <c r="A6396" s="2">
        <f>IFERROR(__xludf.DUMMYFUNCTION("""COMPUTED_VALUE"""),45812.66666666667)</f>
        <v>45812.66667</v>
      </c>
      <c r="B6396" s="1">
        <f>IFERROR(__xludf.DUMMYFUNCTION("""COMPUTED_VALUE"""),166.69)</f>
        <v>166.69</v>
      </c>
      <c r="C6396" s="1">
        <f>IFERROR(__xludf.DUMMYFUNCTION("""COMPUTED_VALUE"""),168.05)</f>
        <v>168.05</v>
      </c>
      <c r="D6396" s="1">
        <f>IFERROR(__xludf.DUMMYFUNCTION("""COMPUTED_VALUE"""),165.92)</f>
        <v>165.92</v>
      </c>
      <c r="E6396" s="1">
        <f>IFERROR(__xludf.DUMMYFUNCTION("""COMPUTED_VALUE"""),165.95)</f>
        <v>165.95</v>
      </c>
      <c r="F6396" s="1">
        <f>IFERROR(__xludf.DUMMYFUNCTION("""COMPUTED_VALUE"""),4939333.0)</f>
        <v>4939333</v>
      </c>
    </row>
    <row r="6397">
      <c r="A6397" s="2">
        <f>IFERROR(__xludf.DUMMYFUNCTION("""COMPUTED_VALUE"""),45813.66666666667)</f>
        <v>45813.66667</v>
      </c>
      <c r="B6397" s="1">
        <f>IFERROR(__xludf.DUMMYFUNCTION("""COMPUTED_VALUE"""),165.43)</f>
        <v>165.43</v>
      </c>
      <c r="C6397" s="1">
        <f>IFERROR(__xludf.DUMMYFUNCTION("""COMPUTED_VALUE"""),165.44)</f>
        <v>165.44</v>
      </c>
      <c r="D6397" s="1">
        <f>IFERROR(__xludf.DUMMYFUNCTION("""COMPUTED_VALUE"""),162.51)</f>
        <v>162.51</v>
      </c>
      <c r="E6397" s="1">
        <f>IFERROR(__xludf.DUMMYFUNCTION("""COMPUTED_VALUE"""),162.8)</f>
        <v>162.8</v>
      </c>
      <c r="F6397" s="1">
        <f>IFERROR(__xludf.DUMMYFUNCTION("""COMPUTED_VALUE"""),1.0352288E7)</f>
        <v>10352288</v>
      </c>
    </row>
    <row r="6398">
      <c r="A6398" s="2">
        <f>IFERROR(__xludf.DUMMYFUNCTION("""COMPUTED_VALUE"""),45814.66666666667)</f>
        <v>45814.66667</v>
      </c>
      <c r="B6398" s="1">
        <f>IFERROR(__xludf.DUMMYFUNCTION("""COMPUTED_VALUE"""),163.29)</f>
        <v>163.29</v>
      </c>
      <c r="C6398" s="1">
        <f>IFERROR(__xludf.DUMMYFUNCTION("""COMPUTED_VALUE"""),165.24)</f>
        <v>165.24</v>
      </c>
      <c r="D6398" s="1">
        <f>IFERROR(__xludf.DUMMYFUNCTION("""COMPUTED_VALUE"""),163.28)</f>
        <v>163.28</v>
      </c>
      <c r="E6398" s="1">
        <f>IFERROR(__xludf.DUMMYFUNCTION("""COMPUTED_VALUE"""),164.02)</f>
        <v>164.02</v>
      </c>
      <c r="F6398" s="1">
        <f>IFERROR(__xludf.DUMMYFUNCTION("""COMPUTED_VALUE"""),5697877.0)</f>
        <v>5697877</v>
      </c>
    </row>
    <row r="6399">
      <c r="A6399" s="2">
        <f>IFERROR(__xludf.DUMMYFUNCTION("""COMPUTED_VALUE"""),45817.66666666667)</f>
        <v>45817.66667</v>
      </c>
      <c r="B6399" s="1">
        <f>IFERROR(__xludf.DUMMYFUNCTION("""COMPUTED_VALUE"""),163.39)</f>
        <v>163.39</v>
      </c>
      <c r="C6399" s="1">
        <f>IFERROR(__xludf.DUMMYFUNCTION("""COMPUTED_VALUE"""),164.02)</f>
        <v>164.02</v>
      </c>
      <c r="D6399" s="1">
        <f>IFERROR(__xludf.DUMMYFUNCTION("""COMPUTED_VALUE"""),162.07)</f>
        <v>162.07</v>
      </c>
      <c r="E6399" s="1">
        <f>IFERROR(__xludf.DUMMYFUNCTION("""COMPUTED_VALUE"""),162.56)</f>
        <v>162.56</v>
      </c>
      <c r="F6399" s="1">
        <f>IFERROR(__xludf.DUMMYFUNCTION("""COMPUTED_VALUE"""),6544199.0)</f>
        <v>6544199</v>
      </c>
    </row>
    <row r="6400">
      <c r="A6400" s="2">
        <f>IFERROR(__xludf.DUMMYFUNCTION("""COMPUTED_VALUE"""),45818.66666666667)</f>
        <v>45818.66667</v>
      </c>
      <c r="B6400" s="1">
        <f>IFERROR(__xludf.DUMMYFUNCTION("""COMPUTED_VALUE"""),162.69)</f>
        <v>162.69</v>
      </c>
      <c r="C6400" s="1">
        <f>IFERROR(__xludf.DUMMYFUNCTION("""COMPUTED_VALUE"""),163.51)</f>
        <v>163.51</v>
      </c>
      <c r="D6400" s="1">
        <f>IFERROR(__xludf.DUMMYFUNCTION("""COMPUTED_VALUE"""),161.92)</f>
        <v>161.92</v>
      </c>
      <c r="E6400" s="1">
        <f>IFERROR(__xludf.DUMMYFUNCTION("""COMPUTED_VALUE"""),162.84)</f>
        <v>162.84</v>
      </c>
      <c r="F6400" s="1">
        <f>IFERROR(__xludf.DUMMYFUNCTION("""COMPUTED_VALUE"""),7680015.0)</f>
        <v>7680015</v>
      </c>
    </row>
    <row r="6401">
      <c r="A6401" s="2">
        <f>IFERROR(__xludf.DUMMYFUNCTION("""COMPUTED_VALUE"""),45819.66666666667)</f>
        <v>45819.66667</v>
      </c>
      <c r="B6401" s="1">
        <f>IFERROR(__xludf.DUMMYFUNCTION("""COMPUTED_VALUE"""),162.63)</f>
        <v>162.63</v>
      </c>
      <c r="C6401" s="1">
        <f>IFERROR(__xludf.DUMMYFUNCTION("""COMPUTED_VALUE"""),162.77)</f>
        <v>162.77</v>
      </c>
      <c r="D6401" s="1">
        <f>IFERROR(__xludf.DUMMYFUNCTION("""COMPUTED_VALUE"""),161.69)</f>
        <v>161.69</v>
      </c>
      <c r="E6401" s="1">
        <f>IFERROR(__xludf.DUMMYFUNCTION("""COMPUTED_VALUE"""),162.11)</f>
        <v>162.11</v>
      </c>
      <c r="F6401" s="1">
        <f>IFERROR(__xludf.DUMMYFUNCTION("""COMPUTED_VALUE"""),5960052.0)</f>
        <v>5960052</v>
      </c>
    </row>
    <row r="6402">
      <c r="A6402" s="2">
        <f>IFERROR(__xludf.DUMMYFUNCTION("""COMPUTED_VALUE"""),45820.66666666667)</f>
        <v>45820.66667</v>
      </c>
      <c r="B6402" s="1">
        <f>IFERROR(__xludf.DUMMYFUNCTION("""COMPUTED_VALUE"""),161.97)</f>
        <v>161.97</v>
      </c>
      <c r="C6402" s="1">
        <f>IFERROR(__xludf.DUMMYFUNCTION("""COMPUTED_VALUE"""),163.31)</f>
        <v>163.31</v>
      </c>
      <c r="D6402" s="1">
        <f>IFERROR(__xludf.DUMMYFUNCTION("""COMPUTED_VALUE"""),161.68)</f>
        <v>161.68</v>
      </c>
      <c r="E6402" s="1">
        <f>IFERROR(__xludf.DUMMYFUNCTION("""COMPUTED_VALUE"""),163.18)</f>
        <v>163.18</v>
      </c>
      <c r="F6402" s="1">
        <f>IFERROR(__xludf.DUMMYFUNCTION("""COMPUTED_VALUE"""),6509891.0)</f>
        <v>6509891</v>
      </c>
    </row>
    <row r="6403">
      <c r="A6403" s="2">
        <f>IFERROR(__xludf.DUMMYFUNCTION("""COMPUTED_VALUE"""),45821.66666666667)</f>
        <v>45821.66667</v>
      </c>
      <c r="B6403" s="1">
        <f>IFERROR(__xludf.DUMMYFUNCTION("""COMPUTED_VALUE"""),162.76)</f>
        <v>162.76</v>
      </c>
      <c r="C6403" s="1">
        <f>IFERROR(__xludf.DUMMYFUNCTION("""COMPUTED_VALUE"""),163.03)</f>
        <v>163.03</v>
      </c>
      <c r="D6403" s="1">
        <f>IFERROR(__xludf.DUMMYFUNCTION("""COMPUTED_VALUE"""),159.91)</f>
        <v>159.91</v>
      </c>
      <c r="E6403" s="1">
        <f>IFERROR(__xludf.DUMMYFUNCTION("""COMPUTED_VALUE"""),160.28)</f>
        <v>160.28</v>
      </c>
      <c r="F6403" s="1">
        <f>IFERROR(__xludf.DUMMYFUNCTION("""COMPUTED_VALUE"""),7104547.0)</f>
        <v>7104547</v>
      </c>
    </row>
    <row r="6404">
      <c r="A6404" s="2">
        <f>IFERROR(__xludf.DUMMYFUNCTION("""COMPUTED_VALUE"""),45824.66666666667)</f>
        <v>45824.66667</v>
      </c>
      <c r="B6404" s="1">
        <f>IFERROR(__xludf.DUMMYFUNCTION("""COMPUTED_VALUE"""),160.88)</f>
        <v>160.88</v>
      </c>
      <c r="C6404" s="1">
        <f>IFERROR(__xludf.DUMMYFUNCTION("""COMPUTED_VALUE"""),161.95)</f>
        <v>161.95</v>
      </c>
      <c r="D6404" s="1">
        <f>IFERROR(__xludf.DUMMYFUNCTION("""COMPUTED_VALUE"""),160.01)</f>
        <v>160.01</v>
      </c>
      <c r="E6404" s="1">
        <f>IFERROR(__xludf.DUMMYFUNCTION("""COMPUTED_VALUE"""),160.88)</f>
        <v>160.88</v>
      </c>
      <c r="F6404" s="1">
        <f>IFERROR(__xludf.DUMMYFUNCTION("""COMPUTED_VALUE"""),6331961.0)</f>
        <v>6331961</v>
      </c>
    </row>
    <row r="6405">
      <c r="A6405" s="2">
        <f>IFERROR(__xludf.DUMMYFUNCTION("""COMPUTED_VALUE"""),45825.66666666667)</f>
        <v>45825.66667</v>
      </c>
      <c r="B6405" s="1">
        <f>IFERROR(__xludf.DUMMYFUNCTION("""COMPUTED_VALUE"""),160.06)</f>
        <v>160.06</v>
      </c>
      <c r="C6405" s="1">
        <f>IFERROR(__xludf.DUMMYFUNCTION("""COMPUTED_VALUE"""),160.37)</f>
        <v>160.37</v>
      </c>
      <c r="D6405" s="1">
        <f>IFERROR(__xludf.DUMMYFUNCTION("""COMPUTED_VALUE"""),158.31)</f>
        <v>158.31</v>
      </c>
      <c r="E6405" s="1">
        <f>IFERROR(__xludf.DUMMYFUNCTION("""COMPUTED_VALUE"""),158.52)</f>
        <v>158.52</v>
      </c>
      <c r="F6405" s="1">
        <f>IFERROR(__xludf.DUMMYFUNCTION("""COMPUTED_VALUE"""),6809747.0)</f>
        <v>6809747</v>
      </c>
    </row>
    <row r="6406">
      <c r="A6406" s="2">
        <f>IFERROR(__xludf.DUMMYFUNCTION("""COMPUTED_VALUE"""),45826.66666666667)</f>
        <v>45826.66667</v>
      </c>
      <c r="B6406" s="1">
        <f>IFERROR(__xludf.DUMMYFUNCTION("""COMPUTED_VALUE"""),158.55)</f>
        <v>158.55</v>
      </c>
      <c r="C6406" s="1">
        <f>IFERROR(__xludf.DUMMYFUNCTION("""COMPUTED_VALUE"""),158.65)</f>
        <v>158.65</v>
      </c>
      <c r="D6406" s="1">
        <f>IFERROR(__xludf.DUMMYFUNCTION("""COMPUTED_VALUE"""),157.66)</f>
        <v>157.66</v>
      </c>
      <c r="E6406" s="1">
        <f>IFERROR(__xludf.DUMMYFUNCTION("""COMPUTED_VALUE"""),158.02)</f>
        <v>158.02</v>
      </c>
      <c r="F6406" s="1">
        <f>IFERROR(__xludf.DUMMYFUNCTION("""COMPUTED_VALUE"""),7211225.0)</f>
        <v>7211225</v>
      </c>
    </row>
    <row r="6407">
      <c r="A6407" s="2">
        <f>IFERROR(__xludf.DUMMYFUNCTION("""COMPUTED_VALUE"""),45828.66666666667)</f>
        <v>45828.66667</v>
      </c>
      <c r="B6407" s="1">
        <f>IFERROR(__xludf.DUMMYFUNCTION("""COMPUTED_VALUE"""),158.03)</f>
        <v>158.03</v>
      </c>
      <c r="C6407" s="1">
        <f>IFERROR(__xludf.DUMMYFUNCTION("""COMPUTED_VALUE"""),159.34)</f>
        <v>159.34</v>
      </c>
      <c r="D6407" s="1">
        <f>IFERROR(__xludf.DUMMYFUNCTION("""COMPUTED_VALUE"""),157.85)</f>
        <v>157.85</v>
      </c>
      <c r="E6407" s="1">
        <f>IFERROR(__xludf.DUMMYFUNCTION("""COMPUTED_VALUE"""),159.08)</f>
        <v>159.08</v>
      </c>
      <c r="F6407" s="1">
        <f>IFERROR(__xludf.DUMMYFUNCTION("""COMPUTED_VALUE"""),1.6173371E7)</f>
        <v>16173371</v>
      </c>
    </row>
    <row r="6408">
      <c r="A6408" s="2">
        <f>IFERROR(__xludf.DUMMYFUNCTION("""COMPUTED_VALUE"""),45831.66666666667)</f>
        <v>45831.66667</v>
      </c>
      <c r="B6408" s="1">
        <f>IFERROR(__xludf.DUMMYFUNCTION("""COMPUTED_VALUE"""),159.07)</f>
        <v>159.07</v>
      </c>
      <c r="C6408" s="1">
        <f>IFERROR(__xludf.DUMMYFUNCTION("""COMPUTED_VALUE"""),161.19)</f>
        <v>161.19</v>
      </c>
      <c r="D6408" s="1">
        <f>IFERROR(__xludf.DUMMYFUNCTION("""COMPUTED_VALUE"""),159.0)</f>
        <v>159</v>
      </c>
      <c r="E6408" s="1">
        <f>IFERROR(__xludf.DUMMYFUNCTION("""COMPUTED_VALUE"""),161.03)</f>
        <v>161.03</v>
      </c>
      <c r="F6408" s="1">
        <f>IFERROR(__xludf.DUMMYFUNCTION("""COMPUTED_VALUE"""),6588223.0)</f>
        <v>6588223</v>
      </c>
    </row>
    <row r="6409">
      <c r="A6409" s="2">
        <f>IFERROR(__xludf.DUMMYFUNCTION("""COMPUTED_VALUE"""),45832.66666666667)</f>
        <v>45832.66667</v>
      </c>
      <c r="B6409" s="1">
        <f>IFERROR(__xludf.DUMMYFUNCTION("""COMPUTED_VALUE"""),161.18)</f>
        <v>161.18</v>
      </c>
      <c r="C6409" s="1">
        <f>IFERROR(__xludf.DUMMYFUNCTION("""COMPUTED_VALUE"""),161.74)</f>
        <v>161.74</v>
      </c>
      <c r="D6409" s="1">
        <f>IFERROR(__xludf.DUMMYFUNCTION("""COMPUTED_VALUE"""),159.65)</f>
        <v>159.65</v>
      </c>
      <c r="E6409" s="1">
        <f>IFERROR(__xludf.DUMMYFUNCTION("""COMPUTED_VALUE"""),160.36)</f>
        <v>160.36</v>
      </c>
      <c r="F6409" s="1">
        <f>IFERROR(__xludf.DUMMYFUNCTION("""COMPUTED_VALUE"""),7470052.0)</f>
        <v>7470052</v>
      </c>
    </row>
    <row r="6410">
      <c r="A6410" s="2">
        <f>IFERROR(__xludf.DUMMYFUNCTION("""COMPUTED_VALUE"""),45833.66666666667)</f>
        <v>45833.66667</v>
      </c>
      <c r="B6410" s="1">
        <f>IFERROR(__xludf.DUMMYFUNCTION("""COMPUTED_VALUE"""),159.82)</f>
        <v>159.82</v>
      </c>
      <c r="C6410" s="1">
        <f>IFERROR(__xludf.DUMMYFUNCTION("""COMPUTED_VALUE"""),160.34)</f>
        <v>160.34</v>
      </c>
      <c r="D6410" s="1">
        <f>IFERROR(__xludf.DUMMYFUNCTION("""COMPUTED_VALUE"""),158.71)</f>
        <v>158.71</v>
      </c>
      <c r="E6410" s="1">
        <f>IFERROR(__xludf.DUMMYFUNCTION("""COMPUTED_VALUE"""),158.97)</f>
        <v>158.97</v>
      </c>
      <c r="F6410" s="1">
        <f>IFERROR(__xludf.DUMMYFUNCTION("""COMPUTED_VALUE"""),5933715.0)</f>
        <v>5933715</v>
      </c>
    </row>
    <row r="6411">
      <c r="A6411" s="2">
        <f>IFERROR(__xludf.DUMMYFUNCTION("""COMPUTED_VALUE"""),45834.66666666667)</f>
        <v>45834.66667</v>
      </c>
      <c r="B6411" s="1">
        <f>IFERROR(__xludf.DUMMYFUNCTION("""COMPUTED_VALUE"""),159.55)</f>
        <v>159.55</v>
      </c>
      <c r="C6411" s="1">
        <f>IFERROR(__xludf.DUMMYFUNCTION("""COMPUTED_VALUE"""),159.56)</f>
        <v>159.56</v>
      </c>
      <c r="D6411" s="1">
        <f>IFERROR(__xludf.DUMMYFUNCTION("""COMPUTED_VALUE"""),157.17)</f>
        <v>157.17</v>
      </c>
      <c r="E6411" s="1">
        <f>IFERROR(__xludf.DUMMYFUNCTION("""COMPUTED_VALUE"""),158.63)</f>
        <v>158.63</v>
      </c>
      <c r="F6411" s="1">
        <f>IFERROR(__xludf.DUMMYFUNCTION("""COMPUTED_VALUE"""),7410446.0)</f>
        <v>7410446</v>
      </c>
    </row>
    <row r="6412">
      <c r="A6412" s="2">
        <f>IFERROR(__xludf.DUMMYFUNCTION("""COMPUTED_VALUE"""),45835.66666666667)</f>
        <v>45835.66667</v>
      </c>
      <c r="B6412" s="1">
        <f>IFERROR(__xludf.DUMMYFUNCTION("""COMPUTED_VALUE"""),158.68)</f>
        <v>158.68</v>
      </c>
      <c r="C6412" s="1">
        <f>IFERROR(__xludf.DUMMYFUNCTION("""COMPUTED_VALUE"""),160.13)</f>
        <v>160.13</v>
      </c>
      <c r="D6412" s="1">
        <f>IFERROR(__xludf.DUMMYFUNCTION("""COMPUTED_VALUE"""),158.29)</f>
        <v>158.29</v>
      </c>
      <c r="E6412" s="1">
        <f>IFERROR(__xludf.DUMMYFUNCTION("""COMPUTED_VALUE"""),159.86)</f>
        <v>159.86</v>
      </c>
      <c r="F6412" s="1">
        <f>IFERROR(__xludf.DUMMYFUNCTION("""COMPUTED_VALUE"""),1.9256955E7)</f>
        <v>19256955</v>
      </c>
    </row>
    <row r="6413">
      <c r="A6413" s="2">
        <f>IFERROR(__xludf.DUMMYFUNCTION("""COMPUTED_VALUE"""),45838.66666666667)</f>
        <v>45838.66667</v>
      </c>
      <c r="B6413" s="1">
        <f>IFERROR(__xludf.DUMMYFUNCTION("""COMPUTED_VALUE"""),159.26)</f>
        <v>159.26</v>
      </c>
      <c r="C6413" s="1">
        <f>IFERROR(__xludf.DUMMYFUNCTION("""COMPUTED_VALUE"""),159.9)</f>
        <v>159.9</v>
      </c>
      <c r="D6413" s="1">
        <f>IFERROR(__xludf.DUMMYFUNCTION("""COMPUTED_VALUE"""),158.13)</f>
        <v>158.13</v>
      </c>
      <c r="E6413" s="1">
        <f>IFERROR(__xludf.DUMMYFUNCTION("""COMPUTED_VALUE"""),159.32)</f>
        <v>159.32</v>
      </c>
      <c r="F6413" s="1">
        <f>IFERROR(__xludf.DUMMYFUNCTION("""COMPUTED_VALUE"""),1.1238201E7)</f>
        <v>11238201</v>
      </c>
    </row>
    <row r="6414">
      <c r="A6414" s="2">
        <f>IFERROR(__xludf.DUMMYFUNCTION("""COMPUTED_VALUE"""),45839.66666666667)</f>
        <v>45839.66667</v>
      </c>
      <c r="B6414" s="1">
        <f>IFERROR(__xludf.DUMMYFUNCTION("""COMPUTED_VALUE"""),159.88)</f>
        <v>159.88</v>
      </c>
      <c r="C6414" s="1">
        <f>IFERROR(__xludf.DUMMYFUNCTION("""COMPUTED_VALUE"""),162.53)</f>
        <v>162.53</v>
      </c>
      <c r="D6414" s="1">
        <f>IFERROR(__xludf.DUMMYFUNCTION("""COMPUTED_VALUE"""),159.38)</f>
        <v>159.38</v>
      </c>
      <c r="E6414" s="1">
        <f>IFERROR(__xludf.DUMMYFUNCTION("""COMPUTED_VALUE"""),161.22)</f>
        <v>161.22</v>
      </c>
      <c r="F6414" s="1">
        <f>IFERROR(__xludf.DUMMYFUNCTION("""COMPUTED_VALUE"""),1.0664891E7)</f>
        <v>10664891</v>
      </c>
    </row>
    <row r="6415">
      <c r="A6415" s="2">
        <f>IFERROR(__xludf.DUMMYFUNCTION("""COMPUTED_VALUE"""),45840.66666666667)</f>
        <v>45840.66667</v>
      </c>
      <c r="B6415" s="1">
        <f>IFERROR(__xludf.DUMMYFUNCTION("""COMPUTED_VALUE"""),161.14)</f>
        <v>161.14</v>
      </c>
      <c r="C6415" s="1">
        <f>IFERROR(__xludf.DUMMYFUNCTION("""COMPUTED_VALUE"""),161.35)</f>
        <v>161.35</v>
      </c>
      <c r="D6415" s="1">
        <f>IFERROR(__xludf.DUMMYFUNCTION("""COMPUTED_VALUE"""),159.86)</f>
        <v>159.86</v>
      </c>
      <c r="E6415" s="1">
        <f>IFERROR(__xludf.DUMMYFUNCTION("""COMPUTED_VALUE"""),161.2)</f>
        <v>161.2</v>
      </c>
      <c r="F6415" s="1">
        <f>IFERROR(__xludf.DUMMYFUNCTION("""COMPUTED_VALUE"""),8848744.0)</f>
        <v>8848744</v>
      </c>
    </row>
    <row r="6416">
      <c r="A6416" s="2">
        <f>IFERROR(__xludf.DUMMYFUNCTION("""COMPUTED_VALUE"""),45841.54166666667)</f>
        <v>45841.54167</v>
      </c>
      <c r="B6416" s="1">
        <f>IFERROR(__xludf.DUMMYFUNCTION("""COMPUTED_VALUE"""),161.79)</f>
        <v>161.79</v>
      </c>
      <c r="C6416" s="1">
        <f>IFERROR(__xludf.DUMMYFUNCTION("""COMPUTED_VALUE"""),162.02)</f>
        <v>162.02</v>
      </c>
      <c r="D6416" s="1">
        <f>IFERROR(__xludf.DUMMYFUNCTION("""COMPUTED_VALUE"""),159.79)</f>
        <v>159.79</v>
      </c>
      <c r="E6416" s="1">
        <f>IFERROR(__xludf.DUMMYFUNCTION("""COMPUTED_VALUE"""),160.83)</f>
        <v>160.83</v>
      </c>
      <c r="F6416" s="1">
        <f>IFERROR(__xludf.DUMMYFUNCTION("""COMPUTED_VALUE"""),6999589.0)</f>
        <v>6999589</v>
      </c>
    </row>
    <row r="6417">
      <c r="A6417" s="2">
        <f>IFERROR(__xludf.DUMMYFUNCTION("""COMPUTED_VALUE"""),45845.66666666667)</f>
        <v>45845.66667</v>
      </c>
      <c r="B6417" s="1">
        <f>IFERROR(__xludf.DUMMYFUNCTION("""COMPUTED_VALUE"""),160.85)</f>
        <v>160.85</v>
      </c>
      <c r="C6417" s="1">
        <f>IFERROR(__xludf.DUMMYFUNCTION("""COMPUTED_VALUE"""),161.18)</f>
        <v>161.18</v>
      </c>
      <c r="D6417" s="1">
        <f>IFERROR(__xludf.DUMMYFUNCTION("""COMPUTED_VALUE"""),159.29)</f>
        <v>159.29</v>
      </c>
      <c r="E6417" s="1">
        <f>IFERROR(__xludf.DUMMYFUNCTION("""COMPUTED_VALUE"""),160.5)</f>
        <v>160.5</v>
      </c>
      <c r="F6417" s="1">
        <f>IFERROR(__xludf.DUMMYFUNCTION("""COMPUTED_VALUE"""),7225695.0)</f>
        <v>7225695</v>
      </c>
    </row>
    <row r="6418">
      <c r="A6418" s="2">
        <f>IFERROR(__xludf.DUMMYFUNCTION("""COMPUTED_VALUE"""),45846.66666666667)</f>
        <v>45846.66667</v>
      </c>
      <c r="B6418" s="1">
        <f>IFERROR(__xludf.DUMMYFUNCTION("""COMPUTED_VALUE"""),159.52)</f>
        <v>159.52</v>
      </c>
      <c r="C6418" s="1">
        <f>IFERROR(__xludf.DUMMYFUNCTION("""COMPUTED_VALUE"""),159.78)</f>
        <v>159.78</v>
      </c>
      <c r="D6418" s="1">
        <f>IFERROR(__xludf.DUMMYFUNCTION("""COMPUTED_VALUE"""),157.44)</f>
        <v>157.44</v>
      </c>
      <c r="E6418" s="1">
        <f>IFERROR(__xludf.DUMMYFUNCTION("""COMPUTED_VALUE"""),157.89)</f>
        <v>157.89</v>
      </c>
      <c r="F6418" s="1">
        <f>IFERROR(__xludf.DUMMYFUNCTION("""COMPUTED_VALUE"""),1.2034764E7)</f>
        <v>12034764</v>
      </c>
    </row>
    <row r="6419">
      <c r="A6419" s="2">
        <f>IFERROR(__xludf.DUMMYFUNCTION("""COMPUTED_VALUE"""),45847.66666666667)</f>
        <v>45847.66667</v>
      </c>
      <c r="B6419" s="1">
        <f>IFERROR(__xludf.DUMMYFUNCTION("""COMPUTED_VALUE"""),158.1)</f>
        <v>158.1</v>
      </c>
      <c r="C6419" s="1">
        <f>IFERROR(__xludf.DUMMYFUNCTION("""COMPUTED_VALUE"""),158.2)</f>
        <v>158.2</v>
      </c>
      <c r="D6419" s="1">
        <f>IFERROR(__xludf.DUMMYFUNCTION("""COMPUTED_VALUE"""),155.95)</f>
        <v>155.95</v>
      </c>
      <c r="E6419" s="1">
        <f>IFERROR(__xludf.DUMMYFUNCTION("""COMPUTED_VALUE"""),157.52)</f>
        <v>157.52</v>
      </c>
      <c r="F6419" s="1">
        <f>IFERROR(__xludf.DUMMYFUNCTION("""COMPUTED_VALUE"""),1.8770894E7)</f>
        <v>18770894</v>
      </c>
    </row>
    <row r="6420">
      <c r="A6420" s="2">
        <f>IFERROR(__xludf.DUMMYFUNCTION("""COMPUTED_VALUE"""),45848.66666666667)</f>
        <v>45848.66667</v>
      </c>
      <c r="B6420" s="1">
        <f>IFERROR(__xludf.DUMMYFUNCTION("""COMPUTED_VALUE"""),157.76)</f>
        <v>157.76</v>
      </c>
      <c r="C6420" s="1">
        <f>IFERROR(__xludf.DUMMYFUNCTION("""COMPUTED_VALUE"""),159.61)</f>
        <v>159.61</v>
      </c>
      <c r="D6420" s="1">
        <f>IFERROR(__xludf.DUMMYFUNCTION("""COMPUTED_VALUE"""),157.04)</f>
        <v>157.04</v>
      </c>
      <c r="E6420" s="1">
        <f>IFERROR(__xludf.DUMMYFUNCTION("""COMPUTED_VALUE"""),158.49)</f>
        <v>158.49</v>
      </c>
      <c r="F6420" s="1">
        <f>IFERROR(__xludf.DUMMYFUNCTION("""COMPUTED_VALUE"""),7201748.0)</f>
        <v>7201748</v>
      </c>
    </row>
    <row r="6421">
      <c r="A6421" s="2">
        <f>IFERROR(__xludf.DUMMYFUNCTION("""COMPUTED_VALUE"""),45849.66666666667)</f>
        <v>45849.66667</v>
      </c>
      <c r="B6421" s="1">
        <f>IFERROR(__xludf.DUMMYFUNCTION("""COMPUTED_VALUE"""),158.05)</f>
        <v>158.05</v>
      </c>
      <c r="C6421" s="1">
        <f>IFERROR(__xludf.DUMMYFUNCTION("""COMPUTED_VALUE"""),158.05)</f>
        <v>158.05</v>
      </c>
      <c r="D6421" s="1">
        <f>IFERROR(__xludf.DUMMYFUNCTION("""COMPUTED_VALUE"""),156.44)</f>
        <v>156.44</v>
      </c>
      <c r="E6421" s="1">
        <f>IFERROR(__xludf.DUMMYFUNCTION("""COMPUTED_VALUE"""),157.05)</f>
        <v>157.05</v>
      </c>
      <c r="F6421" s="1">
        <f>IFERROR(__xludf.DUMMYFUNCTION("""COMPUTED_VALUE"""),8053808.0)</f>
        <v>8053808</v>
      </c>
    </row>
    <row r="6422">
      <c r="A6422" s="2">
        <f>IFERROR(__xludf.DUMMYFUNCTION("""COMPUTED_VALUE"""),45852.66666666667)</f>
        <v>45852.66667</v>
      </c>
      <c r="B6422" s="1">
        <f>IFERROR(__xludf.DUMMYFUNCTION("""COMPUTED_VALUE"""),155.58)</f>
        <v>155.58</v>
      </c>
      <c r="C6422" s="1">
        <f>IFERROR(__xludf.DUMMYFUNCTION("""COMPUTED_VALUE"""),155.8)</f>
        <v>155.8</v>
      </c>
      <c r="D6422" s="1">
        <f>IFERROR(__xludf.DUMMYFUNCTION("""COMPUTED_VALUE"""),152.86)</f>
        <v>152.86</v>
      </c>
      <c r="E6422" s="1">
        <f>IFERROR(__xludf.DUMMYFUNCTION("""COMPUTED_VALUE"""),153.76)</f>
        <v>153.76</v>
      </c>
      <c r="F6422" s="1">
        <f>IFERROR(__xludf.DUMMYFUNCTION("""COMPUTED_VALUE"""),1.1491688E7)</f>
        <v>11491688</v>
      </c>
    </row>
    <row r="6423">
      <c r="A6423" s="2">
        <f>IFERROR(__xludf.DUMMYFUNCTION("""COMPUTED_VALUE"""),45853.66666666667)</f>
        <v>45853.66667</v>
      </c>
      <c r="B6423" s="1">
        <f>IFERROR(__xludf.DUMMYFUNCTION("""COMPUTED_VALUE"""),153.56)</f>
        <v>153.56</v>
      </c>
      <c r="C6423" s="1">
        <f>IFERROR(__xludf.DUMMYFUNCTION("""COMPUTED_VALUE"""),154.05)</f>
        <v>154.05</v>
      </c>
      <c r="D6423" s="1">
        <f>IFERROR(__xludf.DUMMYFUNCTION("""COMPUTED_VALUE"""),151.9)</f>
        <v>151.9</v>
      </c>
      <c r="E6423" s="1">
        <f>IFERROR(__xludf.DUMMYFUNCTION("""COMPUTED_VALUE"""),152.68)</f>
        <v>152.68</v>
      </c>
      <c r="F6423" s="1">
        <f>IFERROR(__xludf.DUMMYFUNCTION("""COMPUTED_VALUE"""),9142615.0)</f>
        <v>9142615</v>
      </c>
    </row>
    <row r="6424">
      <c r="A6424" s="2">
        <f>IFERROR(__xludf.DUMMYFUNCTION("""COMPUTED_VALUE"""),45854.66666666667)</f>
        <v>45854.66667</v>
      </c>
      <c r="B6424" s="1">
        <f>IFERROR(__xludf.DUMMYFUNCTION("""COMPUTED_VALUE"""),152.74)</f>
        <v>152.74</v>
      </c>
      <c r="C6424" s="1">
        <f>IFERROR(__xludf.DUMMYFUNCTION("""COMPUTED_VALUE"""),153.76)</f>
        <v>153.76</v>
      </c>
      <c r="D6424" s="1">
        <f>IFERROR(__xludf.DUMMYFUNCTION("""COMPUTED_VALUE"""),152.27)</f>
        <v>152.27</v>
      </c>
      <c r="E6424" s="1">
        <f>IFERROR(__xludf.DUMMYFUNCTION("""COMPUTED_VALUE"""),153.73)</f>
        <v>153.73</v>
      </c>
      <c r="F6424" s="1">
        <f>IFERROR(__xludf.DUMMYFUNCTION("""COMPUTED_VALUE"""),8478997.0)</f>
        <v>8478997</v>
      </c>
    </row>
    <row r="6425">
      <c r="A6425" s="2">
        <f>IFERROR(__xludf.DUMMYFUNCTION("""COMPUTED_VALUE"""),45855.66666666667)</f>
        <v>45855.66667</v>
      </c>
      <c r="B6425" s="1">
        <f>IFERROR(__xludf.DUMMYFUNCTION("""COMPUTED_VALUE"""),154.04)</f>
        <v>154.04</v>
      </c>
      <c r="C6425" s="1">
        <f>IFERROR(__xludf.DUMMYFUNCTION("""COMPUTED_VALUE"""),155.75)</f>
        <v>155.75</v>
      </c>
      <c r="D6425" s="1">
        <f>IFERROR(__xludf.DUMMYFUNCTION("""COMPUTED_VALUE"""),153.88)</f>
        <v>153.88</v>
      </c>
      <c r="E6425" s="1">
        <f>IFERROR(__xludf.DUMMYFUNCTION("""COMPUTED_VALUE"""),155.62)</f>
        <v>155.62</v>
      </c>
      <c r="F6425" s="1">
        <f>IFERROR(__xludf.DUMMYFUNCTION("""COMPUTED_VALUE"""),8319996.0)</f>
        <v>8319996</v>
      </c>
    </row>
    <row r="6426">
      <c r="A6426" s="2">
        <f>IFERROR(__xludf.DUMMYFUNCTION("""COMPUTED_VALUE"""),45856.66666666667)</f>
        <v>45856.66667</v>
      </c>
      <c r="B6426" s="1">
        <f>IFERROR(__xludf.DUMMYFUNCTION("""COMPUTED_VALUE"""),153.78)</f>
        <v>153.78</v>
      </c>
      <c r="C6426" s="1">
        <f>IFERROR(__xludf.DUMMYFUNCTION("""COMPUTED_VALUE"""),155.57)</f>
        <v>155.57</v>
      </c>
      <c r="D6426" s="1">
        <f>IFERROR(__xludf.DUMMYFUNCTION("""COMPUTED_VALUE"""),153.63)</f>
        <v>153.63</v>
      </c>
      <c r="E6426" s="1">
        <f>IFERROR(__xludf.DUMMYFUNCTION("""COMPUTED_VALUE"""),155.1)</f>
        <v>155.1</v>
      </c>
      <c r="F6426" s="1">
        <f>IFERROR(__xludf.DUMMYFUNCTION("""COMPUTED_VALUE"""),7337252.0)</f>
        <v>7337252</v>
      </c>
    </row>
    <row r="6427">
      <c r="A6427" s="2">
        <f>IFERROR(__xludf.DUMMYFUNCTION("""COMPUTED_VALUE"""),45859.66666666667)</f>
        <v>45859.66667</v>
      </c>
      <c r="B6427" s="1">
        <f>IFERROR(__xludf.DUMMYFUNCTION("""COMPUTED_VALUE"""),155.07)</f>
        <v>155.07</v>
      </c>
      <c r="C6427" s="1">
        <f>IFERROR(__xludf.DUMMYFUNCTION("""COMPUTED_VALUE"""),155.94)</f>
        <v>155.94</v>
      </c>
      <c r="D6427" s="1">
        <f>IFERROR(__xludf.DUMMYFUNCTION("""COMPUTED_VALUE"""),154.89)</f>
        <v>154.89</v>
      </c>
      <c r="E6427" s="1">
        <f>IFERROR(__xludf.DUMMYFUNCTION("""COMPUTED_VALUE"""),155.03)</f>
        <v>155.03</v>
      </c>
      <c r="F6427" s="1">
        <f>IFERROR(__xludf.DUMMYFUNCTION("""COMPUTED_VALUE"""),6328370.0)</f>
        <v>6328370</v>
      </c>
    </row>
    <row r="6428">
      <c r="A6428" s="2">
        <f>IFERROR(__xludf.DUMMYFUNCTION("""COMPUTED_VALUE"""),45860.66666666667)</f>
        <v>45860.66667</v>
      </c>
      <c r="B6428" s="1">
        <f>IFERROR(__xludf.DUMMYFUNCTION("""COMPUTED_VALUE"""),154.92)</f>
        <v>154.92</v>
      </c>
      <c r="C6428" s="1">
        <f>IFERROR(__xludf.DUMMYFUNCTION("""COMPUTED_VALUE"""),158.37)</f>
        <v>158.37</v>
      </c>
      <c r="D6428" s="1">
        <f>IFERROR(__xludf.DUMMYFUNCTION("""COMPUTED_VALUE"""),154.9)</f>
        <v>154.9</v>
      </c>
      <c r="E6428" s="1">
        <f>IFERROR(__xludf.DUMMYFUNCTION("""COMPUTED_VALUE"""),158.32)</f>
        <v>158.32</v>
      </c>
      <c r="F6428" s="1">
        <f>IFERROR(__xludf.DUMMYFUNCTION("""COMPUTED_VALUE"""),8186970.0)</f>
        <v>8186970</v>
      </c>
    </row>
    <row r="6429">
      <c r="A6429" s="2">
        <f>IFERROR(__xludf.DUMMYFUNCTION("""COMPUTED_VALUE"""),45861.66666666667)</f>
        <v>45861.66667</v>
      </c>
      <c r="B6429" s="1">
        <f>IFERROR(__xludf.DUMMYFUNCTION("""COMPUTED_VALUE"""),158.22)</f>
        <v>158.22</v>
      </c>
      <c r="C6429" s="1">
        <f>IFERROR(__xludf.DUMMYFUNCTION("""COMPUTED_VALUE"""),158.88)</f>
        <v>158.88</v>
      </c>
      <c r="D6429" s="1">
        <f>IFERROR(__xludf.DUMMYFUNCTION("""COMPUTED_VALUE"""),157.68)</f>
        <v>157.68</v>
      </c>
      <c r="E6429" s="1">
        <f>IFERROR(__xludf.DUMMYFUNCTION("""COMPUTED_VALUE"""),158.28)</f>
        <v>158.28</v>
      </c>
      <c r="F6429" s="1">
        <f>IFERROR(__xludf.DUMMYFUNCTION("""COMPUTED_VALUE"""),4804795.0)</f>
        <v>4804795</v>
      </c>
    </row>
    <row r="6430">
      <c r="A6430" s="2">
        <f>IFERROR(__xludf.DUMMYFUNCTION("""COMPUTED_VALUE"""),45862.66666666667)</f>
        <v>45862.66667</v>
      </c>
      <c r="B6430" s="1">
        <f>IFERROR(__xludf.DUMMYFUNCTION("""COMPUTED_VALUE"""),158.87)</f>
        <v>158.87</v>
      </c>
      <c r="C6430" s="1">
        <f>IFERROR(__xludf.DUMMYFUNCTION("""COMPUTED_VALUE"""),159.02)</f>
        <v>159.02</v>
      </c>
      <c r="D6430" s="1">
        <f>IFERROR(__xludf.DUMMYFUNCTION("""COMPUTED_VALUE"""),158.05)</f>
        <v>158.05</v>
      </c>
      <c r="E6430" s="1">
        <f>IFERROR(__xludf.DUMMYFUNCTION("""COMPUTED_VALUE"""),158.81)</f>
        <v>158.81</v>
      </c>
      <c r="F6430" s="1">
        <f>IFERROR(__xludf.DUMMYFUNCTION("""COMPUTED_VALUE"""),7027392.0)</f>
        <v>7027392</v>
      </c>
    </row>
    <row r="6431">
      <c r="A6431" s="2">
        <f>IFERROR(__xludf.DUMMYFUNCTION("""COMPUTED_VALUE"""),45863.66666666667)</f>
        <v>45863.66667</v>
      </c>
      <c r="B6431" s="1">
        <f>IFERROR(__xludf.DUMMYFUNCTION("""COMPUTED_VALUE"""),157.34)</f>
        <v>157.34</v>
      </c>
      <c r="C6431" s="1">
        <f>IFERROR(__xludf.DUMMYFUNCTION("""COMPUTED_VALUE"""),158.44)</f>
        <v>158.44</v>
      </c>
      <c r="D6431" s="1">
        <f>IFERROR(__xludf.DUMMYFUNCTION("""COMPUTED_VALUE"""),157.02)</f>
        <v>157.02</v>
      </c>
      <c r="E6431" s="1">
        <f>IFERROR(__xludf.DUMMYFUNCTION("""COMPUTED_VALUE"""),158.3)</f>
        <v>158.3</v>
      </c>
      <c r="F6431" s="1">
        <f>IFERROR(__xludf.DUMMYFUNCTION("""COMPUTED_VALUE"""),5800248.0)</f>
        <v>5800248</v>
      </c>
    </row>
    <row r="6432">
      <c r="A6432" s="2">
        <f>IFERROR(__xludf.DUMMYFUNCTION("""COMPUTED_VALUE"""),45866.66666666667)</f>
        <v>45866.66667</v>
      </c>
      <c r="B6432" s="1">
        <f>IFERROR(__xludf.DUMMYFUNCTION("""COMPUTED_VALUE"""),157.63)</f>
        <v>157.63</v>
      </c>
      <c r="C6432" s="1">
        <f>IFERROR(__xludf.DUMMYFUNCTION("""COMPUTED_VALUE"""),158.09)</f>
        <v>158.09</v>
      </c>
      <c r="D6432" s="1">
        <f>IFERROR(__xludf.DUMMYFUNCTION("""COMPUTED_VALUE"""),156.23)</f>
        <v>156.23</v>
      </c>
      <c r="E6432" s="1">
        <f>IFERROR(__xludf.DUMMYFUNCTION("""COMPUTED_VALUE"""),157.11)</f>
        <v>157.11</v>
      </c>
      <c r="F6432" s="1">
        <f>IFERROR(__xludf.DUMMYFUNCTION("""COMPUTED_VALUE"""),7885026.0)</f>
        <v>7885026</v>
      </c>
    </row>
    <row r="6433">
      <c r="A6433" s="2">
        <f>IFERROR(__xludf.DUMMYFUNCTION("""COMPUTED_VALUE"""),45867.66666666667)</f>
        <v>45867.66667</v>
      </c>
      <c r="B6433" s="1">
        <f>IFERROR(__xludf.DUMMYFUNCTION("""COMPUTED_VALUE"""),158.65)</f>
        <v>158.65</v>
      </c>
      <c r="C6433" s="1">
        <f>IFERROR(__xludf.DUMMYFUNCTION("""COMPUTED_VALUE"""),158.65)</f>
        <v>158.65</v>
      </c>
      <c r="D6433" s="1">
        <f>IFERROR(__xludf.DUMMYFUNCTION("""COMPUTED_VALUE"""),154.84)</f>
        <v>154.84</v>
      </c>
      <c r="E6433" s="1">
        <f>IFERROR(__xludf.DUMMYFUNCTION("""COMPUTED_VALUE"""),156.61)</f>
        <v>156.61</v>
      </c>
      <c r="F6433" s="1">
        <f>IFERROR(__xludf.DUMMYFUNCTION("""COMPUTED_VALUE"""),1.1466058E7)</f>
        <v>11466058</v>
      </c>
    </row>
    <row r="6434">
      <c r="A6434" s="2">
        <f>IFERROR(__xludf.DUMMYFUNCTION("""COMPUTED_VALUE"""),45868.66666666667)</f>
        <v>45868.66667</v>
      </c>
      <c r="B6434" s="1">
        <f>IFERROR(__xludf.DUMMYFUNCTION("""COMPUTED_VALUE"""),157.0)</f>
        <v>157</v>
      </c>
      <c r="C6434" s="1">
        <f>IFERROR(__xludf.DUMMYFUNCTION("""COMPUTED_VALUE"""),157.0)</f>
        <v>157</v>
      </c>
      <c r="D6434" s="1">
        <f>IFERROR(__xludf.DUMMYFUNCTION("""COMPUTED_VALUE"""),152.05)</f>
        <v>152.05</v>
      </c>
      <c r="E6434" s="1">
        <f>IFERROR(__xludf.DUMMYFUNCTION("""COMPUTED_VALUE"""),152.88)</f>
        <v>152.88</v>
      </c>
      <c r="F6434" s="1">
        <f>IFERROR(__xludf.DUMMYFUNCTION("""COMPUTED_VALUE"""),8162888.0)</f>
        <v>8162888</v>
      </c>
    </row>
    <row r="6435">
      <c r="A6435" s="2">
        <f>IFERROR(__xludf.DUMMYFUNCTION("""COMPUTED_VALUE"""),45869.66666666667)</f>
        <v>45869.66667</v>
      </c>
      <c r="B6435" s="1">
        <f>IFERROR(__xludf.DUMMYFUNCTION("""COMPUTED_VALUE"""),151.8)</f>
        <v>151.8</v>
      </c>
      <c r="C6435" s="1">
        <f>IFERROR(__xludf.DUMMYFUNCTION("""COMPUTED_VALUE"""),152.0)</f>
        <v>152</v>
      </c>
      <c r="D6435" s="1">
        <f>IFERROR(__xludf.DUMMYFUNCTION("""COMPUTED_VALUE"""),149.91)</f>
        <v>149.91</v>
      </c>
      <c r="E6435" s="1">
        <f>IFERROR(__xludf.DUMMYFUNCTION("""COMPUTED_VALUE"""),150.47)</f>
        <v>150.47</v>
      </c>
      <c r="F6435" s="1">
        <f>IFERROR(__xludf.DUMMYFUNCTION("""COMPUTED_VALUE"""),1.1845443E7)</f>
        <v>11845443</v>
      </c>
    </row>
    <row r="6436">
      <c r="A6436" s="2">
        <f>IFERROR(__xludf.DUMMYFUNCTION("""COMPUTED_VALUE"""),45870.66666666667)</f>
        <v>45870.66667</v>
      </c>
      <c r="B6436" s="1">
        <f>IFERROR(__xludf.DUMMYFUNCTION("""COMPUTED_VALUE"""),151.78)</f>
        <v>151.78</v>
      </c>
      <c r="C6436" s="1">
        <f>IFERROR(__xludf.DUMMYFUNCTION("""COMPUTED_VALUE"""),153.49)</f>
        <v>153.49</v>
      </c>
      <c r="D6436" s="1">
        <f>IFERROR(__xludf.DUMMYFUNCTION("""COMPUTED_VALUE"""),150.52)</f>
        <v>150.52</v>
      </c>
      <c r="E6436" s="1">
        <f>IFERROR(__xludf.DUMMYFUNCTION("""COMPUTED_VALUE"""),150.65)</f>
        <v>150.65</v>
      </c>
      <c r="F6436" s="1">
        <f>IFERROR(__xludf.DUMMYFUNCTION("""COMPUTED_VALUE"""),8594220.0)</f>
        <v>8594220</v>
      </c>
    </row>
    <row r="6437">
      <c r="A6437" s="2">
        <f>IFERROR(__xludf.DUMMYFUNCTION("""COMPUTED_VALUE"""),45873.66666666667)</f>
        <v>45873.66667</v>
      </c>
      <c r="B6437" s="1">
        <f>IFERROR(__xludf.DUMMYFUNCTION("""COMPUTED_VALUE"""),150.25)</f>
        <v>150.25</v>
      </c>
      <c r="C6437" s="1">
        <f>IFERROR(__xludf.DUMMYFUNCTION("""COMPUTED_VALUE"""),151.46)</f>
        <v>151.46</v>
      </c>
      <c r="D6437" s="1">
        <f>IFERROR(__xludf.DUMMYFUNCTION("""COMPUTED_VALUE"""),150.02)</f>
        <v>150.02</v>
      </c>
      <c r="E6437" s="1">
        <f>IFERROR(__xludf.DUMMYFUNCTION("""COMPUTED_VALUE"""),150.76)</f>
        <v>150.76</v>
      </c>
      <c r="F6437" s="1">
        <f>IFERROR(__xludf.DUMMYFUNCTION("""COMPUTED_VALUE"""),7679361.0)</f>
        <v>7679361</v>
      </c>
    </row>
    <row r="6438">
      <c r="A6438" s="2">
        <f>IFERROR(__xludf.DUMMYFUNCTION("""COMPUTED_VALUE"""),45874.66666666667)</f>
        <v>45874.66667</v>
      </c>
      <c r="B6438" s="1">
        <f>IFERROR(__xludf.DUMMYFUNCTION("""COMPUTED_VALUE"""),150.71)</f>
        <v>150.71</v>
      </c>
      <c r="C6438" s="1">
        <f>IFERROR(__xludf.DUMMYFUNCTION("""COMPUTED_VALUE"""),152.08)</f>
        <v>152.08</v>
      </c>
      <c r="D6438" s="1">
        <f>IFERROR(__xludf.DUMMYFUNCTION("""COMPUTED_VALUE"""),150.32)</f>
        <v>150.32</v>
      </c>
      <c r="E6438" s="1">
        <f>IFERROR(__xludf.DUMMYFUNCTION("""COMPUTED_VALUE"""),150.51)</f>
        <v>150.51</v>
      </c>
      <c r="F6438" s="1">
        <f>IFERROR(__xludf.DUMMYFUNCTION("""COMPUTED_VALUE"""),6670065.0)</f>
        <v>6670065</v>
      </c>
    </row>
    <row r="6439">
      <c r="A6439" s="2">
        <f>IFERROR(__xludf.DUMMYFUNCTION("""COMPUTED_VALUE"""),45875.66666666667)</f>
        <v>45875.66667</v>
      </c>
      <c r="B6439" s="1">
        <f>IFERROR(__xludf.DUMMYFUNCTION("""COMPUTED_VALUE"""),150.86)</f>
        <v>150.86</v>
      </c>
      <c r="C6439" s="1">
        <f>IFERROR(__xludf.DUMMYFUNCTION("""COMPUTED_VALUE"""),153.48)</f>
        <v>153.48</v>
      </c>
      <c r="D6439" s="1">
        <f>IFERROR(__xludf.DUMMYFUNCTION("""COMPUTED_VALUE"""),150.21)</f>
        <v>150.21</v>
      </c>
      <c r="E6439" s="1">
        <f>IFERROR(__xludf.DUMMYFUNCTION("""COMPUTED_VALUE"""),152.86)</f>
        <v>152.86</v>
      </c>
      <c r="F6439" s="1">
        <f>IFERROR(__xludf.DUMMYFUNCTION("""COMPUTED_VALUE"""),7376213.0)</f>
        <v>7376213</v>
      </c>
    </row>
    <row r="6440">
      <c r="A6440" s="2">
        <f>IFERROR(__xludf.DUMMYFUNCTION("""COMPUTED_VALUE"""),45876.66666666667)</f>
        <v>45876.66667</v>
      </c>
      <c r="B6440" s="1">
        <f>IFERROR(__xludf.DUMMYFUNCTION("""COMPUTED_VALUE"""),153.12)</f>
        <v>153.12</v>
      </c>
      <c r="C6440" s="1">
        <f>IFERROR(__xludf.DUMMYFUNCTION("""COMPUTED_VALUE"""),154.01)</f>
        <v>154.01</v>
      </c>
      <c r="D6440" s="1">
        <f>IFERROR(__xludf.DUMMYFUNCTION("""COMPUTED_VALUE"""),152.7)</f>
        <v>152.7</v>
      </c>
      <c r="E6440" s="1">
        <f>IFERROR(__xludf.DUMMYFUNCTION("""COMPUTED_VALUE"""),153.49)</f>
        <v>153.49</v>
      </c>
      <c r="F6440" s="1">
        <f>IFERROR(__xludf.DUMMYFUNCTION("""COMPUTED_VALUE"""),6719044.0)</f>
        <v>6719044</v>
      </c>
    </row>
    <row r="6441">
      <c r="A6441" s="2">
        <f>IFERROR(__xludf.DUMMYFUNCTION("""COMPUTED_VALUE"""),45877.66666666667)</f>
        <v>45877.66667</v>
      </c>
      <c r="B6441" s="1">
        <f>IFERROR(__xludf.DUMMYFUNCTION("""COMPUTED_VALUE"""),152.77)</f>
        <v>152.77</v>
      </c>
      <c r="C6441" s="1">
        <f>IFERROR(__xludf.DUMMYFUNCTION("""COMPUTED_VALUE"""),153.79)</f>
        <v>153.79</v>
      </c>
      <c r="D6441" s="1">
        <f>IFERROR(__xludf.DUMMYFUNCTION("""COMPUTED_VALUE"""),152.57)</f>
        <v>152.57</v>
      </c>
      <c r="E6441" s="1">
        <f>IFERROR(__xludf.DUMMYFUNCTION("""COMPUTED_VALUE"""),153.51)</f>
        <v>153.51</v>
      </c>
      <c r="F6441" s="1">
        <f>IFERROR(__xludf.DUMMYFUNCTION("""COMPUTED_VALUE"""),5811281.0)</f>
        <v>5811281</v>
      </c>
    </row>
    <row r="6442">
      <c r="A6442" s="2">
        <f>IFERROR(__xludf.DUMMYFUNCTION("""COMPUTED_VALUE"""),45880.66666666667)</f>
        <v>45880.66667</v>
      </c>
      <c r="B6442" s="1">
        <f>IFERROR(__xludf.DUMMYFUNCTION("""COMPUTED_VALUE"""),153.54)</f>
        <v>153.54</v>
      </c>
      <c r="C6442" s="1">
        <f>IFERROR(__xludf.DUMMYFUNCTION("""COMPUTED_VALUE"""),155.39)</f>
        <v>155.39</v>
      </c>
      <c r="D6442" s="1">
        <f>IFERROR(__xludf.DUMMYFUNCTION("""COMPUTED_VALUE"""),153.31)</f>
        <v>153.31</v>
      </c>
      <c r="E6442" s="1">
        <f>IFERROR(__xludf.DUMMYFUNCTION("""COMPUTED_VALUE"""),154.98)</f>
        <v>154.98</v>
      </c>
      <c r="F6442" s="1">
        <f>IFERROR(__xludf.DUMMYFUNCTION("""COMPUTED_VALUE"""),7331707.0)</f>
        <v>7331707</v>
      </c>
    </row>
    <row r="6443">
      <c r="A6443" s="2">
        <f>IFERROR(__xludf.DUMMYFUNCTION("""COMPUTED_VALUE"""),45881.66666666667)</f>
        <v>45881.66667</v>
      </c>
      <c r="B6443" s="1">
        <f>IFERROR(__xludf.DUMMYFUNCTION("""COMPUTED_VALUE"""),155.06)</f>
        <v>155.06</v>
      </c>
      <c r="C6443" s="1">
        <f>IFERROR(__xludf.DUMMYFUNCTION("""COMPUTED_VALUE"""),155.54)</f>
        <v>155.54</v>
      </c>
      <c r="D6443" s="1">
        <f>IFERROR(__xludf.DUMMYFUNCTION("""COMPUTED_VALUE"""),154.31)</f>
        <v>154.31</v>
      </c>
      <c r="E6443" s="1">
        <f>IFERROR(__xludf.DUMMYFUNCTION("""COMPUTED_VALUE"""),155.09)</f>
        <v>155.09</v>
      </c>
      <c r="F6443" s="1">
        <f>IFERROR(__xludf.DUMMYFUNCTION("""COMPUTED_VALUE"""),6938336.0)</f>
        <v>6938336</v>
      </c>
    </row>
    <row r="6444">
      <c r="A6444" s="2">
        <f>IFERROR(__xludf.DUMMYFUNCTION("""COMPUTED_VALUE"""),45882.66666666667)</f>
        <v>45882.66667</v>
      </c>
      <c r="B6444" s="1">
        <f>IFERROR(__xludf.DUMMYFUNCTION("""COMPUTED_VALUE"""),155.21)</f>
        <v>155.21</v>
      </c>
      <c r="C6444" s="1">
        <f>IFERROR(__xludf.DUMMYFUNCTION("""COMPUTED_VALUE"""),157.01)</f>
        <v>157.01</v>
      </c>
      <c r="D6444" s="1">
        <f>IFERROR(__xludf.DUMMYFUNCTION("""COMPUTED_VALUE"""),154.95)</f>
        <v>154.95</v>
      </c>
      <c r="E6444" s="1">
        <f>IFERROR(__xludf.DUMMYFUNCTION("""COMPUTED_VALUE"""),155.41)</f>
        <v>155.41</v>
      </c>
      <c r="F6444" s="1">
        <f>IFERROR(__xludf.DUMMYFUNCTION("""COMPUTED_VALUE"""),5812356.0)</f>
        <v>5812356</v>
      </c>
    </row>
    <row r="6445">
      <c r="A6445" s="2">
        <f>IFERROR(__xludf.DUMMYFUNCTION("""COMPUTED_VALUE"""),45883.66666666667)</f>
        <v>45883.66667</v>
      </c>
      <c r="B6445" s="1">
        <f>IFERROR(__xludf.DUMMYFUNCTION("""COMPUTED_VALUE"""),154.64)</f>
        <v>154.64</v>
      </c>
      <c r="C6445" s="1">
        <f>IFERROR(__xludf.DUMMYFUNCTION("""COMPUTED_VALUE"""),154.7)</f>
        <v>154.7</v>
      </c>
      <c r="D6445" s="1">
        <f>IFERROR(__xludf.DUMMYFUNCTION("""COMPUTED_VALUE"""),153.27)</f>
        <v>153.27</v>
      </c>
      <c r="E6445" s="1">
        <f>IFERROR(__xludf.DUMMYFUNCTION("""COMPUTED_VALUE"""),153.74)</f>
        <v>153.74</v>
      </c>
      <c r="F6445" s="1">
        <f>IFERROR(__xludf.DUMMYFUNCTION("""COMPUTED_VALUE"""),6343715.0)</f>
        <v>6343715</v>
      </c>
    </row>
    <row r="6446">
      <c r="A6446" s="2">
        <f>IFERROR(__xludf.DUMMYFUNCTION("""COMPUTED_VALUE"""),45884.66666666667)</f>
        <v>45884.66667</v>
      </c>
      <c r="B6446" s="1">
        <f>IFERROR(__xludf.DUMMYFUNCTION("""COMPUTED_VALUE"""),154.47)</f>
        <v>154.47</v>
      </c>
      <c r="C6446" s="1">
        <f>IFERROR(__xludf.DUMMYFUNCTION("""COMPUTED_VALUE"""),155.6)</f>
        <v>155.6</v>
      </c>
      <c r="D6446" s="1">
        <f>IFERROR(__xludf.DUMMYFUNCTION("""COMPUTED_VALUE"""),154.21)</f>
        <v>154.21</v>
      </c>
      <c r="E6446" s="1">
        <f>IFERROR(__xludf.DUMMYFUNCTION("""COMPUTED_VALUE"""),154.36)</f>
        <v>154.36</v>
      </c>
      <c r="F6446" s="1">
        <f>IFERROR(__xludf.DUMMYFUNCTION("""COMPUTED_VALUE"""),7121700.0)</f>
        <v>7121700</v>
      </c>
    </row>
    <row r="6447">
      <c r="A6447" s="2">
        <f>IFERROR(__xludf.DUMMYFUNCTION("""COMPUTED_VALUE"""),45887.66666666667)</f>
        <v>45887.66667</v>
      </c>
      <c r="B6447" s="1">
        <f>IFERROR(__xludf.DUMMYFUNCTION("""COMPUTED_VALUE"""),154.42)</f>
        <v>154.42</v>
      </c>
      <c r="C6447" s="1">
        <f>IFERROR(__xludf.DUMMYFUNCTION("""COMPUTED_VALUE"""),156.92)</f>
        <v>156.92</v>
      </c>
      <c r="D6447" s="1">
        <f>IFERROR(__xludf.DUMMYFUNCTION("""COMPUTED_VALUE"""),154.17)</f>
        <v>154.17</v>
      </c>
      <c r="E6447" s="1">
        <f>IFERROR(__xludf.DUMMYFUNCTION("""COMPUTED_VALUE"""),155.72)</f>
        <v>155.72</v>
      </c>
      <c r="F6447" s="1">
        <f>IFERROR(__xludf.DUMMYFUNCTION("""COMPUTED_VALUE"""),8274726.0)</f>
        <v>8274726</v>
      </c>
    </row>
    <row r="6448">
      <c r="A6448" s="2">
        <f>IFERROR(__xludf.DUMMYFUNCTION("""COMPUTED_VALUE"""),45888.66666666667)</f>
        <v>45888.66667</v>
      </c>
      <c r="B6448" s="1">
        <f>IFERROR(__xludf.DUMMYFUNCTION("""COMPUTED_VALUE"""),155.73)</f>
        <v>155.73</v>
      </c>
      <c r="C6448" s="1">
        <f>IFERROR(__xludf.DUMMYFUNCTION("""COMPUTED_VALUE"""),158.7)</f>
        <v>158.7</v>
      </c>
      <c r="D6448" s="1">
        <f>IFERROR(__xludf.DUMMYFUNCTION("""COMPUTED_VALUE"""),155.67)</f>
        <v>155.67</v>
      </c>
      <c r="E6448" s="1">
        <f>IFERROR(__xludf.DUMMYFUNCTION("""COMPUTED_VALUE"""),158.4)</f>
        <v>158.4</v>
      </c>
      <c r="F6448" s="1">
        <f>IFERROR(__xludf.DUMMYFUNCTION("""COMPUTED_VALUE"""),7868129.0)</f>
        <v>7868129</v>
      </c>
    </row>
    <row r="6449">
      <c r="A6449" s="2">
        <f>IFERROR(__xludf.DUMMYFUNCTION("""COMPUTED_VALUE"""),45889.66666666667)</f>
        <v>45889.66667</v>
      </c>
      <c r="B6449" s="1">
        <f>IFERROR(__xludf.DUMMYFUNCTION("""COMPUTED_VALUE"""),158.58)</f>
        <v>158.58</v>
      </c>
      <c r="C6449" s="1">
        <f>IFERROR(__xludf.DUMMYFUNCTION("""COMPUTED_VALUE"""),161.03)</f>
        <v>161.03</v>
      </c>
      <c r="D6449" s="1">
        <f>IFERROR(__xludf.DUMMYFUNCTION("""COMPUTED_VALUE"""),158.41)</f>
        <v>158.41</v>
      </c>
      <c r="E6449" s="1">
        <f>IFERROR(__xludf.DUMMYFUNCTION("""COMPUTED_VALUE"""),159.51)</f>
        <v>159.51</v>
      </c>
      <c r="F6449" s="1">
        <f>IFERROR(__xludf.DUMMYFUNCTION("""COMPUTED_VALUE"""),7840355.0)</f>
        <v>7840355</v>
      </c>
    </row>
    <row r="6450">
      <c r="A6450" s="2">
        <f>IFERROR(__xludf.DUMMYFUNCTION("""COMPUTED_VALUE"""),45890.66666666667)</f>
        <v>45890.66667</v>
      </c>
      <c r="B6450" s="1">
        <f>IFERROR(__xludf.DUMMYFUNCTION("""COMPUTED_VALUE"""),157.93)</f>
        <v>157.93</v>
      </c>
      <c r="C6450" s="1">
        <f>IFERROR(__xludf.DUMMYFUNCTION("""COMPUTED_VALUE"""),159.06)</f>
        <v>159.06</v>
      </c>
      <c r="D6450" s="1">
        <f>IFERROR(__xludf.DUMMYFUNCTION("""COMPUTED_VALUE"""),157.18)</f>
        <v>157.18</v>
      </c>
      <c r="E6450" s="1">
        <f>IFERROR(__xludf.DUMMYFUNCTION("""COMPUTED_VALUE"""),158.73)</f>
        <v>158.73</v>
      </c>
      <c r="F6450" s="1">
        <f>IFERROR(__xludf.DUMMYFUNCTION("""COMPUTED_VALUE"""),6417695.0)</f>
        <v>6417695</v>
      </c>
    </row>
    <row r="6451">
      <c r="A6451" s="2">
        <f>IFERROR(__xludf.DUMMYFUNCTION("""COMPUTED_VALUE"""),45891.66666666667)</f>
        <v>45891.66667</v>
      </c>
      <c r="B6451" s="1">
        <f>IFERROR(__xludf.DUMMYFUNCTION("""COMPUTED_VALUE"""),159.38)</f>
        <v>159.38</v>
      </c>
      <c r="C6451" s="1">
        <f>IFERROR(__xludf.DUMMYFUNCTION("""COMPUTED_VALUE"""),160.68)</f>
        <v>160.68</v>
      </c>
      <c r="D6451" s="1">
        <f>IFERROR(__xludf.DUMMYFUNCTION("""COMPUTED_VALUE"""),158.31)</f>
        <v>158.31</v>
      </c>
      <c r="E6451" s="1">
        <f>IFERROR(__xludf.DUMMYFUNCTION("""COMPUTED_VALUE"""),158.67)</f>
        <v>158.67</v>
      </c>
      <c r="F6451" s="1">
        <f>IFERROR(__xludf.DUMMYFUNCTION("""COMPUTED_VALUE"""),5797325.0)</f>
        <v>5797325</v>
      </c>
    </row>
    <row r="6452">
      <c r="A6452" s="2">
        <f>IFERROR(__xludf.DUMMYFUNCTION("""COMPUTED_VALUE"""),45894.66666666667)</f>
        <v>45894.66667</v>
      </c>
      <c r="B6452" s="1">
        <f>IFERROR(__xludf.DUMMYFUNCTION("""COMPUTED_VALUE"""),158.39)</f>
        <v>158.39</v>
      </c>
      <c r="C6452" s="1">
        <f>IFERROR(__xludf.DUMMYFUNCTION("""COMPUTED_VALUE"""),158.7)</f>
        <v>158.7</v>
      </c>
      <c r="D6452" s="1">
        <f>IFERROR(__xludf.DUMMYFUNCTION("""COMPUTED_VALUE"""),155.89)</f>
        <v>155.89</v>
      </c>
      <c r="E6452" s="1">
        <f>IFERROR(__xludf.DUMMYFUNCTION("""COMPUTED_VALUE"""),156.15)</f>
        <v>156.15</v>
      </c>
      <c r="F6452" s="1">
        <f>IFERROR(__xludf.DUMMYFUNCTION("""COMPUTED_VALUE"""),4692505.0)</f>
        <v>4692505</v>
      </c>
    </row>
    <row r="6453">
      <c r="A6453" s="2">
        <f>IFERROR(__xludf.DUMMYFUNCTION("""COMPUTED_VALUE"""),45895.66666666667)</f>
        <v>45895.66667</v>
      </c>
      <c r="B6453" s="1">
        <f>IFERROR(__xludf.DUMMYFUNCTION("""COMPUTED_VALUE"""),155.92)</f>
        <v>155.92</v>
      </c>
      <c r="C6453" s="1">
        <f>IFERROR(__xludf.DUMMYFUNCTION("""COMPUTED_VALUE"""),156.7)</f>
        <v>156.7</v>
      </c>
      <c r="D6453" s="1">
        <f>IFERROR(__xludf.DUMMYFUNCTION("""COMPUTED_VALUE"""),155.34)</f>
        <v>155.34</v>
      </c>
      <c r="E6453" s="1">
        <f>IFERROR(__xludf.DUMMYFUNCTION("""COMPUTED_VALUE"""),155.97)</f>
        <v>155.97</v>
      </c>
      <c r="F6453" s="1">
        <f>IFERROR(__xludf.DUMMYFUNCTION("""COMPUTED_VALUE"""),6337977.0)</f>
        <v>6337977</v>
      </c>
    </row>
    <row r="6454">
      <c r="A6454" s="2">
        <f>IFERROR(__xludf.DUMMYFUNCTION("""COMPUTED_VALUE"""),45896.66666666667)</f>
        <v>45896.66667</v>
      </c>
      <c r="B6454" s="1">
        <f>IFERROR(__xludf.DUMMYFUNCTION("""COMPUTED_VALUE"""),156.15)</f>
        <v>156.15</v>
      </c>
      <c r="C6454" s="1">
        <f>IFERROR(__xludf.DUMMYFUNCTION("""COMPUTED_VALUE"""),157.13)</f>
        <v>157.13</v>
      </c>
      <c r="D6454" s="1">
        <f>IFERROR(__xludf.DUMMYFUNCTION("""COMPUTED_VALUE"""),155.79)</f>
        <v>155.79</v>
      </c>
      <c r="E6454" s="1">
        <f>IFERROR(__xludf.DUMMYFUNCTION("""COMPUTED_VALUE"""),156.96)</f>
        <v>156.96</v>
      </c>
      <c r="F6454" s="1">
        <f>IFERROR(__xludf.DUMMYFUNCTION("""COMPUTED_VALUE"""),4551219.0)</f>
        <v>4551219</v>
      </c>
    </row>
    <row r="6455">
      <c r="A6455" s="2">
        <f>IFERROR(__xludf.DUMMYFUNCTION("""COMPUTED_VALUE"""),45897.66666666667)</f>
        <v>45897.66667</v>
      </c>
      <c r="B6455" s="1">
        <f>IFERROR(__xludf.DUMMYFUNCTION("""COMPUTED_VALUE"""),157.0)</f>
        <v>157</v>
      </c>
      <c r="C6455" s="1">
        <f>IFERROR(__xludf.DUMMYFUNCTION("""COMPUTED_VALUE"""),157.01)</f>
        <v>157.01</v>
      </c>
      <c r="D6455" s="1">
        <f>IFERROR(__xludf.DUMMYFUNCTION("""COMPUTED_VALUE"""),155.03)</f>
        <v>155.03</v>
      </c>
      <c r="E6455" s="1">
        <f>IFERROR(__xludf.DUMMYFUNCTION("""COMPUTED_VALUE"""),155.65)</f>
        <v>155.65</v>
      </c>
      <c r="F6455" s="1">
        <f>IFERROR(__xludf.DUMMYFUNCTION("""COMPUTED_VALUE"""),5857727.0)</f>
        <v>5857727</v>
      </c>
    </row>
    <row r="6456">
      <c r="A6456" s="2">
        <f>IFERROR(__xludf.DUMMYFUNCTION("""COMPUTED_VALUE"""),45898.66666666667)</f>
        <v>45898.66667</v>
      </c>
      <c r="B6456" s="1">
        <f>IFERROR(__xludf.DUMMYFUNCTION("""COMPUTED_VALUE"""),156.09)</f>
        <v>156.09</v>
      </c>
      <c r="C6456" s="1">
        <f>IFERROR(__xludf.DUMMYFUNCTION("""COMPUTED_VALUE"""),157.56)</f>
        <v>157.56</v>
      </c>
      <c r="D6456" s="1">
        <f>IFERROR(__xludf.DUMMYFUNCTION("""COMPUTED_VALUE"""),155.65)</f>
        <v>155.65</v>
      </c>
      <c r="E6456" s="1">
        <f>IFERROR(__xludf.DUMMYFUNCTION("""COMPUTED_VALUE"""),157.04)</f>
        <v>157.04</v>
      </c>
      <c r="F6456" s="1">
        <f>IFERROR(__xludf.DUMMYFUNCTION("""COMPUTED_VALUE"""),5318179.0)</f>
        <v>5318179</v>
      </c>
    </row>
    <row r="6457">
      <c r="A6457" s="2">
        <f>IFERROR(__xludf.DUMMYFUNCTION("""COMPUTED_VALUE"""),45902.66666666667)</f>
        <v>45902.66667</v>
      </c>
      <c r="B6457" s="1">
        <f>IFERROR(__xludf.DUMMYFUNCTION("""COMPUTED_VALUE"""),157.36)</f>
        <v>157.36</v>
      </c>
      <c r="C6457" s="1">
        <f>IFERROR(__xludf.DUMMYFUNCTION("""COMPUTED_VALUE"""),158.86)</f>
        <v>158.86</v>
      </c>
      <c r="D6457" s="1">
        <f>IFERROR(__xludf.DUMMYFUNCTION("""COMPUTED_VALUE"""),156.98)</f>
        <v>156.98</v>
      </c>
      <c r="E6457" s="1">
        <f>IFERROR(__xludf.DUMMYFUNCTION("""COMPUTED_VALUE"""),157.99)</f>
        <v>157.99</v>
      </c>
      <c r="F6457" s="1">
        <f>IFERROR(__xludf.DUMMYFUNCTION("""COMPUTED_VALUE"""),6432837.0)</f>
        <v>6432837</v>
      </c>
    </row>
    <row r="6458">
      <c r="A6458" s="2">
        <f>IFERROR(__xludf.DUMMYFUNCTION("""COMPUTED_VALUE"""),45903.66666666667)</f>
        <v>45903.66667</v>
      </c>
      <c r="B6458" s="1">
        <f>IFERROR(__xludf.DUMMYFUNCTION("""COMPUTED_VALUE"""),157.65)</f>
        <v>157.65</v>
      </c>
      <c r="C6458" s="1">
        <f>IFERROR(__xludf.DUMMYFUNCTION("""COMPUTED_VALUE"""),158.64)</f>
        <v>158.64</v>
      </c>
      <c r="D6458" s="1">
        <f>IFERROR(__xludf.DUMMYFUNCTION("""COMPUTED_VALUE"""),156.5)</f>
        <v>156.5</v>
      </c>
      <c r="E6458" s="1">
        <f>IFERROR(__xludf.DUMMYFUNCTION("""COMPUTED_VALUE"""),158.17)</f>
        <v>158.17</v>
      </c>
      <c r="F6458" s="1">
        <f>IFERROR(__xludf.DUMMYFUNCTION("""COMPUTED_VALUE"""),6592451.0)</f>
        <v>6592451</v>
      </c>
    </row>
    <row r="6459">
      <c r="A6459" s="2">
        <f>IFERROR(__xludf.DUMMYFUNCTION("""COMPUTED_VALUE"""),45904.66666666667)</f>
        <v>45904.66667</v>
      </c>
      <c r="B6459" s="1">
        <f>IFERROR(__xludf.DUMMYFUNCTION("""COMPUTED_VALUE"""),158.52)</f>
        <v>158.52</v>
      </c>
      <c r="C6459" s="1">
        <f>IFERROR(__xludf.DUMMYFUNCTION("""COMPUTED_VALUE"""),159.75)</f>
        <v>159.75</v>
      </c>
      <c r="D6459" s="1">
        <f>IFERROR(__xludf.DUMMYFUNCTION("""COMPUTED_VALUE"""),157.81)</f>
        <v>157.81</v>
      </c>
      <c r="E6459" s="1">
        <f>IFERROR(__xludf.DUMMYFUNCTION("""COMPUTED_VALUE"""),159.19)</f>
        <v>159.19</v>
      </c>
      <c r="F6459" s="1">
        <f>IFERROR(__xludf.DUMMYFUNCTION("""COMPUTED_VALUE"""),6935245.0)</f>
        <v>6935245</v>
      </c>
    </row>
    <row r="6460">
      <c r="A6460" s="2">
        <f>IFERROR(__xludf.DUMMYFUNCTION("""COMPUTED_VALUE"""),45905.66666666667)</f>
        <v>45905.66667</v>
      </c>
      <c r="B6460" s="1">
        <f>IFERROR(__xludf.DUMMYFUNCTION("""COMPUTED_VALUE"""),158.55)</f>
        <v>158.55</v>
      </c>
      <c r="C6460" s="1">
        <f>IFERROR(__xludf.DUMMYFUNCTION("""COMPUTED_VALUE"""),160.56)</f>
        <v>160.56</v>
      </c>
      <c r="D6460" s="1">
        <f>IFERROR(__xludf.DUMMYFUNCTION("""COMPUTED_VALUE"""),158.41)</f>
        <v>158.41</v>
      </c>
      <c r="E6460" s="1">
        <f>IFERROR(__xludf.DUMMYFUNCTION("""COMPUTED_VALUE"""),160.02)</f>
        <v>160.02</v>
      </c>
      <c r="F6460" s="1">
        <f>IFERROR(__xludf.DUMMYFUNCTION("""COMPUTED_VALUE"""),6436150.0)</f>
        <v>6436150</v>
      </c>
    </row>
    <row r="6461">
      <c r="A6461" s="2">
        <f>IFERROR(__xludf.DUMMYFUNCTION("""COMPUTED_VALUE"""),45908.66666666667)</f>
        <v>45908.66667</v>
      </c>
      <c r="B6461" s="1">
        <f>IFERROR(__xludf.DUMMYFUNCTION("""COMPUTED_VALUE"""),159.61)</f>
        <v>159.61</v>
      </c>
      <c r="C6461" s="1">
        <f>IFERROR(__xludf.DUMMYFUNCTION("""COMPUTED_VALUE"""),160.27)</f>
        <v>160.27</v>
      </c>
      <c r="D6461" s="1">
        <f>IFERROR(__xludf.DUMMYFUNCTION("""COMPUTED_VALUE"""),158.25)</f>
        <v>158.25</v>
      </c>
      <c r="E6461" s="1">
        <f>IFERROR(__xludf.DUMMYFUNCTION("""COMPUTED_VALUE"""),159.01)</f>
        <v>159.01</v>
      </c>
      <c r="F6461" s="1">
        <f>IFERROR(__xludf.DUMMYFUNCTION("""COMPUTED_VALUE"""),7178356.0)</f>
        <v>7178356</v>
      </c>
    </row>
    <row r="6462">
      <c r="A6462" s="2">
        <f>IFERROR(__xludf.DUMMYFUNCTION("""COMPUTED_VALUE"""),45909.66666666667)</f>
        <v>45909.66667</v>
      </c>
      <c r="B6462" s="1">
        <f>IFERROR(__xludf.DUMMYFUNCTION("""COMPUTED_VALUE"""),158.61)</f>
        <v>158.61</v>
      </c>
      <c r="C6462" s="1">
        <f>IFERROR(__xludf.DUMMYFUNCTION("""COMPUTED_VALUE"""),159.87)</f>
        <v>159.87</v>
      </c>
      <c r="D6462" s="1">
        <f>IFERROR(__xludf.DUMMYFUNCTION("""COMPUTED_VALUE"""),158.2)</f>
        <v>158.2</v>
      </c>
      <c r="E6462" s="1">
        <f>IFERROR(__xludf.DUMMYFUNCTION("""COMPUTED_VALUE"""),159.46)</f>
        <v>159.46</v>
      </c>
      <c r="F6462" s="1">
        <f>IFERROR(__xludf.DUMMYFUNCTION("""COMPUTED_VALUE"""),4984936.0)</f>
        <v>4984936</v>
      </c>
    </row>
    <row r="6463">
      <c r="A6463" s="2">
        <f>IFERROR(__xludf.DUMMYFUNCTION("""COMPUTED_VALUE"""),45910.66666666667)</f>
        <v>45910.66667</v>
      </c>
      <c r="B6463" s="1">
        <f>IFERROR(__xludf.DUMMYFUNCTION("""COMPUTED_VALUE"""),158.6)</f>
        <v>158.6</v>
      </c>
      <c r="C6463" s="1">
        <f>IFERROR(__xludf.DUMMYFUNCTION("""COMPUTED_VALUE"""),158.94)</f>
        <v>158.94</v>
      </c>
      <c r="D6463" s="1">
        <f>IFERROR(__xludf.DUMMYFUNCTION("""COMPUTED_VALUE"""),155.89)</f>
        <v>155.89</v>
      </c>
      <c r="E6463" s="1">
        <f>IFERROR(__xludf.DUMMYFUNCTION("""COMPUTED_VALUE"""),157.35)</f>
        <v>157.35</v>
      </c>
      <c r="F6463" s="1">
        <f>IFERROR(__xludf.DUMMYFUNCTION("""COMPUTED_VALUE"""),6205463.0)</f>
        <v>6205463</v>
      </c>
    </row>
    <row r="6464">
      <c r="A6464" s="2">
        <f>IFERROR(__xludf.DUMMYFUNCTION("""COMPUTED_VALUE"""),45911.66666666667)</f>
        <v>45911.66667</v>
      </c>
      <c r="B6464" s="1">
        <f>IFERROR(__xludf.DUMMYFUNCTION("""COMPUTED_VALUE"""),157.72)</f>
        <v>157.72</v>
      </c>
      <c r="C6464" s="1">
        <f>IFERROR(__xludf.DUMMYFUNCTION("""COMPUTED_VALUE"""),159.35)</f>
        <v>159.35</v>
      </c>
      <c r="D6464" s="1">
        <f>IFERROR(__xludf.DUMMYFUNCTION("""COMPUTED_VALUE"""),157.39)</f>
        <v>157.39</v>
      </c>
      <c r="E6464" s="1">
        <f>IFERROR(__xludf.DUMMYFUNCTION("""COMPUTED_VALUE"""),158.63)</f>
        <v>158.63</v>
      </c>
      <c r="F6464" s="1">
        <f>IFERROR(__xludf.DUMMYFUNCTION("""COMPUTED_VALUE"""),5819875.0)</f>
        <v>5819875</v>
      </c>
    </row>
    <row r="6465">
      <c r="A6465" s="2">
        <f>IFERROR(__xludf.DUMMYFUNCTION("""COMPUTED_VALUE"""),45912.66666666667)</f>
        <v>45912.66667</v>
      </c>
      <c r="B6465" s="1">
        <f>IFERROR(__xludf.DUMMYFUNCTION("""COMPUTED_VALUE"""),157.93)</f>
        <v>157.93</v>
      </c>
      <c r="C6465" s="1">
        <f>IFERROR(__xludf.DUMMYFUNCTION("""COMPUTED_VALUE"""),159.13)</f>
        <v>159.13</v>
      </c>
      <c r="D6465" s="1">
        <f>IFERROR(__xludf.DUMMYFUNCTION("""COMPUTED_VALUE"""),157.78)</f>
        <v>157.78</v>
      </c>
      <c r="E6465" s="1">
        <f>IFERROR(__xludf.DUMMYFUNCTION("""COMPUTED_VALUE"""),157.9)</f>
        <v>157.9</v>
      </c>
      <c r="F6465" s="1">
        <f>IFERROR(__xludf.DUMMYFUNCTION("""COMPUTED_VALUE"""),5957021.0)</f>
        <v>5957021</v>
      </c>
    </row>
    <row r="6466">
      <c r="A6466" s="2">
        <f>IFERROR(__xludf.DUMMYFUNCTION("""COMPUTED_VALUE"""),45915.66666666667)</f>
        <v>45915.66667</v>
      </c>
      <c r="B6466" s="1">
        <f>IFERROR(__xludf.DUMMYFUNCTION("""COMPUTED_VALUE"""),157.88)</f>
        <v>157.88</v>
      </c>
      <c r="C6466" s="1">
        <f>IFERROR(__xludf.DUMMYFUNCTION("""COMPUTED_VALUE"""),158.52)</f>
        <v>158.52</v>
      </c>
      <c r="D6466" s="1">
        <f>IFERROR(__xludf.DUMMYFUNCTION("""COMPUTED_VALUE"""),156.2)</f>
        <v>156.2</v>
      </c>
      <c r="E6466" s="1">
        <f>IFERROR(__xludf.DUMMYFUNCTION("""COMPUTED_VALUE"""),156.83)</f>
        <v>156.83</v>
      </c>
      <c r="F6466" s="1">
        <f>IFERROR(__xludf.DUMMYFUNCTION("""COMPUTED_VALUE"""),5994966.0)</f>
        <v>5994966</v>
      </c>
    </row>
    <row r="6467">
      <c r="A6467" s="2">
        <f>IFERROR(__xludf.DUMMYFUNCTION("""COMPUTED_VALUE"""),45916.66666666667)</f>
        <v>45916.66667</v>
      </c>
      <c r="B6467" s="1">
        <f>IFERROR(__xludf.DUMMYFUNCTION("""COMPUTED_VALUE"""),157.14)</f>
        <v>157.14</v>
      </c>
      <c r="C6467" s="1">
        <f>IFERROR(__xludf.DUMMYFUNCTION("""COMPUTED_VALUE"""),158.39)</f>
        <v>158.39</v>
      </c>
      <c r="D6467" s="1">
        <f>IFERROR(__xludf.DUMMYFUNCTION("""COMPUTED_VALUE"""),156.89)</f>
        <v>156.89</v>
      </c>
      <c r="E6467" s="1">
        <f>IFERROR(__xludf.DUMMYFUNCTION("""COMPUTED_VALUE"""),158.05)</f>
        <v>158.05</v>
      </c>
      <c r="F6467" s="1">
        <f>IFERROR(__xludf.DUMMYFUNCTION("""COMPUTED_VALUE"""),6559608.0)</f>
        <v>6559608</v>
      </c>
    </row>
    <row r="6468">
      <c r="A6468" s="2">
        <f>IFERROR(__xludf.DUMMYFUNCTION("""COMPUTED_VALUE"""),45917.66666666667)</f>
        <v>45917.66667</v>
      </c>
      <c r="B6468" s="1">
        <f>IFERROR(__xludf.DUMMYFUNCTION("""COMPUTED_VALUE"""),158.43)</f>
        <v>158.43</v>
      </c>
      <c r="C6468" s="1">
        <f>IFERROR(__xludf.DUMMYFUNCTION("""COMPUTED_VALUE"""),161.67)</f>
        <v>161.67</v>
      </c>
      <c r="D6468" s="1">
        <f>IFERROR(__xludf.DUMMYFUNCTION("""COMPUTED_VALUE"""),158.43)</f>
        <v>158.43</v>
      </c>
      <c r="E6468" s="1">
        <f>IFERROR(__xludf.DUMMYFUNCTION("""COMPUTED_VALUE"""),160.33)</f>
        <v>160.33</v>
      </c>
      <c r="F6468" s="1">
        <f>IFERROR(__xludf.DUMMYFUNCTION("""COMPUTED_VALUE"""),6764169.0)</f>
        <v>6764169</v>
      </c>
    </row>
    <row r="6469">
      <c r="A6469" s="2">
        <f>IFERROR(__xludf.DUMMYFUNCTION("""COMPUTED_VALUE"""),45918.66666666667)</f>
        <v>45918.66667</v>
      </c>
      <c r="B6469" s="1">
        <f>IFERROR(__xludf.DUMMYFUNCTION("""COMPUTED_VALUE"""),158.15)</f>
        <v>158.15</v>
      </c>
      <c r="C6469" s="1">
        <f>IFERROR(__xludf.DUMMYFUNCTION("""COMPUTED_VALUE"""),159.02)</f>
        <v>159.02</v>
      </c>
      <c r="D6469" s="1">
        <f>IFERROR(__xludf.DUMMYFUNCTION("""COMPUTED_VALUE"""),157.16)</f>
        <v>157.16</v>
      </c>
      <c r="E6469" s="1">
        <f>IFERROR(__xludf.DUMMYFUNCTION("""COMPUTED_VALUE"""),157.32)</f>
        <v>157.32</v>
      </c>
      <c r="F6469" s="1">
        <f>IFERROR(__xludf.DUMMYFUNCTION("""COMPUTED_VALUE"""),7651487.0)</f>
        <v>7651487</v>
      </c>
    </row>
    <row r="6470">
      <c r="A6470" s="2">
        <f>IFERROR(__xludf.DUMMYFUNCTION("""COMPUTED_VALUE"""),45919.66666666667)</f>
        <v>45919.66667</v>
      </c>
      <c r="B6470" s="1">
        <f>IFERROR(__xludf.DUMMYFUNCTION("""COMPUTED_VALUE"""),157.61)</f>
        <v>157.61</v>
      </c>
      <c r="C6470" s="1">
        <f>IFERROR(__xludf.DUMMYFUNCTION("""COMPUTED_VALUE"""),157.62)</f>
        <v>157.62</v>
      </c>
      <c r="D6470" s="1">
        <f>IFERROR(__xludf.DUMMYFUNCTION("""COMPUTED_VALUE"""),155.97)</f>
        <v>155.97</v>
      </c>
      <c r="E6470" s="1">
        <f>IFERROR(__xludf.DUMMYFUNCTION("""COMPUTED_VALUE"""),156.04)</f>
        <v>156.04</v>
      </c>
      <c r="F6470" s="1">
        <f>IFERROR(__xludf.DUMMYFUNCTION("""COMPUTED_VALUE"""),1.7224774E7)</f>
        <v>17224774</v>
      </c>
    </row>
    <row r="6471">
      <c r="A6471" s="2">
        <f>IFERROR(__xludf.DUMMYFUNCTION("""COMPUTED_VALUE"""),45922.66666666667)</f>
        <v>45922.66667</v>
      </c>
      <c r="B6471" s="1">
        <f>IFERROR(__xludf.DUMMYFUNCTION("""COMPUTED_VALUE"""),156.08)</f>
        <v>156.08</v>
      </c>
      <c r="C6471" s="1">
        <f>IFERROR(__xludf.DUMMYFUNCTION("""COMPUTED_VALUE"""),156.08)</f>
        <v>156.08</v>
      </c>
      <c r="D6471" s="1">
        <f>IFERROR(__xludf.DUMMYFUNCTION("""COMPUTED_VALUE"""),153.05)</f>
        <v>153.05</v>
      </c>
      <c r="E6471" s="1">
        <f>IFERROR(__xludf.DUMMYFUNCTION("""COMPUTED_VALUE"""),153.07)</f>
        <v>153.07</v>
      </c>
      <c r="F6471" s="1">
        <f>IFERROR(__xludf.DUMMYFUNCTION("""COMPUTED_VALUE"""),8712910.0)</f>
        <v>8712910</v>
      </c>
    </row>
    <row r="6472">
      <c r="A6472" s="2">
        <f>IFERROR(__xludf.DUMMYFUNCTION("""COMPUTED_VALUE"""),45923.66666666667)</f>
        <v>45923.66667</v>
      </c>
      <c r="B6472" s="1">
        <f>IFERROR(__xludf.DUMMYFUNCTION("""COMPUTED_VALUE"""),153.2)</f>
        <v>153.2</v>
      </c>
      <c r="C6472" s="1">
        <f>IFERROR(__xludf.DUMMYFUNCTION("""COMPUTED_VALUE"""),153.29)</f>
        <v>153.29</v>
      </c>
      <c r="D6472" s="1">
        <f>IFERROR(__xludf.DUMMYFUNCTION("""COMPUTED_VALUE"""),150.97)</f>
        <v>150.97</v>
      </c>
      <c r="E6472" s="1">
        <f>IFERROR(__xludf.DUMMYFUNCTION("""COMPUTED_VALUE"""),152.5)</f>
        <v>152.5</v>
      </c>
      <c r="F6472" s="1">
        <f>IFERROR(__xludf.DUMMYFUNCTION("""COMPUTED_VALUE"""),8853418.0)</f>
        <v>8853418</v>
      </c>
    </row>
    <row r="6473">
      <c r="A6473" s="2">
        <f>IFERROR(__xludf.DUMMYFUNCTION("""COMPUTED_VALUE"""),45924.66666666667)</f>
        <v>45924.66667</v>
      </c>
      <c r="B6473" s="1">
        <f>IFERROR(__xludf.DUMMYFUNCTION("""COMPUTED_VALUE"""),152.05)</f>
        <v>152.05</v>
      </c>
      <c r="C6473" s="1">
        <f>IFERROR(__xludf.DUMMYFUNCTION("""COMPUTED_VALUE"""),153.63)</f>
        <v>153.63</v>
      </c>
      <c r="D6473" s="1">
        <f>IFERROR(__xludf.DUMMYFUNCTION("""COMPUTED_VALUE"""),151.79)</f>
        <v>151.79</v>
      </c>
      <c r="E6473" s="1">
        <f>IFERROR(__xludf.DUMMYFUNCTION("""COMPUTED_VALUE"""),152.42)</f>
        <v>152.42</v>
      </c>
      <c r="F6473" s="1">
        <f>IFERROR(__xludf.DUMMYFUNCTION("""COMPUTED_VALUE"""),6483264.0)</f>
        <v>6483264</v>
      </c>
    </row>
    <row r="6474">
      <c r="A6474" s="2">
        <f>IFERROR(__xludf.DUMMYFUNCTION("""COMPUTED_VALUE"""),45925.66666666667)</f>
        <v>45925.66667</v>
      </c>
      <c r="B6474" s="1">
        <f>IFERROR(__xludf.DUMMYFUNCTION("""COMPUTED_VALUE"""),153.23)</f>
        <v>153.23</v>
      </c>
      <c r="C6474" s="1">
        <f>IFERROR(__xludf.DUMMYFUNCTION("""COMPUTED_VALUE"""),153.88)</f>
        <v>153.88</v>
      </c>
      <c r="D6474" s="1">
        <f>IFERROR(__xludf.DUMMYFUNCTION("""COMPUTED_VALUE"""),151.78)</f>
        <v>151.78</v>
      </c>
      <c r="E6474" s="1">
        <f>IFERROR(__xludf.DUMMYFUNCTION("""COMPUTED_VALUE"""),152.15)</f>
        <v>152.15</v>
      </c>
      <c r="F6474" s="1">
        <f>IFERROR(__xludf.DUMMYFUNCTION("""COMPUTED_VALUE"""),7511415.0)</f>
        <v>7511415</v>
      </c>
    </row>
    <row r="6475">
      <c r="A6475" s="2">
        <f>IFERROR(__xludf.DUMMYFUNCTION("""COMPUTED_VALUE"""),45926.66666666667)</f>
        <v>45926.66667</v>
      </c>
      <c r="B6475" s="1">
        <f>IFERROR(__xludf.DUMMYFUNCTION("""COMPUTED_VALUE"""),152.23)</f>
        <v>152.23</v>
      </c>
      <c r="C6475" s="1">
        <f>IFERROR(__xludf.DUMMYFUNCTION("""COMPUTED_VALUE"""),152.68)</f>
        <v>152.68</v>
      </c>
      <c r="D6475" s="1">
        <f>IFERROR(__xludf.DUMMYFUNCTION("""COMPUTED_VALUE"""),151.53)</f>
        <v>151.53</v>
      </c>
      <c r="E6475" s="1">
        <f>IFERROR(__xludf.DUMMYFUNCTION("""COMPUTED_VALUE"""),152.5)</f>
        <v>152.5</v>
      </c>
      <c r="F6475" s="1">
        <f>IFERROR(__xludf.DUMMYFUNCTION("""COMPUTED_VALUE"""),5721092.0)</f>
        <v>5721092</v>
      </c>
    </row>
    <row r="6476">
      <c r="A6476" s="2">
        <f>IFERROR(__xludf.DUMMYFUNCTION("""COMPUTED_VALUE"""),45929.66666666667)</f>
        <v>45929.66667</v>
      </c>
      <c r="B6476" s="1">
        <f>IFERROR(__xludf.DUMMYFUNCTION("""COMPUTED_VALUE"""),152.42)</f>
        <v>152.42</v>
      </c>
      <c r="C6476" s="1">
        <f>IFERROR(__xludf.DUMMYFUNCTION("""COMPUTED_VALUE"""),153.72)</f>
        <v>153.72</v>
      </c>
      <c r="D6476" s="1">
        <f>IFERROR(__xludf.DUMMYFUNCTION("""COMPUTED_VALUE"""),151.79)</f>
        <v>151.79</v>
      </c>
      <c r="E6476" s="1">
        <f>IFERROR(__xludf.DUMMYFUNCTION("""COMPUTED_VALUE"""),153.53)</f>
        <v>153.53</v>
      </c>
      <c r="F6476" s="1">
        <f>IFERROR(__xludf.DUMMYFUNCTION("""COMPUTED_VALUE"""),8139711.0)</f>
        <v>8139711</v>
      </c>
    </row>
    <row r="6477">
      <c r="A6477" s="2">
        <f>IFERROR(__xludf.DUMMYFUNCTION("""COMPUTED_VALUE"""),45930.66666666667)</f>
        <v>45930.66667</v>
      </c>
      <c r="B6477" s="1">
        <f>IFERROR(__xludf.DUMMYFUNCTION("""COMPUTED_VALUE"""),153.46)</f>
        <v>153.46</v>
      </c>
      <c r="C6477" s="1">
        <f>IFERROR(__xludf.DUMMYFUNCTION("""COMPUTED_VALUE"""),154.38)</f>
        <v>154.38</v>
      </c>
      <c r="D6477" s="1">
        <f>IFERROR(__xludf.DUMMYFUNCTION("""COMPUTED_VALUE"""),152.84)</f>
        <v>152.84</v>
      </c>
      <c r="E6477" s="1">
        <f>IFERROR(__xludf.DUMMYFUNCTION("""COMPUTED_VALUE"""),153.65)</f>
        <v>153.65</v>
      </c>
      <c r="F6477" s="1">
        <f>IFERROR(__xludf.DUMMYFUNCTION("""COMPUTED_VALUE"""),7762609.0)</f>
        <v>7762609</v>
      </c>
    </row>
    <row r="6478">
      <c r="A6478" s="2">
        <f>IFERROR(__xludf.DUMMYFUNCTION("""COMPUTED_VALUE"""),45931.66666666667)</f>
        <v>45931.66667</v>
      </c>
      <c r="B6478" s="1">
        <f>IFERROR(__xludf.DUMMYFUNCTION("""COMPUTED_VALUE"""),153.7)</f>
        <v>153.7</v>
      </c>
      <c r="C6478" s="1">
        <f>IFERROR(__xludf.DUMMYFUNCTION("""COMPUTED_VALUE"""),153.89)</f>
        <v>153.89</v>
      </c>
      <c r="D6478" s="1">
        <f>IFERROR(__xludf.DUMMYFUNCTION("""COMPUTED_VALUE"""),151.41)</f>
        <v>151.41</v>
      </c>
      <c r="E6478" s="1">
        <f>IFERROR(__xludf.DUMMYFUNCTION("""COMPUTED_VALUE"""),153.18)</f>
        <v>153.18</v>
      </c>
      <c r="F6478" s="1">
        <f>IFERROR(__xludf.DUMMYFUNCTION("""COMPUTED_VALUE"""),7566014.0)</f>
        <v>7566014</v>
      </c>
    </row>
    <row r="6479">
      <c r="A6479" s="2">
        <f>IFERROR(__xludf.DUMMYFUNCTION("""COMPUTED_VALUE"""),45932.66666666667)</f>
        <v>45932.66667</v>
      </c>
      <c r="B6479" s="1">
        <f>IFERROR(__xludf.DUMMYFUNCTION("""COMPUTED_VALUE"""),152.72)</f>
        <v>152.72</v>
      </c>
      <c r="C6479" s="1">
        <f>IFERROR(__xludf.DUMMYFUNCTION("""COMPUTED_VALUE"""),152.8)</f>
        <v>152.8</v>
      </c>
      <c r="D6479" s="1">
        <f>IFERROR(__xludf.DUMMYFUNCTION("""COMPUTED_VALUE"""),151.63)</f>
        <v>151.63</v>
      </c>
      <c r="E6479" s="1">
        <f>IFERROR(__xludf.DUMMYFUNCTION("""COMPUTED_VALUE"""),152.05)</f>
        <v>152.05</v>
      </c>
      <c r="F6479" s="1">
        <f>IFERROR(__xludf.DUMMYFUNCTION("""COMPUTED_VALUE"""),6892089.0)</f>
        <v>6892089</v>
      </c>
    </row>
    <row r="6480">
      <c r="A6480" s="2">
        <f>IFERROR(__xludf.DUMMYFUNCTION("""COMPUTED_VALUE"""),45933.66666666667)</f>
        <v>45933.66667</v>
      </c>
      <c r="B6480" s="1">
        <f>IFERROR(__xludf.DUMMYFUNCTION("""COMPUTED_VALUE"""),152.0)</f>
        <v>152</v>
      </c>
      <c r="C6480" s="1">
        <f>IFERROR(__xludf.DUMMYFUNCTION("""COMPUTED_VALUE"""),153.43)</f>
        <v>153.43</v>
      </c>
      <c r="D6480" s="1">
        <f>IFERROR(__xludf.DUMMYFUNCTION("""COMPUTED_VALUE"""),152.0)</f>
        <v>152</v>
      </c>
      <c r="E6480" s="1">
        <f>IFERROR(__xludf.DUMMYFUNCTION("""COMPUTED_VALUE"""),152.27)</f>
        <v>152.27</v>
      </c>
      <c r="F6480" s="1">
        <f>IFERROR(__xludf.DUMMYFUNCTION("""COMPUTED_VALUE"""),5212584.0)</f>
        <v>5212584</v>
      </c>
    </row>
    <row r="6481">
      <c r="A6481" s="2">
        <f>IFERROR(__xludf.DUMMYFUNCTION("""COMPUTED_VALUE"""),45936.66666666667)</f>
        <v>45936.66667</v>
      </c>
      <c r="B6481" s="1">
        <f>IFERROR(__xludf.DUMMYFUNCTION("""COMPUTED_VALUE"""),151.5)</f>
        <v>151.5</v>
      </c>
      <c r="C6481" s="1">
        <f>IFERROR(__xludf.DUMMYFUNCTION("""COMPUTED_VALUE"""),152.32)</f>
        <v>152.32</v>
      </c>
      <c r="D6481" s="1">
        <f>IFERROR(__xludf.DUMMYFUNCTION("""COMPUTED_VALUE"""),150.4)</f>
        <v>150.4</v>
      </c>
      <c r="E6481" s="1">
        <f>IFERROR(__xludf.DUMMYFUNCTION("""COMPUTED_VALUE"""),150.41)</f>
        <v>150.41</v>
      </c>
      <c r="F6481" s="1">
        <f>IFERROR(__xludf.DUMMYFUNCTION("""COMPUTED_VALUE"""),6736960.0)</f>
        <v>6736960</v>
      </c>
    </row>
    <row r="6482">
      <c r="A6482" s="2">
        <f>IFERROR(__xludf.DUMMYFUNCTION("""COMPUTED_VALUE"""),45937.66666666667)</f>
        <v>45937.66667</v>
      </c>
      <c r="B6482" s="1">
        <f>IFERROR(__xludf.DUMMYFUNCTION("""COMPUTED_VALUE"""),150.76)</f>
        <v>150.76</v>
      </c>
      <c r="C6482" s="1">
        <f>IFERROR(__xludf.DUMMYFUNCTION("""COMPUTED_VALUE"""),153.17)</f>
        <v>153.17</v>
      </c>
      <c r="D6482" s="1">
        <f>IFERROR(__xludf.DUMMYFUNCTION("""COMPUTED_VALUE"""),150.05)</f>
        <v>150.05</v>
      </c>
      <c r="E6482" s="1">
        <f>IFERROR(__xludf.DUMMYFUNCTION("""COMPUTED_VALUE"""),152.54)</f>
        <v>152.54</v>
      </c>
      <c r="F6482" s="1">
        <f>IFERROR(__xludf.DUMMYFUNCTION("""COMPUTED_VALUE"""),6844361.0)</f>
        <v>6844361</v>
      </c>
    </row>
    <row r="6483">
      <c r="A6483" s="2">
        <f>IFERROR(__xludf.DUMMYFUNCTION("""COMPUTED_VALUE"""),45938.66666666667)</f>
        <v>45938.66667</v>
      </c>
      <c r="B6483" s="1">
        <f>IFERROR(__xludf.DUMMYFUNCTION("""COMPUTED_VALUE"""),152.79)</f>
        <v>152.79</v>
      </c>
      <c r="C6483" s="1">
        <f>IFERROR(__xludf.DUMMYFUNCTION("""COMPUTED_VALUE"""),152.79)</f>
        <v>152.79</v>
      </c>
      <c r="D6483" s="1">
        <f>IFERROR(__xludf.DUMMYFUNCTION("""COMPUTED_VALUE"""),150.63)</f>
        <v>150.63</v>
      </c>
      <c r="E6483" s="1">
        <f>IFERROR(__xludf.DUMMYFUNCTION("""COMPUTED_VALUE"""),150.69)</f>
        <v>150.69</v>
      </c>
      <c r="F6483" s="1">
        <f>IFERROR(__xludf.DUMMYFUNCTION("""COMPUTED_VALUE"""),5254728.0)</f>
        <v>5254728</v>
      </c>
    </row>
    <row r="6484">
      <c r="A6484" s="2">
        <f>IFERROR(__xludf.DUMMYFUNCTION("""COMPUTED_VALUE"""),45939.66666666667)</f>
        <v>45939.66667</v>
      </c>
      <c r="B6484" s="1">
        <f>IFERROR(__xludf.DUMMYFUNCTION("""COMPUTED_VALUE"""),150.74)</f>
        <v>150.74</v>
      </c>
      <c r="C6484" s="1">
        <f>IFERROR(__xludf.DUMMYFUNCTION("""COMPUTED_VALUE"""),150.87)</f>
        <v>150.87</v>
      </c>
      <c r="D6484" s="1">
        <f>IFERROR(__xludf.DUMMYFUNCTION("""COMPUTED_VALUE"""),149.58)</f>
        <v>149.58</v>
      </c>
      <c r="E6484" s="1">
        <f>IFERROR(__xludf.DUMMYFUNCTION("""COMPUTED_VALUE"""),150.58)</f>
        <v>150.58</v>
      </c>
      <c r="F6484" s="1">
        <f>IFERROR(__xludf.DUMMYFUNCTION("""COMPUTED_VALUE"""),6134461.0)</f>
        <v>6134461</v>
      </c>
    </row>
    <row r="6485">
      <c r="A6485" s="2">
        <f>IFERROR(__xludf.DUMMYFUNCTION("""COMPUTED_VALUE"""),45940.66666666667)</f>
        <v>45940.66667</v>
      </c>
      <c r="B6485" s="1">
        <f>IFERROR(__xludf.DUMMYFUNCTION("""COMPUTED_VALUE"""),150.94)</f>
        <v>150.94</v>
      </c>
      <c r="C6485" s="1">
        <f>IFERROR(__xludf.DUMMYFUNCTION("""COMPUTED_VALUE"""),151.51)</f>
        <v>151.51</v>
      </c>
      <c r="D6485" s="1">
        <f>IFERROR(__xludf.DUMMYFUNCTION("""COMPUTED_VALUE"""),149.45)</f>
        <v>149.45</v>
      </c>
      <c r="E6485" s="1">
        <f>IFERROR(__xludf.DUMMYFUNCTION("""COMPUTED_VALUE"""),149.69)</f>
        <v>149.69</v>
      </c>
      <c r="F6485" s="1">
        <f>IFERROR(__xludf.DUMMYFUNCTION("""COMPUTED_VALUE"""),7374046.0)</f>
        <v>7374046</v>
      </c>
    </row>
    <row r="6486">
      <c r="A6486" s="2">
        <f>IFERROR(__xludf.DUMMYFUNCTION("""COMPUTED_VALUE"""),45943.66666666667)</f>
        <v>45943.66667</v>
      </c>
      <c r="B6486" s="1">
        <f>IFERROR(__xludf.DUMMYFUNCTION("""COMPUTED_VALUE"""),149.0)</f>
        <v>149</v>
      </c>
      <c r="C6486" s="1">
        <f>IFERROR(__xludf.DUMMYFUNCTION("""COMPUTED_VALUE"""),149.43)</f>
        <v>149.43</v>
      </c>
      <c r="D6486" s="1">
        <f>IFERROR(__xludf.DUMMYFUNCTION("""COMPUTED_VALUE"""),146.97)</f>
        <v>146.97</v>
      </c>
      <c r="E6486" s="1">
        <f>IFERROR(__xludf.DUMMYFUNCTION("""COMPUTED_VALUE"""),147.49)</f>
        <v>147.49</v>
      </c>
      <c r="F6486" s="1">
        <f>IFERROR(__xludf.DUMMYFUNCTION("""COMPUTED_VALUE"""),7511103.0)</f>
        <v>7511103</v>
      </c>
    </row>
    <row r="6487">
      <c r="A6487" s="2">
        <f>IFERROR(__xludf.DUMMYFUNCTION("""COMPUTED_VALUE"""),45944.66666666667)</f>
        <v>45944.66667</v>
      </c>
      <c r="B6487" s="1">
        <f>IFERROR(__xludf.DUMMYFUNCTION("""COMPUTED_VALUE"""),147.57)</f>
        <v>147.57</v>
      </c>
      <c r="C6487" s="1">
        <f>IFERROR(__xludf.DUMMYFUNCTION("""COMPUTED_VALUE"""),149.25)</f>
        <v>149.25</v>
      </c>
      <c r="D6487" s="1">
        <f>IFERROR(__xludf.DUMMYFUNCTION("""COMPUTED_VALUE"""),147.08)</f>
        <v>147.08</v>
      </c>
      <c r="E6487" s="1">
        <f>IFERROR(__xludf.DUMMYFUNCTION("""COMPUTED_VALUE"""),149.16)</f>
        <v>149.16</v>
      </c>
      <c r="F6487" s="1">
        <f>IFERROR(__xludf.DUMMYFUNCTION("""COMPUTED_VALUE"""),8585346.0)</f>
        <v>8585346</v>
      </c>
    </row>
    <row r="6488">
      <c r="A6488" s="2">
        <f>IFERROR(__xludf.DUMMYFUNCTION("""COMPUTED_VALUE"""),45945.66666666667)</f>
        <v>45945.66667</v>
      </c>
      <c r="B6488" s="1">
        <f>IFERROR(__xludf.DUMMYFUNCTION("""COMPUTED_VALUE"""),148.53)</f>
        <v>148.53</v>
      </c>
      <c r="C6488" s="1">
        <f>IFERROR(__xludf.DUMMYFUNCTION("""COMPUTED_VALUE"""),149.41)</f>
        <v>149.41</v>
      </c>
      <c r="D6488" s="1">
        <f>IFERROR(__xludf.DUMMYFUNCTION("""COMPUTED_VALUE"""),147.27)</f>
        <v>147.27</v>
      </c>
      <c r="E6488" s="1">
        <f>IFERROR(__xludf.DUMMYFUNCTION("""COMPUTED_VALUE"""),147.42)</f>
        <v>147.42</v>
      </c>
      <c r="F6488" s="1">
        <f>IFERROR(__xludf.DUMMYFUNCTION("""COMPUTED_VALUE"""),1.0003073E7)</f>
        <v>10003073</v>
      </c>
    </row>
    <row r="6489">
      <c r="A6489" s="2">
        <f>IFERROR(__xludf.DUMMYFUNCTION("""COMPUTED_VALUE"""),45946.66666666667)</f>
        <v>45946.66667</v>
      </c>
      <c r="B6489" s="1">
        <f>IFERROR(__xludf.DUMMYFUNCTION("""COMPUTED_VALUE"""),148.01)</f>
        <v>148.01</v>
      </c>
      <c r="C6489" s="1">
        <f>IFERROR(__xludf.DUMMYFUNCTION("""COMPUTED_VALUE"""),150.4)</f>
        <v>150.4</v>
      </c>
      <c r="D6489" s="1">
        <f>IFERROR(__xludf.DUMMYFUNCTION("""COMPUTED_VALUE"""),147.92)</f>
        <v>147.92</v>
      </c>
      <c r="E6489" s="1">
        <f>IFERROR(__xludf.DUMMYFUNCTION("""COMPUTED_VALUE"""),149.6)</f>
        <v>149.6</v>
      </c>
      <c r="F6489" s="1">
        <f>IFERROR(__xludf.DUMMYFUNCTION("""COMPUTED_VALUE"""),8809673.0)</f>
        <v>8809673</v>
      </c>
    </row>
    <row r="6490">
      <c r="A6490" s="2">
        <f>IFERROR(__xludf.DUMMYFUNCTION("""COMPUTED_VALUE"""),45947.66666666667)</f>
        <v>45947.66667</v>
      </c>
      <c r="B6490" s="1">
        <f>IFERROR(__xludf.DUMMYFUNCTION("""COMPUTED_VALUE"""),150.57)</f>
        <v>150.57</v>
      </c>
      <c r="C6490" s="1">
        <f>IFERROR(__xludf.DUMMYFUNCTION("""COMPUTED_VALUE"""),152.03)</f>
        <v>152.03</v>
      </c>
      <c r="D6490" s="1">
        <f>IFERROR(__xludf.DUMMYFUNCTION("""COMPUTED_VALUE"""),150.43)</f>
        <v>150.43</v>
      </c>
      <c r="E6490" s="1">
        <f>IFERROR(__xludf.DUMMYFUNCTION("""COMPUTED_VALUE"""),151.4)</f>
        <v>151.4</v>
      </c>
      <c r="F6490" s="1">
        <f>IFERROR(__xludf.DUMMYFUNCTION("""COMPUTED_VALUE"""),8612894.0)</f>
        <v>8612894</v>
      </c>
    </row>
    <row r="6491">
      <c r="A6491" s="2">
        <f>IFERROR(__xludf.DUMMYFUNCTION("""COMPUTED_VALUE"""),45950.66666666667)</f>
        <v>45950.66667</v>
      </c>
      <c r="B6491" s="1">
        <f>IFERROR(__xludf.DUMMYFUNCTION("""COMPUTED_VALUE"""),151.59)</f>
        <v>151.59</v>
      </c>
      <c r="C6491" s="1">
        <f>IFERROR(__xludf.DUMMYFUNCTION("""COMPUTED_VALUE"""),152.39)</f>
        <v>152.39</v>
      </c>
      <c r="D6491" s="1">
        <f>IFERROR(__xludf.DUMMYFUNCTION("""COMPUTED_VALUE"""),151.3)</f>
        <v>151.3</v>
      </c>
      <c r="E6491" s="1">
        <f>IFERROR(__xludf.DUMMYFUNCTION("""COMPUTED_VALUE"""),151.96)</f>
        <v>151.96</v>
      </c>
      <c r="F6491" s="1">
        <f>IFERROR(__xludf.DUMMYFUNCTION("""COMPUTED_VALUE"""),5601287.0)</f>
        <v>5601287</v>
      </c>
    </row>
    <row r="6492">
      <c r="A6492" s="2">
        <f>IFERROR(__xludf.DUMMYFUNCTION("""COMPUTED_VALUE"""),45951.66666666667)</f>
        <v>45951.66667</v>
      </c>
      <c r="B6492" s="1">
        <f>IFERROR(__xludf.DUMMYFUNCTION("""COMPUTED_VALUE"""),151.96)</f>
        <v>151.96</v>
      </c>
      <c r="C6492" s="1">
        <f>IFERROR(__xludf.DUMMYFUNCTION("""COMPUTED_VALUE"""),152.28)</f>
        <v>152.28</v>
      </c>
      <c r="D6492" s="1">
        <f>IFERROR(__xludf.DUMMYFUNCTION("""COMPUTED_VALUE"""),150.87)</f>
        <v>150.87</v>
      </c>
      <c r="E6492" s="1">
        <f>IFERROR(__xludf.DUMMYFUNCTION("""COMPUTED_VALUE"""),151.62)</f>
        <v>151.62</v>
      </c>
      <c r="F6492" s="1">
        <f>IFERROR(__xludf.DUMMYFUNCTION("""COMPUTED_VALUE"""),6013379.0)</f>
        <v>6013379</v>
      </c>
    </row>
    <row r="6493">
      <c r="A6493" s="2">
        <f>IFERROR(__xludf.DUMMYFUNCTION("""COMPUTED_VALUE"""),45952.66666666667)</f>
        <v>45952.66667</v>
      </c>
      <c r="B6493" s="1">
        <f>IFERROR(__xludf.DUMMYFUNCTION("""COMPUTED_VALUE"""),151.3)</f>
        <v>151.3</v>
      </c>
      <c r="C6493" s="1">
        <f>IFERROR(__xludf.DUMMYFUNCTION("""COMPUTED_VALUE"""),153.46)</f>
        <v>153.46</v>
      </c>
      <c r="D6493" s="1">
        <f>IFERROR(__xludf.DUMMYFUNCTION("""COMPUTED_VALUE"""),150.79)</f>
        <v>150.79</v>
      </c>
      <c r="E6493" s="1">
        <f>IFERROR(__xludf.DUMMYFUNCTION("""COMPUTED_VALUE"""),152.2)</f>
        <v>152.2</v>
      </c>
      <c r="F6493" s="1">
        <f>IFERROR(__xludf.DUMMYFUNCTION("""COMPUTED_VALUE"""),6394378.0)</f>
        <v>6394378</v>
      </c>
    </row>
    <row r="6494">
      <c r="A6494" s="2">
        <f>IFERROR(__xludf.DUMMYFUNCTION("""COMPUTED_VALUE"""),45953.66666666667)</f>
        <v>45953.66667</v>
      </c>
      <c r="B6494" s="1">
        <f>IFERROR(__xludf.DUMMYFUNCTION("""COMPUTED_VALUE"""),152.35)</f>
        <v>152.35</v>
      </c>
      <c r="C6494" s="1">
        <f>IFERROR(__xludf.DUMMYFUNCTION("""COMPUTED_VALUE"""),153.3)</f>
        <v>153.3</v>
      </c>
      <c r="D6494" s="1">
        <f>IFERROR(__xludf.DUMMYFUNCTION("""COMPUTED_VALUE"""),150.58)</f>
        <v>150.58</v>
      </c>
      <c r="E6494" s="1">
        <f>IFERROR(__xludf.DUMMYFUNCTION("""COMPUTED_VALUE"""),152.21)</f>
        <v>152.21</v>
      </c>
      <c r="F6494" s="1">
        <f>IFERROR(__xludf.DUMMYFUNCTION("""COMPUTED_VALUE"""),8205353.0)</f>
        <v>8205353</v>
      </c>
    </row>
    <row r="6495">
      <c r="A6495" s="2">
        <f>IFERROR(__xludf.DUMMYFUNCTION("""COMPUTED_VALUE"""),45954.66666666667)</f>
        <v>45954.66667</v>
      </c>
      <c r="B6495" s="1">
        <f>IFERROR(__xludf.DUMMYFUNCTION("""COMPUTED_VALUE"""),156.4)</f>
        <v>156.4</v>
      </c>
      <c r="C6495" s="1">
        <f>IFERROR(__xludf.DUMMYFUNCTION("""COMPUTED_VALUE"""),157.4)</f>
        <v>157.4</v>
      </c>
      <c r="D6495" s="1">
        <f>IFERROR(__xludf.DUMMYFUNCTION("""COMPUTED_VALUE"""),151.53)</f>
        <v>151.53</v>
      </c>
      <c r="E6495" s="1">
        <f>IFERROR(__xludf.DUMMYFUNCTION("""COMPUTED_VALUE"""),152.49)</f>
        <v>152.49</v>
      </c>
      <c r="F6495" s="1">
        <f>IFERROR(__xludf.DUMMYFUNCTION("""COMPUTED_VALUE"""),1.1968491E7)</f>
        <v>11968491</v>
      </c>
    </row>
    <row r="6496">
      <c r="A6496" s="2">
        <f>IFERROR(__xludf.DUMMYFUNCTION("""COMPUTED_VALUE"""),45957.66666666667)</f>
        <v>45957.66667</v>
      </c>
      <c r="B6496" s="1">
        <f>IFERROR(__xludf.DUMMYFUNCTION("""COMPUTED_VALUE"""),151.61)</f>
        <v>151.61</v>
      </c>
      <c r="C6496" s="1">
        <f>IFERROR(__xludf.DUMMYFUNCTION("""COMPUTED_VALUE"""),151.76)</f>
        <v>151.76</v>
      </c>
      <c r="D6496" s="1">
        <f>IFERROR(__xludf.DUMMYFUNCTION("""COMPUTED_VALUE"""),150.13)</f>
        <v>150.13</v>
      </c>
      <c r="E6496" s="1">
        <f>IFERROR(__xludf.DUMMYFUNCTION("""COMPUTED_VALUE"""),151.74)</f>
        <v>151.74</v>
      </c>
      <c r="F6496" s="1">
        <f>IFERROR(__xludf.DUMMYFUNCTION("""COMPUTED_VALUE"""),7775323.0)</f>
        <v>7775323</v>
      </c>
    </row>
    <row r="6497">
      <c r="A6497" s="2">
        <f>IFERROR(__xludf.DUMMYFUNCTION("""COMPUTED_VALUE"""),45958.66666666667)</f>
        <v>45958.66667</v>
      </c>
      <c r="B6497" s="1">
        <f>IFERROR(__xludf.DUMMYFUNCTION("""COMPUTED_VALUE"""),151.12)</f>
        <v>151.12</v>
      </c>
      <c r="C6497" s="1">
        <f>IFERROR(__xludf.DUMMYFUNCTION("""COMPUTED_VALUE"""),153.17)</f>
        <v>153.17</v>
      </c>
      <c r="D6497" s="1">
        <f>IFERROR(__xludf.DUMMYFUNCTION("""COMPUTED_VALUE"""),150.62)</f>
        <v>150.62</v>
      </c>
      <c r="E6497" s="1">
        <f>IFERROR(__xludf.DUMMYFUNCTION("""COMPUTED_VALUE"""),151.37)</f>
        <v>151.37</v>
      </c>
      <c r="F6497" s="1">
        <f>IFERROR(__xludf.DUMMYFUNCTION("""COMPUTED_VALUE"""),5819257.0)</f>
        <v>5819257</v>
      </c>
    </row>
    <row r="6498">
      <c r="A6498" s="2">
        <f>IFERROR(__xludf.DUMMYFUNCTION("""COMPUTED_VALUE"""),45959.66666666667)</f>
        <v>45959.66667</v>
      </c>
      <c r="B6498" s="1">
        <f>IFERROR(__xludf.DUMMYFUNCTION("""COMPUTED_VALUE"""),150.66)</f>
        <v>150.66</v>
      </c>
      <c r="C6498" s="1">
        <f>IFERROR(__xludf.DUMMYFUNCTION("""COMPUTED_VALUE"""),150.97)</f>
        <v>150.97</v>
      </c>
      <c r="D6498" s="1">
        <f>IFERROR(__xludf.DUMMYFUNCTION("""COMPUTED_VALUE"""),148.47)</f>
        <v>148.47</v>
      </c>
      <c r="E6498" s="1">
        <f>IFERROR(__xludf.DUMMYFUNCTION("""COMPUTED_VALUE"""),148.77)</f>
        <v>148.77</v>
      </c>
      <c r="F6498" s="1">
        <f>IFERROR(__xludf.DUMMYFUNCTION("""COMPUTED_VALUE"""),7405466.0)</f>
        <v>7405466</v>
      </c>
    </row>
    <row r="6499">
      <c r="A6499" s="2">
        <f>IFERROR(__xludf.DUMMYFUNCTION("""COMPUTED_VALUE"""),45960.66666666667)</f>
        <v>45960.66667</v>
      </c>
      <c r="B6499" s="1">
        <f>IFERROR(__xludf.DUMMYFUNCTION("""COMPUTED_VALUE"""),149.47)</f>
        <v>149.47</v>
      </c>
      <c r="C6499" s="1">
        <f>IFERROR(__xludf.DUMMYFUNCTION("""COMPUTED_VALUE"""),150.8)</f>
        <v>150.8</v>
      </c>
      <c r="D6499" s="1">
        <f>IFERROR(__xludf.DUMMYFUNCTION("""COMPUTED_VALUE"""),149.34)</f>
        <v>149.34</v>
      </c>
      <c r="E6499" s="1">
        <f>IFERROR(__xludf.DUMMYFUNCTION("""COMPUTED_VALUE"""),149.58)</f>
        <v>149.58</v>
      </c>
      <c r="F6499" s="1">
        <f>IFERROR(__xludf.DUMMYFUNCTION("""COMPUTED_VALUE"""),6760702.0)</f>
        <v>6760702</v>
      </c>
    </row>
    <row r="6500">
      <c r="A6500" s="2">
        <f>IFERROR(__xludf.DUMMYFUNCTION("""COMPUTED_VALUE"""),45961.66666666667)</f>
        <v>45961.66667</v>
      </c>
      <c r="B6500" s="1">
        <f>IFERROR(__xludf.DUMMYFUNCTION("""COMPUTED_VALUE"""),148.71)</f>
        <v>148.71</v>
      </c>
      <c r="C6500" s="1">
        <f>IFERROR(__xludf.DUMMYFUNCTION("""COMPUTED_VALUE"""),151.1)</f>
        <v>151.1</v>
      </c>
      <c r="D6500" s="1">
        <f>IFERROR(__xludf.DUMMYFUNCTION("""COMPUTED_VALUE"""),148.53)</f>
        <v>148.53</v>
      </c>
      <c r="E6500" s="1">
        <f>IFERROR(__xludf.DUMMYFUNCTION("""COMPUTED_VALUE"""),150.37)</f>
        <v>150.37</v>
      </c>
      <c r="F6500" s="1">
        <f>IFERROR(__xludf.DUMMYFUNCTION("""COMPUTED_VALUE"""),7930334.0)</f>
        <v>7930334</v>
      </c>
    </row>
    <row r="6501">
      <c r="A6501" s="2">
        <f>IFERROR(__xludf.DUMMYFUNCTION("""COMPUTED_VALUE"""),45964.66666666667)</f>
        <v>45964.66667</v>
      </c>
      <c r="B6501" s="1">
        <f>IFERROR(__xludf.DUMMYFUNCTION("""COMPUTED_VALUE"""),150.1)</f>
        <v>150.1</v>
      </c>
      <c r="C6501" s="1">
        <f>IFERROR(__xludf.DUMMYFUNCTION("""COMPUTED_VALUE"""),150.22)</f>
        <v>150.22</v>
      </c>
      <c r="D6501" s="1">
        <f>IFERROR(__xludf.DUMMYFUNCTION("""COMPUTED_VALUE"""),147.77)</f>
        <v>147.77</v>
      </c>
      <c r="E6501" s="1">
        <f>IFERROR(__xludf.DUMMYFUNCTION("""COMPUTED_VALUE"""),148.02)</f>
        <v>148.02</v>
      </c>
      <c r="F6501" s="1">
        <f>IFERROR(__xludf.DUMMYFUNCTION("""COMPUTED_VALUE"""),8946383.0)</f>
        <v>8946383</v>
      </c>
    </row>
    <row r="6502">
      <c r="A6502" s="2">
        <f>IFERROR(__xludf.DUMMYFUNCTION("""COMPUTED_VALUE"""),45965.66666666667)</f>
        <v>45965.66667</v>
      </c>
      <c r="B6502" s="1">
        <f>IFERROR(__xludf.DUMMYFUNCTION("""COMPUTED_VALUE"""),148.6)</f>
        <v>148.6</v>
      </c>
      <c r="C6502" s="1">
        <f>IFERROR(__xludf.DUMMYFUNCTION("""COMPUTED_VALUE"""),149.5)</f>
        <v>149.5</v>
      </c>
      <c r="D6502" s="1">
        <f>IFERROR(__xludf.DUMMYFUNCTION("""COMPUTED_VALUE"""),146.25)</f>
        <v>146.25</v>
      </c>
      <c r="E6502" s="1">
        <f>IFERROR(__xludf.DUMMYFUNCTION("""COMPUTED_VALUE"""),147.17)</f>
        <v>147.17</v>
      </c>
      <c r="F6502" s="1">
        <f>IFERROR(__xludf.DUMMYFUNCTION("""COMPUTED_VALUE"""),9295449.0)</f>
        <v>9295449</v>
      </c>
    </row>
    <row r="6503">
      <c r="A6503" s="2">
        <f>IFERROR(__xludf.DUMMYFUNCTION("""COMPUTED_VALUE"""),45966.66666666667)</f>
        <v>45966.66667</v>
      </c>
      <c r="B6503" s="1">
        <f>IFERROR(__xludf.DUMMYFUNCTION("""COMPUTED_VALUE"""),146.87)</f>
        <v>146.87</v>
      </c>
      <c r="C6503" s="1">
        <f>IFERROR(__xludf.DUMMYFUNCTION("""COMPUTED_VALUE"""),147.42)</f>
        <v>147.42</v>
      </c>
      <c r="D6503" s="1">
        <f>IFERROR(__xludf.DUMMYFUNCTION("""COMPUTED_VALUE"""),145.65)</f>
        <v>145.65</v>
      </c>
      <c r="E6503" s="1">
        <f>IFERROR(__xludf.DUMMYFUNCTION("""COMPUTED_VALUE"""),145.79)</f>
        <v>145.79</v>
      </c>
      <c r="F6503" s="1">
        <f>IFERROR(__xludf.DUMMYFUNCTION("""COMPUTED_VALUE"""),1.1199878E7)</f>
        <v>11199878</v>
      </c>
    </row>
    <row r="6504">
      <c r="A6504" s="2">
        <f>IFERROR(__xludf.DUMMYFUNCTION("""COMPUTED_VALUE"""),45967.66666666667)</f>
        <v>45967.66667</v>
      </c>
      <c r="B6504" s="1">
        <f>IFERROR(__xludf.DUMMYFUNCTION("""COMPUTED_VALUE"""),145.88)</f>
        <v>145.88</v>
      </c>
      <c r="C6504" s="1">
        <f>IFERROR(__xludf.DUMMYFUNCTION("""COMPUTED_VALUE"""),146.68)</f>
        <v>146.68</v>
      </c>
      <c r="D6504" s="1">
        <f>IFERROR(__xludf.DUMMYFUNCTION("""COMPUTED_VALUE"""),144.46)</f>
        <v>144.46</v>
      </c>
      <c r="E6504" s="1">
        <f>IFERROR(__xludf.DUMMYFUNCTION("""COMPUTED_VALUE"""),146.13)</f>
        <v>146.13</v>
      </c>
      <c r="F6504" s="1">
        <f>IFERROR(__xludf.DUMMYFUNCTION("""COMPUTED_VALUE"""),1.0024549E7)</f>
        <v>10024549</v>
      </c>
    </row>
    <row r="6505">
      <c r="A6505" s="2">
        <f>IFERROR(__xludf.DUMMYFUNCTION("""COMPUTED_VALUE"""),45968.66666666667)</f>
        <v>45968.66667</v>
      </c>
      <c r="B6505" s="1">
        <f>IFERROR(__xludf.DUMMYFUNCTION("""COMPUTED_VALUE"""),146.95)</f>
        <v>146.95</v>
      </c>
      <c r="C6505" s="1">
        <f>IFERROR(__xludf.DUMMYFUNCTION("""COMPUTED_VALUE"""),147.94)</f>
        <v>147.94</v>
      </c>
      <c r="D6505" s="1">
        <f>IFERROR(__xludf.DUMMYFUNCTION("""COMPUTED_VALUE"""),146.0)</f>
        <v>146</v>
      </c>
      <c r="E6505" s="1">
        <f>IFERROR(__xludf.DUMMYFUNCTION("""COMPUTED_VALUE"""),146.98)</f>
        <v>146.98</v>
      </c>
      <c r="F6505" s="1">
        <f>IFERROR(__xludf.DUMMYFUNCTION("""COMPUTED_VALUE"""),8500097.0)</f>
        <v>8500097</v>
      </c>
    </row>
    <row r="6506">
      <c r="A6506" s="2">
        <f>IFERROR(__xludf.DUMMYFUNCTION("""COMPUTED_VALUE"""),45971.66666666667)</f>
        <v>45971.66667</v>
      </c>
      <c r="B6506" s="1">
        <f>IFERROR(__xludf.DUMMYFUNCTION("""COMPUTED_VALUE"""),146.38)</f>
        <v>146.38</v>
      </c>
      <c r="C6506" s="1">
        <f>IFERROR(__xludf.DUMMYFUNCTION("""COMPUTED_VALUE"""),146.62)</f>
        <v>146.62</v>
      </c>
      <c r="D6506" s="1">
        <f>IFERROR(__xludf.DUMMYFUNCTION("""COMPUTED_VALUE"""),144.09)</f>
        <v>144.09</v>
      </c>
      <c r="E6506" s="1">
        <f>IFERROR(__xludf.DUMMYFUNCTION("""COMPUTED_VALUE"""),145.5)</f>
        <v>145.5</v>
      </c>
      <c r="F6506" s="1">
        <f>IFERROR(__xludf.DUMMYFUNCTION("""COMPUTED_VALUE"""),1.0208085E7)</f>
        <v>10208085</v>
      </c>
    </row>
    <row r="6507">
      <c r="A6507" s="2">
        <f>IFERROR(__xludf.DUMMYFUNCTION("""COMPUTED_VALUE"""),45972.66666666667)</f>
        <v>45972.66667</v>
      </c>
      <c r="B6507" s="1">
        <f>IFERROR(__xludf.DUMMYFUNCTION("""COMPUTED_VALUE"""),145.96)</f>
        <v>145.96</v>
      </c>
      <c r="C6507" s="1">
        <f>IFERROR(__xludf.DUMMYFUNCTION("""COMPUTED_VALUE"""),148.65)</f>
        <v>148.65</v>
      </c>
      <c r="D6507" s="1">
        <f>IFERROR(__xludf.DUMMYFUNCTION("""COMPUTED_VALUE"""),145.67)</f>
        <v>145.67</v>
      </c>
      <c r="E6507" s="1">
        <f>IFERROR(__xludf.DUMMYFUNCTION("""COMPUTED_VALUE"""),148.54)</f>
        <v>148.54</v>
      </c>
      <c r="F6507" s="1">
        <f>IFERROR(__xludf.DUMMYFUNCTION("""COMPUTED_VALUE"""),7332540.0)</f>
        <v>7332540</v>
      </c>
    </row>
    <row r="6508">
      <c r="A6508" s="2">
        <f>IFERROR(__xludf.DUMMYFUNCTION("""COMPUTED_VALUE"""),45973.66666666667)</f>
        <v>45973.66667</v>
      </c>
      <c r="B6508" s="1">
        <f>IFERROR(__xludf.DUMMYFUNCTION("""COMPUTED_VALUE"""),148.53)</f>
        <v>148.53</v>
      </c>
      <c r="C6508" s="1">
        <f>IFERROR(__xludf.DUMMYFUNCTION("""COMPUTED_VALUE"""),149.15)</f>
        <v>149.15</v>
      </c>
      <c r="D6508" s="1">
        <f>IFERROR(__xludf.DUMMYFUNCTION("""COMPUTED_VALUE"""),147.51)</f>
        <v>147.51</v>
      </c>
      <c r="E6508" s="1">
        <f>IFERROR(__xludf.DUMMYFUNCTION("""COMPUTED_VALUE"""),148.01)</f>
        <v>148.01</v>
      </c>
      <c r="F6508" s="1">
        <f>IFERROR(__xludf.DUMMYFUNCTION("""COMPUTED_VALUE"""),7851052.0)</f>
        <v>7851052</v>
      </c>
    </row>
    <row r="6509">
      <c r="A6509" s="2">
        <f>IFERROR(__xludf.DUMMYFUNCTION("""COMPUTED_VALUE"""),45974.66666666667)</f>
        <v>45974.66667</v>
      </c>
      <c r="B6509" s="1">
        <f>IFERROR(__xludf.DUMMYFUNCTION("""COMPUTED_VALUE"""),148.18)</f>
        <v>148.18</v>
      </c>
      <c r="C6509" s="1">
        <f>IFERROR(__xludf.DUMMYFUNCTION("""COMPUTED_VALUE"""),149.0)</f>
        <v>149</v>
      </c>
      <c r="D6509" s="1">
        <f>IFERROR(__xludf.DUMMYFUNCTION("""COMPUTED_VALUE"""),147.64)</f>
        <v>147.64</v>
      </c>
      <c r="E6509" s="1">
        <f>IFERROR(__xludf.DUMMYFUNCTION("""COMPUTED_VALUE"""),147.96)</f>
        <v>147.96</v>
      </c>
      <c r="F6509" s="1">
        <f>IFERROR(__xludf.DUMMYFUNCTION("""COMPUTED_VALUE"""),7566789.0)</f>
        <v>7566789</v>
      </c>
    </row>
    <row r="6510">
      <c r="A6510" s="2">
        <f>IFERROR(__xludf.DUMMYFUNCTION("""COMPUTED_VALUE"""),45975.66666666667)</f>
        <v>45975.66667</v>
      </c>
      <c r="B6510" s="1">
        <f>IFERROR(__xludf.DUMMYFUNCTION("""COMPUTED_VALUE"""),149.1)</f>
        <v>149.1</v>
      </c>
      <c r="C6510" s="1">
        <f>IFERROR(__xludf.DUMMYFUNCTION("""COMPUTED_VALUE"""),149.38)</f>
        <v>149.38</v>
      </c>
      <c r="D6510" s="1">
        <f>IFERROR(__xludf.DUMMYFUNCTION("""COMPUTED_VALUE"""),147.61)</f>
        <v>147.61</v>
      </c>
      <c r="E6510" s="1">
        <f>IFERROR(__xludf.DUMMYFUNCTION("""COMPUTED_VALUE"""),147.67)</f>
        <v>147.67</v>
      </c>
      <c r="F6510" s="1">
        <f>IFERROR(__xludf.DUMMYFUNCTION("""COMPUTED_VALUE"""),9151066.0)</f>
        <v>9151066</v>
      </c>
    </row>
    <row r="6511">
      <c r="A6511" s="2">
        <f>IFERROR(__xludf.DUMMYFUNCTION("""COMPUTED_VALUE"""),45978.66666666667)</f>
        <v>45978.66667</v>
      </c>
      <c r="B6511" s="1">
        <f>IFERROR(__xludf.DUMMYFUNCTION("""COMPUTED_VALUE"""),147.75)</f>
        <v>147.75</v>
      </c>
      <c r="C6511" s="1">
        <f>IFERROR(__xludf.DUMMYFUNCTION("""COMPUTED_VALUE"""),147.98)</f>
        <v>147.98</v>
      </c>
      <c r="D6511" s="1">
        <f>IFERROR(__xludf.DUMMYFUNCTION("""COMPUTED_VALUE"""),145.01)</f>
        <v>145.01</v>
      </c>
      <c r="E6511" s="1">
        <f>IFERROR(__xludf.DUMMYFUNCTION("""COMPUTED_VALUE"""),145.82)</f>
        <v>145.82</v>
      </c>
      <c r="F6511" s="1">
        <f>IFERROR(__xludf.DUMMYFUNCTION("""COMPUTED_VALUE"""),9902310.0)</f>
        <v>9902310</v>
      </c>
    </row>
    <row r="6512">
      <c r="A6512" s="2">
        <f>IFERROR(__xludf.DUMMYFUNCTION("""COMPUTED_VALUE"""),45979.66666666667)</f>
        <v>45979.66667</v>
      </c>
      <c r="B6512" s="1">
        <f>IFERROR(__xludf.DUMMYFUNCTION("""COMPUTED_VALUE"""),146.32)</f>
        <v>146.32</v>
      </c>
      <c r="C6512" s="1">
        <f>IFERROR(__xludf.DUMMYFUNCTION("""COMPUTED_VALUE"""),147.39)</f>
        <v>147.39</v>
      </c>
      <c r="D6512" s="1">
        <f>IFERROR(__xludf.DUMMYFUNCTION("""COMPUTED_VALUE"""),145.51)</f>
        <v>145.51</v>
      </c>
      <c r="E6512" s="1">
        <f>IFERROR(__xludf.DUMMYFUNCTION("""COMPUTED_VALUE"""),146.99)</f>
        <v>146.99</v>
      </c>
      <c r="F6512" s="1">
        <f>IFERROR(__xludf.DUMMYFUNCTION("""COMPUTED_VALUE"""),1.0735177E7)</f>
        <v>10735177</v>
      </c>
    </row>
    <row r="6513">
      <c r="A6513" s="2">
        <f>IFERROR(__xludf.DUMMYFUNCTION("""COMPUTED_VALUE"""),45980.66666666667)</f>
        <v>45980.66667</v>
      </c>
      <c r="B6513" s="1">
        <f>IFERROR(__xludf.DUMMYFUNCTION("""COMPUTED_VALUE"""),146.96)</f>
        <v>146.96</v>
      </c>
      <c r="C6513" s="1">
        <f>IFERROR(__xludf.DUMMYFUNCTION("""COMPUTED_VALUE"""),147.54)</f>
        <v>147.54</v>
      </c>
      <c r="D6513" s="1">
        <f>IFERROR(__xludf.DUMMYFUNCTION("""COMPUTED_VALUE"""),145.86)</f>
        <v>145.86</v>
      </c>
      <c r="E6513" s="1">
        <f>IFERROR(__xludf.DUMMYFUNCTION("""COMPUTED_VALUE"""),146.99)</f>
        <v>146.99</v>
      </c>
      <c r="F6513" s="1">
        <f>IFERROR(__xludf.DUMMYFUNCTION("""COMPUTED_VALUE"""),6367038.0)</f>
        <v>6367038</v>
      </c>
    </row>
    <row r="6514">
      <c r="A6514" s="2">
        <f>IFERROR(__xludf.DUMMYFUNCTION("""COMPUTED_VALUE"""),45981.66666666667)</f>
        <v>45981.66667</v>
      </c>
      <c r="B6514" s="1">
        <f>IFERROR(__xludf.DUMMYFUNCTION("""COMPUTED_VALUE"""),146.64)</f>
        <v>146.64</v>
      </c>
      <c r="C6514" s="1">
        <f>IFERROR(__xludf.DUMMYFUNCTION("""COMPUTED_VALUE"""),148.66)</f>
        <v>148.66</v>
      </c>
      <c r="D6514" s="1">
        <f>IFERROR(__xludf.DUMMYFUNCTION("""COMPUTED_VALUE"""),146.13)</f>
        <v>146.13</v>
      </c>
      <c r="E6514" s="1">
        <f>IFERROR(__xludf.DUMMYFUNCTION("""COMPUTED_VALUE"""),148.19)</f>
        <v>148.19</v>
      </c>
      <c r="F6514" s="1">
        <f>IFERROR(__xludf.DUMMYFUNCTION("""COMPUTED_VALUE"""),9021325.0)</f>
        <v>9021325</v>
      </c>
    </row>
    <row r="6515">
      <c r="A6515" s="2">
        <f>IFERROR(__xludf.DUMMYFUNCTION("""COMPUTED_VALUE"""),45982.66666666667)</f>
        <v>45982.66667</v>
      </c>
      <c r="B6515" s="1">
        <f>IFERROR(__xludf.DUMMYFUNCTION("""COMPUTED_VALUE"""),148.38)</f>
        <v>148.38</v>
      </c>
      <c r="C6515" s="1">
        <f>IFERROR(__xludf.DUMMYFUNCTION("""COMPUTED_VALUE"""),151.5)</f>
        <v>151.5</v>
      </c>
      <c r="D6515" s="1">
        <f>IFERROR(__xludf.DUMMYFUNCTION("""COMPUTED_VALUE"""),148.3)</f>
        <v>148.3</v>
      </c>
      <c r="E6515" s="1">
        <f>IFERROR(__xludf.DUMMYFUNCTION("""COMPUTED_VALUE"""),150.92)</f>
        <v>150.92</v>
      </c>
      <c r="F6515" s="1">
        <f>IFERROR(__xludf.DUMMYFUNCTION("""COMPUTED_VALUE"""),1.2017986E7)</f>
        <v>12017986</v>
      </c>
    </row>
    <row r="6516">
      <c r="A6516" s="2">
        <f>IFERROR(__xludf.DUMMYFUNCTION("""COMPUTED_VALUE"""),45985.66666666667)</f>
        <v>45985.66667</v>
      </c>
      <c r="B6516" s="1">
        <f>IFERROR(__xludf.DUMMYFUNCTION("""COMPUTED_VALUE"""),150.1)</f>
        <v>150.1</v>
      </c>
      <c r="C6516" s="1">
        <f>IFERROR(__xludf.DUMMYFUNCTION("""COMPUTED_VALUE"""),150.41)</f>
        <v>150.41</v>
      </c>
      <c r="D6516" s="1">
        <f>IFERROR(__xludf.DUMMYFUNCTION("""COMPUTED_VALUE"""),146.54)</f>
        <v>146.54</v>
      </c>
      <c r="E6516" s="1">
        <f>IFERROR(__xludf.DUMMYFUNCTION("""COMPUTED_VALUE"""),146.98)</f>
        <v>146.98</v>
      </c>
      <c r="F6516" s="1">
        <f>IFERROR(__xludf.DUMMYFUNCTION("""COMPUTED_VALUE"""),1.3846906E7)</f>
        <v>13846906</v>
      </c>
    </row>
    <row r="6517">
      <c r="A6517" s="2">
        <f>IFERROR(__xludf.DUMMYFUNCTION("""COMPUTED_VALUE"""),45986.66666666667)</f>
        <v>45986.66667</v>
      </c>
      <c r="B6517" s="1">
        <f>IFERROR(__xludf.DUMMYFUNCTION("""COMPUTED_VALUE"""),147.32)</f>
        <v>147.32</v>
      </c>
      <c r="C6517" s="1">
        <f>IFERROR(__xludf.DUMMYFUNCTION("""COMPUTED_VALUE"""),148.65)</f>
        <v>148.65</v>
      </c>
      <c r="D6517" s="1">
        <f>IFERROR(__xludf.DUMMYFUNCTION("""COMPUTED_VALUE"""),147.22)</f>
        <v>147.22</v>
      </c>
      <c r="E6517" s="1">
        <f>IFERROR(__xludf.DUMMYFUNCTION("""COMPUTED_VALUE"""),148.49)</f>
        <v>148.49</v>
      </c>
      <c r="F6517" s="1">
        <f>IFERROR(__xludf.DUMMYFUNCTION("""COMPUTED_VALUE"""),1.0477661E7)</f>
        <v>10477661</v>
      </c>
    </row>
    <row r="6518">
      <c r="A6518" s="2">
        <f>IFERROR(__xludf.DUMMYFUNCTION("""COMPUTED_VALUE"""),45987.66666666667)</f>
        <v>45987.66667</v>
      </c>
      <c r="B6518" s="1">
        <f>IFERROR(__xludf.DUMMYFUNCTION("""COMPUTED_VALUE"""),147.92)</f>
        <v>147.92</v>
      </c>
      <c r="C6518" s="1">
        <f>IFERROR(__xludf.DUMMYFUNCTION("""COMPUTED_VALUE"""),148.97)</f>
        <v>148.97</v>
      </c>
      <c r="D6518" s="1">
        <f>IFERROR(__xludf.DUMMYFUNCTION("""COMPUTED_VALUE"""),147.6)</f>
        <v>147.6</v>
      </c>
      <c r="E6518" s="1">
        <f>IFERROR(__xludf.DUMMYFUNCTION("""COMPUTED_VALUE"""),148.25)</f>
        <v>148.25</v>
      </c>
      <c r="F6518" s="1">
        <f>IFERROR(__xludf.DUMMYFUNCTION("""COMPUTED_VALUE"""),9238450.0)</f>
        <v>9238450</v>
      </c>
    </row>
    <row r="6519">
      <c r="A6519" s="2">
        <f>IFERROR(__xludf.DUMMYFUNCTION("""COMPUTED_VALUE"""),45989.54166666667)</f>
        <v>45989.54167</v>
      </c>
      <c r="B6519" s="1">
        <f>IFERROR(__xludf.DUMMYFUNCTION("""COMPUTED_VALUE"""),147.8)</f>
        <v>147.8</v>
      </c>
      <c r="C6519" s="1">
        <f>IFERROR(__xludf.DUMMYFUNCTION("""COMPUTED_VALUE"""),148.71)</f>
        <v>148.71</v>
      </c>
      <c r="D6519" s="1">
        <f>IFERROR(__xludf.DUMMYFUNCTION("""COMPUTED_VALUE"""),147.18)</f>
        <v>147.18</v>
      </c>
      <c r="E6519" s="1">
        <f>IFERROR(__xludf.DUMMYFUNCTION("""COMPUTED_VALUE"""),148.16)</f>
        <v>148.16</v>
      </c>
      <c r="F6519" s="1">
        <f>IFERROR(__xludf.DUMMYFUNCTION("""COMPUTED_VALUE"""),4707161.0)</f>
        <v>4707161</v>
      </c>
    </row>
    <row r="6520">
      <c r="A6520" s="2">
        <f>IFERROR(__xludf.DUMMYFUNCTION("""COMPUTED_VALUE"""),45992.66666666667)</f>
        <v>45992.66667</v>
      </c>
      <c r="B6520" s="1">
        <f>IFERROR(__xludf.DUMMYFUNCTION("""COMPUTED_VALUE"""),148.1)</f>
        <v>148.1</v>
      </c>
      <c r="C6520" s="1">
        <f>IFERROR(__xludf.DUMMYFUNCTION("""COMPUTED_VALUE"""),148.89)</f>
        <v>148.89</v>
      </c>
      <c r="D6520" s="1">
        <f>IFERROR(__xludf.DUMMYFUNCTION("""COMPUTED_VALUE"""),147.35)</f>
        <v>147.35</v>
      </c>
      <c r="E6520" s="1">
        <f>IFERROR(__xludf.DUMMYFUNCTION("""COMPUTED_VALUE"""),147.44)</f>
        <v>147.44</v>
      </c>
      <c r="F6520" s="1">
        <f>IFERROR(__xludf.DUMMYFUNCTION("""COMPUTED_VALUE"""),8240689.0)</f>
        <v>8240689</v>
      </c>
    </row>
    <row r="6521">
      <c r="A6521" s="2">
        <f>IFERROR(__xludf.DUMMYFUNCTION("""COMPUTED_VALUE"""),45993.66666666667)</f>
        <v>45993.66667</v>
      </c>
      <c r="B6521" s="1">
        <f>IFERROR(__xludf.DUMMYFUNCTION("""COMPUTED_VALUE"""),145.29)</f>
        <v>145.29</v>
      </c>
      <c r="C6521" s="1">
        <f>IFERROR(__xludf.DUMMYFUNCTION("""COMPUTED_VALUE"""),146.19)</f>
        <v>146.19</v>
      </c>
      <c r="D6521" s="1">
        <f>IFERROR(__xludf.DUMMYFUNCTION("""COMPUTED_VALUE"""),142.51)</f>
        <v>142.51</v>
      </c>
      <c r="E6521" s="1">
        <f>IFERROR(__xludf.DUMMYFUNCTION("""COMPUTED_VALUE"""),145.86)</f>
        <v>145.86</v>
      </c>
      <c r="F6521" s="1">
        <f>IFERROR(__xludf.DUMMYFUNCTION("""COMPUTED_VALUE"""),1.6376769E7)</f>
        <v>16376769</v>
      </c>
    </row>
    <row r="6522">
      <c r="A6522" s="2">
        <f>IFERROR(__xludf.DUMMYFUNCTION("""COMPUTED_VALUE"""),45994.66666666667)</f>
        <v>45994.66667</v>
      </c>
      <c r="B6522" s="1">
        <f>IFERROR(__xludf.DUMMYFUNCTION("""COMPUTED_VALUE"""),145.92)</f>
        <v>145.92</v>
      </c>
      <c r="C6522" s="1">
        <f>IFERROR(__xludf.DUMMYFUNCTION("""COMPUTED_VALUE"""),148.29)</f>
        <v>148.29</v>
      </c>
      <c r="D6522" s="1">
        <f>IFERROR(__xludf.DUMMYFUNCTION("""COMPUTED_VALUE"""),145.86)</f>
        <v>145.86</v>
      </c>
      <c r="E6522" s="1">
        <f>IFERROR(__xludf.DUMMYFUNCTION("""COMPUTED_VALUE"""),146.71)</f>
        <v>146.71</v>
      </c>
      <c r="F6522" s="1">
        <f>IFERROR(__xludf.DUMMYFUNCTION("""COMPUTED_VALUE"""),9125320.0)</f>
        <v>9125320</v>
      </c>
    </row>
    <row r="6523">
      <c r="A6523" s="2">
        <f>IFERROR(__xludf.DUMMYFUNCTION("""COMPUTED_VALUE"""),45995.66666666667)</f>
        <v>45995.66667</v>
      </c>
      <c r="B6523" s="1">
        <f>IFERROR(__xludf.DUMMYFUNCTION("""COMPUTED_VALUE"""),146.67)</f>
        <v>146.67</v>
      </c>
      <c r="C6523" s="1">
        <f>IFERROR(__xludf.DUMMYFUNCTION("""COMPUTED_VALUE"""),147.42)</f>
        <v>147.42</v>
      </c>
      <c r="D6523" s="1">
        <f>IFERROR(__xludf.DUMMYFUNCTION("""COMPUTED_VALUE"""),144.5)</f>
        <v>144.5</v>
      </c>
      <c r="E6523" s="1">
        <f>IFERROR(__xludf.DUMMYFUNCTION("""COMPUTED_VALUE"""),145.36)</f>
        <v>145.36</v>
      </c>
      <c r="F6523" s="1">
        <f>IFERROR(__xludf.DUMMYFUNCTION("""COMPUTED_VALUE"""),1.0479267E7)</f>
        <v>10479267</v>
      </c>
    </row>
    <row r="6524">
      <c r="A6524" s="2">
        <f>IFERROR(__xludf.DUMMYFUNCTION("""COMPUTED_VALUE"""),45996.66666666667)</f>
        <v>45996.66667</v>
      </c>
      <c r="B6524" s="1">
        <f>IFERROR(__xludf.DUMMYFUNCTION("""COMPUTED_VALUE"""),145.16)</f>
        <v>145.16</v>
      </c>
      <c r="C6524" s="1">
        <f>IFERROR(__xludf.DUMMYFUNCTION("""COMPUTED_VALUE"""),145.63)</f>
        <v>145.63</v>
      </c>
      <c r="D6524" s="1">
        <f>IFERROR(__xludf.DUMMYFUNCTION("""COMPUTED_VALUE"""),143.25)</f>
        <v>143.25</v>
      </c>
      <c r="E6524" s="1">
        <f>IFERROR(__xludf.DUMMYFUNCTION("""COMPUTED_VALUE"""),143.45)</f>
        <v>143.45</v>
      </c>
      <c r="F6524" s="1">
        <f>IFERROR(__xludf.DUMMYFUNCTION("""COMPUTED_VALUE"""),1.2791745E7)</f>
        <v>12791745</v>
      </c>
    </row>
    <row r="6525">
      <c r="A6525" s="2">
        <f>IFERROR(__xludf.DUMMYFUNCTION("""COMPUTED_VALUE"""),45999.66666666667)</f>
        <v>45999.66667</v>
      </c>
      <c r="B6525" s="1">
        <f>IFERROR(__xludf.DUMMYFUNCTION("""COMPUTED_VALUE"""),142.91)</f>
        <v>142.91</v>
      </c>
      <c r="C6525" s="1">
        <f>IFERROR(__xludf.DUMMYFUNCTION("""COMPUTED_VALUE"""),142.91)</f>
        <v>142.91</v>
      </c>
      <c r="D6525" s="1">
        <f>IFERROR(__xludf.DUMMYFUNCTION("""COMPUTED_VALUE"""),138.14)</f>
        <v>138.14</v>
      </c>
      <c r="E6525" s="1">
        <f>IFERROR(__xludf.DUMMYFUNCTION("""COMPUTED_VALUE"""),138.34)</f>
        <v>138.34</v>
      </c>
      <c r="F6525" s="1">
        <f>IFERROR(__xludf.DUMMYFUNCTION("""COMPUTED_VALUE"""),1.7507504E7)</f>
        <v>17507504</v>
      </c>
    </row>
    <row r="6526">
      <c r="A6526" s="2">
        <f>IFERROR(__xludf.DUMMYFUNCTION("""COMPUTED_VALUE"""),46000.66666666667)</f>
        <v>46000.66667</v>
      </c>
      <c r="B6526" s="1">
        <f>IFERROR(__xludf.DUMMYFUNCTION("""COMPUTED_VALUE"""),139.19)</f>
        <v>139.19</v>
      </c>
      <c r="C6526" s="1">
        <f>IFERROR(__xludf.DUMMYFUNCTION("""COMPUTED_VALUE"""),140.88)</f>
        <v>140.88</v>
      </c>
      <c r="D6526" s="1">
        <f>IFERROR(__xludf.DUMMYFUNCTION("""COMPUTED_VALUE"""),139.0)</f>
        <v>139</v>
      </c>
      <c r="E6526" s="1">
        <f>IFERROR(__xludf.DUMMYFUNCTION("""COMPUTED_VALUE"""),139.63)</f>
        <v>139.63</v>
      </c>
      <c r="F6526" s="1">
        <f>IFERROR(__xludf.DUMMYFUNCTION("""COMPUTED_VALUE"""),1.0375688E7)</f>
        <v>10375688</v>
      </c>
    </row>
    <row r="6527">
      <c r="A6527" s="2">
        <f>IFERROR(__xludf.DUMMYFUNCTION("""COMPUTED_VALUE"""),46001.66666666667)</f>
        <v>46001.66667</v>
      </c>
      <c r="B6527" s="1">
        <f>IFERROR(__xludf.DUMMYFUNCTION("""COMPUTED_VALUE"""),139.65)</f>
        <v>139.65</v>
      </c>
      <c r="C6527" s="1">
        <f>IFERROR(__xludf.DUMMYFUNCTION("""COMPUTED_VALUE"""),141.28)</f>
        <v>141.28</v>
      </c>
      <c r="D6527" s="1">
        <f>IFERROR(__xludf.DUMMYFUNCTION("""COMPUTED_VALUE"""),139.54)</f>
        <v>139.54</v>
      </c>
      <c r="E6527" s="1">
        <f>IFERROR(__xludf.DUMMYFUNCTION("""COMPUTED_VALUE"""),139.82)</f>
        <v>139.82</v>
      </c>
      <c r="F6527" s="1">
        <f>IFERROR(__xludf.DUMMYFUNCTION("""COMPUTED_VALUE"""),1.3650378E7)</f>
        <v>13650378</v>
      </c>
    </row>
    <row r="6528">
      <c r="A6528" s="2">
        <f>IFERROR(__xludf.DUMMYFUNCTION("""COMPUTED_VALUE"""),46002.66666666667)</f>
        <v>46002.66667</v>
      </c>
      <c r="B6528" s="1">
        <f>IFERROR(__xludf.DUMMYFUNCTION("""COMPUTED_VALUE"""),141.0)</f>
        <v>141</v>
      </c>
      <c r="C6528" s="1">
        <f>IFERROR(__xludf.DUMMYFUNCTION("""COMPUTED_VALUE"""),141.84)</f>
        <v>141.84</v>
      </c>
      <c r="D6528" s="1">
        <f>IFERROR(__xludf.DUMMYFUNCTION("""COMPUTED_VALUE"""),140.35)</f>
        <v>140.35</v>
      </c>
      <c r="E6528" s="1">
        <f>IFERROR(__xludf.DUMMYFUNCTION("""COMPUTED_VALUE"""),140.76)</f>
        <v>140.76</v>
      </c>
      <c r="F6528" s="1">
        <f>IFERROR(__xludf.DUMMYFUNCTION("""COMPUTED_VALUE"""),1.1797981E7)</f>
        <v>11797981</v>
      </c>
    </row>
    <row r="6529">
      <c r="A6529" s="2">
        <f>IFERROR(__xludf.DUMMYFUNCTION("""COMPUTED_VALUE"""),46003.66666666667)</f>
        <v>46003.66667</v>
      </c>
      <c r="B6529" s="1">
        <f>IFERROR(__xludf.DUMMYFUNCTION("""COMPUTED_VALUE"""),141.0)</f>
        <v>141</v>
      </c>
      <c r="C6529" s="1">
        <f>IFERROR(__xludf.DUMMYFUNCTION("""COMPUTED_VALUE"""),143.11)</f>
        <v>143.11</v>
      </c>
      <c r="D6529" s="1">
        <f>IFERROR(__xludf.DUMMYFUNCTION("""COMPUTED_VALUE"""),140.84)</f>
        <v>140.84</v>
      </c>
      <c r="E6529" s="1">
        <f>IFERROR(__xludf.DUMMYFUNCTION("""COMPUTED_VALUE"""),142.84)</f>
        <v>142.84</v>
      </c>
      <c r="F6529" s="1">
        <f>IFERROR(__xludf.DUMMYFUNCTION("""COMPUTED_VALUE"""),1.0268768E7)</f>
        <v>10268768</v>
      </c>
    </row>
    <row r="6530">
      <c r="A6530" s="2">
        <f>IFERROR(__xludf.DUMMYFUNCTION("""COMPUTED_VALUE"""),46006.66666666667)</f>
        <v>46006.66667</v>
      </c>
      <c r="B6530" s="1">
        <f>IFERROR(__xludf.DUMMYFUNCTION("""COMPUTED_VALUE"""),143.27)</f>
        <v>143.27</v>
      </c>
      <c r="C6530" s="1">
        <f>IFERROR(__xludf.DUMMYFUNCTION("""COMPUTED_VALUE"""),145.32)</f>
        <v>145.32</v>
      </c>
      <c r="D6530" s="1">
        <f>IFERROR(__xludf.DUMMYFUNCTION("""COMPUTED_VALUE"""),143.2)</f>
        <v>143.2</v>
      </c>
      <c r="E6530" s="1">
        <f>IFERROR(__xludf.DUMMYFUNCTION("""COMPUTED_VALUE"""),145.13)</f>
        <v>145.13</v>
      </c>
      <c r="F6530" s="1">
        <f>IFERROR(__xludf.DUMMYFUNCTION("""COMPUTED_VALUE"""),1.3877674E7)</f>
        <v>13877674</v>
      </c>
    </row>
    <row r="6531">
      <c r="A6531" s="2">
        <f>IFERROR(__xludf.DUMMYFUNCTION("""COMPUTED_VALUE"""),46007.66666666667)</f>
        <v>46007.66667</v>
      </c>
      <c r="B6531" s="1">
        <f>IFERROR(__xludf.DUMMYFUNCTION("""COMPUTED_VALUE"""),146.1)</f>
        <v>146.1</v>
      </c>
      <c r="C6531" s="1">
        <f>IFERROR(__xludf.DUMMYFUNCTION("""COMPUTED_VALUE"""),146.54)</f>
        <v>146.54</v>
      </c>
      <c r="D6531" s="1">
        <f>IFERROR(__xludf.DUMMYFUNCTION("""COMPUTED_VALUE"""),144.65)</f>
        <v>144.65</v>
      </c>
      <c r="E6531" s="1">
        <f>IFERROR(__xludf.DUMMYFUNCTION("""COMPUTED_VALUE"""),145.21)</f>
        <v>145.21</v>
      </c>
      <c r="F6531" s="1">
        <f>IFERROR(__xludf.DUMMYFUNCTION("""COMPUTED_VALUE"""),1.025172E7)</f>
        <v>10251720</v>
      </c>
    </row>
    <row r="6532">
      <c r="A6532" s="2">
        <f>IFERROR(__xludf.DUMMYFUNCTION("""COMPUTED_VALUE"""),46008.66666666667)</f>
        <v>46008.66667</v>
      </c>
      <c r="B6532" s="1">
        <f>IFERROR(__xludf.DUMMYFUNCTION("""COMPUTED_VALUE"""),146.69)</f>
        <v>146.69</v>
      </c>
      <c r="C6532" s="1">
        <f>IFERROR(__xludf.DUMMYFUNCTION("""COMPUTED_VALUE"""),148.45)</f>
        <v>148.45</v>
      </c>
      <c r="D6532" s="1">
        <f>IFERROR(__xludf.DUMMYFUNCTION("""COMPUTED_VALUE"""),146.45)</f>
        <v>146.45</v>
      </c>
      <c r="E6532" s="1">
        <f>IFERROR(__xludf.DUMMYFUNCTION("""COMPUTED_VALUE"""),147.81)</f>
        <v>147.81</v>
      </c>
      <c r="F6532" s="1">
        <f>IFERROR(__xludf.DUMMYFUNCTION("""COMPUTED_VALUE"""),9833261.0)</f>
        <v>9833261</v>
      </c>
    </row>
    <row r="6533">
      <c r="A6533" s="2">
        <f>IFERROR(__xludf.DUMMYFUNCTION("""COMPUTED_VALUE"""),46009.66666666667)</f>
        <v>46009.66667</v>
      </c>
      <c r="B6533" s="1">
        <f>IFERROR(__xludf.DUMMYFUNCTION("""COMPUTED_VALUE"""),146.62)</f>
        <v>146.62</v>
      </c>
      <c r="C6533" s="1">
        <f>IFERROR(__xludf.DUMMYFUNCTION("""COMPUTED_VALUE"""),147.5)</f>
        <v>147.5</v>
      </c>
      <c r="D6533" s="1">
        <f>IFERROR(__xludf.DUMMYFUNCTION("""COMPUTED_VALUE"""),145.35)</f>
        <v>145.35</v>
      </c>
      <c r="E6533" s="1">
        <f>IFERROR(__xludf.DUMMYFUNCTION("""COMPUTED_VALUE"""),145.52)</f>
        <v>145.52</v>
      </c>
      <c r="F6533" s="1">
        <f>IFERROR(__xludf.DUMMYFUNCTION("""COMPUTED_VALUE"""),1.223986E7)</f>
        <v>12239860</v>
      </c>
    </row>
    <row r="6534">
      <c r="A6534" s="2">
        <f>IFERROR(__xludf.DUMMYFUNCTION("""COMPUTED_VALUE"""),46010.66666666667)</f>
        <v>46010.66667</v>
      </c>
      <c r="B6534" s="1">
        <f>IFERROR(__xludf.DUMMYFUNCTION("""COMPUTED_VALUE"""),145.51)</f>
        <v>145.51</v>
      </c>
      <c r="C6534" s="1">
        <f>IFERROR(__xludf.DUMMYFUNCTION("""COMPUTED_VALUE"""),146.05)</f>
        <v>146.05</v>
      </c>
      <c r="D6534" s="1">
        <f>IFERROR(__xludf.DUMMYFUNCTION("""COMPUTED_VALUE"""),143.94)</f>
        <v>143.94</v>
      </c>
      <c r="E6534" s="1">
        <f>IFERROR(__xludf.DUMMYFUNCTION("""COMPUTED_VALUE"""),144.46)</f>
        <v>144.46</v>
      </c>
      <c r="F6534" s="1">
        <f>IFERROR(__xludf.DUMMYFUNCTION("""COMPUTED_VALUE"""),1.9345622E7)</f>
        <v>19345622</v>
      </c>
    </row>
    <row r="6535">
      <c r="A6535" s="2">
        <f>IFERROR(__xludf.DUMMYFUNCTION("""COMPUTED_VALUE"""),46013.66666666667)</f>
        <v>46013.66667</v>
      </c>
      <c r="B6535" s="1">
        <f>IFERROR(__xludf.DUMMYFUNCTION("""COMPUTED_VALUE"""),143.71)</f>
        <v>143.71</v>
      </c>
      <c r="C6535" s="1">
        <f>IFERROR(__xludf.DUMMYFUNCTION("""COMPUTED_VALUE"""),144.4)</f>
        <v>144.4</v>
      </c>
      <c r="D6535" s="1">
        <f>IFERROR(__xludf.DUMMYFUNCTION("""COMPUTED_VALUE"""),142.42)</f>
        <v>142.42</v>
      </c>
      <c r="E6535" s="1">
        <f>IFERROR(__xludf.DUMMYFUNCTION("""COMPUTED_VALUE"""),142.69)</f>
        <v>142.69</v>
      </c>
      <c r="F6535" s="1">
        <f>IFERROR(__xludf.DUMMYFUNCTION("""COMPUTED_VALUE"""),1.173136E7)</f>
        <v>11731360</v>
      </c>
    </row>
    <row r="6536">
      <c r="A6536" s="2">
        <f>IFERROR(__xludf.DUMMYFUNCTION("""COMPUTED_VALUE"""),46014.66666666667)</f>
        <v>46014.66667</v>
      </c>
      <c r="B6536" s="1">
        <f>IFERROR(__xludf.DUMMYFUNCTION("""COMPUTED_VALUE"""),142.49)</f>
        <v>142.49</v>
      </c>
      <c r="C6536" s="1">
        <f>IFERROR(__xludf.DUMMYFUNCTION("""COMPUTED_VALUE"""),143.73)</f>
        <v>143.73</v>
      </c>
      <c r="D6536" s="1">
        <f>IFERROR(__xludf.DUMMYFUNCTION("""COMPUTED_VALUE"""),142.08)</f>
        <v>142.08</v>
      </c>
      <c r="E6536" s="1">
        <f>IFERROR(__xludf.DUMMYFUNCTION("""COMPUTED_VALUE"""),143.18)</f>
        <v>143.18</v>
      </c>
      <c r="F6536" s="1">
        <f>IFERROR(__xludf.DUMMYFUNCTION("""COMPUTED_VALUE"""),9541563.0)</f>
        <v>9541563</v>
      </c>
    </row>
    <row r="6537">
      <c r="A6537" s="2">
        <f>IFERROR(__xludf.DUMMYFUNCTION("""COMPUTED_VALUE"""),46015.54166666667)</f>
        <v>46015.54167</v>
      </c>
      <c r="B6537" s="1">
        <f>IFERROR(__xludf.DUMMYFUNCTION("""COMPUTED_VALUE"""),142.9)</f>
        <v>142.9</v>
      </c>
      <c r="C6537" s="1">
        <f>IFERROR(__xludf.DUMMYFUNCTION("""COMPUTED_VALUE"""),144.74)</f>
        <v>144.74</v>
      </c>
      <c r="D6537" s="1">
        <f>IFERROR(__xludf.DUMMYFUNCTION("""COMPUTED_VALUE"""),142.83)</f>
        <v>142.83</v>
      </c>
      <c r="E6537" s="1">
        <f>IFERROR(__xludf.DUMMYFUNCTION("""COMPUTED_VALUE"""),144.49)</f>
        <v>144.49</v>
      </c>
      <c r="F6537" s="1">
        <f>IFERROR(__xludf.DUMMYFUNCTION("""COMPUTED_VALUE"""),3259209.0)</f>
        <v>3259209</v>
      </c>
    </row>
    <row r="6538">
      <c r="A6538" s="2">
        <f>IFERROR(__xludf.DUMMYFUNCTION("""COMPUTED_VALUE"""),46017.66666666667)</f>
        <v>46017.66667</v>
      </c>
      <c r="B6538" s="1">
        <f>IFERROR(__xludf.DUMMYFUNCTION("""COMPUTED_VALUE"""),144.31)</f>
        <v>144.31</v>
      </c>
      <c r="C6538" s="1">
        <f>IFERROR(__xludf.DUMMYFUNCTION("""COMPUTED_VALUE"""),145.64)</f>
        <v>145.64</v>
      </c>
      <c r="D6538" s="1">
        <f>IFERROR(__xludf.DUMMYFUNCTION("""COMPUTED_VALUE"""),144.31)</f>
        <v>144.31</v>
      </c>
      <c r="E6538" s="1">
        <f>IFERROR(__xludf.DUMMYFUNCTION("""COMPUTED_VALUE"""),144.74)</f>
        <v>144.74</v>
      </c>
      <c r="F6538" s="1">
        <f>IFERROR(__xludf.DUMMYFUNCTION("""COMPUTED_VALUE"""),4711505.0)</f>
        <v>4711505</v>
      </c>
    </row>
    <row r="6539">
      <c r="A6539" s="2">
        <f>IFERROR(__xludf.DUMMYFUNCTION("""COMPUTED_VALUE"""),46020.66666666667)</f>
        <v>46020.66667</v>
      </c>
      <c r="B6539" s="1">
        <f>IFERROR(__xludf.DUMMYFUNCTION("""COMPUTED_VALUE"""),144.8)</f>
        <v>144.8</v>
      </c>
      <c r="C6539" s="1">
        <f>IFERROR(__xludf.DUMMYFUNCTION("""COMPUTED_VALUE"""),145.07)</f>
        <v>145.07</v>
      </c>
      <c r="D6539" s="1">
        <f>IFERROR(__xludf.DUMMYFUNCTION("""COMPUTED_VALUE"""),143.95)</f>
        <v>143.95</v>
      </c>
      <c r="E6539" s="1">
        <f>IFERROR(__xludf.DUMMYFUNCTION("""COMPUTED_VALUE"""),144.57)</f>
        <v>144.57</v>
      </c>
      <c r="F6539" s="1">
        <f>IFERROR(__xludf.DUMMYFUNCTION("""COMPUTED_VALUE"""),7662127.0)</f>
        <v>7662127</v>
      </c>
    </row>
    <row r="6540">
      <c r="A6540" s="2">
        <f>IFERROR(__xludf.DUMMYFUNCTION("""COMPUTED_VALUE"""),46021.66666666667)</f>
        <v>46021.66667</v>
      </c>
      <c r="B6540" s="1">
        <f>IFERROR(__xludf.DUMMYFUNCTION("""COMPUTED_VALUE"""),144.29)</f>
        <v>144.29</v>
      </c>
      <c r="C6540" s="1">
        <f>IFERROR(__xludf.DUMMYFUNCTION("""COMPUTED_VALUE"""),144.46)</f>
        <v>144.46</v>
      </c>
      <c r="D6540" s="1">
        <f>IFERROR(__xludf.DUMMYFUNCTION("""COMPUTED_VALUE"""),143.57)</f>
        <v>143.57</v>
      </c>
      <c r="E6540" s="1">
        <f>IFERROR(__xludf.DUMMYFUNCTION("""COMPUTED_VALUE"""),144.05)</f>
        <v>144.05</v>
      </c>
      <c r="F6540" s="1">
        <f>IFERROR(__xludf.DUMMYFUNCTION("""COMPUTED_VALUE"""),6006432.0)</f>
        <v>6006432</v>
      </c>
    </row>
    <row r="6541">
      <c r="A6541" s="2">
        <f>IFERROR(__xludf.DUMMYFUNCTION("""COMPUTED_VALUE"""),46022.66666666667)</f>
        <v>46022.66667</v>
      </c>
      <c r="B6541" s="1">
        <f>IFERROR(__xludf.DUMMYFUNCTION("""COMPUTED_VALUE"""),144.0)</f>
        <v>144</v>
      </c>
      <c r="C6541" s="1">
        <f>IFERROR(__xludf.DUMMYFUNCTION("""COMPUTED_VALUE"""),144.14)</f>
        <v>144.14</v>
      </c>
      <c r="D6541" s="1">
        <f>IFERROR(__xludf.DUMMYFUNCTION("""COMPUTED_VALUE"""),143.23)</f>
        <v>143.23</v>
      </c>
      <c r="E6541" s="1">
        <f>IFERROR(__xludf.DUMMYFUNCTION("""COMPUTED_VALUE"""),143.31)</f>
        <v>143.31</v>
      </c>
      <c r="F6541" s="1">
        <f>IFERROR(__xludf.DUMMYFUNCTION("""COMPUTED_VALUE"""),5293220.0)</f>
        <v>5293220</v>
      </c>
    </row>
  </sheetData>
  <drawing r:id="rId1"/>
</worksheet>
</file>